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111"/>
  <workbookPr/>
  <bookViews>
    <workbookView activeTab="0" xWindow="240" yWindow="60" windowWidth="29040" windowHeight="15840" tabRatio="814"/>
  </bookViews>
  <sheets>
    <sheet name="Прайс" sheetId="1" r:id="rId5"/>
  </sheets>
  <externalReferences>
    <externalReference r:id="rId4"/>
  </externalReferences>
  <definedNames>
    <definedName name="_xlnm._FilterDatabase" localSheetId="0" hidden="1">Прайс!$A$13:$J$1759</definedName>
  </definedNames>
  <calcPr/>
  <extLst>
    <ext uri="smNativeData">
      <pm:revision xmlns:pm="smNativeData" day="1707302626" val="1066" rev="124" revOS="4" revMin="124" revMax="0"/>
      <pm:docPrefs xmlns:pm="smNativeData" id="1707302626" fixedDigits="0" showNotice="1" showFrameBounds="1" autoChart="1" recalcOnPrint="1" recalcOnCopy="1" finalRounding="1" compatTextArt="1" tab="567" useDefinedPrintRange="1" printArea="currentSheet"/>
      <pm:compatibility xmlns:pm="smNativeData" id="1707302626" overlapCells="1"/>
      <pm:defCurrency xmlns:pm="smNativeData" id="1707302626"/>
    </ext>
  </extLst>
</workbook>
</file>

<file path=xl/sharedStrings.xml><?xml version="1.0" encoding="utf-8"?>
<sst xmlns="http://schemas.openxmlformats.org/spreadsheetml/2006/main" count="8210" uniqueCount="2883">
  <si>
    <t>ы</t>
  </si>
  <si>
    <t>Не является офертой. Цены и наличие товара уточняйте у менеджера.</t>
  </si>
  <si>
    <t>Код</t>
  </si>
  <si>
    <t>Группа</t>
  </si>
  <si>
    <t>Наименование продукции</t>
  </si>
  <si>
    <t>Ед. изм.</t>
  </si>
  <si>
    <t>Характеристики</t>
  </si>
  <si>
    <t>Опт</t>
  </si>
  <si>
    <t>Рек. Розница</t>
  </si>
  <si>
    <t>Наличие на складе</t>
  </si>
  <si>
    <t>Кол-во</t>
  </si>
  <si>
    <t>Сумма</t>
  </si>
  <si>
    <t>Компрессорное оборудование GARAGE</t>
  </si>
  <si>
    <t>МАСЛЯНЫЕ КОМПРЕССОРЫ С ПРЯМОЙ ПЕРЕДАЧЕЙ</t>
  </si>
  <si>
    <t>Компрессор Garage PK 24.F250/1.5</t>
  </si>
  <si>
    <t>шт</t>
  </si>
  <si>
    <t>Компрессор поршневой масляный PK 24.F250/1.5,  ресивер - 24 л, мощность - 1,5 Квт, производительность - 250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</si>
  <si>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-</t>
  </si>
  <si>
    <t>Компрессор Garage ST 24.F230/1.3</t>
  </si>
  <si>
    <t>Компрессор поршневой масляный   ST 24.F230/1.3, ресивер - 24 л, мощность - 1,3 Квт, производительность - 230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</si>
  <si>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Компрессор Garage ST 40.F230/1.3</t>
  </si>
  <si>
    <t>Компрессор поршневой масляный   ST 40.F230/1.3, ресивер - 24 л, мощность - 1,3 Квт, производительность - 230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</si>
  <si>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УТ-00000119</t>
  </si>
  <si>
    <t>Компрессор Garage ST 24.F220/1.3</t>
  </si>
  <si>
    <t>Компрессор поршневой масляный ST 24.F220/1.3,  ресивер - 24 л, мощность - 1,3 Квт, производительность - 220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</si>
  <si>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УТ-00000120</t>
  </si>
  <si>
    <t>Компрессор Garage ST 40.F220/1.3</t>
  </si>
  <si>
    <t>Компрессор поршневой масляный ST 40.F220/1.3,  ресивер - 24 л, мощность - 1,3 Квт, производительность - 220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</si>
  <si>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УТ-00000062</t>
  </si>
  <si>
    <t>Компрессор Garage PK 40.F250/1.5</t>
  </si>
  <si>
    <t>Компрессор поршневой масляный PK 40.F210/1.5,  ресивер - 40 л, мощность - 1,5 Квт, производительность - 210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</si>
  <si>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УТ-00000121</t>
  </si>
  <si>
    <t>Компрессор Garage PRO 50.MKV400/2.3</t>
  </si>
  <si>
    <t>Компрессор поршневой масляный PRO 50.MKV400/2.3, ресивер - 50 л, мощность - 2,3 Квт, производительность - 400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</si>
  <si>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УТ-00000410</t>
  </si>
  <si>
    <t>Компрессор Garage PRO 100.MKV400/2.3</t>
  </si>
  <si>
    <t>Компрессор поршневой масляный PRO 100.MKV400/2.3, ресивер - 100 л, мощность - 2,3 Квт, производительность - 400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</si>
  <si>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Компрессор Garage PRO 50.MKV405/2.3</t>
  </si>
  <si>
    <t>Компрессор поршневой масляный 50.MKV405/2.3, ресивер - 50 л, мощность - 2,3 Квт, производительность - 405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</si>
  <si>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Компрессор Garage PRO 100.MKV405/2.3</t>
  </si>
  <si>
    <t>Компрессор поршневой масляный PRO 100.MKV405/2.3, ресивер - 100 л, мощность - 2,3 Квт, производительность - 405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</si>
  <si>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Компрессор Garage PRO 24.F320/2.0</t>
  </si>
  <si>
    <t>Компрессор поршневой масляный  PRO 24.F320/2.0, ресивер - 24 л, мощность - 2 Квт, производительность - 320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</si>
  <si>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Компрессор Garage PRO 50.F320/2.0</t>
  </si>
  <si>
    <t>Компрессор поршневой масляный PRO 50.F320/2.0, ресивер - 50 л, мощность - 2 Квт, производительность - 320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t>
  </si>
  <si>
    <t>КОМПРЕССОРЫ С РЕМЕННЫМ ПРИВОДОМ</t>
  </si>
  <si>
    <t>Компрессор Garage PK 50.MBV400/2.2</t>
  </si>
  <si>
    <t>Производительность: 400 л/мин, Давление: 10 бар, Напряжение: 220 В, Объем: 50 л, Мощность: 2,2 кВт</t>
  </si>
  <si>
    <t>+</t>
  </si>
  <si>
    <t>Компрессор Garage PK 100.MBV400/2.2</t>
  </si>
  <si>
    <t>Производительность: 400 л/мин, Давление: 10 бар, Напряжение: 220 В, Объем: 100 л, Мощность: 2,2 кВт</t>
  </si>
  <si>
    <t>Компрессор Garage PRO 100.MBV400/2.2 Верт.</t>
  </si>
  <si>
    <t>Производительность: 400 л/мин, Давление: 10 бар, Напряжение: 220 В, Объем: 100 л, Мощность: 2,2 кВт ВЕРТИКАЛЬНЫЙ</t>
  </si>
  <si>
    <t>КОМПРЕССОРЫ ПОРШНЕВЫЕ БЕЗМАСЛЯНЫЕ</t>
  </si>
  <si>
    <t>Компрессор безмасляный Garage PRO 100.SL400/2.2</t>
  </si>
  <si>
    <t>Производительность: 476 л/мин, Давление: 8 бар, Напряжение: 220 В, Объем: 100 л, Мощность: 2,2 кВт</t>
  </si>
  <si>
    <t>Компрессор безмасляный Garage PRO 24.SL190/1.3</t>
  </si>
  <si>
    <t>Производительность: 190 л/мин, Давление: 8 бар, Напряжение: 220 В, Объем: 24 л, Мощность: 1,3 кВт</t>
  </si>
  <si>
    <t>Компрессорное оборудование REMEZA</t>
  </si>
  <si>
    <t>УТ-00000118</t>
  </si>
  <si>
    <t>Сертификат расширенной гарантии Remeza на 3 года</t>
  </si>
  <si>
    <t xml:space="preserve">КОМПРЕССОРЫ ПОРШНЕВЫЕ С ПРЯМЫМ ПРИВОДОМ СЕРИИ J </t>
  </si>
  <si>
    <t>УТ-00000122</t>
  </si>
  <si>
    <t>Компрессор СБ 4/С-20.J1047 В</t>
  </si>
  <si>
    <t>УТ-00000123</t>
  </si>
  <si>
    <t>Компрессор СБ 4/С-20.J1048 В</t>
  </si>
  <si>
    <t>УТ-00000124</t>
  </si>
  <si>
    <t>Компрессор СБ 4/С-20.J2047 В</t>
  </si>
  <si>
    <t>Компрессор СБ 4/С-24.J1047 B (Remeza)</t>
  </si>
  <si>
    <t>Производительность: 200 л/мин, Ресивер: 24 л</t>
  </si>
  <si>
    <t>Компрессор CБ 4/C-24.J1048 B (Remeza)</t>
  </si>
  <si>
    <t>Производительность: 274 л/мин, Ресивер: 24 л</t>
  </si>
  <si>
    <t>Компрессор СБ 4/С-  50.J1047 B</t>
  </si>
  <si>
    <t>Производительность: 200 л/мин, Давление: 8 Атм, Напряжение: 220 В, Кол-во цилиндров/ступеней: 1/1 шт, Ресивер: 50 л, Выход: 1/4 дюйм, , Вес: 38 кг,</t>
  </si>
  <si>
    <t>Компрессор СБ 4/С-  50.J1048 B</t>
  </si>
  <si>
    <t xml:space="preserve">Производительность: 260 л/мин, Давление: 8 Атм, Напряжение: 220 В, Кол-во цилиндров/ступеней: 1/1 шт, Ресивер: 50 л, Выход: 1/4 дюйм, Вес: 42 кг, </t>
  </si>
  <si>
    <t>Компрессор СБ 4/С-  50.J2047 B</t>
  </si>
  <si>
    <t>Производительность: 400 л/мин, Давление: 8 Атм, Напряжение: 220 В, Кол-во цилиндров/ступеней: 2/1 шт, Ресивер: 50 л, Выход: 1/4 дюйм, Мощность: 2,2 кВт</t>
  </si>
  <si>
    <t>Компрессор СБ 4/С-100.J2047 B</t>
  </si>
  <si>
    <t>Производительность: 400 л/мин, Давление: 8 Атм, Напряжение: 220 В, Кол-во цилиндров/ступеней: 2/1 шт, Ресивер: 100 л, Выход: 1/4 дюйм</t>
  </si>
  <si>
    <t>КОМПРЕССОРЫ ПОРШНЕВЫЕ С РЕМЕННЫМ ПРИВОДОМ</t>
  </si>
  <si>
    <t>Компрессор СБ4/С-50.LB 24 A</t>
  </si>
  <si>
    <t>Производительность: 360 л/мин, Давление: 10 бар, Напряжение: 220 В, Мощность: 2,2 кВт</t>
  </si>
  <si>
    <t>Компрессор СБ4/С-100.LB 24 A</t>
  </si>
  <si>
    <t>Компрессор СБ 4/С-  50 LB 30 A</t>
  </si>
  <si>
    <t>Производительность: 420 л/мин, Давление: 10 Атм, Напряжение: 220 В, Кол-во цилиндров/ступеней: 2/1 шт, Ресивер: 50 л, Выход: 1/4 дюйм</t>
  </si>
  <si>
    <t>Компрессор СБ 4/С-  50 LB 30</t>
  </si>
  <si>
    <t>Производительность: 420 л/мин, Давление: 10 Атм, Напряжение: 380 В, Кол-во цилиндров/ступеней: 2/1 шт, Ресивер: 50 л, Выход: 1/4 дюйм</t>
  </si>
  <si>
    <t>Компрессор СБ 4/С-  50 LB 30  3,0 кВт</t>
  </si>
  <si>
    <t xml:space="preserve">Производительность: 500 л/мин, Давление: 9 Атм, Напряжение: 380 В, Габаритные размеры: 850*400*770 мм, Кол-во цилиндров/ступеней: 2/1 шт, Ресивер: 50 л, </t>
  </si>
  <si>
    <t>Компрессор СБ 4/С-100 LB 30 A</t>
  </si>
  <si>
    <t>Производительность: 420 л/мин, Давление: 10 Атм, Напряжение: 220 В, Кол-во цилиндров/ступеней: 2/1 шт, Ресивер: 100 л, Выход: 1/4 дюйм</t>
  </si>
  <si>
    <t>Компрессор СБ 4/С-100 LB 30</t>
  </si>
  <si>
    <t>Производительность: 420 л/мин, Давление: 10 Атм, Напряжение: 380 В, Кол-во цилиндров/ступеней: 2/1 шт, Ресивер: 100 л, Выход: 1/4 дюйм</t>
  </si>
  <si>
    <t>Компрессор СБ 4/С-100 LB 30  3,0 кВт</t>
  </si>
  <si>
    <t>Производительность: 500 л/мин,Давление: 9 Атм, Напряжение: 380 В, Габаритные размеры: 1150*490*850 мм, Кол-во цилиндров/ступеней: 2/1 шт, Ресивер: 100 л</t>
  </si>
  <si>
    <t>Компрессор СБ4/С-200.LB30-3.0</t>
  </si>
  <si>
    <t>Производительность: 500 л/мин, Напряжение: 380 В, Мощность: 3,0 кВт</t>
  </si>
  <si>
    <t>Компрессор СБ 4/С-  50 LB 40</t>
  </si>
  <si>
    <t>Производительность: 580 л/мин, Давление: 10 Атм, Напряжение: 380 В, Кол-во цилиндров/ступеней: 3./1 шт, Ресивер: 50 л, Выход: 1/2 + 1/4 дюйм</t>
  </si>
  <si>
    <t>Компрессор СБ 4/С-100 LB 40</t>
  </si>
  <si>
    <t>Производительность: 580 л/мин, Давление: 10 Атм, Напряжение: 380 В, Кол-во цилиндров/ступеней: 3./1 шт, Ресивер: 100 л, Выход: 1/2 + 1/4 дюйм</t>
  </si>
  <si>
    <t>Компрессор СБ 4/С-200 LB 40</t>
  </si>
  <si>
    <t>Производительность: 580 л/мин, Давление: 10 Атм, Напряжение: 380 В, Кол-во цилиндров/ступеней: 3./1 шт, Ресивер: 200 л, Выход: 1/2 + 1/4 дюйм</t>
  </si>
  <si>
    <t>Компрессор СБ 4/С-100 LB 50</t>
  </si>
  <si>
    <t>Производительность: 690 л/мин, Давление: 10 Атм, Напряжение: 380 В, Кол-во цилиндров/ступеней: 2./1 шт, Ресивер: 100 л, Выход: 1/2 дюйм</t>
  </si>
  <si>
    <t>Компрессор СБ 4/Ф-270 LB 50</t>
  </si>
  <si>
    <t>Производительность: 690 л/мин, Давление: 10 Атм, Напряжение: 380 В, Кол-во цилиндров/ступеней: 2./1 шт, Ресивер: 270 л, Выход: 1/2 + 1/4 дюйм</t>
  </si>
  <si>
    <t>Компрессор СБ4/Ф-270.LB50-5.5</t>
  </si>
  <si>
    <t>Производительность: 880 л/мин, Давление: 10 Атм, Напряжение: 380 В, Кол-во цилиндров/ступеней: 2./1 шт, Ресивер: 270 л, Выход: 1/2 + 1/4 дюйм</t>
  </si>
  <si>
    <t>Компрессор СБ 4/С-100 LB 75</t>
  </si>
  <si>
    <t>Производительность: 950 л/мин, Давление: 10 Атм, Напряжение: 380 В, Кол-во цилиндров/ступеней: 3./1 шт, Ресивер: 100 л, Выход: 1/2 дюйм</t>
  </si>
  <si>
    <t>Компрессор СБ 4/Ф-270 LB 75</t>
  </si>
  <si>
    <t>Производительность: 950 л/мин, Давление: 10 Атм, Напряжение: 380 В, Кол-во цилиндров/ступеней: 3./1 шт, Ресивер: 270 л, Выход: 1/2+1/4 дюйм</t>
  </si>
  <si>
    <t>Компрессор СБ 4/Ф-500 LB 75</t>
  </si>
  <si>
    <t>Производительность: 950 л/мин, Давление: 10 Атм, Напряжение: 380 В, Кол-во цилиндров/ступеней: 3./1 шт, Ресивер: 500 л, Выход: 3/4+1/4 дюйм</t>
  </si>
  <si>
    <t>Компрессор СБ 4/Ф-500 LB 75 ТБ Тандем</t>
  </si>
  <si>
    <t>Производительность: 1900 л/мин, Давление: 10 Атм, Напряжение: 380 В, Кол-во цилиндров/ступеней: 2/2 шт, Ресивер: 500 л, Выход: 3/4 дюйм</t>
  </si>
  <si>
    <t>Компрессор СБ 4/Ф-500 LB 75 Т  Тандем</t>
  </si>
  <si>
    <t>Компрессор СБ 4/Ф-500 LT 100</t>
  </si>
  <si>
    <t>Производительность: 1400 л/мин, Давление: 10 Атм, Напряжение: 380 В, Кол-во цилиндров/ступеней: 2/2 шт, Ресивер: 500 л, Выход: 3/4 дюйм</t>
  </si>
  <si>
    <t>Компрессор СБ4/Ф-500.LT100/16</t>
  </si>
  <si>
    <t>Производительность: 1400 л/мин, Давление: 16 Атм, Напряжение: 380 В, Кол-во цилиндров/ступеней: 2/2 шт, Ресивер: 500 л, Выход: 3/4 дюйм, Мощность: 11,0 кВт</t>
  </si>
  <si>
    <t>Компрессор СБ4/Ф500.LT100/16-7,5</t>
  </si>
  <si>
    <t>Производительность: 1000 л/мин, Давление: 16 Атм, Напряжение: 380 В, Кол-во цилиндров/ступеней: 4/2 шт, Ресивер: 500 л, Выход: 3/4 дюйм, Мощность: 7,5 кВт</t>
  </si>
  <si>
    <t>Компрессор СБ4/С-200.LB30 А</t>
  </si>
  <si>
    <t>Производительность: 420 л/мин, Давление: 10 Атм, Напряжение: 220 В, Кол-во цилиндров/ступеней: 2/1 шт, Ресивер: 200 л, Выход: 1/4 дюйм</t>
  </si>
  <si>
    <t>Компрессор СБ4/С-200.LB30</t>
  </si>
  <si>
    <t>Производительность: 420 л/мин, Давление: 10 Атм, Напряжение: 380 В, Кол-во цилиндров/ступеней: 2/1 шт, Ресивер: 200 л, Выход: 1/4 дюйм</t>
  </si>
  <si>
    <t>Компрессор СБ4/Ф-500.LT100-11,0</t>
  </si>
  <si>
    <t>Производительность: 1700 л/мин, Давление: 10 Атм, Напряжение: 380 В, К Ресивер: 500 л</t>
  </si>
  <si>
    <t>Компрессор СБ4/Ф-270.LT100/16-7.5</t>
  </si>
  <si>
    <t>Производительность: 1700 л/мин, Давление: 10 Атм, Напряжение: 380 В, К Ресивер: 270 л</t>
  </si>
  <si>
    <t>КОМПРЕССОРЫ С ОСУШИТЕЛЕМ ХОЛОДИЛЬНОГО ТИПА</t>
  </si>
  <si>
    <t>Компрессор СБ4/Ф-500.LB50 Д</t>
  </si>
  <si>
    <t>Производительность: 630 л/мин, Напряжение: 380 В, Мощность: 4 кВт</t>
  </si>
  <si>
    <t>Компрессор СБ4/Ф-500 LB75Д</t>
  </si>
  <si>
    <t>Производительность: 880 л/мин, Объем: 500 л, Мощность двигателя: 550 кВт</t>
  </si>
  <si>
    <t>Компрессор СБ4/Ф-500.LT100 Д</t>
  </si>
  <si>
    <t>Производительность: 1400 л/мин, Напряжение: 380 В, Мощность: 7,5 кВт</t>
  </si>
  <si>
    <t>КОМПРЕССОРЫ ПОРШНЕВЫЕ С ВЕРТИКАЛЬНЫМ РАСПОЛОЖЕНИЕМ РЕСИВЕРА</t>
  </si>
  <si>
    <t>Компрессор СБ 4/С-100 LB 30 АВ  Вертик.</t>
  </si>
  <si>
    <t>Производительность: 420 л/мин, Давление: 10 Атм, Напряжение: 220 В, Кол-во цилиндров/ступеней: 2./1 шт, Ресивер: 100 л, Выход: 1/4 дюйм</t>
  </si>
  <si>
    <t>Компрессор СБ 4/С-100 LB 30 В  Вертик.</t>
  </si>
  <si>
    <t>Компрессор СБ 4/С-100 LB 40 В Вертик.</t>
  </si>
  <si>
    <t>Производительность: 580 л/мин, Давление: 10 Атм, Напряжение: 380 В, Кол-во цилиндров/ступеней: 2./1 шт, Ресивер: 100 л, Выход: 1/2+1/4 дюйм</t>
  </si>
  <si>
    <t>Компрессор СБ 4/Ф-270 LB-50 В Вертик.</t>
  </si>
  <si>
    <t>Производительность: 690 л/мин, Давление: 10 Атм, Напряжение: 380 В, Кол-во цилиндров/ступеней: 2./1 шт, Ресивер: 270 л, Выход: 1/2 дюйм</t>
  </si>
  <si>
    <t>Компрессор СБ 4/Ф-270 LB 75 В  Вертик.</t>
  </si>
  <si>
    <t>Производительность: 950 л/мин, Давление: 10 Атм, Напряжение: 380 В, Кол-во цилиндров/ступеней: 2./1 шт, Ресивер: 270 л, Выход: 1/2 дюйм</t>
  </si>
  <si>
    <t>Компрессор СБ4/Ф-270.LT100 В   Вертик.</t>
  </si>
  <si>
    <t>Производительность: 1400 л/мин, Давление: 10 Атм, Напряжение: 380 В, Кол-во цилиндров/ступеней: 2./1 шт, Ресивер: 270 л, Выход: 1/2 дюйм</t>
  </si>
  <si>
    <t>КОМПРЕССОРЫ ПЕРЕДВИЖНЫЕ ДЛЯ СТРОИТЕЛЬНЫХ РАБОТ</t>
  </si>
  <si>
    <t>Компрессор СБ4/С-90.LB75.190FR</t>
  </si>
  <si>
    <t>Компрессор СБ 4/С-  90 LB75</t>
  </si>
  <si>
    <t>Производительность: 980 л/мин, Давление: 8 Атм, Напряжение: 380 В, Кол-во цилиндров/ступеней: 3/1 шт, Ресивер: 90 л, Выход: 3/4 дюйм</t>
  </si>
  <si>
    <t>Компрессор СБ 4/С-  90 W95-6</t>
  </si>
  <si>
    <t>Компрессор СБ 4/С-  90 W115-6</t>
  </si>
  <si>
    <t>Производительность: 2800 л/мин, Давление: 6 Атм, Напряжение: 380 В, Кол-во цилиндров/ступеней: 3/1 шт, Ресивер: 90 л, Выход: 3/4 дюйм</t>
  </si>
  <si>
    <t>Компрессор СБ4/С-24.OLD10</t>
  </si>
  <si>
    <t>Производительность: 135 л/мин, Давление: 8 Атм, Ресивер: 25 л, Рабочее давление: 220 Атм, Мощность: 0,75 кВт</t>
  </si>
  <si>
    <t>Компрессор СБ4/С-24.OLD15</t>
  </si>
  <si>
    <t>Производительность: 150 л/мин, Напряжение: 220 В, Объем: 24 л, Мощность: 1,1 кВт</t>
  </si>
  <si>
    <t>Компрессор СБ4/С-24.OLD20</t>
  </si>
  <si>
    <t>Производительность: 200 л/мин, Напряжение: 220 В, Объем: 24 л, Мощность: 1,5 кВт</t>
  </si>
  <si>
    <t>Компрессор СБ4/С-50.OLD15</t>
  </si>
  <si>
    <t>Производительность: 150 л/мин, Давление: 8 бар, Напряжение: 220 В, Ресивер: 50 л, Мощность: 1,1 кВт</t>
  </si>
  <si>
    <t>Компрессор СБ4/С-50.OLD20</t>
  </si>
  <si>
    <t>Производительность: 200 л/мин, Давление: 8 бар, Напряжение: 220 В, Ресивер: 50 л, Мощность: 1,5 кВт</t>
  </si>
  <si>
    <t>Компрессор СБ4/С-100.OLD15Т</t>
  </si>
  <si>
    <t>Производительность: 400 л/мин, Давление: 8 бар, Напряжение: 220 В, Ресивер: 100 л, Мощность: 1,1+1,4</t>
  </si>
  <si>
    <t>Компрессор СБ4/С-100.OLD20-3T</t>
  </si>
  <si>
    <t>Производительность: 500 л/минн, Давление: 8 бар, Напряжение: 380 В, Ресивер: 100 л, Мощность: 1,1+1,2</t>
  </si>
  <si>
    <t>УТ-00000229</t>
  </si>
  <si>
    <t>Компрессор СБ4/C-20.OLD15</t>
  </si>
  <si>
    <t>Производительность: 200 л/мин, Давление: 8 бар, Напряжение: 220 В, Ресивер: 20 л, Мощность: 1,1 кВт</t>
  </si>
  <si>
    <t>УТ-00000253</t>
  </si>
  <si>
    <t>Компрессор СБ4/C-20.OLD20</t>
  </si>
  <si>
    <t>Производительность: 250 л/мин, Давление: 8 бар, Напряжение: 220 В, Ресивер: 20 л, Мощность: 1,4 кВт</t>
  </si>
  <si>
    <t>Компрессор СБ4/C-50.OLD20-3</t>
  </si>
  <si>
    <t>Производительность: 250 л/мин, Давление: 8 бар, Напряжение: 380 В, Ресивер: 50 л, Мощность: 1,4 кВт</t>
  </si>
  <si>
    <t>Компрессор СБ4/C-50.OLD20-3/10</t>
  </si>
  <si>
    <t>Производительность: 120 л/мин Давление: 10 бар, Напряжение: 380 В, Ресивер: 50 л, Мощность: 1,4 кВт</t>
  </si>
  <si>
    <t>Компрессор СБ4/С-100.OLD20-3Т/10</t>
  </si>
  <si>
    <t>Производительность: 250 л/мин, Давление: 8 бар, Напряжение: 220 В, Ресивер: 50 л, Мощность: 1,5 кВт</t>
  </si>
  <si>
    <t>Компрессор СБ4/С-150.OLD20x3</t>
  </si>
  <si>
    <t>Производительность: 750 л/мин, Давление: 8 бар, Напряжение: 380 В, Ресивер: 150 л, Мощность: 1,5 кВт</t>
  </si>
  <si>
    <t>Компрессор СБ4/С-150.OLD20x4</t>
  </si>
  <si>
    <t>Производительность: 1000 л/мин, Давление: 8 бар, Напряжение: 380 В, Ресивер: 150 л, Мощность: 1,4x4 кВт</t>
  </si>
  <si>
    <t>Поршневые блоки REMEZA</t>
  </si>
  <si>
    <t>R 4011110070 Блок поршневой OLD10 (TA-10)</t>
  </si>
  <si>
    <t>R 4011110080 Блок поршневой OLD15 (TA-15)</t>
  </si>
  <si>
    <t>R 4011110090 Блок поршневой OLD20/220В, 8 Bar (TA-20)</t>
  </si>
  <si>
    <t>R 4011120010 Блок поршневой OLD20/380В, 8 Bar (TAT-20P3)</t>
  </si>
  <si>
    <t>R 4011210160 (4011210240) Блок поршневой J1047B (TAV-2024)</t>
  </si>
  <si>
    <t>R 4011210170 (4011210250) Блок поршневой J1048B (TAV-2524)</t>
  </si>
  <si>
    <t>R 4011210180 (4011210260) Блок поршневой J2047B (TAV-3024)</t>
  </si>
  <si>
    <t>R 4022230220 (4022230280) Блок поршневой LB24B</t>
  </si>
  <si>
    <t>R 4022230010 (4022230250) Блок поршневой LB30-2</t>
  </si>
  <si>
    <t>R 4023430010 (4023430160) Блок поршневой LB40-3</t>
  </si>
  <si>
    <t>R 4022230020 (4022230260) Блок поршневой LB50-2</t>
  </si>
  <si>
    <t>R 4023430020 (4023430170) Блок поршневой LB75-2</t>
  </si>
  <si>
    <t>R 4022340010 (4022340020, 4022350020) Блок поршневой LT100</t>
  </si>
  <si>
    <t>R 4022230030 Блок поршневой V80</t>
  </si>
  <si>
    <t>R 4022230040 Блок поршневой V90</t>
  </si>
  <si>
    <t>R 4023430030 Блок поршневой W80</t>
  </si>
  <si>
    <t>R 4023430060 Блок поршневой W95I (6 Bar)</t>
  </si>
  <si>
    <t>R 4023530010 Блок поршневой W95II</t>
  </si>
  <si>
    <t>R 4023430070 Блок поршневой W115I (6 Bar)</t>
  </si>
  <si>
    <t>R 4023530020 Блок поршневой W115IIA (10 Bar)</t>
  </si>
  <si>
    <t>R 4023530030 Блок поршневой W115IIB (16 Bar)</t>
  </si>
  <si>
    <t>Пневмоинструмент Sumake</t>
  </si>
  <si>
    <t>УТ-00000588</t>
  </si>
  <si>
    <t>Гайковёрт пневматический ударный 1/2" Sumake ST-IW1640 Twin Hammer (895-1152Нм; 480л/мин)</t>
  </si>
  <si>
    <t>Пневмомолоток Sumake ST-M3008/H с набором зубил</t>
  </si>
  <si>
    <t>Дырокол пневматический Sumake ST-6652D</t>
  </si>
  <si>
    <t>Пневмошуруповерт Sumake ST-M5020 14Нм</t>
  </si>
  <si>
    <t>Пневмошуруповерт Sumake ST-M5021 18Нм</t>
  </si>
  <si>
    <t>Пневмодрель 10 мм Sumake ST-M5010</t>
  </si>
  <si>
    <t>Пневмодрель 10 мм Sumake ST-M5010С БЗП</t>
  </si>
  <si>
    <t>Пневмостеплер для картона и георешётки 777/16 BJ</t>
  </si>
  <si>
    <t>Скоба 16мм для 777/16BJ 12,6х0,7x2,3 упак 2400шт</t>
  </si>
  <si>
    <t>Пневмоподдержка SA-2204 (1,5-3кг)</t>
  </si>
  <si>
    <t>Пневмозубило ST-2003/HD лопатка 10,1</t>
  </si>
  <si>
    <t>Пневмомолоток ST-2554F Хвостовик 15мм 27Дж</t>
  </si>
  <si>
    <t>Пневмогайковёрт ST-M1001 1/2'', 378Нм</t>
  </si>
  <si>
    <t>Пневмогайковёрт ST-M3007 1/2'', 542Нм</t>
  </si>
  <si>
    <t>Пневмогайковёрт ST-5544SH (1/2'', 624Нм)</t>
  </si>
  <si>
    <t>Пневмогайковёрт ST-M1001K 1/2'', 378Нм с набором головок</t>
  </si>
  <si>
    <t>Пневмогайковерт ST-5540  (1/2"  311Нм)</t>
  </si>
  <si>
    <t>Вес: 2,5 кг, Посадочный размер: 1/2 дюйм, Расход воздуха: 266 л/мин, Крутящий момент: 311 Н*м, Частота вращения на х. х.: 7000 об/мин, Рабочее давление воздуха: 6,5 Атм, Вход воздуха внутр. резьба: 1/4 дюйм</t>
  </si>
  <si>
    <t>Пневмозабивной пистолет P0.6/30 Шпилька 12-30мм (0,64х0,64)</t>
  </si>
  <si>
    <t>Вес: 1,05 кг, Давление: 4-7 Атм, L гвоздя: 12-30 мм, Сечение ножки гвоздя: 0,64*0,64 мм</t>
  </si>
  <si>
    <t>Пневмогайковерт ST-5540K  (1/2", 311Нм ) с набором головок в пластиковом кейсе</t>
  </si>
  <si>
    <t>Вес: 4,75 кг, Посадочный размер: 1/2 дюйм, Расход воздуха: 266 л/мин, Крутящий момент: 311 Н*м, Частота вращения на х. х.: 7000 об/мин, Рабочее давление воздуха: 6,5 Атм, Вход воздуха внутр. резьба: 1/4 дюйм</t>
  </si>
  <si>
    <t>Пневмозабивной пистолет F18/50 Гвоздь 20-50мм (1х1,25)</t>
  </si>
  <si>
    <t>Вес: 1,5 кг, Давление: 4-7 Атм, L гвоздя: 20-50 мм, Сечение ножки гвоздя: 1,0*1,25 мм</t>
  </si>
  <si>
    <t>Пневмогайковерт ST-55444 (1/2", 813 Нм)</t>
  </si>
  <si>
    <t>Вес: 2,8 кг, Посадочный размер: 1/2 ", Расход воздуха: 266 л/мин, Крутящий момент: 813 Н*м, Частота вращения на х. х.: 6500 об/мин, Рабочее давление воздуха: 6,5 Атм, Вход воздуха внутр. резьба: 1/4 дюйм</t>
  </si>
  <si>
    <t>Пневмостеплер 80/16</t>
  </si>
  <si>
    <t>Вес: 0,9 кг, Давление: 4-7 Атм, L скобы: 6-16 мм, Ширина скобы: 12,9 мм, Сечение ножки скобы: 0,65*0,95 мм</t>
  </si>
  <si>
    <t>Пневмодрель 10мм ST-4431C реверс 10</t>
  </si>
  <si>
    <t xml:space="preserve">Вес: 0,9 кг, Расход воздуха: 170 л/мин, Частота вращения на х. х.: 1800 об/мин, Рабочее давление воздуха: 6,5 Атм, Вход воздуха внутр. резьба: 1/4 дюйм, Макс. D сверла: 10 мм, Дополн. характеристика: реверс, быстрозажимной патрон </t>
  </si>
  <si>
    <t>Пневмогидравлический заклепочник ST-6615 (2,4-4,8мм 720Кгс)</t>
  </si>
  <si>
    <t>Вес: 1,5 кг, Давление: 6,5 Атм, Расход воздуха: 1,14 л/мин, D заклепки: 2,4; 3,2; 4,0; 4,8 мм, Вход воздуха внутр. резьба: 1/4 дюйм, Сила удара: 720 кгс</t>
  </si>
  <si>
    <t>Пневмозабивной пистолет F18/30 Гвоздь 10-30мм (1х1,25)</t>
  </si>
  <si>
    <t>Вес: 1,1 кг, Давление: 4-7 Атм, L гвоздя: 10-30 мм, Сечение ножки гвоздя: 1,0*1,25 мм</t>
  </si>
  <si>
    <t>Пневмодрель 10мм ST-4431, реверс, 1800об/мин, патрон 10мм, 480Вт</t>
  </si>
  <si>
    <t xml:space="preserve">Вес: 0,9 кг, Расход воздуха: 170 л/мин, Частота вращения на х. х.: 1800 об/мин, Рабочее давление воздуха: 6,5 Атм, Вход воздуха внутр. резьба: 1/4 дюйм, Макс. D сверла: 10 мм, Дополн. характеристика: реверс </t>
  </si>
  <si>
    <t>Пневмошлифмашина ST-7733MK с набором шарошек</t>
  </si>
  <si>
    <t>Вес: 1,6 кг, Давление: 6,5 Атм, Посадочный размер: 6 мм, Расход воздуха: 143 л/мин, Частота вращения на х. х.: 22000 об/мин, Вход воздуха внутр. резьба: 1/4 дюйм</t>
  </si>
  <si>
    <t>Пневмостеплер 80/25</t>
  </si>
  <si>
    <t>Вес: 1,2 кг, Давление: 4-7 Атм, L скобы: 10-25 мм, Ширина скобы: 12,9 мм, Сечение ножки скобы: 0,65*0,95 мм</t>
  </si>
  <si>
    <t>Пневмогайковёрт ST-C554 1/2'', 1355Нм</t>
  </si>
  <si>
    <t>ПневмоУШМ ST-7737G d125мм, 440Вт</t>
  </si>
  <si>
    <t>Вес: 4 кг, Давление: 6,5 Атм, Расход воздуха: 170 л/мин, D диска: 125 мм, Частота вращения на х. х.: 11000 об/мин, Вход воздуха внутр. резьба: 1/4 дюйм</t>
  </si>
  <si>
    <t>Пневмошприц (набор 6 предметов) ST 6636-6</t>
  </si>
  <si>
    <t>Вес: 1,8 кг, Давление: 2,3-8 Атм, Соединение: быстросъемное дюйм, Комплектация: 6 предм., Емкость картриджа: 0,4 л</t>
  </si>
  <si>
    <t>Пневмомолоток ST-2210/H + 4 зубила 130мм</t>
  </si>
  <si>
    <t>Вес: 1,12 кг, Давление: 6,5 Атм, Расход воздуха: 143 л/мин, Частота удара: 4500 уд/мин, Вход воздуха внутр. резьба: 1/4 дюйм, L хода поршня: 41 мм, Хвостовик зубила (шестигранник): 10,1 мм</t>
  </si>
  <si>
    <t>Пневмозабивной пистолет P0.6/30C Гвоздь/Шпилька 12-30мм (0,64х0,64)</t>
  </si>
  <si>
    <t>Пневмошуруповерт ST-4480 5-13Нм, 1800об\мин</t>
  </si>
  <si>
    <t>Вес: 1,14 кг, Давление: 6,5 Атм, Посадочный размер: 1/4 дюйм, Расход воздуха: 142 л/мин, Крутящий момент: 5,2-13 Н*м, Частота вращения на х. х.: 1800 об/мин, Вход воздуха внутр. резьба: 1/4 дюйм</t>
  </si>
  <si>
    <t>Пневмомолоток ST-2310/H + 4зубила 130мм</t>
  </si>
  <si>
    <t>Вес: 1,5 кг, Давление: 6,5 Атм, Расход воздуха: 113 л/мин, Частота удара: 4500 уд/мин, Вход воздуха внутр. резьба: 1/4 дюйм, L хода поршня: 41 мм, Хвостовик зубила (шестигранник): 10,1 мм</t>
  </si>
  <si>
    <t>Пневмошуруповерт ST-4481 5-16Нм, 800об/мин</t>
  </si>
  <si>
    <t>Вес: 1,21 кг, Давление: 6,5 Атм, Расход воздуха: 142 л/мин, Крутящий момент: 5,2-16,7 Н*м, Частота вращения на х. х.: 800 об/мин, Вход воздуха внутр. резьба: 1/4 дюйм</t>
  </si>
  <si>
    <t>Пневмошлифмашина ST-P7732M 6мм, 25000об/мин, 221Вт</t>
  </si>
  <si>
    <t>Вес: 0,43 кг, Давление: 6,5 Атм, Расход воздуха: 59 л/мин, D цанг: 6 мм, Частота вращения на х. х.: 25000 об/мин, Вход воздуха внутр. резьба: 1/4 дюйм</t>
  </si>
  <si>
    <t>Пневмошлифмашина ST-P7732МК с набором шарошек в пластиковом кейсе</t>
  </si>
  <si>
    <t>Пневмошприц (набор 6 предметов) ST 6636L-6</t>
  </si>
  <si>
    <t>Вес: 1,8 кг, Давление: 2,3-8 Атм, Соединение: быстросъемное дюйм, Комплектация: 6 предм., Емкость картриджа: 0,5 л</t>
  </si>
  <si>
    <t>Пневмогидравлический заклепочник ST-6616 (2,4-4,8мм 900Кгс)</t>
  </si>
  <si>
    <t>Вес: 1,5 кг, Давление: 6,5 Атм, Расход воздуха: 1,14 л/мин, D заклепки: 2,4; 3,2; 4,0; 4,8 мм, Вход воздуха внутр. резьба: 1/4 дюйм, Сила удара: 900 кгс</t>
  </si>
  <si>
    <t>Пневмогайковерт угловой ST-5553  (1/2"  69 Нм  110 л/мин)</t>
  </si>
  <si>
    <t>Вес: 1,2 кг, Посадочный размер: 1/2 дюйм, Расход воздуха: 113 л/мин, Крутящий момент: 61 Н*м, Рабочее давление: 6,5 Атм, Частота вращения на х. х.: 150 об/мин, Вход воздуха внутр. резьба: 1/4 дюйм</t>
  </si>
  <si>
    <t>Пневмоорбит.шл.маш. ST-7715P d150мм, 10000об/мин</t>
  </si>
  <si>
    <t>Вес: 1,7 кг, Давление: 6,5 бар, Расход воздуха: 170 л/мин, D диска: 152 мм, Частота вращения на х. х.: 9000 об/мин, Вход воздуха внутр. резьба: 1/4 дюйм</t>
  </si>
  <si>
    <t>Пневмогайковерт ST-5561K 3/4", 948 Нм с набором головок</t>
  </si>
  <si>
    <t>Вес: 3,8 кг, Посадочный размер: 3/4 дюйм, Расход воздуха: 340 л/мин, Крутящий момент: 948 Н*м, Частота вращения на х. х.: 5000 об/мин, Рабочее давление воздуха: 6,5 Атм, Вход воздуха внутр. резьба: 1/4 дюйм</t>
  </si>
  <si>
    <t>Пневмозабивной пистолет P0.6/50C Гвоздь/Шпилька 15-50мм (0,64х0,64)</t>
  </si>
  <si>
    <t>Пневмоорбит.шл.маш. ST-7101 d150мм, 10000об/мин</t>
  </si>
  <si>
    <t>Вес: 1,2 кг, Давление: 6,5 бар, Расход воздуха: 171 л/мин, D диска: 152 мм, Частота вращения на х. х.: 8000 об/мин, Вход воздуха внутр. резьба: 1/4 дюйм</t>
  </si>
  <si>
    <t>Пневмошприц ST-6636</t>
  </si>
  <si>
    <t>Вес: 1,8 кг, Давление: 2,3-8 Атм, Соединение: быстросъемное дюйм, Емкость картриджа: 0,4 л</t>
  </si>
  <si>
    <t>Пневмогайковерт ST-55881-8  (1"  2439 Н·м  вал 8"  566 л/мин)</t>
  </si>
  <si>
    <t>Вес: 10,6 кг, Частота вращения: 4200 об/мин, Посадочный размер: 1 дюйм, Расход воздуха: 566 л/мин, Крутящий момент: 2439 Н*м, Рабочее давление воздуха: 6,5 Атм, Вход воздуха внутр. резьба: 1/2 дюйм</t>
  </si>
  <si>
    <t>Пневмоплоск.шл.маш. ST-7718 с прищепкой 90х197мм, 8000об/мин</t>
  </si>
  <si>
    <t>Вес: 2,3 кг, Давление: 6,5 Атм, Расход воздуха: 170 л/мин, D диска: 90*197 мм, Частота вращения на х. х.: 8000 об/мин, Вход воздуха внутр. резьба: 1/4 дюйм</t>
  </si>
  <si>
    <t>ПневмоУШМ ST-7737 d125мм, 440Вт</t>
  </si>
  <si>
    <t>Вес: 4 кг, Давление: 6,5 бар, Расход воздуха: 170 л/мин, D диска: 90*197 мм, Частота вращения на х. х.: 8000 об/мин, Вход воздуха внутр. резьба: 1/4 дюйм</t>
  </si>
  <si>
    <t>Пневмозабивной пистолет P0.6/22 Шпилька 12-22мм (0,64х0,64)</t>
  </si>
  <si>
    <t>Вес: 1 кг, Давление: 4-6 Атм, L гвоздя: 15-20 мм, Сечение ножки гвоздя: 0,64*0,64 мм</t>
  </si>
  <si>
    <t>Пневмогайковёрт ST-C541 1/2'', 542Нм</t>
  </si>
  <si>
    <t>Пневмошуруповерт ударный ST-4468 35Нм</t>
  </si>
  <si>
    <t>Вес: 0,88 кг, Расход воздуха: 142 л/мин, Крутящий момент: 2,3-6,9 Н*м, Частота вращения на х. х.: 10000 об/мин, Рабочее давление воздуха: 6,5 Атм, Вход воздуха внутр. резьба: 1/4 дюйм</t>
  </si>
  <si>
    <t>Пневмодрель 10мм ST-P4431C реверс 10</t>
  </si>
  <si>
    <t>Вес: 0,9 кг, Давление: 6,5 Атм, Расход воздуха: 170 л/мин, D сверла: 10 мм, Частота вращения на х. х.: 1800 об/мин, Вход воздуха внутр. резьба: 1/4 дюйм</t>
  </si>
  <si>
    <t>ПневмоУШМ ST-7741 d180мм, 920Вт</t>
  </si>
  <si>
    <t>Вес: 3,1 кг, Давление: 6,5 Атм, Расход воздуха: 171 л/мин, D диска: 180 мм, Частота вращения на х. х.: 7000 об/мин, Вход воздуха внутр. резьба: 3/8 дюйм</t>
  </si>
  <si>
    <t>Красконагнетательный бак AT-10М</t>
  </si>
  <si>
    <t xml:space="preserve">Вес: 16.2 кг, Емкость бака: 10 л, Габаритные размеры: 305*305*550 мм, Рабочее давление: 5.7 Атм, Рабочее давление воздуха: 6,5 Атм, Тип механизма перемешивания ЛКМ: ручной </t>
  </si>
  <si>
    <t>Пневмостеплер 90/40</t>
  </si>
  <si>
    <t>Вес: 2,1 кг, Давление: 4-7 Атм, L скобы: 19-40 мм, Ширина скобы: 5,8 мм, Сечение ножки скобы: 1*1,25 мм</t>
  </si>
  <si>
    <t>Пневмостеплер упаковочный CS-35A</t>
  </si>
  <si>
    <t>Вес: 2,65 кг, Давление: 6,5 Атм, L скобы: 16-18 мм, Ширина скобы: 35 мм</t>
  </si>
  <si>
    <t>Пневмогайковерт ST-5561  (3/4", 948Нм)</t>
  </si>
  <si>
    <t>Вес: 4,5 кг, Посадочный размер: 3/4 дюйм, Расход воздуха: 340 л/мин, Крутящий момент: 948 Н*м, Частота вращения на х. х.: 5000 об/мин, Рабочее давление воздуха: 6,5 Атм, Вход воздуха внутр. резьба: 1/4 дюйм</t>
  </si>
  <si>
    <t>Пневмошуруповерт ударный ST-4468К 35Нм с набором бит в кейсе</t>
  </si>
  <si>
    <t>Пневмоножницы ST-P6620</t>
  </si>
  <si>
    <t>Вес: 1 кг, t разрез. материала: сталь 1,29;алюм. 1,63 мм, Расход воздуха: 85 л/мин, Частота резания: 2600 рез/мин, Рабочее давление воздуха: 6,5 Атм, Вход воздуха внутр. резьба: 1/4 дюйм</t>
  </si>
  <si>
    <t>Пневмогайковерт ST-55885Р  (1"  2170 Н·м  вал 1"  566 л/мин)</t>
  </si>
  <si>
    <t>Вес: 8,25 кг, Частота вращения: 3500 об/мин, Посадочный размер: 1 дюйм, Расход воздуха: 566 л/мин, Крутящий момент: 2439 Н*м, Рабочее давление воздуха: 6,5 Атм, Вход воздуха внутр. резьба: 1/2 дюйм</t>
  </si>
  <si>
    <t>ПневмоУШМ ST-P7737 d125мм, 11000об/мин, 440Вт с регул. углом выхлопа</t>
  </si>
  <si>
    <t>Вес: 1,4 кг, Давление: 6,5 Атм, Расход воздуха: 142 л/мин, D диска: 125 мм, Частота вращения на х. х.: 10000 об/мин, Вход воздуха внутр. резьба: 1/4 дюйм</t>
  </si>
  <si>
    <t>Пневмомолоток ST-2200A/H (хвост. 6-гран 11,8мм, 9,51Дж, 3000уд/мин)</t>
  </si>
  <si>
    <t>Вес: 2,6 кг, Давление: 6,5 Атм, Расход воздуха: 170 л/мин, Частота удара: 3000 уд/мин, Вход воздуха внутр. резьба: 1/4 дюйм, L хода поршня: 45 мм, Хвостовик зубила (шестигранник): 11,9 мм</t>
  </si>
  <si>
    <t>Пневмостеплер N-50</t>
  </si>
  <si>
    <t>Вес: 2,65 кг, Давление: 4,5-8 Атм, L скобы: 25-50 мм, Ширина скобы: 11,1 мм, Сечение ножки скобы: 1,4*1,6 мм</t>
  </si>
  <si>
    <t>Пневмогайковерт ST-5578 (3/4") Twin Hammer</t>
  </si>
  <si>
    <t>Давление: 6,5 Атм, Частота вращения: 5000 об/мин, Посадочный размер: 3/4 дюйм, Расход воздуха: 340 л/мин, Крутящий момент: 1553 Н*м, Вход воздуха внутр. резьба: 1/4 дюйм</t>
  </si>
  <si>
    <t>Пневмогайковерт угловой ST-5554  (1/2"  125 Нм  142 л/мин)</t>
  </si>
  <si>
    <t>Вес: 2 кг, Посадочный размер: 1/2 дюйм, Расход воздуха: 142 л/мин, Крутящий момент: 122 Н*м, Частота вращения на х. х.: 150 об/мин, Рабочее давление воздуха: 6,5 Атм, Вход воздуха внутр. резьба: 1/4 дюйм</t>
  </si>
  <si>
    <t>Пневмостеплер 90/25</t>
  </si>
  <si>
    <t>Вес: 1,2 кг, Давление: 4-7 бар, L скобы: 10-25 мм, Ширина скобы: 5,8 мм, Сечение ножки скобы: 1*1,25 мм</t>
  </si>
  <si>
    <t>Пневмогайковёрт ST-5567K 3/4'', 1016Нм с набором головок</t>
  </si>
  <si>
    <t>Пневмошуруповерт ударный ST-4460A 35Нм 10000об/мин</t>
  </si>
  <si>
    <t>Вес: 0,6 кг, Расход воздуха: 170 л/мин, Крутящий момент: 2,3-6,9 Н*м, Частота вращения на х. х.: 8000 об/мин, Рабочее давление воздуха: 6,5 Атм, Вход воздуха внутр. резьба: 1/4 дюйм</t>
  </si>
  <si>
    <t>Пневмошлифмашина ST-7733LM (Цанга 6мм, 25000об/мин) удлинённая версия</t>
  </si>
  <si>
    <t>Вес: 0,64 кг, Давление: 6,5 Атм, Посадочный размер: 6 мм, Расход воздуха: 113 л/мин, Частота вращения на х. х.: 25000 об/мин, Вход воздуха внутр. резьба: 1/4 дюйм</t>
  </si>
  <si>
    <t>Пневмошлифмашина ST-7733M</t>
  </si>
  <si>
    <t>Давление: 6,5 Атм, Частота вращения: 22000 об/мин, Расход воздуха: 85 л/мин, D цанг: 6 мм, Вход воздуха внутр. резьба: 1/4 дюйм</t>
  </si>
  <si>
    <t>Пневмодырокол ST-6652   (5мм)</t>
  </si>
  <si>
    <t>Вес: 1,3 кг, t разрез. материала: 1,6 мм, Расход воздуха: 60 л/мин, D отверстия: 5 мм, Рабочее давление воздуха: 6,5 Атм, Вход воздуха внутр. резьба: 1/4 дюйм</t>
  </si>
  <si>
    <t>Красконагнетательный бак AT-20М</t>
  </si>
  <si>
    <t xml:space="preserve">Вес: 25,7 кг, Емкость бака: 20 л, Габаритные размеры: 415*360*695 мм, Рабочее давление: 5,7 Атм, Рабочее давление воздуха: 6,5 Атм, Тип механизма перемешивания ЛКМ: ручной </t>
  </si>
  <si>
    <t>Пневмозабивной пистолет P18/30 Шпилька 10-30мм (1х1,25)</t>
  </si>
  <si>
    <t>Вес: 1,2 кг, Давление: 4-7 Атм, L гвоздя: 15-30 мм, Сечение ножки гвоздя: 1*1,25 мм</t>
  </si>
  <si>
    <t>Пневмогайковерт ST-6660  3/4"  1491Нм</t>
  </si>
  <si>
    <t>Пневмошуруповерт ST-4450A (0,5-3Нм, 1700об/мин)</t>
  </si>
  <si>
    <t>Вес: 0,66 кг, Расход воздуха: 142 л/мин, Крутящий момент: 1,15-3,5 Н*м, Частота вращения на х. х.: 1500 об/мин, Рабочее давление воздуха: 6,5 Атм, Вход воздуха внутр. резьба: 1/8 дюйм</t>
  </si>
  <si>
    <t>Пневмоорбит.шл.маш. ST-7746 d150мм, 10000об/мин</t>
  </si>
  <si>
    <t>Вес: 1,1 кг, Давление: 6,5 Атм, Расход воздуха: 170 л/мин, D диска: 152 мм, Частота вращения на х. х.: 9000 об/мин, Вход воздуха внутр. резьба: 1/4 дюйм</t>
  </si>
  <si>
    <t>Пневматическая полировальная машина ST-7774 d180мм, 2500об/мин</t>
  </si>
  <si>
    <t>Вес: 2 кг, Давление: 6,5 бар, Расход воздуха: 171 л/мин, D диска: 180 мм, Частота вращения на х. х.: 2500 об/мин, Вход воздуха внутр. резьба: 1/4 дюйм</t>
  </si>
  <si>
    <t>Пневмогидравлический заклепочник ST-6671 (2,4-4,8мм 1000Кгс)</t>
  </si>
  <si>
    <t>Вес: 1,8 кг, Давление: 6,5 бар, Расход воздуха: 60 л/мин, Тяговое усилие: 1000 кг, D заклепки: 4,76 мм</t>
  </si>
  <si>
    <t>ПневмоУШМ ST-7747L d180мм, 1180Вт</t>
  </si>
  <si>
    <t>Вес: 3,1 кг, Давление: 6,5 Атм, Расход воздуха: 257 л/мин, D диска: 180 мм, Частота вращения на х. х.: 7600 об/мин, Вход воздуха внутр. резьба: 3/8 дюйм</t>
  </si>
  <si>
    <t>Пневмогидравлический заклепочник вакуумного типа ST-6677 (3,2-6,4мм) 1700Кгс</t>
  </si>
  <si>
    <t xml:space="preserve">Вес: 1,7 кг, Давление: 6,5 бар, t разрез. материала:  мм, Емкость бака:  л, Частота вращения:  об/мин, Посадочный размер:  дюйм, L:  мм, Расход воздуха: 60 л/мин, D диска:  мм, Патрон:  мм, Подошва:  мм, L гвоздя:  мм, Сечение ножки гвоздя:  мм, L скобы: </t>
  </si>
  <si>
    <t>Пневмозабивной пистолет P0.6/15 Шпилька 5-15мм (0,64х0,64)</t>
  </si>
  <si>
    <t>Вес: 0,9 кг, Давление: 4-6 бар, L гвоздя: 8-15 мм, Сечение ножки гвоздя: 0,64*0,64 мм</t>
  </si>
  <si>
    <t>Пневмогайковерт угловой ST-M3003 (3/8")</t>
  </si>
  <si>
    <t>Давление: 6,5 Атм, Частота вращения: 180 об/мин, Посадочный размер: 1/4 дюйм, Расход воздуха: 113 л/мин, Крутящий момент: 60 Н*м, Вход воздуха внутр. резьба: 1/4 дюйм</t>
  </si>
  <si>
    <t>Пневмоорбит.шл.маш. ST-7107C (d150мм, 10000об/мин) с мешком для пыли</t>
  </si>
  <si>
    <t>Вес: 0,768 кг, Давление: 6,5 Атм, Расход воздуха: 368 л/мин, D диска: 152 мм, Частота вращения на х. х.: 10000 об/мин, Вход воздуха внутр. резьба: 1/4 дюйм</t>
  </si>
  <si>
    <t>Пневмоплоск.шл.маш. ST-7717 с прищепкой 100х110мм, 20000об/мин</t>
  </si>
  <si>
    <t>Вес: 0,5 кг, Давление: 6,5 бар, Расход воздуха: 142 л/мин, D диска: 100*110 мм, Подошва: 100*110 мм, Частота вращения на х. х.: 20000 об/мин, Вход воздуха внутр. резьба: 1/4 дюйм</t>
  </si>
  <si>
    <t>Пневматическая полировальная машина ST-7770 d180мм, 2000об/мин</t>
  </si>
  <si>
    <t>Вес: 2,5 кг, Давление: 6,5 Атм, Расход воздуха: 171 л/мин, D диска: 180 мм, Частота вращения на х. х.: 2000 об/мин, Вход воздуха внутр. резьба: 1/4 дюйм</t>
  </si>
  <si>
    <t>Пневмомолоток ST-2202/H (хвост. 6-гран. 14,7мм 27,3Дж 2150уд/мин)</t>
  </si>
  <si>
    <t>Вес: 5,9 кг, Давление: 6,5 Атм, Расход воздуха: 228 л/мин, Частота удара: 2400 уд/мин, Вход воздуха внутр. резьба: 3/8 дюйм, L хода поршня: 51 мм, Хвостовик зубила (шестигранник): 14,5 мм</t>
  </si>
  <si>
    <t>Пневмоскалер(Щетка пневматическая) ST-2555 (иголки: d3мм,L180мм,19шт) 8Дж</t>
  </si>
  <si>
    <t>Вес: 2,6 кг, Давление: 6,5 Атм, Расход воздуха: 283 л/мин, Частота удара: 3700 уд/мин, Вход воздуха внутр. резьба: 1/4 дюйм</t>
  </si>
  <si>
    <t>Пневмогидравлический заклепочник ST-66159 (2,4-4,8мм 880Кгс)</t>
  </si>
  <si>
    <t>Давление: 6,5 Атм, Расход воздуха: 1,14 л/мин, D заклепки: 2,4; 3,2; 4,0; 4,8 мм, Вход воздуха внутр. резьба: 1/4 дюйм, Сила удара: 1940 кгс</t>
  </si>
  <si>
    <t>Пневмонож ST-6614К с набором лезвий в пластиковом кейсе</t>
  </si>
  <si>
    <t>Вес: 2,0 кг, Расход воздуха: 170 л/мин, Частота резания: 20000 рез/мин, Рабочее давление воздуха: 6,5 Атм, Вход воздуха внутр. резьба: 3/8 дюйм</t>
  </si>
  <si>
    <t>Пневмоножовка ST-6611K+ н-р</t>
  </si>
  <si>
    <t>Вес: 1,5 кг, t разрез. материала: сталь 3 мм, Расход воздуха: 170 л/мин, Частота резания: 10000 рез/мин, Рабочее давление воздуха: 6,5 Атм, Вход воздуха внутр. резьба: 1/4 дюйм</t>
  </si>
  <si>
    <t>Красконагнетательный бак AT-40М</t>
  </si>
  <si>
    <t xml:space="preserve">Вес: 28,8 кг, Емкость бака: 40 л, Габаритные размеры: 415*360*847 мм, Рабочее давление: 5,72 Атм, Рабочее давление воздуха: 6,5 Атм, Тип механизма перемешивания ЛКМ: ручной </t>
  </si>
  <si>
    <t>Пневмостеплер Р-40</t>
  </si>
  <si>
    <t>Вес: 2,3 кг, Давление: 4,5-7 бар, Расход воздуха: 60 л/мин, Ширина скобы: 26,5 мм, Сечение ножки скобы: 1,4х1,6 мм, H скобы: 19-38 мм</t>
  </si>
  <si>
    <t>Пневмогайковерт ST-5596 (1") Twin Hammer</t>
  </si>
  <si>
    <t>Давление: 6,5 Атм, Частота вращения: 4000 об/мин, Посадочный размер: 1 дюйм, Расход воздуха: 187 л/мин, Крутящий момент: 1882 Н*м, Вход воздуха внутр. резьба: 1/4 дюйм</t>
  </si>
  <si>
    <t>Пневмодрель 10мм ST-M3031</t>
  </si>
  <si>
    <t>Давление: 6,5 Атм, Частота вращения: 2200 об/мин, Расход воздуха: 127 л/мин, D сверла: 10 мм, Вход воздуха внутр. резьба: 1/4 дюйм</t>
  </si>
  <si>
    <t>Пневмошуруповерт ударный ST-4463</t>
  </si>
  <si>
    <t>Давление: 6,5 Атм, Частота вращения: 6500 об/мин, Расход воздуха: 85 л/мин, Крутящий момент: 270 Н*м, Вход воздуха внутр. резьба: 1/4 дюйм</t>
  </si>
  <si>
    <t>Пневмошуруповерт ударный ST-4462</t>
  </si>
  <si>
    <t>Давление: 6,3 Атм, Частота вращения: 8000 об/мин, Расход воздуха: 226 л/мин, Крутящий момент: 230 Н*м, Вход воздуха внутр. резьба: 1/4 дюйм</t>
  </si>
  <si>
    <t>ПневмоУШМ ST-7890L d230мм, 1840Вт</t>
  </si>
  <si>
    <t>ПневмоУШМ ST-7845L d125мм, 740Вт</t>
  </si>
  <si>
    <t>Пневмозабивной пистолет барабанного типа R-55PA Гвоздь 25-57мм</t>
  </si>
  <si>
    <t>Пневмозабивной пистолет барабанного типа R-65PA Гвоздь 32-65мм</t>
  </si>
  <si>
    <t>Пневмозабивной пистолет барабанного типа R-90PA Гвоздь 50-90мм</t>
  </si>
  <si>
    <t>Давление: 5-7,5 Атм, L гвоздя: 50-90 мм, Сечение ножки гвоздя: 2,9-3,3 мм</t>
  </si>
  <si>
    <t>Пневмогайковерт угловой ST-5510K  (1/4") с набором 10 сквозных головок</t>
  </si>
  <si>
    <t>Давление: 6,5 Атм, Частота вращения: 10000 об/мин, Посадочный размер: 1/4 дюйм, Расход воздуха: 127 л/мин, Крутящий момент: 34 Н*м, Вход воздуха внутр. резьба: 1/4 дюйм</t>
  </si>
  <si>
    <t>Пневмошуруповёрт ST-4488 5,1-16,4Нм, 1800об/мин с внешней регулировкой</t>
  </si>
  <si>
    <t>Красконагнетательный бак АТ-10A</t>
  </si>
  <si>
    <t xml:space="preserve">Вес: 16,5 кг, Емкость бака: 10 л, Габаритные размеры: 305*305*550 мм, Рабочее давление: 5,7 Атм, Рабочее давление воздуха: 6,5 Атм, Тип механизма перемешивания ЛКМ: автоматический </t>
  </si>
  <si>
    <t>Красконагнетательный бак АТ-20A</t>
  </si>
  <si>
    <t xml:space="preserve">Вес: 27 кг, Емкость бака: 20 л, Габаритные размеры: 415*360*695 мм, Рабочее давление: 5,7 Атм, Рабочее давление воздуха: 6,5 Атм, Тип механизма перемешивания ЛКМ: автоматический </t>
  </si>
  <si>
    <t>Пневмогайковерт ST-55881  (1"  2439 Н·м  вал 1"  566 л/мин)</t>
  </si>
  <si>
    <t>Вес: 9,2 кг, Частота вращения: 4200 об/мин, Посадочный размер: 1 ", Расход воздуха: 566 л/мин, Крутящий момент: 2439 Н*м, Рабочее давление воздуха: 6,5 Атм, Вход воздуха внутр. резьба: 1/2 дюйм</t>
  </si>
  <si>
    <t>Пневмогайковерт ST-5577 (3/4") Тип Pin Clutch</t>
  </si>
  <si>
    <t>Давление: 6,5 Атм, Частота вращения: 4500 об/мин, Посадочный размер: 3/4 дюйм, Расход воздуха: 340 л/мин, Крутящий момент: 1763 Н*м, Вход воздуха внутр. резьба: 1/4 дюйм</t>
  </si>
  <si>
    <t>Пневмогайковерт ST-5579 (3/4") Тип Pin Clutch</t>
  </si>
  <si>
    <t>Давление: 6,5 Атм, Частота вращения: 5000 об/мин, Посадочный размер: 3/4 дюйм, Расход воздуха: 340 л/мин, Крутящий момент: 1356 Н*м, Вход воздуха внутр. резьба: 1/4 дюйм</t>
  </si>
  <si>
    <t>Пневмоорбит.шл.маш. ST-7723 d150мм, 10000об/мин</t>
  </si>
  <si>
    <t>Вес: 1,8 кг, Давление: 6,5 бар, Расход воздуха: 170 л/мин, D диска: 152 мм, Частота вращения на х. х.: 10000 об/мин, Вход воздуха внутр. резьба: 1/4 дюйм</t>
  </si>
  <si>
    <t>Пневмошлифмашина ST-66555</t>
  </si>
  <si>
    <t>Скорость вращ. на х.х.: 2500 об/мин, Расход воздуха: 90 л/мин</t>
  </si>
  <si>
    <t>Скоба 80-10 для 80/16 и 80/25  5000шт. 10мм 12,9х0,65х0,95</t>
  </si>
  <si>
    <t>упак</t>
  </si>
  <si>
    <t>для: 80/16; 80/25 , Размеры гвоздя: 12,9*10 мм, Сечение проволоки: 0,65*0,95 мм</t>
  </si>
  <si>
    <t>Скоба 80-14 для 80/16 и 80/25  5000шт. 14мм 12,9х0,65х0,95</t>
  </si>
  <si>
    <t>для: 80/16; 80/25 , Размеры гвоздя: 12,9*14 мм, Сечение проволоки: 0,65*0,95 мм</t>
  </si>
  <si>
    <t>Скоба 80-16 для 80/16 и 80/25  5000шт. 16мм 12,9х0,65х0,95</t>
  </si>
  <si>
    <t>для: 80/16; 80/25 , Размеры гвоздя: 12,9*16 мм, Сечение проволоки: 0,65*0,95 мм</t>
  </si>
  <si>
    <t>Шпилька Р0,6-30 30мм для Р0,6/30 10000шт. 0,64х0,64х30</t>
  </si>
  <si>
    <t>для: P0,6/30 , Угол накл.: 90 град., Размеры гвоздя: 0,64*0,64*30 мм</t>
  </si>
  <si>
    <t>Гвоздь F-25 для F18/30 и F18/50 5000шт.1х1,25х25мм</t>
  </si>
  <si>
    <t>для: F18/30; F18/50 , Угол накл.: 90 град., Размеры гвоздя: 1*1.25*25 мм</t>
  </si>
  <si>
    <t>Гвоздь F-30 для F18/30 и F18/50 5000шт.1х1,25х30мм</t>
  </si>
  <si>
    <t>для: F18/30; F18/50 , Угол накл.: 90 град., Размеры гвоздя: 1*1.25*30 мм</t>
  </si>
  <si>
    <t>Скоба 80-12 для 80/16 и 80/25  5000шт. 12мм 12,9х0,65х0,95</t>
  </si>
  <si>
    <t>для: 80/16; 80/25 , Размеры гвоздя: 12,9*12 мм, Сечение проволоки: 0,65*0,95 мм</t>
  </si>
  <si>
    <t>Гвоздь F-40 для F18/50 5000шт.1х1,25х40мм</t>
  </si>
  <si>
    <t>для: F18/50 , Угол накл.: 90 град., Размеры гвоздя: 1*1.25*40 мм</t>
  </si>
  <si>
    <t>Гвоздь F-20 для F18/30 и F18/50 5000шт.1х1,25х20мм</t>
  </si>
  <si>
    <t>для: F18/30; F18/50 , Угол накл.: 90 град., Размеры гвоздя: 1*1,25*20 мм</t>
  </si>
  <si>
    <t>Гвоздь F-50 для F18/50 5000шт. 1х1.25х50мм</t>
  </si>
  <si>
    <t>для: F18/50 , Угол накл.: 90 град., Размеры гвоздя: 1*1.25*50 мм</t>
  </si>
  <si>
    <t>Шпилька Р0,6-25 25мм для Р0,6/25-30  10000шт. 0,64х0,64х25</t>
  </si>
  <si>
    <t>для: P0,6/25-30 , Угол накл.: 90 град., Размеры гвоздя: 0,64*0,64*25 мм</t>
  </si>
  <si>
    <t>Пневмолубрикатор SA-3340 1/4 Латунь</t>
  </si>
  <si>
    <t xml:space="preserve">Резьба: 1/4 дюйм, Материал: латунь </t>
  </si>
  <si>
    <t>Шпилька Р0,6-15 15мм для Р0,6/15-30  10000шт. 0,64х0,64х15</t>
  </si>
  <si>
    <t>для: P0,6/15-30 , Угол накл.: 90 град., Размеры гвоздя: 0,64*0,64*15 мм</t>
  </si>
  <si>
    <t>Гвоздь F-35 для F18/50 5000шт.1х1,25х35мм</t>
  </si>
  <si>
    <t>для: F18/50 , Угол накл.: 90 град., Размеры гвоздя: 1/1.25*35 мм</t>
  </si>
  <si>
    <t>Пружина универсальная ST-2001 для пневмозубил 10,1мм</t>
  </si>
  <si>
    <t xml:space="preserve">для: ST-2210-2230 и ST-2310-2330 </t>
  </si>
  <si>
    <t>Шпилька Р0,6-20 20мм для Р0,6/20-30  10000шт. 0,64х0,64х20</t>
  </si>
  <si>
    <t>для: P0,6/20-30 , Угол накл.: 90 град., Размеры гвоздя: 0,64*0,64*20 мм</t>
  </si>
  <si>
    <t>Скоба 80-22 для 80/25  5000шт. 22мм 12,9х0,65х0,95</t>
  </si>
  <si>
    <t>для: 80/25 , Размеры гвоздя: 12,9*22 мм, Сечение проволоки: 0,65*0,95 мм</t>
  </si>
  <si>
    <t>Скоба 80-19 для 80/25  5000шт. 19мм 12,9х0,65х0,95</t>
  </si>
  <si>
    <t>для: 80/25 , Размеры гвоздя: 12,9*19 мм, Сечение проволоки: 0,65*0,95 мм</t>
  </si>
  <si>
    <t>Шпилька Р0,6-18 18мм для Р0,6/20-30  10000шт. 0,64х0,64х18</t>
  </si>
  <si>
    <t>для: P0,6/20-30 , Угол накл.: 90 град., Размеры гвоздя: 0,64*0,64*18 мм</t>
  </si>
  <si>
    <t>Шпилька Р0,6-22 22мм для Р0,6/22-30  10000шт. 0,64х0,64х22</t>
  </si>
  <si>
    <t>для: P0,6/22-30 , Угол накл.: 90 град., Размеры гвоздя: 0,64*0,64*22 мм</t>
  </si>
  <si>
    <t>Гвоздь F-45 для F18/50 5000шт. 1х1.25х45мм</t>
  </si>
  <si>
    <t>для: F18/50 , Угол накл.: 90 град., Размеры гвоздя: 1*1.25*45 мм</t>
  </si>
  <si>
    <t>Скоба K-422 для 90/25;90/40 22mm 5.8х1х1.25мм ,5000 шт/уп</t>
  </si>
  <si>
    <t>для: 90/25; 90/40 , Размеры гвоздя: 5,8*22 мм, Сечение проволоки: 1*1,25 мм</t>
  </si>
  <si>
    <t>Пневмолубрикатор SA-3340A 1/4 Алюминий</t>
  </si>
  <si>
    <t xml:space="preserve">Резьба: 1/4 дюйм, Материал: алюминий </t>
  </si>
  <si>
    <t>Скоба K-425 для 90/25;90/40 25mm 5.8х1х1.25мм ,5000 шт/уп</t>
  </si>
  <si>
    <t>для: 90/25; 90/40 , Размеры гвоздя: 5,8*25 мм, Сечение проволоки: 1*1,25 мм</t>
  </si>
  <si>
    <t>Скоба K-432 для 90/40 32mm 5.8х1х1.25мм ,5000 шт/уп</t>
  </si>
  <si>
    <t>для: 90/40 , Размеры гвоздя: 5,8*32 мм, Сечение проволоки: 1*1,25 мм</t>
  </si>
  <si>
    <t>Набор шарошек GS-10 (5шт-хвостовик 3мм, 5шт-хвостовик 6мм)</t>
  </si>
  <si>
    <t>для: ST-7732, ST-7733, ST-7733K, ST-7733L, ST-7734 , Комплектация: 10 предм.</t>
  </si>
  <si>
    <t>Набор ударных головок SIS-4403  1/2"  (10шт.)  CR-VA</t>
  </si>
  <si>
    <t>Посадочный размер: 1/2 дюйм, Комплектация: 10 предм.</t>
  </si>
  <si>
    <t>Шпилька Р0,6-12 12мм для Р0,6/15-30  10000шт. 0,64х0,64х12</t>
  </si>
  <si>
    <t>для: P0,6/15-30 , Угол накл.: 90 град., Размеры гвоздя: 0,64*0,64*12 мм</t>
  </si>
  <si>
    <t>Скоба K-428 для 90/40 28mm 5.8х1х1.25мм ,5000 шт/уп</t>
  </si>
  <si>
    <t>для: 90/40 , Размеры гвоздя: 5,8*28 мм, Сечение проволоки: 1*1,25 мм</t>
  </si>
  <si>
    <t>Пневмолубрикатор SA-3330 3/8 Латунь</t>
  </si>
  <si>
    <t xml:space="preserve">Резьба: 3/8 дюйм, Материал: латунь </t>
  </si>
  <si>
    <t>Набор ударных головок SIS-4401  1/2"  (10шт.)  CR-VA удл.</t>
  </si>
  <si>
    <t>Скоба K-419 для 90/25;90/40 19mm 5.8х1х1.25мм ,5000 шт/уп</t>
  </si>
  <si>
    <t>для: 90/25; 90/40 , Размеры гвоздя: 5,8*19 мм, Сечение проволоки: 1*1,25 мм</t>
  </si>
  <si>
    <t>Скоба 80-25 для 80/25  2500шт. 25мм 12,9х0,65х0,95</t>
  </si>
  <si>
    <t xml:space="preserve">Назначение: Для пневмостеплеров 80/25 </t>
  </si>
  <si>
    <t>Пневмозубило ST 2302/Н плоское для ST-2200A/H</t>
  </si>
  <si>
    <t>для: ST-2200/H; ST-2200A/H , Хвостовик зубила (шестигранник): 11.9 мм</t>
  </si>
  <si>
    <t>Набор ударных головок SIS-6603  3/4"  (8шт.)  CR-MO</t>
  </si>
  <si>
    <t>Посадочный размер: 3/4 дюйм, Комплектация: 8 предм.</t>
  </si>
  <si>
    <t>Пневмозубило ST 2304/Н плоское</t>
  </si>
  <si>
    <t>для: ST 2201H;2202Н;2203Н;2204Н , Хвостовик зубила (шестигранник): 14,5 мм</t>
  </si>
  <si>
    <t>Пневмозубило ST-2003/H набор 4 шт 130мм</t>
  </si>
  <si>
    <t>для: ST-2210H 2211H 2212H 2213H ST-2310H 2311H 2312H 2313H , Комплектация: 4 предм., Хвостовик зубила (шестигранник): 10.1 мм</t>
  </si>
  <si>
    <t>Пневмозубило ST-2004/H набор 5 шт 170мм</t>
  </si>
  <si>
    <t>для: ST-2210H 221H 2212H 2213H ST-2310H 2311H 2312H 2313H , Комплектация: 5 предм., Хвостовик зубила (шестигранник): 10,1 мм</t>
  </si>
  <si>
    <t>Пневмозубило ST 2301/H пика для ST-2200A/H</t>
  </si>
  <si>
    <t>для: ST-2200/H; ST 2200A/H , Хвостовик зубила (шестигранник): 10,1 мм</t>
  </si>
  <si>
    <t>Набор ударных головок SIS-8803  1"  (9шт.)  CR-MO</t>
  </si>
  <si>
    <t>Посадочный размер: 1 дюйм, Комплектация: 9 предм.</t>
  </si>
  <si>
    <t>Скоба 3518 для CS-35A и HCS-35A 1600шт/уп. 35х18мм</t>
  </si>
  <si>
    <t>для: CS-35A; HCS-35A , Размеры гвоздя: 35*18 мм, Сечение проволоки: 0,9*2,3 мм</t>
  </si>
  <si>
    <t>Скоба SN-25 для N-50, 20000шт. (25мм 10,8х1,4х1,6)</t>
  </si>
  <si>
    <t>для: N-50 , Размеры гвоздя: 11,1*25 мм, Сечение проволоки: 1,4*1,6 мм</t>
  </si>
  <si>
    <t>Набор ударных головок SIS-6601  3/4"  (8шт.)  CR-MO удл.</t>
  </si>
  <si>
    <t>Скоба SN-38 для N-50, 20000шт. (38мм 10,8х1,4х1,6)</t>
  </si>
  <si>
    <t>для: N-50 , Размеры гвоздя: 11,1*38 мм, Сечение проволоки: 1,4*1,6 мм</t>
  </si>
  <si>
    <t>Скоба K-413 для 90/25 13mm 5.8х1х1.25мм ,5000 шт/уп</t>
  </si>
  <si>
    <t>для: 90/25 , Размеры гвоздя: 5,8*1*1,25 мм</t>
  </si>
  <si>
    <t>Скоба P-38 38мм для P-40 10000шт. 1,4х1,6х26,5</t>
  </si>
  <si>
    <t>L: 38 мм, D: 95 мм</t>
  </si>
  <si>
    <t>Гвоздь T-20 для F16/50;F16/64 20х1.4х1.6MM , 2500 шт/уп</t>
  </si>
  <si>
    <t>Гвоздь T-38 для F16/50;F16/64 38х1.4х1.6MM , 2500 шт/уп</t>
  </si>
  <si>
    <t>Гвоздь T-44 для F16/50;F16/64 44х1.4х1.6MM , 2500 шт/уп</t>
  </si>
  <si>
    <t>Гвоздь T-50 для F16/50;F16/64 50х1.4х1.6MM , 2500 шт/уп</t>
  </si>
  <si>
    <t>Гвоздь T-57 для F16/64 57х1.4х1.6MM , 2500 шт/уп</t>
  </si>
  <si>
    <t>Гвоздь T-64N для F16/64 64x1.4x1.6MM , 2500 шт/уп</t>
  </si>
  <si>
    <t>Шпилька Р0,6-10 10мм для Р0,6/15-30  10000шт. 0,64х0,64х10</t>
  </si>
  <si>
    <t>Скоба 3515 для CS-35A и HCS-35A 2000шт/уп  35х15мм .</t>
  </si>
  <si>
    <t>Пневмодрель 13мм с ручкой ST-4243C</t>
  </si>
  <si>
    <t>Пневмодрель 13мм с ручкой ST-P4441AC</t>
  </si>
  <si>
    <t>Пневмодрель 13мм с ручкой ST-C112C реверс, 800об/мин, патрон 13мм, 330Вт</t>
  </si>
  <si>
    <t>Пневмошлифмашина ST-7732BMK с набором шарошек. Эко</t>
  </si>
  <si>
    <t>Пневмомолоток ST-2237QC/H</t>
  </si>
  <si>
    <t>Пневмозабивной пистолет барабанного типа R-45 Гвоздь кровельный 19-45мм</t>
  </si>
  <si>
    <t>Пневмозабивной пистолет T-64LM Гвоздь18-64мм (2,2х2,2)/(2,5х2,5)</t>
  </si>
  <si>
    <t>Пневмозабивной пистолет F1.8/50 Гвоздь 15-50мм (1,8х1,8)</t>
  </si>
  <si>
    <t>Пневмозабивной пистолет F16/64 Гвоздь 20-64мм (1,4х1,6)</t>
  </si>
  <si>
    <t>Пневмозабивной пистолет F18/50C Гвоздь 15-50мм/Скоба_5,8 19-40мм (1х1,25)</t>
  </si>
  <si>
    <t>Пневмозабивной пистолет P0.6/50 Шпилька 15-50мм (0,64х0,64)</t>
  </si>
  <si>
    <t>Пневмостеплер Q-64</t>
  </si>
  <si>
    <t>Пневмостеплер 97/25</t>
  </si>
  <si>
    <t>Пневмомолоток ST-M3009/H + 4 зубила 130мм</t>
  </si>
  <si>
    <t>Пневмомолоток ST-M3009K/H + 5 зубил 170мм в пластиковом кейсе</t>
  </si>
  <si>
    <t>Гвоздь TN22/32. 32мм(2,2х2,2) Бетон для T-64LN. 1000шт.</t>
  </si>
  <si>
    <t>Гвоздь FST-18 для F1.8/50 18х1,8x1,8 3000шт/уп</t>
  </si>
  <si>
    <t>Гвоздь FST-20 для F1.8/50 20х1,8x1,8 3000шт/уп</t>
  </si>
  <si>
    <t>Гвоздь FST-25 для F1.8/50 25х1,8x1,8 3000шт/уп</t>
  </si>
  <si>
    <t>Гвоздь FST-50 для F1.8/50 50х1,5x1,8 1500шт/уп</t>
  </si>
  <si>
    <t>Шпилька P18-20 для P18/30 1x1,25 5000шт</t>
  </si>
  <si>
    <t>Шпилька P18-25 для P18/30 1x1,25 5000шт</t>
  </si>
  <si>
    <t>Шпилька P18-30 для P18/30 1x1,25 5000шт</t>
  </si>
  <si>
    <t>Шпилька Р0,6-21 21мм для Р0,6/22-30  10000шт. 0,64х0,64х21</t>
  </si>
  <si>
    <t>Шпилька P0.6-35 для P0.6/50,P0.6/50C  0,64x0,64 10000шт</t>
  </si>
  <si>
    <t>Гвоздь P0.6-25-H для P0.6/30C,P0.6/50C  0,64x0,64 9600шт/уп</t>
  </si>
  <si>
    <t>Гвоздь P0.6-30-H для P0.6/30C,P0.6/50C  0,64x0,64 9600шт/уп</t>
  </si>
  <si>
    <t>Фильтр влагоотделитель SA-2202 (Sumake) 1/4</t>
  </si>
  <si>
    <t xml:space="preserve">Пневмоинструмент Remeza </t>
  </si>
  <si>
    <t>УТ-00000401</t>
  </si>
  <si>
    <t>Гайковёрт ударный Remeza R-1200 (1/2"; 1200Нм; 185л/мин)</t>
  </si>
  <si>
    <t>УТ-00000402</t>
  </si>
  <si>
    <t>Гайковёрт ударный Remeza R-1400 (3/4"; 1400Нм; 200л/мин)</t>
  </si>
  <si>
    <t>Гвоздезабивной пистолет Remeza F18/30</t>
  </si>
  <si>
    <t>Пневмомолоток  Remeza SR-M3008/H2 с набором зубил</t>
  </si>
  <si>
    <t>Пневмоуглошлифовальная машина 125мм Remeza SR-77374</t>
  </si>
  <si>
    <t>Пневмогидравлический заклепочник Remeza SR-6615</t>
  </si>
  <si>
    <t>Пневмодрель Remeza SR-4431</t>
  </si>
  <si>
    <t>Пневмогайковерт угловой (трещотка) Remeza SR-55521 1/2</t>
  </si>
  <si>
    <t xml:space="preserve">Пневмоинструмент Garage </t>
  </si>
  <si>
    <t>УТ-00000045</t>
  </si>
  <si>
    <t>Пневмоинструмент Garage</t>
  </si>
  <si>
    <t>Пневматический гайковёрт 1/2 Garage GR-IW-315 315Нм</t>
  </si>
  <si>
    <t>Пневматический гвоздезабивной пистолет Garage GR-CN-90</t>
  </si>
  <si>
    <t>Пневматический гвоздескобозабивной пистолет Garage F50/9040</t>
  </si>
  <si>
    <t>УТ-00000047</t>
  </si>
  <si>
    <t>Пневматический гайковёрт 1/2 Garage GR-IW 315 315Нм с набором головок</t>
  </si>
  <si>
    <t>УТ-00000049</t>
  </si>
  <si>
    <t>Пневматический гайковёрт 1/2 Garage GR-IW-687 687Нм</t>
  </si>
  <si>
    <t>УТ-00000042</t>
  </si>
  <si>
    <t>Пневматический cтеплер Garage 80-16</t>
  </si>
  <si>
    <t>УТ-00000043</t>
  </si>
  <si>
    <t>Пневматический cтеплер Garage 90-40 Plus</t>
  </si>
  <si>
    <t>УТ-00000048</t>
  </si>
  <si>
    <t>Пневматический гайковёрт 1/2 Garage GR-IW-615 615Нм</t>
  </si>
  <si>
    <t>УТ-00000050</t>
  </si>
  <si>
    <t>Пневмозабивной пистолет Garage 18-50 Plus</t>
  </si>
  <si>
    <t>УТ-00000051</t>
  </si>
  <si>
    <t>Пневмозабивной пистолет Garage P630</t>
  </si>
  <si>
    <t>Пневмоинструмент Garage аксессуары</t>
  </si>
  <si>
    <t xml:space="preserve">УТ-99827   </t>
  </si>
  <si>
    <t>Гвоздь Garage F-12(1х1,25х12мм) 5000шт/упак.</t>
  </si>
  <si>
    <t>Гвоздь Garage F-15(1х1,25х15мм) 5000шт/упак.</t>
  </si>
  <si>
    <t>Гвоздь Garage F-20(1х1,25х20мм) 5000шт/упак.</t>
  </si>
  <si>
    <t>Гвоздь Garage F-25(1х1,25х25мм) 5000шт/упак.</t>
  </si>
  <si>
    <t>Гвоздь Garage F-30(1х1,25х30мм) 5000шт/упак.</t>
  </si>
  <si>
    <t>Гвоздь Garage F-35(1х1,25х35мм) 5000шт/упак.</t>
  </si>
  <si>
    <t>Гвоздь Garage F-40(1х1,25х40мм) 5000шт/упак.</t>
  </si>
  <si>
    <t>Гвоздь Garage F-45(1х1,25х45мм) 5000шт/упак.</t>
  </si>
  <si>
    <t>Гвоздь Garage F-50(1х1,25х50мм) 5000шт/упак.</t>
  </si>
  <si>
    <t>Скоба Garage 80-06 6мм (12,9х0,65х0,95) 10000шт/упак.</t>
  </si>
  <si>
    <t>Скоба Garage 80-08 8мм (12,9х0,65х0,95) 10000шт/упак.</t>
  </si>
  <si>
    <t>Скоба Garage 80-10 10мм (12,9х0,65х0,95) 10000шт/упак.</t>
  </si>
  <si>
    <t>Скоба Garage 80-12 12мм (12,9х0,65х0,95) 10000шт/упак.</t>
  </si>
  <si>
    <t>Скоба Garage 80-14 14мм (12,9х0,65х0,95) 10000шт/упак.</t>
  </si>
  <si>
    <t>Скоба Garage 90-15(1х1,25х5,8х15мм) 5000шт/упак.</t>
  </si>
  <si>
    <t>Скоба Garage 90-20(1х1,25х5,8х20мм) 5000шт/упак.</t>
  </si>
  <si>
    <t>Скоба Garage 90-25(1х1,25х5,8х25мм) 5000шт/упак.</t>
  </si>
  <si>
    <t>Скоба Garage 90-30(1х1,25х5,8х30мм) 5000шт/упак.</t>
  </si>
  <si>
    <t>Скоба Garage 90-40(1х1,25х5,8х40мм) 5000шт/упак.</t>
  </si>
  <si>
    <t>Шпилька Garage P0,6-10(0,64x0,64x10мм) 10000шт/упак.</t>
  </si>
  <si>
    <t>Шпилька Garage P0,6-12(0,64x0,64x12мм) 10000шт/упак.</t>
  </si>
  <si>
    <t>Шпилька Garage P0,6-15(0,64x0,64x15мм) 10000шт/упак.</t>
  </si>
  <si>
    <t>Шпилька Garage P0,6-18(0,64x0,64x18мм) 10000шт/упак.</t>
  </si>
  <si>
    <t>Шпилька Garage P0,6-20(0,64x0,64x20мм) 10000шт/упак.</t>
  </si>
  <si>
    <t>Шпилька Garage P0,6-22(0,64x0,64x22мм) 10000шт/упак.</t>
  </si>
  <si>
    <t>Шпилька Garage P0,6-25(0,64x0,64x25мм) 10000шт/упак.</t>
  </si>
  <si>
    <t>Шпилька Garage P0,6-30(0,64x0,64x30мм) 10000шт/упак.</t>
  </si>
  <si>
    <t>Шпилька Garage P0,6-8(0,64x0,64x8мм) 10000шт/упак.</t>
  </si>
  <si>
    <t>УТ-00000632</t>
  </si>
  <si>
    <t>Скоба Garage 35-15 15мм (35х2,27х15) 2000шт/упак.</t>
  </si>
  <si>
    <t>УТ-00000633</t>
  </si>
  <si>
    <t>Скоба Garage 35-18 18мм (35х2,27х18) 2000шт/упак.</t>
  </si>
  <si>
    <t>Гвоздь в рулоне Garage 2,5х50 винт. 9000шт.</t>
  </si>
  <si>
    <t>Гвоздь в рулоне Garage 2,87х70 винт. 5000шт.</t>
  </si>
  <si>
    <t>Гвоздь в рулоне Garage 3,1х90 винт. 2250шт. </t>
  </si>
  <si>
    <t>Окрасочное оборудование GAV</t>
  </si>
  <si>
    <t>Бачок верхний к 162 А 500мл</t>
  </si>
  <si>
    <t>Объем: 0,5 л</t>
  </si>
  <si>
    <t>Бачок верхний к Propaint 75мл</t>
  </si>
  <si>
    <t>Объем: 0,075 л</t>
  </si>
  <si>
    <t>Бачок верхний к RECORD 2200 750мл</t>
  </si>
  <si>
    <t>Объем: 0,6 л</t>
  </si>
  <si>
    <t>Бачок нижний к 162 B 1л</t>
  </si>
  <si>
    <t>Объем: 1 л</t>
  </si>
  <si>
    <t>Бачок нижний к RECORD 2000 1л</t>
  </si>
  <si>
    <t>Бачок нижний к RECORD 2100 1л</t>
  </si>
  <si>
    <t>Краскорасп-ль в/б 162 А 1.2 бс</t>
  </si>
  <si>
    <t>D сопла: 1,2 мм, Расход воздуха: 100-200 л/мин, Рабочее давление: 4-8 Атм, Соединение: быстросъемное дюйм</t>
  </si>
  <si>
    <t>Краскорасп-ль в/б 162 А 1.5 бс</t>
  </si>
  <si>
    <t>D сопла: 1,5 мм, Расход воздуха: 100-200 л/мин, Рабочее давление: 4-8 Атм, Соединение: быстросъемное дюйм</t>
  </si>
  <si>
    <t>Краскорасп-ль в/б 162 А 1.8 бс</t>
  </si>
  <si>
    <t>D сопла: 1,8 мм, Расход воздуха: 100-200 л/мин, Рабочее давление: 4-8 Атм, Соединение: быстросъемное дюйм</t>
  </si>
  <si>
    <t>Краскорасп-ль в/б 162 А 2.0 бс</t>
  </si>
  <si>
    <t>D сопла: 2,0 мм, Расход воздуха: 100-200 л/мин, Рабочее давление: 4-8 Атм, Соединение: быстросъемное дюйм</t>
  </si>
  <si>
    <t>Краскорасп-ль в/б 162 А 2.5 бс</t>
  </si>
  <si>
    <t>D сопла: 2,5 мм, Расход воздуха: 100-200 л/мин, Рабочее давление: 4-8 Атм, Соединение: быстросъемное дюйм</t>
  </si>
  <si>
    <t>Краскорасп-ль в/б 162 А/Р байонет</t>
  </si>
  <si>
    <t>Расход воздуха: 100-200 л/мин, Рабочее давление: 4-8 Атм</t>
  </si>
  <si>
    <t>Краскорасп-ль н/б 162 В 1.2 бс</t>
  </si>
  <si>
    <t>Краскорасп-ль н/б 162 В 1.5 бс</t>
  </si>
  <si>
    <t>Краскорасп-ль н/б 162 В 1.8</t>
  </si>
  <si>
    <t>D сопла: 1,8 мм, Расход воздуха: 100-200 л/мин, Рабочее давление: 4-8 Атм, Соединение: байонетное дюйм</t>
  </si>
  <si>
    <t>Краскорасп-ль н/б 162 В 1.8 бс</t>
  </si>
  <si>
    <t>Краскорасп-ль н/б 162 В 2.0 бс</t>
  </si>
  <si>
    <t>Краскорасп-ль н/б 162 В 2.5 бс</t>
  </si>
  <si>
    <t>Краскорасп-ль н/б 165 А</t>
  </si>
  <si>
    <t>Расход воздуха: 50-150 л/мин, Макс. давление: 3,5 Атм, Соединение: байонетное дюйм</t>
  </si>
  <si>
    <t>Шланг спиральный полиамидный SRU(Рапид) 6х8мм 30м</t>
  </si>
  <si>
    <t>L: 30 м, D: 6*8 мм, Материал: полиуретан , Соединение: быстросъемное дюйм</t>
  </si>
  <si>
    <t>Бачок верхний к 162 A (алюминий) 500мл</t>
  </si>
  <si>
    <t>Емкость бака: 0,5 л</t>
  </si>
  <si>
    <t>Пистолет для подкачки шин 60DD Байонет. Калиброванный цифровой манометр 0,2-12 бар</t>
  </si>
  <si>
    <t>Фильтр+Регулятор давления с манометром+Лубрикатор G-FRL-200 3/8</t>
  </si>
  <si>
    <t>Пропускная способность: 700 л/мин, Макс. давление: 14 Атм, Вход/выход: 3/8 дюйм, Степень фильтрации: 10 мкр</t>
  </si>
  <si>
    <t>Краскораспылитель      с н/б 2000 1.2 бс</t>
  </si>
  <si>
    <t>D сопла: 1,2 мм, Расход воздуха: 150-250 л/мин, Рабочее давление: 4-8 Атм, Соединение: быстросъемное дюйм</t>
  </si>
  <si>
    <t>Краскораспылитель      с н/б 2000 1.5 бс</t>
  </si>
  <si>
    <t>D сопла: 1,5 мм, Расход воздуха: 150-250 л/мин, Рабочее давление: 4-8 Атм, Соединение: быстросъемное дюйм</t>
  </si>
  <si>
    <t>Краскораспылитель      с н/б 2000 1.8</t>
  </si>
  <si>
    <t>D сопла: 1,8 мм, Расход воздуха: 150-250 л/мин, Рабочее давление: 4-8 Атм, Соединение: байонетное дюйм</t>
  </si>
  <si>
    <t>Краскораспылитель      с н/б 2000 1.8 бс</t>
  </si>
  <si>
    <t>D сопла: 1,8 мм, Расход воздуха: 150-250 л/мин, Рабочее давление: 4-8 Атм, Соединение: быстросъемное дюйм</t>
  </si>
  <si>
    <t>Краскораспылитель      с н/б 2000 2.0 бс</t>
  </si>
  <si>
    <t>D сопла: 2,0 мм, Расход воздуха: 150-250 л/мин, Рабочее давление: 4-8 Атм, Соединение: быстросъемное дюйм</t>
  </si>
  <si>
    <t>Краскораспылитель      с н/б 2000 2.5 бс</t>
  </si>
  <si>
    <t>D сопла: 2,5 мм, Расход воздуха: 150-250 л/мин, Рабочее давление: 4-8 Атм, Соединение: быстросъемное дюйм</t>
  </si>
  <si>
    <t>Краскораспылитель    с в/б 2200 1.2 бс</t>
  </si>
  <si>
    <t>Краскораспылитель    с в/б 2200 1.5 бс</t>
  </si>
  <si>
    <t>Краскораспылитель    с в/б 2200 1.8</t>
  </si>
  <si>
    <t>Краскораспылитель    с в/б 2200 1.8 бс</t>
  </si>
  <si>
    <t>Краскораспылитель    с в/б 2200 2.0 бс</t>
  </si>
  <si>
    <t>Краскораспылитель    с в/б 2200 2.5 бс</t>
  </si>
  <si>
    <t>Краскораспылитель    с н/б 2000 ECO 1.2 бс</t>
  </si>
  <si>
    <t>Краскораспылитель    с н/б 2000 ECO 1.5 бс</t>
  </si>
  <si>
    <t>Краскораспылитель    с н/б 2000 ECO 1.8</t>
  </si>
  <si>
    <t>Краскораспылитель    с н/б 2000 ECO 1.8 бс</t>
  </si>
  <si>
    <t>Краскораспылитель    с н/б 2000 ECO 2.0</t>
  </si>
  <si>
    <t>D сопла: 2 мм, Расход воздуха: 150-250 л/мин, Рабочее давление: 4-8 Атм, Соединение: байонетное дюйм</t>
  </si>
  <si>
    <t>Краскораспылитель    с н/б 2000 ECO 2.0 бс</t>
  </si>
  <si>
    <t>Краскораспылитель    с н/б 2000 ECO 2.5 бс</t>
  </si>
  <si>
    <t>Краскораспылитель  с в/б 2200 ECO 1.2 бс</t>
  </si>
  <si>
    <t>Краскораспылитель  с в/б 2200 ECO 1.5 бс</t>
  </si>
  <si>
    <t>Краскораспылитель  с в/б 2200 ECO 1.8 бс</t>
  </si>
  <si>
    <t>Краскораспылитель  с в/б 2200 ECO 2.0 бс</t>
  </si>
  <si>
    <t>Краскораспылитель  с в/б 2200 ECO 2.5 бс</t>
  </si>
  <si>
    <t>Краскораспылитель(аэрограф) MINI PAINT 50</t>
  </si>
  <si>
    <t>Емкость бака: 30 мл, D сопла: 0,3 мм</t>
  </si>
  <si>
    <t>Краскораспылитель(мини) PRO PAINT 75мл 0.5мм Рапид</t>
  </si>
  <si>
    <t>D сопла: 0,5 мм, Макс. давление: 3 Атм, Соединение: быстросъемное дюйм</t>
  </si>
  <si>
    <t>Краскораспылитель RECORD-S 1.2 бс</t>
  </si>
  <si>
    <t>D сопла: 1,2 мм, Расход воздуха: 150-250 л/мин, Рабочее давление: 4-8 Атм, Соединение: бытросъемное дюйм</t>
  </si>
  <si>
    <t>Краскораспылитель RECORD-S 1.5 бс</t>
  </si>
  <si>
    <t>Краскораспылитель RECORD-S 1.8 бс</t>
  </si>
  <si>
    <t>D сопла: 1,8 мм, Расход воздуха: 150-250 л/мин, Рабочее давление: 4-8 Атм, Соединение: быстросъмное дюйм</t>
  </si>
  <si>
    <t>Краскораспылитель RECORD-S 2.0</t>
  </si>
  <si>
    <t>D сопла: 2,0 мм, Расход воздуха: 150-250 л/мин, Рабочее давление: 4-8 Атм, Соединение: байонетное дюйм</t>
  </si>
  <si>
    <t>Краскораспылитель RECORD-S 2.0 бс</t>
  </si>
  <si>
    <t>D сопла: 2 мм, Расход воздуха: 250 л/мин, Объем бака: 500 мл</t>
  </si>
  <si>
    <t>Краскораспылитель RECORD-S 2.5 б/с</t>
  </si>
  <si>
    <t>Лубрикатор L-180 1/4</t>
  </si>
  <si>
    <t>Пропускная способность: 350 л/мин, Макс. давление: 12 Атм, Вход/выход: 1/4 дюйм</t>
  </si>
  <si>
    <t>Лубрикатор L-200 1/2</t>
  </si>
  <si>
    <t>Пропускная способность: 1000 л/мин, Макс. давление: 14 Атм, Вход/выход: 1/2 дюйм</t>
  </si>
  <si>
    <t>Лубрикатор L-200 3/8</t>
  </si>
  <si>
    <t>Пропускная способность: 700 л/мин, Макс. давление: 14 Атм, Вход/выход: 3/8 дюйм</t>
  </si>
  <si>
    <t>Манометр M009(D-80 Post) 1/4 0-12бар, d80, Крепление по центру. Не калиброванный</t>
  </si>
  <si>
    <t>Вход/выход: 1/4 дюйм, D манометра: 80 мм</t>
  </si>
  <si>
    <t>Манометр M001(740) 1/4 0-12бар, d63, Крепление снизу. Не калиброванный.</t>
  </si>
  <si>
    <t>D: 63 мм, Резьба: 1/4 дюйм, Шкала: 0-12 Атм</t>
  </si>
  <si>
    <t>Манометр M007(760) 1/4 0-12бар, d63, Крепление по центру. Не калиброванный</t>
  </si>
  <si>
    <t>Манометр M006(780) 1/4 0-16бар, d50, Крепление по центру. Не калиброванный</t>
  </si>
  <si>
    <t>D: 50 мм, Резьба: 1/4 дюйм, Шкала: 0-16 Атм</t>
  </si>
  <si>
    <t>Манометр M006(780) 1/8 0-16бар, d50, Крепление по центру. Не калиброванный</t>
  </si>
  <si>
    <t>D: 50 мм, Резьба: 1/8 дюйм, Шкала: 0-16 Атм</t>
  </si>
  <si>
    <t>Манометр M004(790) 1/4 0-12бар, d40, Крепление по центру. Не калиброванный</t>
  </si>
  <si>
    <t>D: 40 мм, Резьба: 1/4 дюйм, Шкала: 0-12 Атм</t>
  </si>
  <si>
    <t>Манометр M004(790) 1/8 0-12бар, d40, Крепление по центру. Не калиброванный</t>
  </si>
  <si>
    <t>D: 40 мм, Резьба: 1/8 дюйм, Шкала: 0-12 Атм</t>
  </si>
  <si>
    <t>Манометр шинный 60 F</t>
  </si>
  <si>
    <t>Шкала: 0-12 Атм, L шланга: 30 см</t>
  </si>
  <si>
    <t>Набор краскорасп.Kit Germania 162 A байонет</t>
  </si>
  <si>
    <t>Соединение: байонетное дюйм, Комплектация: 5 предм.</t>
  </si>
  <si>
    <t>Набор краскорасп.Kit Germania 162 A быстросъем</t>
  </si>
  <si>
    <t>Соединение: быстросъемное дюйм, Комплектация: 5 предм.</t>
  </si>
  <si>
    <t>Набор краскорасп.Kit Italia 162 В байонет</t>
  </si>
  <si>
    <t>Набор краскорасп.Kit Italia 162 В быстросъем</t>
  </si>
  <si>
    <t>Набор пневмоинструмента  NYCA/4 из нейлон-карбона ,5 предметов,бс.</t>
  </si>
  <si>
    <t>Давление: 2-4 Атм</t>
  </si>
  <si>
    <t>Наконечник 60Е 6 мм</t>
  </si>
  <si>
    <t>D: 6 мм</t>
  </si>
  <si>
    <t>Наконечник 60Е 8 мм</t>
  </si>
  <si>
    <t>D: 8 мм</t>
  </si>
  <si>
    <t>Наконечник удлиненный 60E/1 6 мм</t>
  </si>
  <si>
    <t>Переходник    33/1 450/1 1/4</t>
  </si>
  <si>
    <t>Давление: 16 бар</t>
  </si>
  <si>
    <t>Переходник    33/1 450/1 1/4 (блистер)</t>
  </si>
  <si>
    <t>Давление: 16 Атм</t>
  </si>
  <si>
    <t>Переходник    33C/2 445/3 8</t>
  </si>
  <si>
    <t>Переходник    33C/2 445/3 8 (блистер)</t>
  </si>
  <si>
    <t>Давление: 10 Атм</t>
  </si>
  <si>
    <t>Переходник    33Е 446/1 (блистер) байонет на бс штуцер</t>
  </si>
  <si>
    <t>Переходник    33Е 446/1 байонет на бс штуцер</t>
  </si>
  <si>
    <t>Переходник    46A/2 385/1 (блистер) байонет для шланга 6*14</t>
  </si>
  <si>
    <t>Переходник    46B/4 (блистер) байонет для шланга 8*14</t>
  </si>
  <si>
    <t>Переходник    46B/4 байонет для шланга 8*14</t>
  </si>
  <si>
    <t>Переходник    46C/1  6 мм елочка на елочку</t>
  </si>
  <si>
    <t>Переходник    46C/1 (блистер) 6мм елочка на елочку</t>
  </si>
  <si>
    <t>Переходник    46C/2  8 мм елочка на елочку</t>
  </si>
  <si>
    <t>Переходник    46C/2 (блистер) 8мм елочка на елочку</t>
  </si>
  <si>
    <t>Переходник    46C/3 (блистер) 10мм елочка на елочку</t>
  </si>
  <si>
    <t>Переходник    46C/3 10 мм елочка на елочку</t>
  </si>
  <si>
    <t>Переходник    46F/1 365/1 (блистер) байонет на елочку 6мм</t>
  </si>
  <si>
    <t>Переходник    46F/1 365/1 байонет на елочку 6 мм</t>
  </si>
  <si>
    <t>Переходник    46F/2 365/2 (блистер) байонет на елочку 8мм</t>
  </si>
  <si>
    <t>Переходник    46F/2 365/2 байонет на елочку 8 мм</t>
  </si>
  <si>
    <t>Переходник    47A/1 360/1 (блистер) М1/4" с байонетн.гайкой</t>
  </si>
  <si>
    <t>Переходник    47A/1 360/1 М1/4" с байонетн. гайкой</t>
  </si>
  <si>
    <t>Переходник    47A/2 360/2 М3/8" с байонетн. гайкой</t>
  </si>
  <si>
    <t>Переходник    47B/1 390/1 (блистер) М1/4" байонет</t>
  </si>
  <si>
    <t>Переходник    47C/1 395/1 (блистер) F1/4" байонет</t>
  </si>
  <si>
    <t>Переходник    47C/1 395/1 F1/4" байонет</t>
  </si>
  <si>
    <t>Переходник    48А 350 (блистер) байонетн.муфта 2*М1/4"</t>
  </si>
  <si>
    <t>Переходник    48А 350 байонетн. муфта 2*М1/4"</t>
  </si>
  <si>
    <t>Переходник    49А 340/1 байонетная гайка 1/4"</t>
  </si>
  <si>
    <t>Переходник    54А/1 490/1 (блистер) М1/4" сливной кран</t>
  </si>
  <si>
    <t>Переходник    54А/1 490/1 М1/4" сливной кран</t>
  </si>
  <si>
    <t>Переходник    54А/2 490/2 (блистер) М3/8" сливной кран</t>
  </si>
  <si>
    <t>Переходник    54А/2 490/2 М3/8" сливной кран</t>
  </si>
  <si>
    <t>Переходник    54А/3 М1/2" сливной кран</t>
  </si>
  <si>
    <t>Переходник    57А/1 504/1 (блистер) байонет для шланга 6*8</t>
  </si>
  <si>
    <t>Переходник    57А/2 504/2 (блистер) байонет для шланга 8*10</t>
  </si>
  <si>
    <t>Переходник    57С/3 503/1 (блистер) М1/4" на шланг 6*8 вращающ.</t>
  </si>
  <si>
    <t>Переходник    57С/3 503/1 М1/4" на шланг 6*8 вращающ.</t>
  </si>
  <si>
    <t>Переходник   112 A/1 459/3,4 (блистер) бс F1/4"</t>
  </si>
  <si>
    <t>Переходник   112 A/1 459/3,4 бс F1/4"</t>
  </si>
  <si>
    <t>Переходник   112 A/2 459/8,9 (блистер) бс F3/8"</t>
  </si>
  <si>
    <t>Переходник   112 A/2 459/8,9 бс F3/8"</t>
  </si>
  <si>
    <t>Переходник   112 B/3 458/3 (блистер) бс для шланга 6*14</t>
  </si>
  <si>
    <t>Переходник   112 C/1 (блистер) бс на елочку 6 мм</t>
  </si>
  <si>
    <t>Переходник   112 C/1 бс на елочку 6 мм</t>
  </si>
  <si>
    <t>Переходник   112 C/2 (блистер) бс на елочку 8 мм</t>
  </si>
  <si>
    <t>Переходник   112 C/2 бс на елочку 8 мм</t>
  </si>
  <si>
    <t>Переходник   112 C/3 бс на елочку 10 мм</t>
  </si>
  <si>
    <t>Переходник   112 D/2 457/3 бс для шланга 6*8</t>
  </si>
  <si>
    <t>Переходник   112 D/3 457/5 бс для шланга 8*10</t>
  </si>
  <si>
    <t>Переходник   112/1 460/3,4 (блистер) бс М1/4"</t>
  </si>
  <si>
    <t>Переходник   112/1 460/3,460/4 бс М1/4 "</t>
  </si>
  <si>
    <t>Переходник   112/2 460/8, 9 (блистер) бс М3/8"</t>
  </si>
  <si>
    <t>Переходник   112/2 460/8,460/9 бс М3/8 "</t>
  </si>
  <si>
    <t>Переходник   112/3 бс М1/2"</t>
  </si>
  <si>
    <t>Переходник   112/3 бс М1/2" (блистер)</t>
  </si>
  <si>
    <t>Переходник   113 A/1 449/2 (блистер) бс штуцер F1/4"</t>
  </si>
  <si>
    <t>Переходник   113 A/1 449/2 бс штуцер F1/4"</t>
  </si>
  <si>
    <t>Переходник   113 A/2 449/7 (блистер) бс штуцер F3/8"</t>
  </si>
  <si>
    <t>Переходник   113 A/2 449/7 бс штуцер F3/8"</t>
  </si>
  <si>
    <t>Переходник   113 B/3 448/1 (блистер) бс штуцер для шланга 6*14</t>
  </si>
  <si>
    <t>Переходник   113 B/6 448/2 (блистер) бс штуцер для шланга 8*17</t>
  </si>
  <si>
    <t>Переходник   113 B/8 бс штуцер для шланга 10*17</t>
  </si>
  <si>
    <t>Переходник   113 C/1 445/2 (блистер) бс штуцер на елочку 6мм</t>
  </si>
  <si>
    <t>Переходник   113 C/1 445/2 бс на елочку 6 мм</t>
  </si>
  <si>
    <t>Переходник   113 C/2 445/4 (блистер) бс штуцер на елочку 8мм</t>
  </si>
  <si>
    <t>Переходник   113 C/2 445/4 бс на елочку 8 мм</t>
  </si>
  <si>
    <t>Переходник   113 C/3 бс на елочку 10 мм</t>
  </si>
  <si>
    <t>Переходник   113 D/3 447/1 бс штуцер для шланга 6*8</t>
  </si>
  <si>
    <t>Переходник   113 D/4 447/2 (блистер) бс штуцер для шланга 8*10</t>
  </si>
  <si>
    <t>Переходник   113 D/4 447/2 бс штуцер для шланга 8*10</t>
  </si>
  <si>
    <t>Переходник   113 D/5 (блистер) бс штуцер для шланга 6,5*10</t>
  </si>
  <si>
    <t>Переходник   113 D/6 бс штуцер для шланга 8*12</t>
  </si>
  <si>
    <t>Переходник   113/1 450/2 (блистер) бс штуцер М1/4"</t>
  </si>
  <si>
    <t>Переходник   113/1 450/2 бс штуцер М1/4"</t>
  </si>
  <si>
    <t>Переходник   113/2 450/7 (блистер) бс штуцер М3/8"</t>
  </si>
  <si>
    <t>Переходник   113/2 450/7 бс штуцер М3/8"</t>
  </si>
  <si>
    <t>Переходник   113/3 бс штуцер М1/2"</t>
  </si>
  <si>
    <t>Переходник  RBS/2 499/2 кран игольчатый М1/4"</t>
  </si>
  <si>
    <t>Переходник - блок BL6084/5 2x3/8" 2x1/4"</t>
  </si>
  <si>
    <t>Переходник 113 С/3 (блистер) бс на елочку 10 мм</t>
  </si>
  <si>
    <t>Переходник 1216/ 3 (блистер) М1/8*F1/4"</t>
  </si>
  <si>
    <t>Переходник 1216/ 3 М1/8*F1/4"</t>
  </si>
  <si>
    <t>Переходник 1216/ 5 М1/4*F1/4"</t>
  </si>
  <si>
    <t>Переходник 1216/ 6 (блистер) М1/4*F3/8"</t>
  </si>
  <si>
    <t>Переходник 1216/ 6 М1/4*F3/8"</t>
  </si>
  <si>
    <t>Переходник 1216/ 7 (блистер) М1/4*F1/2"</t>
  </si>
  <si>
    <t>Переходник 1216/ 7 М1/4*F1/2"</t>
  </si>
  <si>
    <t>Переходник 1216/4 (блистер) M1/8*F3/8"</t>
  </si>
  <si>
    <t>Переходник 1216/8 (блистер) M3/8* F3/8</t>
  </si>
  <si>
    <t>Переходник 1217/7 270/9 М3/4*F1/2" конус</t>
  </si>
  <si>
    <t>Переходник 1218/2 270/1 (блистер) М1/4*F1/8"</t>
  </si>
  <si>
    <t>Переходник 1218/2 270/1 М1/4*F1/8"</t>
  </si>
  <si>
    <t>Переходник 1218/3 270/2 М3/8*F1/8"</t>
  </si>
  <si>
    <t>Переходник 1218/4 270/4 М1/2*F1/8"</t>
  </si>
  <si>
    <t>Переходник 1218/5 270/3 (блистер) М3/8*F1/4"</t>
  </si>
  <si>
    <t>Переходник 1218/5 270/3 М3/8*F1/4"</t>
  </si>
  <si>
    <t>Переходник 1218/6 270/5 (блистер) М1/2*F1/4"</t>
  </si>
  <si>
    <t>Переходник 1218/6 270/5 М1/2*F1/4"</t>
  </si>
  <si>
    <t>Переходник 1218/7 270/6 М1/2*F3/8"</t>
  </si>
  <si>
    <t>Переходник 1219/2 290/5 М1/4*М1/4" конус</t>
  </si>
  <si>
    <t>Переходник 1219/5 290/11 (блистер) М3/4*М3/4" конус</t>
  </si>
  <si>
    <t>Переходник 1219/5 290/11 М3/4*М3/4" конус</t>
  </si>
  <si>
    <t>Переходник 1221/3 290/5 (блистер) М1/4*М1/4"</t>
  </si>
  <si>
    <t>Переходник 1221/3 290/5 М1/4*М1/4"</t>
  </si>
  <si>
    <t>Переходник 1221/4 290/8 М3/8*М3/8"</t>
  </si>
  <si>
    <t>Переходник 1221/5 290/10 М1/2*М1/2"</t>
  </si>
  <si>
    <t>Переходник 1222/2 290/2 (блистер) М1/8*М1/4"</t>
  </si>
  <si>
    <t>Переходник 1222/2 290/2 М1/8*М1/4"</t>
  </si>
  <si>
    <t>Переходник 1222/3 290/3 М1/8*М3/8"</t>
  </si>
  <si>
    <t>Переходник 1222/4 290/6 (блистер) М1/4*М3/8"</t>
  </si>
  <si>
    <t>Переходник 1222/4 290/6 М1/4*М3/8"</t>
  </si>
  <si>
    <t>Переходник 1222/5 290/7 (блистер) М1/4*М1/2"</t>
  </si>
  <si>
    <t>Переходник 1222/5 290/7 М1/4*М1/2"</t>
  </si>
  <si>
    <t>Переходник 1222/6 290/9 М3/8*М1/2" (блистер)</t>
  </si>
  <si>
    <t>Переходник 1222/6 290/9 М3/8*М1/2"</t>
  </si>
  <si>
    <t>Переходник 1225/3 280/5 (блистер) F1/4*F1/4" цилиндр.муфта</t>
  </si>
  <si>
    <t>Переходник 1225/3 280/5 F1/4*F1/4" цилиндр. муфта</t>
  </si>
  <si>
    <t>Переходник 1225/4 280/8 F3/8*F3/8" цилиндр. муфта</t>
  </si>
  <si>
    <t>Переходник 1225/5 280/10 F1/2*F1/2 цилиндр муфта (блистер)</t>
  </si>
  <si>
    <t>Переходник 1225/5 280/10 F1/2*F1/2" цилиндр. муфта</t>
  </si>
  <si>
    <t>Переходник 1226/2 F1/8*F1/4" цилиндр. муфта</t>
  </si>
  <si>
    <t>Переходник 1226/4 (блистер) F1/8*F1/2"  цилиндр. муфта</t>
  </si>
  <si>
    <t>Переходник 1226/5 F1/4*F3/8" цилиндр. муфта</t>
  </si>
  <si>
    <t>Переходник 1226/5 F1/4*F3/8" цилиндр. муфта (блистер)</t>
  </si>
  <si>
    <t>Переходник 1226/6 F1/4*F1/2" цилиндр. муфта (блистер)</t>
  </si>
  <si>
    <t>Переходник 1226/7 F3/8*F1/2" цилиндр. муфта</t>
  </si>
  <si>
    <t>Переходник 1227/1 (блистер) F1/4" на елочку 6мм</t>
  </si>
  <si>
    <t>Переходник 1227/1 F1/4" на елочку 6 мм</t>
  </si>
  <si>
    <t>Переходник 1227/2 F1/4" на елочку 8 мм</t>
  </si>
  <si>
    <t>Переходник 1227/3 (блистер) F1/4" на елочку 10мм</t>
  </si>
  <si>
    <t>Переходник 1227/3 F1/4" на елочку 10 мм</t>
  </si>
  <si>
    <t>Переходник 1233/ 2 370/1 М1/4" на елочку 6 мм</t>
  </si>
  <si>
    <t>Переходник 1233/ 3 (блистер) М1/8"  на елочку 8 мм</t>
  </si>
  <si>
    <t>Переходник 1233/ 3 М1/8" на елочку 8 мм</t>
  </si>
  <si>
    <t>Переходник 1233/ 4 370/2 (блистер) М1/4" на елочку 8мм</t>
  </si>
  <si>
    <t>Переходник 1233/ 4 370/2 М1/4" на елочку 8  мм</t>
  </si>
  <si>
    <t>Переходник 1233/ 5 370/6 (блистер) М3/8" на елочку 8мм</t>
  </si>
  <si>
    <t>Переходник 1233/ 5 370/6 М3/8" на елочку 8 мм</t>
  </si>
  <si>
    <t>Переходник 1233/ 6 370/7 М3/8" на елочку 10 мм</t>
  </si>
  <si>
    <t>Переходник 1233/ 7 (блистер) М1/2"  на елочку 10 мм</t>
  </si>
  <si>
    <t>Переходник 1233/ 7 М1/2" на елочку 10 мм</t>
  </si>
  <si>
    <t>Переходник 1233/ 8 370/3 (блистер) М1/4" на елочку 10мм</t>
  </si>
  <si>
    <t>Переходник 1233/ 8 370/3 М1/4" на елочку 10 мм</t>
  </si>
  <si>
    <t>Переходник 1233/11 370/4 (блистер) М1/4" на елочку 12мм</t>
  </si>
  <si>
    <t>Переходник 1233/11 370/4 М1/4" на елочку 12 мм</t>
  </si>
  <si>
    <t>Переходник 1249/2 260/2 (блистер) уголок L-FF 1/4"</t>
  </si>
  <si>
    <t>Переходник 1249/4 260/4 уголок L-FF 1/2"</t>
  </si>
  <si>
    <t>Переходник 1250/2 265/2 (блистер) уголок L-MF 1/4"</t>
  </si>
  <si>
    <t>Переходник 1251/1 258/1 (блистер) тройник T-FFF 1/8"</t>
  </si>
  <si>
    <t>Переходник 1251/1 258/1 тройник T-FFF 1/8"</t>
  </si>
  <si>
    <t>Переходник 1251/2 258/2 (блистер) тройник T-FFF 1/4"</t>
  </si>
  <si>
    <t>Переходник 1251/2 258/2 тройник T-FFF 1/4"</t>
  </si>
  <si>
    <t>Переходник 1251/4 258/4 тройник T-FFF 1/2"</t>
  </si>
  <si>
    <t>Переходник 1252/2 255/2 (блистер) тройник T-FMF 1/4"</t>
  </si>
  <si>
    <t>Переходник 1252/2 255/2 тройник T-FMF 1/4"</t>
  </si>
  <si>
    <t>Переходник 1252/3 255/3 тройник T-FMF 3/8"</t>
  </si>
  <si>
    <t>Переходник 1252/4 255/4 тройник T-FMF 1/2"</t>
  </si>
  <si>
    <t>Переходник 1254/4 250/4 крест FFFF 1/2"</t>
  </si>
  <si>
    <t>Переходник 1255/2 266/2 (блистер) уголок L-MM 1/4"</t>
  </si>
  <si>
    <t>Переходник 1255/2 266/2 уголок L-MM 1/4"</t>
  </si>
  <si>
    <t>Переходник 1256/2 тройник T-MMM 1/4"</t>
  </si>
  <si>
    <t>Переходник 1256/4 тройник T-MMM 1/2"</t>
  </si>
  <si>
    <t>Переходник 1259/1 253/1 крест FFFM 1/8"</t>
  </si>
  <si>
    <t>Переходник 1259/2 253/2 (блистер) крест FFFM 1/4"</t>
  </si>
  <si>
    <t>Переходник 1260/1 245/1 тройник Y-MFF 1/8"</t>
  </si>
  <si>
    <t>Переходник 1260/2 245/2 (блистер) тройник Y-MFF 1/4"</t>
  </si>
  <si>
    <t>Переходник 1260/2 245/2 тройник Y-MFF 1/4"</t>
  </si>
  <si>
    <t>Переходник 1261/2 240/2 (блистер) тройник Y-FFF 1/4"</t>
  </si>
  <si>
    <t>Переходник 1262/1 крест MMMM 1/8"</t>
  </si>
  <si>
    <t>Переходник 1262/2 (блистер) крест MMMM 1/4"</t>
  </si>
  <si>
    <t>Переходник RBL/2 499/2 (блистер) кран шаровый М1/4"</t>
  </si>
  <si>
    <t>Переходник RBL/2 499/2 кран шаровый М1/4"</t>
  </si>
  <si>
    <t>Переходник RBL/3 499/3 (блистер) кран шаровый М3/8"</t>
  </si>
  <si>
    <t>Переходник RBS/3 499/3 кран игольчатый М3/8"</t>
  </si>
  <si>
    <t>Переходник UNI-1 460/1 бс М1/4"</t>
  </si>
  <si>
    <t>Переходник UNI-2 460/2 (блистер) бс М3/8"</t>
  </si>
  <si>
    <t>Переходник UNI-3 бс М1/2"</t>
  </si>
  <si>
    <t>Переходник UNI-3 бс М1/2" (блистер)</t>
  </si>
  <si>
    <t>Переходник UNI-A1 459/1 бс F1/4"</t>
  </si>
  <si>
    <t>Переходник UNI-A2 459/2 бс F3/8"</t>
  </si>
  <si>
    <t>Переходник UNI-B3 бс для шланга 10*14.5</t>
  </si>
  <si>
    <t>Переходник UNI-B4 458/1 бс для шланга 6*14</t>
  </si>
  <si>
    <t>Переходник UNI-B6 458/2 (блистер) бс для шланга 8*17</t>
  </si>
  <si>
    <t>Переходник UNI-B8 бс для шланга 10*19</t>
  </si>
  <si>
    <t>Переходник UNI-C1 (блистер) бс на елочку 6мм</t>
  </si>
  <si>
    <t>Переходник UNI-C1 бс на елочку 6 мм</t>
  </si>
  <si>
    <t>Переходник UNI-C2 (блистер)бс на елочку 8 мм</t>
  </si>
  <si>
    <t>Переходник UNI-C2 бс на елочку 8 мм</t>
  </si>
  <si>
    <t>Переходник UNI-C3 (блистер) бс на елочку 10мм</t>
  </si>
  <si>
    <t>Переходник UNI-C3 бс на елочку 10 мм</t>
  </si>
  <si>
    <t>Переходник UNI-D1 бс для шланга 5*8</t>
  </si>
  <si>
    <t>Переходник UNI-D2 457/1 (блистер) бс для шланга 6*8</t>
  </si>
  <si>
    <t>Переходник UNI-D3 457/2 бс для шланга 8*10</t>
  </si>
  <si>
    <t>Переходник UNI-D4 бс для шланга 6,5*10</t>
  </si>
  <si>
    <t>Переходник   112 C/3 (блистер) бс на елочку 10 мм</t>
  </si>
  <si>
    <t>Переходник   112 D/2 457/3 (блистер) бс для шланга 6*8</t>
  </si>
  <si>
    <t>Переходник   113/3 (блистер) бс штуцер М1/2"</t>
  </si>
  <si>
    <t>Переходник-прокладка 6079/3 1,5 мм</t>
  </si>
  <si>
    <t>D: 13,6*19 мм, t: 1,5 мм</t>
  </si>
  <si>
    <t>Пистолет 164 А антикор. н/б 1л</t>
  </si>
  <si>
    <t>Расход воздуха: 250-300 л/мин, Рабочее давление: 2-6 Атм, Соединение: байонетное дюйм</t>
  </si>
  <si>
    <t>Пистолет 164 А бс антикор. н/б 1л</t>
  </si>
  <si>
    <t>Расход воздуха: 250-300 л/мин, Рабочее давление: 2-6 Атм, Соединение: быстросъемное дюйм</t>
  </si>
  <si>
    <t>Пистолет 166 А бс пескоструйный н/б 1л</t>
  </si>
  <si>
    <t>Рабочее давление: 6-8 Атм, Соединение: быстросъемное дюйм</t>
  </si>
  <si>
    <t>Пистолет 166 В бс пескоструйный</t>
  </si>
  <si>
    <t>Пистолет 167 А бс антикор.</t>
  </si>
  <si>
    <t>Пистолет 167 В бс антикор. со шлангом</t>
  </si>
  <si>
    <t>Пистолет 60 AP бс продувоч. PROFI</t>
  </si>
  <si>
    <t>Расход воздуха: 0-300 л/мин, Макс. давление: 6 Атм, Соединение: быстросъемное дюйм</t>
  </si>
  <si>
    <t>Пистолет для подкачки шин 60D (не калибров.) Рапид. В коробке</t>
  </si>
  <si>
    <t>Макс. давление: 10 Атм, Соединение: быстросъемное дюйм, L шланга: 40 см, D манометра: 63 мм</t>
  </si>
  <si>
    <t>Пистолет для подкачки шин 60D (не калибров.) Рапид.</t>
  </si>
  <si>
    <t>Пистолет для подкачки шин 60D (не калибров.) Байонет.</t>
  </si>
  <si>
    <t>Пистолет для подкачки шин 60G d63 0-12 бар, 0,5м Рапид, Калиброван по CEE</t>
  </si>
  <si>
    <t>Макс. давление: 10 Атм, Соединение: быстросъемное дюйм, L шланга: 50/100 см, D манометра: 63/80 мм</t>
  </si>
  <si>
    <t>Пистолет 60 А бс продувоч.</t>
  </si>
  <si>
    <t>Расход воздуха: 0-400 л/мин, Макс. давление: 6 Атм, Соединение: быстросъемное дюйм</t>
  </si>
  <si>
    <t>Пистолет 60 В бс продувоч. с удл. соплом</t>
  </si>
  <si>
    <t>Пистолет 61 AC бс моющий</t>
  </si>
  <si>
    <t>Рабочее давление: 2-6 Атм, Соединение: быстросъемное дюйм</t>
  </si>
  <si>
    <t>Пистолет 61 В бс моющий н/б 1л</t>
  </si>
  <si>
    <t>Пистолет для измерения давления 60FD 0-10 бар, цифровой, фотоэлемент.</t>
  </si>
  <si>
    <t>Пистолет для подкачки шин NYCA GT 0-10 бар, Рапид, Калиброван по СЕЕ</t>
  </si>
  <si>
    <t>Регулятор давления с манометром R-180 1/4"</t>
  </si>
  <si>
    <t>Регулятор давления с манометром R-200 1/2"</t>
  </si>
  <si>
    <t>Регулятор давления с манометром R-200 3/8"</t>
  </si>
  <si>
    <t>Регулятор давления со шкалой RP-172/L 1/4F +кран с байонет. гайкой</t>
  </si>
  <si>
    <t>Пропускная способность: 350 л/мин, Макс. давление: 8 Атм, Вход: 1/4 дюйм</t>
  </si>
  <si>
    <t>Регулятор давления с манометром RP-182 1/4F +кран с байонет. гайкой</t>
  </si>
  <si>
    <t>Пропускная способность: 350 л/мин, Макс. давление: 12 Атм, Вход: 1/4 дюйм, D манометра: 40 мм</t>
  </si>
  <si>
    <t>Регулятор давления с манометром RP-182R 1/4F с Рапид_F_UNI</t>
  </si>
  <si>
    <t>Регулятор давления RP-192 2x1/4F</t>
  </si>
  <si>
    <t>Пропускная способность: 350 л/мин, Макс. давление: 12 Атм, Вход: 1/4 дюйм</t>
  </si>
  <si>
    <t>Регулятор давления с маном. и фильтр. RPF-187 3/8M + 2х_крана с байонет. гайкой</t>
  </si>
  <si>
    <t>Пропускная способность: 700 л/мин, Макс. давление: 12 Атм, Вход: 3/8 дюйм, Степень фильтрации: 10 мкр, D манометра: 40 мм</t>
  </si>
  <si>
    <t>Регулятор давления с маном. и фильтр. RPF-187R 3/8M + 2х_Рапид_F</t>
  </si>
  <si>
    <t>Регулятор давления с маном. и фильтр. RPF-188 1/2M + 2х_крана с байонет. гайкой</t>
  </si>
  <si>
    <t>Пропускная способность: 700 л/мин, Макс. давление: 12 Атм, Вход: 1/2 дюйм, Степень фильтрации: 10 мкр, D манометра: 50 мм</t>
  </si>
  <si>
    <t>Регулятор давления с маном. и фильтр. RPF-188R 1/2M + 2х_Рапид_F</t>
  </si>
  <si>
    <t>Сопло 1000 R 0.5</t>
  </si>
  <si>
    <t>D сопла: 0,51 мм</t>
  </si>
  <si>
    <t>Сопло 1500 R 1.2</t>
  </si>
  <si>
    <t>D сопла: 1,2 мм</t>
  </si>
  <si>
    <t>Сопло 1500 R 1.8</t>
  </si>
  <si>
    <t>D сопла: 1,8 мм</t>
  </si>
  <si>
    <t>Сопло 1500 R 2.0</t>
  </si>
  <si>
    <t>D сопла: 2,0 мм</t>
  </si>
  <si>
    <t>Сопло 1500 R 2.5</t>
  </si>
  <si>
    <t>D сопла: 2,5 мм</t>
  </si>
  <si>
    <t>Сопло 2000 R 1.5</t>
  </si>
  <si>
    <t>D сопла: 1,5 мм</t>
  </si>
  <si>
    <t>Сопло 2000 R 2.5</t>
  </si>
  <si>
    <t>Сопло RZ3025</t>
  </si>
  <si>
    <t>Сопло д/пистолета 166 А-В</t>
  </si>
  <si>
    <t xml:space="preserve">для: 166 A-B </t>
  </si>
  <si>
    <t>Фильтр F-180 1/4</t>
  </si>
  <si>
    <t>Пропускная способность: 350 л/мин, Макс. давление: 12 Атм, Вход/выход: 1/4 дюйм, Степень фильтрации: 10 мкр</t>
  </si>
  <si>
    <t>Фильтр F-200 1/2</t>
  </si>
  <si>
    <t>Пропускная способность: 1000 л/мин, Макс. давление: 14 Атм, Вход/выход: 1/2 дюйм, Степень фильтрации: 10 мкр</t>
  </si>
  <si>
    <t>Фильтр F-200 3/8</t>
  </si>
  <si>
    <t>Давление: 14 Атм, Пропускная способность: 700 л/мин, Вход/выход: 3/8 дюйм, Степень фильтрации: 10 мкр</t>
  </si>
  <si>
    <t>Фильтр_Регулятор давления с манометром FR-180 1/4</t>
  </si>
  <si>
    <t>Фильтр_Регулятор давления с манометром FR-200 1/2</t>
  </si>
  <si>
    <t>Фильтр_Регулятор давления с манометром FR-200 3/8</t>
  </si>
  <si>
    <t>Фильтр_Регулятор давления с манометром+Лубрикатор FRL-180 1/4</t>
  </si>
  <si>
    <t>Фильтр_Регулятор давления с манометром+Лубрикатор FRL-200 1/2</t>
  </si>
  <si>
    <t>Фильтр_Регулятор давления с манометром+Лубрикатор FRL-200 3/8</t>
  </si>
  <si>
    <t>Фильтр+Регулятор давления с манометром+Лубрикатор G-FRL-180 1/4</t>
  </si>
  <si>
    <t>Фильтр+Регулятор давления с манометром+Лубрикатор G-FRL-200 1/2</t>
  </si>
  <si>
    <t>Шланг к пистолету для накачки шин NYCA G-T</t>
  </si>
  <si>
    <t>Шланг полиуретановый 3010/1 в бухте 50м 6х10</t>
  </si>
  <si>
    <t>D: 6*10 мм, Температура: от -40 до +80 C, Рабочее давление: 20 Атм, Бухта: 50 м</t>
  </si>
  <si>
    <t>Шланг полиуретановый 3010/3 в бухте 50м 10х14.5</t>
  </si>
  <si>
    <t>D: 14.5 мм, Температура: от -40 до +80 C, Рабочее давление: 20 Атм, Бухта: 50 м</t>
  </si>
  <si>
    <t>Шланг спиральный полиуретановый SPR(Рапид) 5х8мм 4м</t>
  </si>
  <si>
    <t>L: 4 м, D: 5*8 мм, Материал: полиуретан , Соединение: быстросъемное дюйм</t>
  </si>
  <si>
    <t>Шланг спиральный полиуретановый SPR(Рапид) 6,5х10мм 4м</t>
  </si>
  <si>
    <t>L: 4 м, D: 6,5*10 мм, Материал: полиуретан , Соединение: быстросъемное дюйм</t>
  </si>
  <si>
    <t>Шланг спиральный полиуретановый SPR(Рапид) 6,5х10мм 8м</t>
  </si>
  <si>
    <t>L: 8 м, D: 6,5*10 мм, Материал: полиуретан , Соединение: быстросъемное дюйм</t>
  </si>
  <si>
    <t>Шланг спиральный полиуретановый SPR(Рапид) 5х8мм 12м</t>
  </si>
  <si>
    <t>L: 12 м, D: 5*8 мм, Материал: полиуретан , Соединение: быстросъемное дюйм</t>
  </si>
  <si>
    <t>Шланг спиральный полиуретановый SPR(Рапид) 6,5х10мм 12м</t>
  </si>
  <si>
    <t>L: 12 м, D: 6,5*10 мм, Материал: полиуретан , Соединение: быстросъемное дюйм</t>
  </si>
  <si>
    <t>Шланг спиральный полиуретановый SPR(Рапид) 8х12мм 12м</t>
  </si>
  <si>
    <t>L: 12 м, D: 8*12 мм, Материал: полиуретан , Соединение: быстросъемное дюйм</t>
  </si>
  <si>
    <t>Шланг спиральный полиамидный SRB(Байонет) 6х8мм 5м</t>
  </si>
  <si>
    <t>L: 5 м, D: 6*8 мм, Материал: полиуретан , Соединение: байонетное дюйм</t>
  </si>
  <si>
    <t>Шланг спиральный полиамидный SRB(Байонет) 8х10мм 5м</t>
  </si>
  <si>
    <t>L: 5 м, D: 8*10 мм, Материал: полиуретан , Соединение: байонетное дюйм</t>
  </si>
  <si>
    <t>Шланг спиральный полиамидный SRB(Байонет) 6х8мм 10м</t>
  </si>
  <si>
    <t>L: 10 м, D: 6*8 мм, Материал: полиуретан , Соединение: байонетное дюйм</t>
  </si>
  <si>
    <t>Шланг спиральный полиамидный SRB(Байонет) 8х10мм 10м</t>
  </si>
  <si>
    <t>L: 10 м, D: 8*10 мм, Материал: полиуретан , Соединение: байонетное дюйм</t>
  </si>
  <si>
    <t>Шланг спиральный полиамидный SRB(Байонет) 6х8мм 15м</t>
  </si>
  <si>
    <t>L: 15 м, D: 6*8 мм, Материал: полиуретан , Соединение: байонетное дюйм</t>
  </si>
  <si>
    <t>Шланг спиральный полиамидный SRB(Байонет) 6х8мм 20м</t>
  </si>
  <si>
    <t>L: 20 м, D: 6*8 мм, Материал: полиуретан , Соединение: байонетное дюйм</t>
  </si>
  <si>
    <t>Шланг спиральный полиамидный SRB(Байонет) 8х10мм 20м</t>
  </si>
  <si>
    <t>L: 20 м, D: 8*10 мм, Материал: полиуретан , Соединение: байонетное дюйм</t>
  </si>
  <si>
    <t>Шланг спиральный полиамидный SRB(Байонет) 6х8мм 30м</t>
  </si>
  <si>
    <t>L: 30 м, D: 6*8 мм, Материал: полиуретан , Соединение: байонетное дюйм</t>
  </si>
  <si>
    <t>Шланг спиральный полиамидный SRB(Байонет) 8х10мм 30м</t>
  </si>
  <si>
    <t>L: 30 м, D: 8*10 мм, Материал: полиуретан , Соединение: байонетное дюйм</t>
  </si>
  <si>
    <t>Шланг спиральный полиамидный SRU(Рапид) 6х8мм 5м</t>
  </si>
  <si>
    <t>Шланг спиральный полиамидный SRU(Рапид) 8х10мм 5м</t>
  </si>
  <si>
    <t>L: 5 м, D: 8*10 мм, Материал: полиуретан , Соединение: быстросъемное дюйм</t>
  </si>
  <si>
    <t>Шланг спиральный полиамидный SRU(Рапид) 6х8мм 10м</t>
  </si>
  <si>
    <t>L: 10 м, D: 6*8 мм, Материал: полиуретан , Соединение: быстросъемное дюйм</t>
  </si>
  <si>
    <t>Шланг спиральный полиамидный SRU(Рапид) 8х10мм 10м</t>
  </si>
  <si>
    <t>L: 10 м, D: 8*10 мм, Материал: полиуретан , Соединение: быстросъемное дюйм</t>
  </si>
  <si>
    <t>Шланг спиральный полиамидный SRU(Рапид) 6х8мм 15м</t>
  </si>
  <si>
    <t>L: 15 м, D: 6*8 мм, Материал: полиуретан , Соединение: быстросъемное дюйм</t>
  </si>
  <si>
    <t>Шланг спиральный полиамидный SRU(Рапид) 8х10мм 15м</t>
  </si>
  <si>
    <t>L: 15 м, D: 8*10 мм, Материал: полиуретан , Соединение: быстросъемное дюйм</t>
  </si>
  <si>
    <t>Шланг спиральный полиамидный SRU(Рапид) 6х8мм 20м</t>
  </si>
  <si>
    <t>L: 20 м, D: 6*8 мм, Материал: полиуретан , Соединение: быстросъемное дюйм</t>
  </si>
  <si>
    <t>Шланг спиральный полиамидный SRU(Рапид) 8х10мм 20м</t>
  </si>
  <si>
    <t>L: 20 м, D: 8*10 мм, Материал: полиуретан , Соединение: быстросъемное дюйм</t>
  </si>
  <si>
    <t>Шланг спиральный полиамидный SRU(Рапид) 8х10мм 30м</t>
  </si>
  <si>
    <t>L: 30 м, D: 8*10 мм, Материал: полиуретан , Соединение: быстросъемное дюйм</t>
  </si>
  <si>
    <t>Переходник 1262/2 крест MMMM 1/4"</t>
  </si>
  <si>
    <t>Переходник 1223/2 295/1 М1/8" заглушка</t>
  </si>
  <si>
    <t>Переходник 1223/3 295/2 М1/4" заглушка</t>
  </si>
  <si>
    <t>Переходник 1223/3 295/2 М1/4" заглушка (блистер)</t>
  </si>
  <si>
    <t>Переходник 1223/4 295/3 М3/8" заглушка</t>
  </si>
  <si>
    <t>Краскораспылитель(мини) PRO PAINT 75мл 0.7мм Рапид</t>
  </si>
  <si>
    <t>Краскораспылитель(мини) PRO PAINT 75мл 1.0мм Рапид</t>
  </si>
  <si>
    <t>Шланг спиральный полиуретановый SPR(Рапид) 8х12мм 4м</t>
  </si>
  <si>
    <t>Переходник 1259/4 253/4 крест FFFM 1/2"</t>
  </si>
  <si>
    <t>Переходники/Фитинги GARAGE</t>
  </si>
  <si>
    <t>УТ-00000376</t>
  </si>
  <si>
    <t>Переходник(БРС) Garage. UNI_Рапид_Мама-1/4"_Мама (Блистер)</t>
  </si>
  <si>
    <t>УТ-00000377</t>
  </si>
  <si>
    <t>Переходник(БРС) Garage. UNI_Рапид_Мама-1/4"_Мама</t>
  </si>
  <si>
    <t>УТ-00000378</t>
  </si>
  <si>
    <t>Переходник(БРС) Garage. UNI_Рапид_Мама-1/4"_Папа (Блистер)</t>
  </si>
  <si>
    <t>УТ-00000379</t>
  </si>
  <si>
    <t>Переходник(БРС) Garage. UNI_Рапид_Мама-1/4"_Папа</t>
  </si>
  <si>
    <t>УТ-00000380</t>
  </si>
  <si>
    <t>Переходник(БРС) Garage. UNI_Рапид_Мама-1/2"_Папа (Блистер)</t>
  </si>
  <si>
    <t>УТ-00000381</t>
  </si>
  <si>
    <t>Переходник(БРС) Garage. UNI_Рапид_Мама-1/2"_Папа</t>
  </si>
  <si>
    <t>УТ-00000382</t>
  </si>
  <si>
    <t>Переходник(БРС) Garage. UNI_Рапид_Мама-Ёлочка 6,35мм (Блистер)</t>
  </si>
  <si>
    <t>УТ-00000383</t>
  </si>
  <si>
    <t>Переходник(БРС) Garage. UNI_Рапид_Мама-Ёлочка 6,35мм</t>
  </si>
  <si>
    <t>УТ-00000384</t>
  </si>
  <si>
    <t>Переходник(БРС) Garage. UNI_Рапид_Мама-Ёлочка 8мм (Блистер)</t>
  </si>
  <si>
    <t>УТ-00000385</t>
  </si>
  <si>
    <t>Переходник(БРС) Garage. UNI_Рапид_Мама-Ёлочка 8мм</t>
  </si>
  <si>
    <t>УТ-00000386</t>
  </si>
  <si>
    <t>Переходник(БРС) Garage. UNI_Рапид_Мама-Ёлочка 10мм (Блистер)</t>
  </si>
  <si>
    <t>УТ-00000387</t>
  </si>
  <si>
    <t>Переходник(БРС) Garage. UNI_Рапид_Мама-Ёлочка 10мм</t>
  </si>
  <si>
    <t>УТ-00000388</t>
  </si>
  <si>
    <t>Переходник(БРС) Garage. Рапид(D)_Папа-1/4"_Мама (Блистер)</t>
  </si>
  <si>
    <t>УТ-00000389</t>
  </si>
  <si>
    <t>Переходник(БРС) Garage. Рапид(D)_Папа-1/4"_Мама</t>
  </si>
  <si>
    <t>УТ-00000390</t>
  </si>
  <si>
    <t>Переходник(БРС) Garage. Рапид(D)_Папа-1/4"_Папа (Блистер)</t>
  </si>
  <si>
    <t>УТ-00000391</t>
  </si>
  <si>
    <t>Переходник(БРС) Garage. Рапид(D)_Папа-1/4"_Папа</t>
  </si>
  <si>
    <t>УТ-00000392</t>
  </si>
  <si>
    <t>Переходник(БРС) Garage. Рапид(D)_Папа-1/2"_Папа (Блистер)</t>
  </si>
  <si>
    <t>УТ-00000393</t>
  </si>
  <si>
    <t>Переходник(БРС) Garage. Рапид(D)_Папа-1/2"_Папа</t>
  </si>
  <si>
    <t>УТ-00000394</t>
  </si>
  <si>
    <t>Переходник(БРС) Garage. Рапид(D)_Папа-Ёлочка 6,35мм (Блистер)</t>
  </si>
  <si>
    <t>УТ-00000395</t>
  </si>
  <si>
    <t>Переходник(БРС) Garage. Рапид(D)_Папа-Ёлочка 6,35мм</t>
  </si>
  <si>
    <t>УТ-00000396</t>
  </si>
  <si>
    <t>Переходник(БРС) Garage. Рапид(D)_Папа-Ёлочка 8мм (Блистер)</t>
  </si>
  <si>
    <t>УТ-00000397</t>
  </si>
  <si>
    <t>Переходник(БРС) Garage. Рапид(D)_Папа-Ёлочка 8мм</t>
  </si>
  <si>
    <t>УТ-00000398</t>
  </si>
  <si>
    <t>Переходник(БРС) Garage. Рапид(D)_Папа-Ёлочка 10мм (Блистер)</t>
  </si>
  <si>
    <t>УТ-00000399</t>
  </si>
  <si>
    <t>Переходник(БРС) Garage. Рапид(D)_Папа-Ёлочка 10мм</t>
  </si>
  <si>
    <t>Окрасочное оборудование GARAGE</t>
  </si>
  <si>
    <t>Пистолет моющий с удлиненным соплом LB-02 (байонет) GARAGE</t>
  </si>
  <si>
    <t>Расход воздуха: 200-400 л/мин, Рабочее давление: 2-6 Атм, Объем бака: 1000 мл</t>
  </si>
  <si>
    <t>Бачок верхний LT-04 к 162А 500 мл GARAGE</t>
  </si>
  <si>
    <t>Пистолет продувочный 60B-3 с удлиненным соплом (бс) GARAGE</t>
  </si>
  <si>
    <t>Расход воздуха: 0-400 л/мин, Рабочее давление: 6 Атм</t>
  </si>
  <si>
    <t>Пистолет продувочный 60A-1 (бс) GARAGE</t>
  </si>
  <si>
    <t>Краскораспылитель 162С 1.5 (бс) GARAGE</t>
  </si>
  <si>
    <t>D сопла: 1,5 мм, Расход воздуха: 100-200 л/мин, Рабочее давление: 4-8 Атм, Объем бака: 1000 мл</t>
  </si>
  <si>
    <t>Фильтр влагоотделитель MF-01 M1/4" GARAGE</t>
  </si>
  <si>
    <t>Набор окрасочного инструмента UNIVERSAL UNI-A (бс) GARAGE</t>
  </si>
  <si>
    <t>Набор окрасочного инструмента UNIVERSAL UNI-B (бс) GARAGE</t>
  </si>
  <si>
    <t>Красконагнетательный бак PX-1 с краскораспылителем 1.2 (байонет) GARAGE</t>
  </si>
  <si>
    <t>D сопла: 1,2 мм, Расход воздуха: 280 л/мин, Рабочее давление: 3-4 Атм, Объем бака: 9000 мл</t>
  </si>
  <si>
    <t>Пистолет для густой смазки LM-02 (бс) GARAGE</t>
  </si>
  <si>
    <t>Рабочее давление: 6,5 Атм, Объем бака: 500 мл</t>
  </si>
  <si>
    <t>Пистолет для подкачки шин 60D-5 (бс) GARAGE</t>
  </si>
  <si>
    <t>Краскораспылитель 162А2 1.5 (бс) GARAGE</t>
  </si>
  <si>
    <t>D сопла: 1,5 мм, Расход воздуха: 100-200 л/мин, Рабочее давление: 4-8 Атм, Объем бака: 500 мл</t>
  </si>
  <si>
    <t>Наконечник LF-08 для пистолета 60D-5 GARAGE</t>
  </si>
  <si>
    <t>Регулятор давления MF-04 F1/4" (байонет) GARAGE</t>
  </si>
  <si>
    <t>Манометр для проверки давления в шинах TG-2 GARAGE</t>
  </si>
  <si>
    <t>Переходник LF-01 (113/1) бс штуцер M1/4" GARAGE</t>
  </si>
  <si>
    <t>Переходник комбинированный с быстросъем "папа" на резьбу M1/4" с байонетной гайкой F1/4" GARAGE</t>
  </si>
  <si>
    <t>УТ-00000063</t>
  </si>
  <si>
    <t>Пистолет текстурный LC-04 (бс) GARAGE</t>
  </si>
  <si>
    <t>УТ-00000066</t>
  </si>
  <si>
    <t>Пистолет текстурный LC-02 (бс) GARAGE</t>
  </si>
  <si>
    <t>Краскораспылитель аэрограф LK-04 GARAGE</t>
  </si>
  <si>
    <t>Шланги для воздуха</t>
  </si>
  <si>
    <t>Шланги для воздуха REHAU</t>
  </si>
  <si>
    <t>Шланг ПВХ в бухте Raufilam-E 6х12мм 50м</t>
  </si>
  <si>
    <t>бухта</t>
  </si>
  <si>
    <t>L: 50 м, Рабочее давление: 16 бар, Внутр. D: 6 мм, t стенки: 3 мм</t>
  </si>
  <si>
    <t>Шланг ПВХ в бухте Raufilam-E 8х14мм 50м</t>
  </si>
  <si>
    <t>L: 50 м, Рабочее давление: 15 бар, Внутр. D: 8 мм, t стенки: 3 мм</t>
  </si>
  <si>
    <t>Шланг ПВХ в бухте Raufilam-E 10х16мм 50м</t>
  </si>
  <si>
    <t>L: 50 м, Рабочее давление: 12 бар, Внутр. D: 10 мм, t стенки: 3 мм</t>
  </si>
  <si>
    <t>Шланг ПВХ в бухте Raufilam Soft 8х13мм 50м</t>
  </si>
  <si>
    <t>Шланг ПВХ в бухте Raufilam Soft 12,7х18,7мм 50м</t>
  </si>
  <si>
    <t>Шланг ПВХ в бухте Raufilam Soft 10х16мм 50м</t>
  </si>
  <si>
    <t>Шланги для воздуха GARAGE</t>
  </si>
  <si>
    <t>Шланг Garage ПВХ в бухте d8х11мм 50м</t>
  </si>
  <si>
    <t>Шланг Garage ПВХ в бухте d10х13мм 50м</t>
  </si>
  <si>
    <t>Шланг Garage ПВХ в бухте d12х15мм 50м</t>
  </si>
  <si>
    <t>Шланг Garage для воздуха с фитингами (20бар) ф6х10м</t>
  </si>
  <si>
    <t>Шланг Garage для воздуха с фитингами (20бар) ф6х15м</t>
  </si>
  <si>
    <t>Шланг Garage для воздуха с фитингами (20бар) ф6х7.5м</t>
  </si>
  <si>
    <t>Шланг Garage для воздуха с фитингами (20бар) ф8х10м</t>
  </si>
  <si>
    <t>Шланг Garage для воздуха с фитингами (20бар) ф8х15м</t>
  </si>
  <si>
    <t>Шланг Garage для воздуха с фитингами (20бар) ф8х7.5м</t>
  </si>
  <si>
    <t>Масло компрессорное</t>
  </si>
  <si>
    <t>Масло для компрессоров, мин. MANNOL  ISO  100 (1л), Германия</t>
  </si>
  <si>
    <t>Масло для пневмоинструмента, мин. MANNOL  ISO  46 (1л), Германия</t>
  </si>
  <si>
    <t>Масло компрессорное REMEZA VG 100 (1л)</t>
  </si>
  <si>
    <t>Масло для пневмоинструмента REMEZA WH 45 (1л)</t>
  </si>
  <si>
    <t>Масло для пневмоинструмента REMEZA WH 45 (100 мл)</t>
  </si>
  <si>
    <t>Масло компрессорное REMEZA VG 100 (2л)</t>
  </si>
  <si>
    <t>Ручной инструмент Отверткин</t>
  </si>
  <si>
    <t>Указка магнитная телескоп. 0,68 кг. Отверткин</t>
  </si>
  <si>
    <t>Указка магнитная телескоп. 2,27кг. Отверткин</t>
  </si>
  <si>
    <t>Указка магнитная телескоп. 2,27кг. с подсветкой Отверткин</t>
  </si>
  <si>
    <t>Набор инструментов 11 предметов Отверткин</t>
  </si>
  <si>
    <t>Набор инструментов 103 предмета Отверткин</t>
  </si>
  <si>
    <t>Ключ динамометрический 1/4" 5-25Нм щелчковый Отверткин</t>
  </si>
  <si>
    <t>Ключ динамометрический 3/8" 19-110Нм щелчковый Отверткин</t>
  </si>
  <si>
    <t>Ключ динамометрический 1/2" 40-210Нм щелчковый Отверткин</t>
  </si>
  <si>
    <t>Набор плашек и метчиков 40 предметов AS-40 Отверткин</t>
  </si>
  <si>
    <t>Кондуктор для сверл. наклон. отверстий №1  Отверткин</t>
  </si>
  <si>
    <t>Угловые зажимы 90гр. 4 шт. №1 Отверткин</t>
  </si>
  <si>
    <t>Ручной инструмент Арсенал</t>
  </si>
  <si>
    <t>Наборы в пластиковых кейсах (Серия "АВТО")</t>
  </si>
  <si>
    <t>Набор инструментов 14 предметов 3/4 для грузовиков (Т) Арсенал</t>
  </si>
  <si>
    <t>Набор инструментов 22 предмета 1" для грузовиков (Т) Арсенал</t>
  </si>
  <si>
    <t>Набор инструментов 21 предмет 3/4 для грузовиков (Т) Арсенал</t>
  </si>
  <si>
    <t>Набор инструментов 99 предметов (С) Арсенал</t>
  </si>
  <si>
    <t>Набор инструментов 110 предметов  (С) Арсенал</t>
  </si>
  <si>
    <t>Набор инструментов 42 предмета (С) Арсенал</t>
  </si>
  <si>
    <t xml:space="preserve">Набор инструментов 42 предмета (С) Арсенал </t>
  </si>
  <si>
    <t>Набор инструментов 82 предмета (C) Арсенал</t>
  </si>
  <si>
    <t>Набор инструментов 104 предмета (C) Арсенал</t>
  </si>
  <si>
    <t>Набор инструментов 132 предмета (C) Арсенал</t>
  </si>
  <si>
    <t>Набор инструментов 108 предметов (C) Арсенал</t>
  </si>
  <si>
    <t>Набор инструментов 108 предмета (C) Арсенал</t>
  </si>
  <si>
    <t>Набор инструментов 23 предмета 3/4 дюймовый для грузовиков (Т) Арсенал</t>
  </si>
  <si>
    <t>Динамометрические ключи</t>
  </si>
  <si>
    <t>Ключ динамометрический 1/4" 5-24Нм щелчковый Арсенал</t>
  </si>
  <si>
    <t>Ключ динамометрический 3/8" 19-110Нм щелчковый Арсенал</t>
  </si>
  <si>
    <t>Ключ динамометрический 1/2" 28-210Нм щелчковый Арсенал</t>
  </si>
  <si>
    <t>Ключ динамометрический 1/2" 70-350Нм щелчковый Арсенал</t>
  </si>
  <si>
    <t>Ремкомплекты</t>
  </si>
  <si>
    <t>Ремонтный комплект для трещоток 72 зуба на 1/4" Арсенал</t>
  </si>
  <si>
    <t>Ремонтный комплект для трещоток 72 зуба на 1/2" Арсенал</t>
  </si>
  <si>
    <t>Ремонтный комплект для воротка на 1/2" Арсенал 430 мм</t>
  </si>
  <si>
    <t>Ремкомплект для динамометрического ключа 1/4" 5-24Нм (257-001) Арсенал</t>
  </si>
  <si>
    <t>Ремкомплект для динамометрического ключа 3/8" 19-110Нм (257-003) Арсенал</t>
  </si>
  <si>
    <t>Ремкомплект для динамометрического ключа 1/2" 28-210Нм (257-005) Арсенал</t>
  </si>
  <si>
    <t>Ремкомплект для динамометрического ключа 1/2" 70-350Нм (257-007) Арсенал</t>
  </si>
  <si>
    <t>Набор шестигранников НШ-10 Г-образных Арсенал</t>
  </si>
  <si>
    <t>Расходный инструмент АТАКА</t>
  </si>
  <si>
    <t>Абразив мягкий</t>
  </si>
  <si>
    <t>Лента шлифовальная 75*457 Атака Р60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</si>
  <si>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613810
Абразив - электрокорунд
Размер 75*457
Количество в упаковке - 3 шт
Зернистость Р60 (грубая обработка)</t>
  </si>
  <si>
    <t>Лента шлифовальная 75*457 Атака Р40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</si>
  <si>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677350
Абразив - электрокорунд
Размер 75*457
Количество в упаковке - 3 шт
Зернистость Р40 (грубая обработка)</t>
  </si>
  <si>
    <t>Лента шлифовальная 75*457 Атака Р80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</si>
  <si>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677410
Абразив - электрокорунд
Размер 75*457
Количество в упаковке - 3 шт
Зернистость Р80 (грубая обработка)</t>
  </si>
  <si>
    <t>Лента шлифовальная 75*457 Атака Р100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</si>
  <si>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677430
Абразив - электрокорунд
Размер 75*457
Количество в упаковке - 3 шт
Зернистость Р100 (финишная обработка)</t>
  </si>
  <si>
    <t>Лента шлифовальная 75*533 Атака Р40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</si>
  <si>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677470
Абразив - электрокорунд
Размер 75*533
Количество в упаковке - 3 шт
Зернистость Р40 (грубая обработка)</t>
  </si>
  <si>
    <t>Лента шлифовальная 75*533 Атака Р60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</si>
  <si>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677490
Абразив - электрокорунд
Размер 75*533
Количество в упаковке - 3 шт
Зернистость Р60 (грубая обработка)</t>
  </si>
  <si>
    <t>Лента шлифовальная 75*533 Атака Р80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</si>
  <si>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677540
Абразив - электрокорунд
Размер 75*533
Количество в упаковке - 3 шт
Зернистость Р80 (грубая обработка)</t>
  </si>
  <si>
    <t>Лента шлифовальная 75*533 Атака Р100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</si>
  <si>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677560
Абразив - электрокорунд
Размер 75*533
Количество в упаковке - 3 шт
Зернистость Р100 (финишная обработка)</t>
  </si>
  <si>
    <t>Лента шлифовальная 100*610 Атака Р40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</si>
  <si>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678550
Абразив - электрокорунд
Размер 100*610
Количество в упаковке - 3 шт
Зернистость Р40 (грубая обработка)</t>
  </si>
  <si>
    <t>Лента шлифовальная 100*610 Атака Р60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</si>
  <si>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678570
Абразив - электрокорунд
Размер 100*610
Количество в упаковке - 3 шт
Зернистость Р60 (грубая обработка)</t>
  </si>
  <si>
    <t>Лента шлифовальная 100*610 Атака Р80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</si>
  <si>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678590
Абразив - электрокорунд
Размер 100*610
Количество в упаковке - 3 шт
Зернистость Р80 (грубая обработка)</t>
  </si>
  <si>
    <t>Лента шлифовальная 100*610 Атака Р100 (3шт)</t>
  </si>
  <si>
    <t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678610
Абразив - электрокорунд
Размер 100*610
Количество в упаковке - 3 шт
Зернистость Р100 (финишная обработка)</t>
  </si>
  <si>
    <t>КЛТ 125 Р40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</si>
  <si>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680750. 
Диаметр D=125мм
Абразив - оксид алюминия (коричневый)
Зернистость Р=40 (грубая обработка)</t>
  </si>
  <si>
    <t>КЛТ 125 Р60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</si>
  <si>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680780. 
Диаметр D=125мм
Абразив - оксид алюминия (коричневый)
Зернистость Р=60 (грубая обработка)</t>
  </si>
  <si>
    <t>КЛТ 125 Р80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</si>
  <si>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680790. 
Диаметр D=125мм
Абразив - оксид алюминия (коричневый)
Зернистость Р=80 (грубая обработка)</t>
  </si>
  <si>
    <t>КЛТ 125 Р100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</si>
  <si>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680800. 
Диаметр D=125мм
Абразив - оксид алюминия (коричневый)
Зернистость Р=100 (финишная обработка)</t>
  </si>
  <si>
    <t>КЛТ 180 Р40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</si>
  <si>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680840. 
Диаметр D=185мм
Абразив - оксид алюминия (коричневый)
Зернистость Р=40 (грубая обработка)</t>
  </si>
  <si>
    <t>КЛТ 180 Р60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</si>
  <si>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680870. 
Диаметр D=180мм
Абразив - оксид алюминия (коричневый)
Зернистость Р=60 (грубая обработка)</t>
  </si>
  <si>
    <t>КЛТ 180 Р80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</si>
  <si>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680880. 
Диаметр D=180мм
Абразив - оксид алюминия (коричневый)
Зернистость Р=80 (грубая обработка)</t>
  </si>
  <si>
    <t>КЛТ 180 Р100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</si>
  <si>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680890. 
Диаметр D=180мм
Абразив - оксид алюминия (коричневый)
Зернистость Р=100 (финишная обработка)</t>
  </si>
  <si>
    <t>КЛТ 125 Р100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</si>
  <si>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993420. 
Диаметр D=125мм
Абразив - цирконий (синий)
Зернистость Р=100 (финишная обработка)</t>
  </si>
  <si>
    <t>КЛТ 125 Р40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</si>
  <si>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993450. 
Диаметр D=125мм
Абразив - цирконий (синий)
Зернистость Р=40 (грубая обработка)</t>
  </si>
  <si>
    <t>КЛТ 125 Р60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</si>
  <si>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993480. 
Диаметр D=125мм
Абразив - цирконий (синий)
Зернистость Р=60 (грубая обработка)</t>
  </si>
  <si>
    <t>КЛТ 125 Р80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</si>
  <si>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993490. 
Диаметр D=125мм
Абразив - цирконий (синий)
Зернистость Р=80 (грубая обработка)</t>
  </si>
  <si>
    <t>КЛТ 180 Р100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</si>
  <si>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993500. 
Диаметр D=180мм
Абразив - цирконий (синий)
Зернистость Р=100 (финишная обработка)</t>
  </si>
  <si>
    <t>КЛТ 180 Р40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</si>
  <si>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993530. 
Диаметр D=180мм
Абразив - цирконий (синий)
Зернистость Р=40 (грубая обработка)</t>
  </si>
  <si>
    <t>КЛТ 180 Р60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</si>
  <si>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993560. 
Диаметр D=180мм
Абразив - цирконий (синий)
Зернистость Р=60 (грубая обработка)</t>
  </si>
  <si>
    <t>КЛТ 180 Р80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</si>
  <si>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993570. 
Диаметр D=180мм
Абразив - цирконий (синий)
Зернистость Р=80 (грубая обработка)</t>
  </si>
  <si>
    <t>КЛТ 150 Р40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</si>
  <si>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1109090. 
Диаметр D=150мм
Абразив - оксид алюминия (коричневый)
Зернистость Р=40 (грубая обработка)</t>
  </si>
  <si>
    <t>КЛТ 150 Р60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</si>
  <si>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1109110. 
Диаметр D=150мм
Абразив - оксид алюминия (коричневый)
Зернистость Р=60 (грубая обработка)</t>
  </si>
  <si>
    <t>КЛТ 150 Р80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</si>
  <si>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1109120. 
Диаметр D=150мм
Абразив - оксид алюминия (коричневый)
Зернистость Р=80 (грубая обработка)</t>
  </si>
  <si>
    <t>КЛТ 150 Р100 Атака (коричневый)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</si>
  <si>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1109130. 
Диаметр D=150мм
Абразив - оксид алюминия (коричневый)
Зернистость Р=100 (финишная обработка)</t>
  </si>
  <si>
    <t>КЛТ 150 Р40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</si>
  <si>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1109160. 
Диаметр D=150мм
Абразив - цирконий (синий)
Зернистость Р=40 (грубая обработка)</t>
  </si>
  <si>
    <t>КЛТ 150 Р60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</si>
  <si>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1109190. 
Диаметр D=150мм
Абразив - цирконий (синий)
Зернистость Р=60 (грубая обработка)</t>
  </si>
  <si>
    <t>КЛТ 150 Р80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</si>
  <si>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1109200. 
Диаметр D=150мм
Абразив - цирконий (синий)
Зернистость Р=80 (грубая обработка)</t>
  </si>
  <si>
    <t>КЛТ 150 Р100 Атака цирконий (синий)</t>
  </si>
  <si>
    <t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1109210. 
Диаметр D=150мм
Абразив - цирконий (синий)
Зернистость Р=100 (финишная обработка)</t>
  </si>
  <si>
    <t>Абразив твёрдый</t>
  </si>
  <si>
    <t>Круг отрезной Атака по металлу 115*1.2*22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</si>
  <si>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1458860
Применение: металл
Размер (D * h * d): 115*1.2*22мм
Абразивный материал - оксид алюминия
Упрочняющий элемент - армированная сетка</t>
  </si>
  <si>
    <t>Круг отрезной Атака по металлу 115*1.6*22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</si>
  <si>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1458880
Применение: металл
Размер (D * h * d): 115*1.6*22мм
Абразивный материал - оксид алюминия
Упрочняющий элемент - армированная сетка</t>
  </si>
  <si>
    <t>Круг отрезной Атака по металлу 115*2.5*22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</si>
  <si>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1458890
Применение: металл
Размер (D * h * d): 115*2.5*22мм
Абразивный материал - оксид алюминия
Упрочняющий элемент - армированная сетка</t>
  </si>
  <si>
    <t>Круг отрезной Атака по металлу 125*1.2*22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</si>
  <si>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1458910
Применение: металл
Размер (D * h * d): 125*1.2*22мм
Абразивный материал - оксид алюминия
Упрочняющий элемент - армированная сетка</t>
  </si>
  <si>
    <t>Круг отрезной Атака по металлу 125*2*22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</si>
  <si>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1458920
Применение: металл
Размер (D * h * d): 125*2*22мм
Абразивный материал - оксид алюминия
Упрочняющий элемент - армированная сетка</t>
  </si>
  <si>
    <t>Круг отрезной Атака по металлу 125*2.5*22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</si>
  <si>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1458930
Применение: металл
Размер (D * h * d): 125*2.5*22мм
Абразивный материал - оксид алюминия
Упрочняющий элемент - армированная сетка</t>
  </si>
  <si>
    <t>Круг отрезной Атака по металлу 150*2.5*22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</si>
  <si>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1458940
Применение: металл
Размер (D * h * d): 150*2.5*22мм
Абразивный материал - оксид алюминия
Упрочняющий элемент - армированная сетка</t>
  </si>
  <si>
    <t>Круг отрезной Атака по металлу 180*2.5*22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</si>
  <si>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1458950
Применение: металл
Размер (D * h * d): 180*2.5*22мм
Абразивный материал - оксид алюминия
Упрочняющий элемент - армированная сетка</t>
  </si>
  <si>
    <t>Круг отрезной Атака по металлу 230*2*22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</si>
  <si>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1458980
Применение: металл
Размер (D * h * d): 230*2*22мм
Абразивный материал - оксид алюминия
Упрочняющий элемент - армированная сетка</t>
  </si>
  <si>
    <t>Круг отрезной Атака по металлу 230*2.5*22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</si>
  <si>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1458990
Применение: металл
Размер (D * h * d): 230*2.5*22мм
Абразивный материал - оксид алюминия
Упрочняющий элемент - армированная сетка</t>
  </si>
  <si>
    <t>Круг отрезной Атака по металлу 350*3.5*25.4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</si>
  <si>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1459000
Применение: металл
Размер (D * h * d): 350*3.5*25.4мм
Абразивный материал - оксид алюминия
Упрочняющий элемент - армированная сетка</t>
  </si>
  <si>
    <t>Круг отрезной Атака по металлу 125*1.6*22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</si>
  <si>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1459010
Применение: металл
Размер (D * h * d): 125*1.6*22мм
Абразивный материал - оксид алюминия
Упрочняющий элемент - армированная сетка</t>
  </si>
  <si>
    <t>Круг отрезной Атака по металлу 300*3.5*32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</si>
  <si>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1459020
Применение: металл
Размер (D * h * d): 300*3.5*32мм
Абразивный материал - оксид алюминия
Упрочняющий элемент - армированная сетка</t>
  </si>
  <si>
    <t>Круг отрезной Атака по металлу 400*4*32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</si>
  <si>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1459030
Применение: металл
Размер (D * h * d): 400*4*32мм
Абразив - карбид кремния
Упрочняющий элемент - армированная сетка</t>
  </si>
  <si>
    <t>Круг отрезной Атака по металлу 150*2*22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</si>
  <si>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2901370
Применение: металл
Размер (D * h * d): 150*2*22мм
Абразивный материал - оксид алюминия
Упрочняющий элемент - армированная сетка</t>
  </si>
  <si>
    <t>Круг отрезной Атака по металлу 350*3*25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</si>
  <si>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2901460
Применение: металл
Размер (D * h * d): 350*3*25.4мм
Абразивный материал - оксид алюминия
Упрочняющий элемент - армированная сетка</t>
  </si>
  <si>
    <t>Круг отрезной Атака по металлу 350*4*25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</si>
  <si>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2901470
Применение: металл
Размер (D * h * d): 350*4*25.4мм
Абразивный материал - оксид алюминия
Упрочняющий элемент - армированная сетка</t>
  </si>
  <si>
    <t>Абразив твёрдый (Серия Профи+)</t>
  </si>
  <si>
    <t>Круг отрезной 180*2,5*22,2 по металлу Профи+ Атака</t>
  </si>
  <si>
    <t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 Профи+, код 8094160
Применение: металл
Размер (D * h * d): 180*2,5*22,2мм
Абразивный материал - оксид алюминия
Упрочняющий элемент - армированная сетка</t>
  </si>
  <si>
    <t>Адаптеры</t>
  </si>
  <si>
    <t>Адаптер SDS+ 1/2" профи Атака</t>
  </si>
  <si>
    <t>Адаптер SDS+ М12 профи Атака</t>
  </si>
  <si>
    <t>Буры</t>
  </si>
  <si>
    <t>Бур SDS+ 6*160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</si>
  <si>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6*160 профи Атака.
Хвостовик – SDS plus
Инструментальная сталь, наконечник из твердого сплава с алмазной шлифовкой.</t>
  </si>
  <si>
    <t>Бур SDS+ 16*450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</si>
  <si>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16*450 профи Атака.
Хвостовик – SDS plus
Инструментальная сталь, наконечник из твердого сплава с алмазной шлифовкой.</t>
  </si>
  <si>
    <t>Бур SDS+ 16*310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</si>
  <si>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16*310 профи Атака.
Хвостовик – SDS plus
Инструментальная сталь, наконечник из твердого сплава с алмазной шлифовкой.</t>
  </si>
  <si>
    <t>Бур SDS+ 16*260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</si>
  <si>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16*260 профи Атака.
Хвостовик – SDS plus
Инструментальная сталь, наконечник из твердого сплава с алмазной шлифовкой.</t>
  </si>
  <si>
    <t>Бур SDS+ 16*210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</si>
  <si>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16*210 профи Атака.
Хвостовик – SDS plus
Инструментальная сталь, наконечник из твердого сплава с алмазной шлифовкой.</t>
  </si>
  <si>
    <t>Бур SDS+ 14*450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</si>
  <si>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14*450 профи Атака.
Хвостовик – SDS plus
Инструментальная сталь, наконечник из твердого сплава с алмазной шлифовкой.</t>
  </si>
  <si>
    <t>Бур SDS+ 14*310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</si>
  <si>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14*310 профи Атака.
Хвостовик – SDS plus
Инструментальная сталь, наконечник из твердого сплава с алмазной шлифовкой.</t>
  </si>
  <si>
    <t>Бур SDS+ 14*260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</si>
  <si>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14*260 профи Атака.
Хвостовик – SDS plus
Инструментальная сталь, наконечник из твердого сплава с алмазной шлифовкой.</t>
  </si>
  <si>
    <t>Бур SDS+ 14*210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</si>
  <si>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14*210 профи Атака.
Хвостовик – SDS plus
Инструментальная сталь, наконечник из твердого сплава с алмазной шлифовкой.</t>
  </si>
  <si>
    <t>Бур SDS+ 14*160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</si>
  <si>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14*160 профи Атака.
Хвостовик – SDS plus
Инструментальная сталь, наконечник из твердого сплава с алмазной шлифовкой.</t>
  </si>
  <si>
    <t>Бур SDS+ 12*450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</si>
  <si>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12*450 профи Атака.
Хвостовик – SDS plus
Инструментальная сталь, наконечник из твердого сплава с алмазной шлифовкой.</t>
  </si>
  <si>
    <t>Бур SDS+ 12*350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</si>
  <si>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12*350 профи Атака.
Хвостовик – SDS plus
Инструментальная сталь, наконечник из твердого сплава с алмазной шлифовкой.</t>
  </si>
  <si>
    <t>Бур SDS+ 12*310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</si>
  <si>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12*310 профи Атака.
Хвостовик – SDS plus
Инструментальная сталь, наконечник из твердого сплава с алмазной шлифовкой.</t>
  </si>
  <si>
    <t>Бур SDS+ 12*260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</si>
  <si>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12*260 профи Атака.
Хвостовик – SDS plus
Инструментальная сталь, наконечник из твердого сплава с алмазной шлифовкой.</t>
  </si>
  <si>
    <t>Бур SDS+ 12*210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</si>
  <si>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12*210 профи Атака.
Хвостовик – SDS plus
Инструментальная сталь, наконечник из твердого сплава с алмазной шлифовкой.</t>
  </si>
  <si>
    <t>Бур SDS+ 12*160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</si>
  <si>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12*160 профи Атака.
Хвостовик – SDS plus
Инструментальная сталь, наконечник из твердого сплава с алмазной шлифовкой.</t>
  </si>
  <si>
    <t>Бур SDS+ 10*600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</si>
  <si>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10*600 профи Атака.
Хвостовик – SDS plus
Инструментальная сталь, наконечник из твердого сплава с алмазной шлифовкой.</t>
  </si>
  <si>
    <t>Бур SDS+ 10*450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</si>
  <si>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10*450 профи Атака.
Хвостовик – SDS plus
Инструментальная сталь, наконечник из твердого сплава с алмазной шлифовкой.</t>
  </si>
  <si>
    <t>Бур SDS+ 10*350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</si>
  <si>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10*350 профи Атака.
Хвостовик – SDS plus
Инструментальная сталь, наконечник из твердого сплава с алмазной шлифовкой.</t>
  </si>
  <si>
    <t>Бур SDS+ 10*310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</si>
  <si>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10*310 профи Атака.
Хвостовик – SDS plus
Инструментальная сталь, наконечник из твердого сплава с алмазной шлифовкой.</t>
  </si>
  <si>
    <t>Бур SDS+ 10*260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</si>
  <si>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10*260 профи Атака.
Хвостовик – SDS plus
Инструментальная сталь, наконечник из твердого сплава с алмазной шлифовкой.</t>
  </si>
  <si>
    <t>Бур SDS+ 10*210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</si>
  <si>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10*210 профи Атака.
Хвостовик – SDS plus
Инструментальная сталь, наконечник из твердого сплава с алмазной шлифовкой.</t>
  </si>
  <si>
    <t>Бур SDS+ 10*160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</si>
  <si>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10*160 профи Атака.
Хвостовик – SDS plus
Инструментальная сталь, наконечник из твердого сплава с алмазной шлифовкой.</t>
  </si>
  <si>
    <t>Бур SDS+ 8*310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</si>
  <si>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8*310 профи Атака.
Хвостовик – SDS plus
Инструментальная сталь, наконечник из твердого сплава с алмазной шлифовкой.</t>
  </si>
  <si>
    <t>Бур SDS+ 8*260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</si>
  <si>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8*260 профи Атака.
Хвостовик – SDS plus
Инструментальная сталь, наконечник из твердого сплава с алмазной шлифовкой.</t>
  </si>
  <si>
    <t>Бур SDS+ 6*260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</si>
  <si>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6*260 профи Атака.
Хвостовик – SDS plus
Инструментальная сталь, наконечник из твердого сплава с алмазной шлифовкой.</t>
  </si>
  <si>
    <t>Бур SDS+ 8*210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</si>
  <si>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8*210 профи Атака.
Хвостовик – SDS plus
Инструментальная сталь, наконечник из твердого сплава с алмазной шлифовкой.</t>
  </si>
  <si>
    <t>Бур SDS+ 8*160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</si>
  <si>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8*160 профи Атака.
Хвостовик – SDS plus
Инструментальная сталь, наконечник из твердого сплава с алмазной шлифовкой.</t>
  </si>
  <si>
    <t>Бур SDS+ 8*110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</si>
  <si>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8*110 профи Атака.
Хвостовик – SDS plus
Инструментальная сталь, наконечник из твердого сплава с алмазной шлифовкой.</t>
  </si>
  <si>
    <t>Бур SDS+ 7*160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</si>
  <si>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7*160 профи Атака.
Хвостовик – SDS plus
Инструментальная сталь, наконечник из твердого сплава с алмазной шлифовкой.</t>
  </si>
  <si>
    <t>Бур SDS+ 6*210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</si>
  <si>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6*210 профи Атака.
Хвостовик – SDS plus
Инструментальная сталь, наконечник из твердого сплава с алмазной шлифовкой.</t>
  </si>
  <si>
    <t>Бур SDS+ 6*110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</si>
  <si>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6*110 профи Атака.
Хвостовик – SDS plus
Инструментальная сталь, наконечник из твердого сплава с алмазной шлифовкой.</t>
  </si>
  <si>
    <t>Бур SDS+ 5*160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</si>
  <si>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5*160 профи Атака.
Хвостовик – SDS plus
Инструментальная сталь, наконечник из твердого сплава с алмазной шлифовкой.</t>
  </si>
  <si>
    <t>Бур SDS+ 5*110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</si>
  <si>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5*110 профи Атака.
Хвостовик – SDS plus
Инструментальная сталь, наконечник из твердого сплава с алмазной шлифовкой.</t>
  </si>
  <si>
    <t>Бур SDS+ 6*160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</si>
  <si>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6*160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</si>
  <si>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SDS+ 8*160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</si>
  <si>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8*160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</si>
  <si>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SDS+ 8*260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</si>
  <si>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8*260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</si>
  <si>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SDS+ 10*210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</si>
  <si>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10*210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</si>
  <si>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SDS+ 10*260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</si>
  <si>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10*260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</si>
  <si>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SDS+ 12*210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</si>
  <si>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12*210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</si>
  <si>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SDS+ 32*450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</si>
  <si>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32*450 профи Атака.
Хвостовик – SDS plus
Инструментальная сталь, наконечник из твердого сплава с алмазной шлифовкой.</t>
  </si>
  <si>
    <t>Бур SDS+ 30*1000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</si>
  <si>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30*1000 профи Атака.
Хвостовик – SDS plus
Инструментальная сталь, наконечник из твердого сплава с алмазной шлифовкой.</t>
  </si>
  <si>
    <t>Бур SDS+ 30*600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</si>
  <si>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30*600 профи Атака.
Хвостовик – SDS plus
Инструментальная сталь, наконечник из твердого сплава с алмазной шлифовкой.</t>
  </si>
  <si>
    <t>Бур SDS+ 30*450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</si>
  <si>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30*450 профи Атака.
Хвостовик – SDS plus
Инструментальная сталь, наконечник из твердого сплава с алмазной шлифовкой.</t>
  </si>
  <si>
    <t>Бур SDS+ 28*600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</si>
  <si>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28*600 профи Атака.
Хвостовик – SDS plus
Инструментальная сталь, наконечник из твердого сплава с алмазной шлифовкой.</t>
  </si>
  <si>
    <t>Бур SDS+ 28*450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</si>
  <si>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28*450 профи Атака.
Хвостовик – SDS plus
Инструментальная сталь, наконечник из твердого сплава с алмазной шлифовкой.</t>
  </si>
  <si>
    <t>Бур SDS+ 28*310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</si>
  <si>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28*310 профи Атака.
Хвостовик – SDS plus
Инструментальная сталь, наконечник из твердого сплава с алмазной шлифовкой.</t>
  </si>
  <si>
    <t>Бур SDS+ 26*1000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</si>
  <si>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26*1000 профи Атака.
Хвостовик – SDS plus
Инструментальная сталь, наконечник из твердого сплава с алмазной шлифовкой.</t>
  </si>
  <si>
    <t>Бур SDS+ 26*600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</si>
  <si>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26*600 профи Атака.
Хвостовик – SDS plus
Инструментальная сталь, наконечник из твердого сплава с алмазной шлифовкой.</t>
  </si>
  <si>
    <t>Бур SDS+ 26*450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</si>
  <si>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26*450 профи Атака.
Хвостовик – SDS plus
Инструментальная сталь, наконечник из твердого сплава с алмазной шлифовкой.</t>
  </si>
  <si>
    <t>Бур SDS+ 26*310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</si>
  <si>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26*310 профи Атака.
Хвостовик – SDS plus
Инструментальная сталь, наконечник из твердого сплава с алмазной шлифовкой.</t>
  </si>
  <si>
    <t>Бур SDS+ 25*1000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</si>
  <si>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25*1000 профи Атака.
Хвостовик – SDS plus
Инструментальная сталь, наконечник из твердого сплава с алмазной шлифовкой.</t>
  </si>
  <si>
    <t>Бур SDS+ 25*800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</si>
  <si>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25*800 профи Атака.
Хвостовик – SDS plus
Инструментальная сталь, наконечник из твердого сплава с алмазной шлифовкой.</t>
  </si>
  <si>
    <t>Бур SDS+ 25*600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</si>
  <si>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25*600 профи Атака.
Хвостовик – SDS plus
Инструментальная сталь, наконечник из твердого сплава с алмазной шлифовкой.</t>
  </si>
  <si>
    <t>Бур SDS+ 25*450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</si>
  <si>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25*450 профи Атака.
Хвостовик – SDS plus
Инструментальная сталь, наконечник из твердого сплава с алмазной шлифовкой.</t>
  </si>
  <si>
    <t>Бур SDS+ 25*310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</si>
  <si>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25*310 профи Атака.
Хвостовик – SDS plus
Инструментальная сталь, наконечник из твердого сплава с алмазной шлифовкой.</t>
  </si>
  <si>
    <t>Бур SDS+ 24*600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</si>
  <si>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24*600 профи Атака.
Хвостовик – SDS plus
Инструментальная сталь, наконечник из твердого сплава с алмазной шлифовкой.</t>
  </si>
  <si>
    <t>Бур SDS+ 24*450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</si>
  <si>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24*450 профи Атака.
Хвостовик – SDS plus
Инструментальная сталь, наконечник из твердого сплава с алмазной шлифовкой.</t>
  </si>
  <si>
    <t>Бур SDS+ 24*310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</si>
  <si>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24*310 профи Атака.
Хвостовик – SDS plus
Инструментальная сталь, наконечник из твердого сплава с алмазной шлифовкой.</t>
  </si>
  <si>
    <t>Бур SDS+ 22*1000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</si>
  <si>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22*1000 профи Атака.
Хвостовик – SDS plus
Инструментальная сталь, наконечник из твердого сплава с алмазной шлифовкой.</t>
  </si>
  <si>
    <t>Бур SDS+ 22*800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</si>
  <si>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22*800 профи Атака.
Хвостовик – SDS plus
Инструментальная сталь, наконечник из твердого сплава с алмазной шлифовкой.</t>
  </si>
  <si>
    <t>Бур SDS+ 22*600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</si>
  <si>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22*600 профи Атака.
Хвостовик – SDS plus
Инструментальная сталь, наконечник из твердого сплава с алмазной шлифовкой.</t>
  </si>
  <si>
    <t>Бур SDS+ 22*450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</si>
  <si>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22*450 профи Атака.
Хвостовик – SDS plus
Инструментальная сталь, наконечник из твердого сплава с алмазной шлифовкой.</t>
  </si>
  <si>
    <t>Бур SDS+ 22*310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</si>
  <si>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22*310 профи Атака.
Хвостовик – SDS plus
Инструментальная сталь, наконечник из твердого сплава с алмазной шлифовкой.</t>
  </si>
  <si>
    <t>Бур SDS+ 22*260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</si>
  <si>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22*260 профи Атака.
Хвостовик – SDS plus
Инструментальная сталь, наконечник из твердого сплава с алмазной шлифовкой.</t>
  </si>
  <si>
    <t>Бур SDS+ 20*1000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</si>
  <si>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20*1000 профи Атака.
Хвостовик – SDS plus
Инструментальная сталь, наконечник из твердого сплава с алмазной шлифовкой.</t>
  </si>
  <si>
    <t>Бур SDS+ 20*800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</si>
  <si>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20*800 профи Атака.
Хвостовик – SDS plus
Инструментальная сталь, наконечник из твердого сплава с алмазной шлифовкой.</t>
  </si>
  <si>
    <t>Бур SDS+ 20*600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</si>
  <si>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20*600 профи Атака.
Хвостовик – SDS plus
Инструментальная сталь, наконечник из твердого сплава с алмазной шлифовкой.</t>
  </si>
  <si>
    <t>Бур SDS+ 20*450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</si>
  <si>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20*450 профи Атака.
Хвостовик – SDS plus
Инструментальная сталь, наконечник из твердого сплава с алмазной шлифовкой.</t>
  </si>
  <si>
    <t>Бур SDS+ 20*310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</si>
  <si>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20*310 профи Атака.
Хвостовик – SDS plus
Инструментальная сталь, наконечник из твердого сплава с алмазной шлифовкой.</t>
  </si>
  <si>
    <t>Бур SDS+ 20*260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</si>
  <si>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20*260 профи Атака.
Хвостовик – SDS plus
Инструментальная сталь, наконечник из твердого сплава с алмазной шлифовкой.</t>
  </si>
  <si>
    <t>Бур SDS+ 20*210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</si>
  <si>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20*210 профи Атака.
Хвостовик – SDS plus
Инструментальная сталь, наконечник из твердого сплава с алмазной шлифовкой.</t>
  </si>
  <si>
    <t>Бур SDS+ 18*1000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</si>
  <si>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18*1000 профи Атака.
Хвостовик – SDS plus
Инструментальная сталь, наконечник из твердого сплава с алмазной шлифовкой.</t>
  </si>
  <si>
    <t>Бур SDS+ 18*600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</si>
  <si>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18*600 профи Атака.
Хвостовик – SDS plus
Инструментальная сталь, наконечник из твердого сплава с алмазной шлифовкой.</t>
  </si>
  <si>
    <t>Бур SDS+ 18*450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</si>
  <si>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18*450 профи Атака.
Хвостовик – SDS plus
Инструментальная сталь, наконечник из твердого сплава с алмазной шлифовкой.</t>
  </si>
  <si>
    <t>Бур SDS+ 18*310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</si>
  <si>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18*310 профи Атака.
Хвостовик – SDS plus
Инструментальная сталь, наконечник из твердого сплава с алмазной шлифовкой.</t>
  </si>
  <si>
    <t>Бур SDS+ 18*210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</si>
  <si>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18*210 профи Атака.
Хвостовик – SDS plus
Инструментальная сталь, наконечник из твердого сплава с алмазной шлифовкой.</t>
  </si>
  <si>
    <t>Бур SDS+ 16*1000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</si>
  <si>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16*1000 профи Атака.
Хвостовик – SDS plus
Инструментальная сталь, наконечник из твердого сплава с алмазной шлифовкой.</t>
  </si>
  <si>
    <t>Бур SDS+ 16*800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</si>
  <si>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16*800 профи Атака.
Хвостовик – SDS plus
Инструментальная сталь, наконечник из твердого сплава с алмазной шлифовкой.</t>
  </si>
  <si>
    <t>Бур SDS+ 16*600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</si>
  <si>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16*600 профи Атака.
Хвостовик – SDS plus
Инструментальная сталь, наконечник из твердого сплава с алмазной шлифовкой.</t>
  </si>
  <si>
    <t>Бур SDS+ 16*160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</si>
  <si>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16*160 профи Атака.
Хвостовик – SDS plus
Инструментальная сталь, наконечник из твердого сплава с алмазной шлифовкой.</t>
  </si>
  <si>
    <t>Бур SDS+ 14*1000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</si>
  <si>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14*1000 профи Атака.
Хвостовик – SDS plus
Инструментальная сталь, наконечник из твердого сплава с алмазной шлифовкой.</t>
  </si>
  <si>
    <t>Бур SDS+ 14*600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</si>
  <si>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14*600 профи Атака.
Хвостовик – SDS plus
Инструментальная сталь, наконечник из твердого сплава с алмазной шлифовкой.</t>
  </si>
  <si>
    <t>Бур SDS+ 12*1000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</si>
  <si>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12*1000 профи Атака.
Хвостовик – SDS plus
Инструментальная сталь, наконечник из твердого сплава с алмазной шлифовкой.</t>
  </si>
  <si>
    <t>Бур SDS+ 12*600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</si>
  <si>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12*600 профи Атака.
Хвостовик – SDS plus
Инструментальная сталь, наконечник из твердого сплава с алмазной шлифовкой.</t>
  </si>
  <si>
    <t>Бур SDS+ 10*110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</si>
  <si>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10*110 профи Атака.
Хвостовик – SDS plus
Инструментальная сталь, наконечник из твердого сплава с алмазной шлифовкой.</t>
  </si>
  <si>
    <t>Бур SDS+ 8*450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</si>
  <si>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8*450 профи Атака.
Хвостовик – SDS plus
Инструментальная сталь, наконечник из твердого сплава с алмазной шлифовкой.</t>
  </si>
  <si>
    <t>Бур SDS+ 14*260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</si>
  <si>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14*260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</si>
  <si>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SDS+ 16*260 кросс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</si>
  <si>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16*260 кросс профи Атака.
Крестовой наконечник.
Хвостовик – SDS plus
Инструментальная сталь, наконечник из твердого сплава с алмазной шлифовкой.</t>
  </si>
  <si>
    <t>Бур SDS+ 6*310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</si>
  <si>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6*310 профи Атака.
Хвостовик – SDS plus
Инструментальная сталь, наконечник из твердого сплава с алмазной шлифовкой.</t>
  </si>
  <si>
    <t>Бур SDS+ 5*310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</si>
  <si>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5*310 профи Атака.
Хвостовик – SDS plus
Инструментальная сталь, наконечник из твердого сплава с алмазной шлифовкой.</t>
  </si>
  <si>
    <t>Бур SDS+ 7*110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</si>
  <si>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7*110 профи Атака.
Хвостовик – SDS plus
Инструментальная сталь, наконечник из твердого сплава с алмазной шлифовкой.</t>
  </si>
  <si>
    <t>Бур SDS+ 5*210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</si>
  <si>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5*210 профи Атака.
Хвостовик – SDS plus
Инструментальная сталь, наконечник из твердого сплава с алмазной шлифовкой.</t>
  </si>
  <si>
    <t>Бур SDS+ 4*160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</si>
  <si>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4*160 профи Атака.
Хвостовик – SDS plus
Инструментальная сталь, наконечник из твердого сплава с алмазной шлифовкой.</t>
  </si>
  <si>
    <t>Бур SDS+ 4*110 Профи Атака</t>
  </si>
  <si>
    <t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4*110 профи Атака.
Хвостовик – SDS plus
Инструментальная сталь, наконечник из твердого сплава с алмазной шлифовкой.</t>
  </si>
  <si>
    <t>Диски алмазные</t>
  </si>
  <si>
    <t>Диск алмазный Атака 125 * 10 *  22,2 сегментированный / бетон, железобетон</t>
  </si>
  <si>
    <t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твердые и средние с высокой и средней вязкостью: бетон, железобетон, асфальтобетон и т.д.. Также их можно применять для более мягких материалов со средней вязкостью.</t>
  </si>
  <si>
    <t>Диск алмазный Атака 125 * 10 * 22,2 турбо / гранит, бетон, кирпич</t>
  </si>
  <si>
    <t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твердой и средней абразивности - гранит, базальт, огнеупорный кирпич, бетон, известняк и т.д.</t>
  </si>
  <si>
    <t>Диск алмазный Атака 125 * 7 * 22,2 сплошной / гранит, мрамор, керамика (мокрый рез)</t>
  </si>
  <si>
    <t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t>
  </si>
  <si>
    <t>Диск алмазный Атака 125 * 7 * 22,2  сплошной /гранит, мрамор, керамика  (сухой рез)</t>
  </si>
  <si>
    <t>Диск алмазный Атака 180 * 7 * 25,4 / 22,2 сплошной / гранит, мрамор, керамика</t>
  </si>
  <si>
    <t>Диск алмазный Атака 200 * 7 * 25,4 / 22,2 сплошной / гранит, мрамор, керамика</t>
  </si>
  <si>
    <t>Диск алмазный Атака 230 * 10 * 22,2 сегментированный бетон, железобетон</t>
  </si>
  <si>
    <t>Диск алмазный Атака 230 * 10 * 22,2 турбо / гранит, бетон, кирпич</t>
  </si>
  <si>
    <t>Диск алмазный Атака 230 * 7 * 22,2  сплошной / гранит, мрамор, керамика</t>
  </si>
  <si>
    <t>Диск алмазный Атака 250 * 7 * 25,4 сплошной / гранит, мрамор, керамика</t>
  </si>
  <si>
    <t>Диски пильные</t>
  </si>
  <si>
    <t>Диск пильный 130*12T*16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</si>
  <si>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130*12T*16 профи Атака
Материал:  Газобетон, строительная древесина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 грубого распила строительной древесины и газобетона, справляется с гвоздями.</t>
  </si>
  <si>
    <t>Диск пильный 140*12T*20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</si>
  <si>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140*12T*20 профи Атака
Материал:  Газобетон, строительная древесина 
Кромка: б/рез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</si>
  <si>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150*12T*16 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</si>
  <si>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150*12T*16 профи Атака
Материал:  Газобетон, строительная древесина 
Кромка: б/рез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</si>
  <si>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150*12T*20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</si>
  <si>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150*12T*20 профи Атака
Материал:  Газобетон, строительная древесина 
Кромка: б/рез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 в материале</t>
  </si>
  <si>
    <t>Диск пильный 160*12T*16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</si>
  <si>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160*12T*16 профи Атака
Материал:  Газобетон, строительная древесина 
Кромка: б/рез  
Применяется с ручными циркулярными и торцовочными пилами.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</si>
  <si>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160*12T*20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</si>
  <si>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160*12T*20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</si>
  <si>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180*12T*20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</si>
  <si>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180*12T*20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</si>
  <si>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190*12T*16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</si>
  <si>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190*12T*16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</si>
  <si>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190*12T*20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</si>
  <si>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190*12T*20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</si>
  <si>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190*12T*30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</si>
  <si>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</si>
  <si>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230*16T*30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</si>
  <si>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230*16T*30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</si>
  <si>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235*16T*30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</si>
  <si>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235*16T*30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</si>
  <si>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300*20T*30 строительное.дерево, газобетон,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</si>
  <si>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300*20T*30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t>
  </si>
  <si>
    <t>Диск пильный 190*48T*30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</si>
  <si>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190*48T*30 профи Ататка
Материал: алюминий, пластик
Кромка: ч/рез
Применяется с ручными циркулярными и торцовочными пилами
Полотно диска изготовлено из высококачественной стали, зубья из твердого сплава с алмазной шлифовкой. Предназначен для распила алюминия и пластика толщиной не более 3 мм.</t>
  </si>
  <si>
    <t>Диск пильный 190*48T*30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</si>
  <si>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</si>
  <si>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210*48T*30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</si>
  <si>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
Материал: алюминий, пластик 
Кромка: ч/рез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</si>
  <si>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210*48T*30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</si>
  <si>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</si>
  <si>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210*54T*30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</si>
  <si>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210*54T*30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</si>
  <si>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210*80T*30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</si>
  <si>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210*80T*30 Профи Атака 
Материал: алюминий, пластик 
Кромка: ч/рез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</si>
  <si>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216*60T*30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</si>
  <si>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216*60T*30 Профи Атака 
Материал: алюминий, пластик 
Кромка: ч/рез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</si>
  <si>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216*60T*30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</si>
  <si>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216*60T*30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</si>
  <si>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216*80T*30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</si>
  <si>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216*80T*30 Профи Атака 
Материал: алюминий, пластик 
Кромка: ч/рез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</si>
  <si>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250*100T*30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</si>
  <si>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250*100T*30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</si>
  <si>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250*100T*30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</si>
  <si>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250*100T*30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</si>
  <si>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250*80T*30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</si>
  <si>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</si>
  <si>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250*80T*30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</si>
  <si>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</si>
  <si>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250*80T*32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</si>
  <si>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</si>
  <si>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255*100T*30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</si>
  <si>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255*100T*30 Профи Атака 
Материал: алюминий, пластик 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</si>
  <si>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255*100T*30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</si>
  <si>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255*100T*30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</si>
  <si>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255*80T*30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</si>
  <si>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255*80T*30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</si>
  <si>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300*100T*30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</si>
  <si>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</si>
  <si>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300*100T*30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</si>
  <si>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</si>
  <si>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355*100T*25.4 алюминий пластик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</si>
  <si>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355*100T*25.4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t>
  </si>
  <si>
    <t>Диск пильный 355*100T*25.4 алюминий пластик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</si>
  <si>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355*100T*25.4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t>
  </si>
  <si>
    <t>Диск пильный 160*48T*16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</si>
  <si>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160*48T*16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</si>
  <si>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160*48T*32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</si>
  <si>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160*48T*32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</si>
  <si>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 xml:space="preserve">УТ-000160  </t>
  </si>
  <si>
    <t>Диск пильный 190*54T*30 ламинат дсп б/рез профи Атака</t>
  </si>
  <si>
    <t>Диск пильный 190*54T*16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</si>
  <si>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190*54T*16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</si>
  <si>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200*48T*30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</si>
  <si>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</si>
  <si>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200*48T*32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</si>
  <si>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</si>
  <si>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200*56T*30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</si>
  <si>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</si>
  <si>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200*56T*32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</si>
  <si>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200*56T*32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</si>
  <si>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210*48T*30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</si>
  <si>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</si>
  <si>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230*56T*30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</si>
  <si>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230*56T*30 Профи Атака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</si>
  <si>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230*72T*30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</si>
  <si>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230*72T*30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</si>
  <si>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250*60T*32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</si>
  <si>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</si>
  <si>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250*80T*32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</si>
  <si>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
Материал: ламинат, ДСП 
Кромка: б/рез 
Применяется с настольной пилой. 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</si>
  <si>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300*100T*30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</si>
  <si>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ламинат, ДСП 
Кромка: б/рез 
Применяется с настольной пилой 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</si>
  <si>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300*100T*32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</si>
  <si>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300*100T*32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</si>
  <si>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300*100T*50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</si>
  <si>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</si>
  <si>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300*72T*32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</si>
  <si>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300*72T*32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</si>
  <si>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350*100T*50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</si>
  <si>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</si>
  <si>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350*84T*50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</si>
  <si>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350*84T*50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</si>
  <si>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400*120T*50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</si>
  <si>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400*120T*50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</si>
  <si>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400*96T*50 ламинат дсп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</si>
  <si>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400*96T*50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t>
  </si>
  <si>
    <t>Диск пильный 200*48T*30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</si>
  <si>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t>
  </si>
  <si>
    <t>Диск пильный 200*48T*32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</si>
  <si>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t>
  </si>
  <si>
    <t>Диск пильный 200*56T*30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</si>
  <si>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200*56T*30 Профи Атака 
Материал: ламинат, ДСП 
Кромка: ч/рез 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t>
  </si>
  <si>
    <t>Диск пильный 200*56T*32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</si>
  <si>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200*56T*32 Профи Атака 
Материал: ламинат, ДСП 
Кромка: ч/рез 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t>
  </si>
  <si>
    <t>Диск пильный 210*48T*30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</si>
  <si>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t>
  </si>
  <si>
    <t>Диск пильный 230*56T*30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</si>
  <si>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230*56T*30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t>
  </si>
  <si>
    <t>Диск пильный 230*72T*30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</si>
  <si>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230*72T*30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</si>
  <si>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250*60T*32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</si>
  <si>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</si>
  <si>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250*80T*32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</si>
  <si>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</si>
  <si>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300*100T*30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</si>
  <si>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</si>
  <si>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300*100T*32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</si>
  <si>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</si>
  <si>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300*72T*32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</si>
  <si>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300*72T*32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</si>
  <si>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350*100T*30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</si>
  <si>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350*100T*30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</si>
  <si>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350*100T*32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</si>
  <si>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</si>
  <si>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350*100T*50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</si>
  <si>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350*100T*50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</si>
  <si>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400*120T*50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</si>
  <si>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400*120T*50 Профи Атака 
Материал: ламинат, ДСП 
Кромка: ч/рез 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</si>
  <si>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Диск пильный 400*96T*50 ламинат дсп ч/рез отриц.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</si>
  <si>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400*96T*50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t>
  </si>
  <si>
    <t>Кольцо переходное 20*16мм 3шт стандарт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</si>
  <si>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20*16мм 3шт Стандарт Атака служит переходником между шпинделем и пильным диском</t>
  </si>
  <si>
    <t>Кольцо переходное 30*16мм 3шт стандарт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</si>
  <si>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30*16мм 3шт Стандарт Атака служит переходником между шпинделем и пильным диском</t>
  </si>
  <si>
    <t>Кольцо переходное 32*20мм 3шт стандарт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</si>
  <si>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32*20мм 3шт Стандарт Атака служит переходником между шпинделем и пильным диском</t>
  </si>
  <si>
    <t>Кольцо переходное 32*25,4мм 3шт стандарт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</si>
  <si>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32*25,4мм 3шт Стандарт Атака служит переходником между шпинделем и пильным диском</t>
  </si>
  <si>
    <t>Кольцо переходное 32*30мм 3шт стандарт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</si>
  <si>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32*30мм 3шт Стандарт Атака служит переходником между шпинделем и пильным диском</t>
  </si>
  <si>
    <t>Диск пильный 130*24Т*16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</si>
  <si>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130*24Т*16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</si>
  <si>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140*20T*12.75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</si>
  <si>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140*20Т*12,75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</si>
  <si>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140*20T*16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</si>
  <si>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140*20T*16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</si>
  <si>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140*20T*20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</si>
  <si>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140*20T*20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</si>
  <si>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150*20T*20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</si>
  <si>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150*20T*20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</si>
  <si>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160*16T*16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</si>
  <si>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160*16T*16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</si>
  <si>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160*16T*32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</si>
  <si>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160*16T*32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</si>
  <si>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160*24T*16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</si>
  <si>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160*24T*16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</si>
  <si>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160*24T*20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</si>
  <si>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</si>
  <si>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160*32T*20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</si>
  <si>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160*32T*20 Профи Атака
Материал: дерево 
Кромка: б/рез 
Особенности: тонкий профиль, отбойник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</si>
  <si>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160*48T*16 дерево б/рез тон.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</si>
  <si>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160*48T*16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</si>
  <si>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160*48T*20 дерево б/рез тон.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</si>
  <si>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160*48T*20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</si>
  <si>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165*24T*20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</si>
  <si>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165*24T*20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</si>
  <si>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170*20T*16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</si>
  <si>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170*20T*16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</si>
  <si>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180*36T*30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</si>
  <si>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180*36T*30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</si>
  <si>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180*36T*32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</si>
  <si>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180*36T*32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</si>
  <si>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184*40T*16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</si>
  <si>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184*40T*16 Профи Атака
Материал: дерево 
Кромка: б/рез 
Особенности: тонкий профиль, отбойник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</si>
  <si>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185*24T*20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</si>
  <si>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185*24T*20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</si>
  <si>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185*36T*20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</si>
  <si>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185*36T*20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</si>
  <si>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185*48T*20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</si>
  <si>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185*48T*20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</si>
  <si>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190*12T*30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</si>
  <si>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</si>
  <si>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190*24T*16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</si>
  <si>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190*24T*16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</si>
  <si>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190*24T*20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</si>
  <si>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</si>
  <si>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190*24T*30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</si>
  <si>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190*24T*30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</si>
  <si>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190*48T*20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</si>
  <si>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190*48T*20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</si>
  <si>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200*24T*30 дерево б/рез маркер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</si>
  <si>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200*24T*30 Профи Атака Материал: дерево Кромка: б/рез Особенности: в комплекте - маркер Применяется с ручными циркулярными и торцовочными пилами 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 В комплекте с диском прилагается маркер.</t>
  </si>
  <si>
    <t>Диск пильный 200*24T*32 дерево б/рез маркер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</si>
  <si>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200*24T*32 Профи Атака 
Материал: дерево 
Кромка: б/рез 
Особенности: в комплекте - маркер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 В комплекте с диском прилагается маркер.</t>
  </si>
  <si>
    <t>Диск пильный 200*40T*30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</si>
  <si>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200*40T*30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</si>
  <si>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200*48T*32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</si>
  <si>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
Материал: дерево 
Кромка: б/рез 
Особенности: тонкий профиль, отбойник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</si>
  <si>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200*56T*32 дерево б/рез тон.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</si>
  <si>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200*56T*32 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</si>
  <si>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205*24T*30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</si>
  <si>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205*24T*30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</si>
  <si>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210*60T*30 дерево б/рез тон.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</si>
  <si>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210*60T*30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</si>
  <si>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216*24T*30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</si>
  <si>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216*24T*30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</si>
  <si>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216*80T*30 дерево б/рез тон.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</si>
  <si>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216*80T*30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</t>
  </si>
  <si>
    <t>Диск пильный 219*30T*16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</si>
  <si>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219*30T*16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</si>
  <si>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219*30T*20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</si>
  <si>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219*30T*20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</si>
  <si>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219*30T*30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</si>
  <si>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219*30T*30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</si>
  <si>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230*30T*30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</si>
  <si>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230*30T*30 Профи Атака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</si>
  <si>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235*20T*30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</si>
  <si>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235*20T*30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</si>
  <si>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250*24T*30 дерево б/рез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</si>
  <si>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250*24T*30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</t>
  </si>
  <si>
    <t>Диск пильный 250*24T*32 дерево б/рез маркер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</si>
  <si>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250*24T*32 Профи Атака
Материал: дерево 
Кромка: б/рез 
Особенности: маркер в комплекте
Применяется с настольными пилами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В комплекте с диском прилагается маркер</t>
  </si>
  <si>
    <t>Диск пильный 250*24T*50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</si>
  <si>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250*24T*50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</si>
  <si>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250*36T*50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</si>
  <si>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250*36T*50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</si>
  <si>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250*60T*30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</si>
  <si>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</si>
  <si>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250*60T*32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</si>
  <si>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
Материал: дерево 
Кромка: б/рез 
Особенности: тонкий профиль, отбойник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</si>
  <si>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250*80T*30 дерево б/рез тон. профи Атака</t>
  </si>
  <si>
    <t xml:space="preserve"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</t>
  </si>
  <si>
    <t>Диск пильный 250*80T*32 дерево б/рез тон.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</si>
  <si>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 
Материал: дерево 
Кромка: б/рез 
Особенности:тонкий профиль  
Применяются с настольной пилой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</t>
  </si>
  <si>
    <t>Диск пильный 255*32T*30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</si>
  <si>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255*32T*30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</si>
  <si>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255*60T*30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</si>
  <si>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255*60T*30 Профи Атака
Материал: дерево 
Кромка: б/рез 
Особенности: тонкий профиль, отбойник Применяются с настольной пилой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</si>
  <si>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300*32T*32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</si>
  <si>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300*32*32 Профи Атака 
Материал: дерево
Применяется с настольной пилой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</si>
  <si>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300*32T*50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</si>
  <si>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300*32T*50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</si>
  <si>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300*40T*50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</si>
  <si>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300*40T*50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</si>
  <si>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300*48T*32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</si>
  <si>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300*48*32 Профи Атака
Материал: дерево
Применяется с настольной пилой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</si>
  <si>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350*50T*32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</si>
  <si>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350*50T*32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</si>
  <si>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400*40T*50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</si>
  <si>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400*40T*50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</si>
  <si>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160*32T*20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</si>
  <si>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160*32T*20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</si>
  <si>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180*40T*20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</si>
  <si>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180*40T*20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</si>
  <si>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190*32T*30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</si>
  <si>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190*32T*30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</si>
  <si>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190*40T*30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</si>
  <si>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</si>
  <si>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190*48T*20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</si>
  <si>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</si>
  <si>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190*50T*30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</si>
  <si>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190*50T*30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</si>
  <si>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200*40T*30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</si>
  <si>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200*40T*30 Профи Атака Материал: дерево Кромка: ч/рез  Применяется с ручными циркулярными и торцовочными пилами 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</si>
  <si>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200*48T*32 дерево ч/рез маркер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</si>
  <si>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</si>
  <si>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200*56T*32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</si>
  <si>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200*56*32 
Материал: дерево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  В комплекте с диском прилагается маркер.</t>
  </si>
  <si>
    <t>Диск пильный 210*40T*30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</si>
  <si>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</si>
  <si>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210*50T*30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</si>
  <si>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210*50T*30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</si>
  <si>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216*60T*30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</si>
  <si>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216*60T*30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</si>
  <si>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230*50T*30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</si>
  <si>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230*50T*30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</si>
  <si>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250*40T*32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</si>
  <si>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250*40T*32 Профи Атака
Материал: дерево 
Кромка: ч/рез  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</si>
  <si>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250*60T*30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</si>
  <si>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250*60T*30 Профи Атака 
Материал:дерево 
Кромка: ч/рез 
Применяется с настольными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</si>
  <si>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255*100T*30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</si>
  <si>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255*100T*30 Профи Атака 
Материал: дерево 
Кромка: ч/рез 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</si>
  <si>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300*100T*50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</si>
  <si>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</si>
  <si>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300*60T*32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</si>
  <si>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300*60T*32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</si>
  <si>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305*60T*30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</si>
  <si>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305*60T*30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</si>
  <si>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350*60T*50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</si>
  <si>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350*60T*50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</si>
  <si>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400*60T*50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</si>
  <si>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400*60T*50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</si>
  <si>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235*48T*30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</si>
  <si>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235*48T*30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t>
  </si>
  <si>
    <t>Диск пильный 250*60T*32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</si>
  <si>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
Материал: дерево 
Кромка: ч/рез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</si>
  <si>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230*56T*30 дерево б/рез тон/отб.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</si>
  <si>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230*56*30 
Материал: дерево
Кромка: ч/рез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t>
  </si>
  <si>
    <t>Диск пильный 300*48T*50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</si>
  <si>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300*48T*50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</si>
  <si>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350*40T*50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</si>
  <si>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350*40T*50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</si>
  <si>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350*50T*50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</si>
  <si>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350*50T*50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t>
  </si>
  <si>
    <t>Диск пильный 450*40T*50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</si>
  <si>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450*40*50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t>
  </si>
  <si>
    <t>Диск пильный 450*60T*50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</si>
  <si>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450*60T*50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t>
  </si>
  <si>
    <t>Диск пильный 450*80T*50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</si>
  <si>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450*80T*50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t>
  </si>
  <si>
    <t>Диск пильный 500*60T*50 дерево б/рез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</si>
  <si>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500*60T*50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t>
  </si>
  <si>
    <t>Диск пильный 130*48T*16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</si>
  <si>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130*48T*16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</si>
  <si>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150*36T*20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</si>
  <si>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150*36T*20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</si>
  <si>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160*32T*16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</si>
  <si>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160*32T*16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</si>
  <si>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170*70T*16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</si>
  <si>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170*70T*16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</si>
  <si>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184*40T*16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</si>
  <si>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184*40T*16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</si>
  <si>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190*48T*16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</si>
  <si>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190*48T*16 Профи Атака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</si>
  <si>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210*60T*30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</si>
  <si>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210*60T*30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</si>
  <si>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216*80T*30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</si>
  <si>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216*80T*30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</si>
  <si>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230*40T*30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</si>
  <si>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230*40T*30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</si>
  <si>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250*40T*30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</si>
  <si>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250*40T*30 Профи Атака 
Материал:дерево 
Кромка: ч/рез 
Применяется с настольными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</si>
  <si>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250*80T*30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</si>
  <si>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
Материал: дерево
Кромка: ч/рез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</si>
  <si>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250*80T*32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</si>
  <si>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
Материал: дерево 
Кромка: ч/рез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</si>
  <si>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260*60T*30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</si>
  <si>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260*60T*30 Профи Атака 
Материал: дерево 
Кромка: ч/рез 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</si>
  <si>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270*60T*30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</si>
  <si>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270*60T*30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</si>
  <si>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300*60T*50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</si>
  <si>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300*60T*50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</si>
  <si>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350*80T*50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</si>
  <si>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350*80T*50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</si>
  <si>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400*100T*50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</si>
  <si>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400*100T*50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</si>
  <si>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400*80T*50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</si>
  <si>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400*80T*50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</si>
  <si>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450*100T*50 дерево ч/рез профи Атака</t>
  </si>
  <si>
    <t>Диск пильный 500*100T*50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</si>
  <si>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500*100T*50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</si>
  <si>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500*120T*50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</si>
  <si>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500*120T*50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</si>
  <si>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Диск пильный 500*80T*50 дерево ч/рез профи Атака</t>
  </si>
  <si>
    <t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500*80T*50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t>
  </si>
  <si>
    <t>Ножи для рубанков</t>
  </si>
  <si>
    <t>Ножи для рубанков 82*29*3 TCT для Bosch Атака (2шт.)</t>
  </si>
  <si>
    <t>Упак</t>
  </si>
  <si>
    <t>Нож Атака для электрорубанков Bosch, код1154550.
Подходит для большинства моделей электрорубанков Bosch. 
Размер 82*29*3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Допускает многоразовую заточку лезвия.
В упаковке 2 шт</t>
  </si>
  <si>
    <t>Ножи для рубанков 82*29*3 TCT Атака (2шт.)</t>
  </si>
  <si>
    <t>Нож Атака для электрорубанков, код1154580.
Подходит для большинства моделей электрорубанков. 
Размер 82*29*3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Допускает многоразовую заточку лезвия.
В упаковке 2 шт</t>
  </si>
  <si>
    <t>Ножи для рубанков 82*29*3 HSS Атака (2шт.)</t>
  </si>
  <si>
    <t>Нож Атака для электрорубанков, код1154630.
Подходит для большинства моделей электрорубанков. 
Размер 82*29*3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Допускает многоразовую заточку лезвия.
В упаковке 2 шт</t>
  </si>
  <si>
    <t>Ножи для рубанков 110*29*3 TCT Атака (2шт.)</t>
  </si>
  <si>
    <t>Нож Атака для электрорубанков, код1154640.
Подходит для большинства моделей электрорубанков. 
Размер 110*29*3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Допускает многоразовую заточку лезвия.
В упаковке 2 шт</t>
  </si>
  <si>
    <t>Ножи для рубанков 110*29*3 HSS Атака (2шт.)</t>
  </si>
  <si>
    <t>Нож Атака для электрорубанков, код1154650.
Подходит для большинства моделей электрорубанков. 
Размер 110*29*3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Допускает многоразовую заточку лезвия.
В упаковке 2 шт</t>
  </si>
  <si>
    <t>Ножи для рубанков 82*5.5*1.1 TCT Атака (2шт.)</t>
  </si>
  <si>
    <t>Нож Атака для электрорубанков, код1154660.
Подходит для большинства моделей электрорубанков. 
Размер 82*5.5*1.1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Данный расхдоный материал является одноразовым - при затуплении утилизируется.
В упаковке 2 шт</t>
  </si>
  <si>
    <t>Ножи для рубанков 82*5.5*1.1 HSS Атака (2шт.)</t>
  </si>
  <si>
    <t>Нож Атака для электрорубанков, код1154670.
Подходит для большинства моделей электрорубанков. 
Размер 82*5.5*1.1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Данный расхдоный материал является одноразовым - при затуплении утилизируется.
В упаковке 2 шт</t>
  </si>
  <si>
    <t>Ножи для рубанков 75*5.5*1.1 HSS Атака (2шт.)</t>
  </si>
  <si>
    <t>Нож Атака для электрорубанков, код1692540.
Подходит для большинства моделей электрорубанков. 
Размер 5*5.5*1.1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Данный расхдоный материал является одноразовым - при затуплении утилизируется.
В упаковке 2 шт</t>
  </si>
  <si>
    <t>Ножи для рубанков 75*5.5*1.1 TCT Атака (2шт.)</t>
  </si>
  <si>
    <t>Нож Атака для электрорубанков, код1692580.
Подходит для большинства моделей электрорубанков. 
Размер 5*5.5*1.1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Данный расхдоный материал является одноразовым - при затуплении утилизируется.
В упаковке 2 шт</t>
  </si>
  <si>
    <t>Патроны</t>
  </si>
  <si>
    <t>Патрон 0,8-10мм 3/8" БЗП Стандарт Атака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</si>
  <si>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№10 1,5-10мм 1/2" с ключом стандарт Атака
Тип посадки: 1/2" - 20 UNF
Диаметр сверл: 1,5 - 10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</si>
  <si>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№10 Атака 1,5-10мм 1/2"-20UNF в кор.(1шт.)</t>
  </si>
  <si>
    <t>Патрон ключевой №8 Атака 1,5-10мм конус В12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</si>
  <si>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№8 1,5-10мм B12 с ключом стандарт Атака
Тип посадки: B12 конус
Диаметр сверл: 1,5 - 10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</si>
  <si>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№1 Атака 1,5-13мм 1/2"-20UNF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</si>
  <si>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 1,5-13мм 1/2" с ключом стандарт Атака
Тип посадки: 1/2" - 20 UNF
Диаметр сверл: 1,5 - 13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</si>
  <si>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№3 Атака 1,5-13мм М12х1,25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</si>
  <si>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№3 1,5-13мм M12 с ключом стандарт Атака
Тип посадки: М12 х 1,25
Диаметр сверл: 1,5 - 13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</si>
  <si>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№7 Атака 3-16мм конус В16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</si>
  <si>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№7 3-16мм B16 с ключом стандарт Атака
Тип посадки: B16 конус
Диаметр сверл: 3 - 16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</si>
  <si>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№5 Атака 3-16мм конус В18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</si>
  <si>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№5 3-16мм B18 с ключом стандарт Атака
Тип посадки: B18 конус
Диаметр сверл: 3 - 16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</si>
  <si>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быстрозажимной №9 Атака 0,8-10мм 1/2"-20UNF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</si>
  <si>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№9 0,8-10мм 1/2" БЗП стандарт Атака
Быстрозажимной патрон
Тип посадки: 1/2" - 20 UNF
Диаметр сверл: 0,8 - 10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t>
  </si>
  <si>
    <t>Патрон быстрозажимной №2 Атака 2-13мм 1/2"-20UNF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</si>
  <si>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 2-13мм 1/2" БЗП стандарт Атака
Быстрозажимной патрон
Тип посадки: 1/2" - 20 UNF
Диаметр сверл: 2 - 13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t>
  </si>
  <si>
    <t>Патрон быстрозажимной №4 Атака 2-13мм М12х1,25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</si>
  <si>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№4 2-13мм M12 БЗП стандарт Атака
Быстрозажимной патрон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t>
  </si>
  <si>
    <t>Патрон №26 1-10мм 1/2" БЗП станочный Профи Атака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</si>
  <si>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№26 1-10мм 1/2" БЗП станочный профи Атака
Быстрозажимной патрон
Тип посадки: 1/2" - 20 UNF
Диаметр сверл: 1 - 10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Имеет более прочный материал для зажимных губок и повышенный ресурс.</t>
  </si>
  <si>
    <t>Патрон №25 1-10мм 3/8" БЗП станочный Профи Атака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</si>
  <si>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№25 1-10мм 3/8" БЗП станочный профи Атака
Быстрозажимной патрон
Тип посадки: 3/8" - 24 UNF
Диаметр сверл: 1 - 10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Имеет более прочный материал для зажимных губок и повышенный ресурс.</t>
  </si>
  <si>
    <t>Патрон №24 1-10мм M12 БЗП станочный Профи Атака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</si>
  <si>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№24 1-10мм M12 БЗП станочный профи Атака
Быстрозажимной патрон
Тип посадки: М12 х 1,25
Диаметр сверл: 1 - 10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</si>
  <si>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№23 1-13мм 1/2" БЗП станочный Профи Атака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</si>
  <si>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№23 1-13мм 1/2" БЗП станочный профи Атака
Быстрозажимной патрон
Тип посадки: 1/2" - 20 UNF
Диаметр сверл: 1 - 13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</si>
  <si>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№22 1-13мм 3/8" БЗП станочный Профи Атака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</si>
  <si>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№22 1-13мм 3/8" БЗП станочный профи Атака
Быстрозажимной патрон
Тип посадки: 3/8" - 24 UNF
Диаметр сверл: 1 - 13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</si>
  <si>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№21 1-13мм M12 БЗП станочный Профи Атака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</si>
  <si>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№21 1-13мм M12 БЗП станочный профи Атака
Быстрозажимной патрон
Тип посадки: М12 х 1,25
Диаметр сверл: 1 - 13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</si>
  <si>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ключевой станочный №20 Атака 1-10мм конус B12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</si>
  <si>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№20 1-10мм B12 с ключом станочный профи Атака
Тип посадки: B12 конус
Диаметр сверл: 1,5 - 10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</si>
  <si>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ключевой станочный №19 Атака 1-13мм конус B16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</si>
  <si>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№19 1-13мм B16  с ключом станочный профи Атака
Тип посадки: B12 конус
Диаметр сверл: 1 - 13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</si>
  <si>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ключевой станочный №18 Атака 1-16мм конус B16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</si>
  <si>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№18 1-16мм B16 с ключом станочный профи Атака
Тип посадки: B16 конус
Диаметр сверл: 1 - 16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</si>
  <si>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ключевой станочный №17 Атака 1-16мм конус B18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</si>
  <si>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№17 1-16мм B18 с ключом станочный профи Атака
Тип посадки: B18 конус
Диаметр сверл: 1 - 16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t>
  </si>
  <si>
    <t>Патрон ключевой №15 Атака 1,5-10мм 3/8"-24UNF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</si>
  <si>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№15 1,5-10мм 3/8" с ключом стандарт Атака
Тип посадки: 3/8" - 24 UNF
Диаметр сверл: 1,5 - 10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</si>
  <si>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№14 Атака 1,5-10мм М12х1,25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</si>
  <si>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№14 1,5-10мм M12 с ключом стандарт Атака
Тип посадки: М12 х 1,25
Диаметр сверл: 1,5 - 10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</si>
  <si>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№12 Атака 1,5-13мм 3/8"-24UNF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</si>
  <si>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№12 1,5-13мм 3/8" с ключом стандарт Атака
Тип посадки: 3/8" - 24 UNF
Диаметр сверл: 1,5 - 13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</si>
  <si>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ключевой №6 Атака 1,5-13мм конус В12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</si>
  <si>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№6 1,5-13мм B12 с ключом стандарт Атака
Тип посадки: В122 конус
Диаметр сверл: 1,5 - 13 мм
Патрон затягивается ключом, который обеспечивает большее усилие затяжки.
Подходит для дрелей,  а также для сверлильных станков</t>
  </si>
  <si>
    <t>Патрон быстрозажимной №13 Атака 0,8-10мм 3/8"-24UNF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</si>
  <si>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№13 0,8-10мм 3/8" БЗП стандарт Атака
Быстрозажимной патрон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t>
  </si>
  <si>
    <t>Патрон быстрозажимной №16 Атака 0,8-10мм М12х1,25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</si>
  <si>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№16 0,8-10мм M12 БЗП стандарт Атака
Быстрозажимной патрон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t>
  </si>
  <si>
    <t>Патрон быстрозажимной №11 Атака 2-13мм 3/8"-24UNF в кор.(1шт.)</t>
  </si>
  <si>
    <t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№11 2-13мм 3/8" БЗП стандарт Атака
Быстрозажимной патрон
Тип посадки: 3/8" - 24 UNF
Диаметр сверл: 2 - 13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t>
  </si>
  <si>
    <t>Ключ для патрона 10мм Стандарт Атака</t>
  </si>
  <si>
    <t xml:space="preserve"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Ключ для патрона 10мм стандарт Атака
Поставляется в прорезиненой оболочке красного цвета. 
Предназначен для зажима инструмента в патронах кулочкового типа.
Поставляется в блистере. </t>
  </si>
  <si>
    <t>Ключ для патрона 13мм Стандарт Атака</t>
  </si>
  <si>
    <t xml:space="preserve"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Ключ для патрона 13мм стандарт Атака
Поставляется в прорезиненой оболочке красного цвета. 
Предназначен для зажима инструмента в патронах кулочкового типа.
Поставляется в блистере. </t>
  </si>
  <si>
    <t>Ключ для патрона 16мм Стандарт Атака</t>
  </si>
  <si>
    <t xml:space="preserve"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Ключ для патрона 16мм стандарт Атака
Поставляется в прорезиненой оболочке красного цвета. 
Предназначен для зажима инструмента в патронах кулочкового типа.
Поставляется в блистере. </t>
  </si>
  <si>
    <t>Свёрла</t>
  </si>
  <si>
    <t>Сверло п/мет 0,8мм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</si>
  <si>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D=0,8мм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</si>
  <si>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0,9мм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</si>
  <si>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D=0,9мм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</si>
  <si>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</si>
  <si>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</si>
  <si>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1,1мм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</si>
  <si>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</si>
  <si>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1,2мм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</si>
  <si>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</si>
  <si>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1,3мм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</si>
  <si>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</si>
  <si>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1,4мм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</si>
  <si>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</si>
  <si>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1,5мм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</si>
  <si>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</si>
  <si>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1,6мм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</si>
  <si>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</si>
  <si>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1,7мм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</si>
  <si>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</si>
  <si>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1,8мм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</si>
  <si>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</si>
  <si>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1,9мм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</si>
  <si>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</si>
  <si>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</si>
  <si>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</si>
  <si>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2,1мм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</si>
  <si>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</si>
  <si>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2,2мм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</si>
  <si>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</si>
  <si>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2,3мм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</si>
  <si>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</si>
  <si>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2,4мм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</si>
  <si>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</si>
  <si>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2,5мм титан 20шт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</si>
  <si>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</si>
  <si>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2,6мм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</si>
  <si>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</si>
  <si>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2,7мм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</si>
  <si>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</si>
  <si>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2,8мм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</si>
  <si>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</si>
  <si>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2,9мм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</si>
  <si>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</si>
  <si>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</si>
  <si>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</si>
  <si>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3,1мм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</si>
  <si>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</si>
  <si>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3,2мм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</si>
  <si>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</si>
  <si>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3,3мм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</si>
  <si>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</si>
  <si>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3,4мм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</si>
  <si>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</si>
  <si>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3,5мм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</si>
  <si>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</si>
  <si>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3,6мм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</si>
  <si>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</si>
  <si>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3,7мм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</si>
  <si>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</si>
  <si>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3,8мм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</si>
  <si>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</si>
  <si>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3,9мм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</si>
  <si>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</si>
  <si>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</si>
  <si>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</si>
  <si>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4,1мм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</si>
  <si>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</si>
  <si>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4,2мм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</si>
  <si>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</si>
  <si>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4,3мм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</si>
  <si>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</si>
  <si>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4,4мм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</si>
  <si>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</si>
  <si>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4,5мм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</si>
  <si>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</si>
  <si>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4,6мм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</si>
  <si>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</si>
  <si>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4,7мм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</si>
  <si>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</si>
  <si>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4,8мм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</si>
  <si>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</si>
  <si>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4,9мм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</si>
  <si>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</si>
  <si>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</si>
  <si>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</si>
  <si>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5,1мм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</si>
  <si>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</si>
  <si>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5,2мм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</si>
  <si>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</si>
  <si>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5,3мм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</si>
  <si>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</si>
  <si>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5,4мм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</si>
  <si>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</si>
  <si>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5,5мм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</si>
  <si>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</si>
  <si>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5,6мм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</si>
  <si>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</si>
  <si>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5,7мм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</si>
  <si>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</si>
  <si>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5,8мм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</si>
  <si>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</si>
  <si>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5,9мм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</si>
  <si>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</si>
  <si>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</si>
  <si>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</si>
  <si>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6,1мм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</si>
  <si>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</si>
  <si>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6,2мм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</si>
  <si>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</si>
  <si>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6,3мм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</si>
  <si>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</si>
  <si>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6,4мм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</si>
  <si>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</si>
  <si>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6,5мм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</si>
  <si>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</si>
  <si>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6,6мм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</si>
  <si>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</si>
  <si>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6,7мм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</si>
  <si>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</si>
  <si>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6,8мм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</si>
  <si>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</si>
  <si>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6,9мм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</si>
  <si>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</si>
  <si>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</si>
  <si>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</si>
  <si>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7,1мм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</si>
  <si>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</si>
  <si>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7,2мм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</si>
  <si>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</si>
  <si>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7,3мм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</si>
  <si>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</si>
  <si>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7,4мм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</si>
  <si>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</si>
  <si>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7,5мм титан 10шт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</si>
  <si>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</si>
  <si>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7,6мм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</si>
  <si>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</si>
  <si>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7,7мм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</si>
  <si>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</si>
  <si>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7,8мм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</si>
  <si>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</si>
  <si>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7,9мм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</si>
  <si>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</si>
  <si>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</si>
  <si>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</si>
  <si>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8,1мм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</si>
  <si>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</si>
  <si>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8,2мм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</si>
  <si>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</si>
  <si>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8,3мм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</si>
  <si>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</si>
  <si>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8,4мм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</si>
  <si>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</si>
  <si>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8,5мм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</si>
  <si>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</si>
  <si>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8,6мм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</si>
  <si>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</si>
  <si>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8,7мм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</si>
  <si>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</si>
  <si>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8,8мм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</si>
  <si>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</si>
  <si>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8,9мм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</si>
  <si>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</si>
  <si>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9мм титан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</si>
  <si>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</si>
  <si>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9,1мм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</si>
  <si>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</si>
  <si>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9,2мм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</si>
  <si>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</si>
  <si>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9,3мм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</si>
  <si>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</si>
  <si>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9,4мм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</si>
  <si>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</si>
  <si>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9,5мм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</si>
  <si>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</si>
  <si>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9,6мм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</si>
  <si>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</si>
  <si>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9,7мм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</si>
  <si>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</si>
  <si>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9,8мм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</si>
  <si>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</si>
  <si>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9,9мм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</si>
  <si>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t>
  </si>
  <si>
    <t>Сверло п/мет 10мм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</si>
  <si>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</si>
  <si>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10,1мм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</si>
  <si>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</si>
  <si>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10,2мм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</si>
  <si>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</si>
  <si>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10,3мм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</si>
  <si>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</si>
  <si>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10,4мм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</si>
  <si>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</si>
  <si>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10,5мм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</si>
  <si>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</si>
  <si>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10,6мм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</si>
  <si>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</si>
  <si>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10,7мм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</si>
  <si>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</si>
  <si>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10,8мм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</si>
  <si>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</si>
  <si>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10,9мм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</si>
  <si>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</si>
  <si>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</si>
  <si>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</si>
  <si>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11,1мм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</si>
  <si>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</si>
  <si>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11,2мм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</si>
  <si>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</si>
  <si>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11,3мм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</si>
  <si>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</si>
  <si>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11,4мм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</si>
  <si>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</si>
  <si>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11,5мм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</si>
  <si>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</si>
  <si>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11,6мм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</si>
  <si>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</si>
  <si>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11,7мм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</si>
  <si>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</si>
  <si>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11,8мм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</si>
  <si>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</si>
  <si>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11,9мм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</si>
  <si>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</si>
  <si>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12мм титан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</si>
  <si>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t>
  </si>
  <si>
    <t>Сверло п/мет 12,1мм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</si>
  <si>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</si>
  <si>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12,2мм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</si>
  <si>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</si>
  <si>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12,3мм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</si>
  <si>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</si>
  <si>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12,4мм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</si>
  <si>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</si>
  <si>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12,5мм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</si>
  <si>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</si>
  <si>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12,6мм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</si>
  <si>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</si>
  <si>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12,7мм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</si>
  <si>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</si>
  <si>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12,8мм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</si>
  <si>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</si>
  <si>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12,9мм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</si>
  <si>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</si>
  <si>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13мм титан 4шт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</si>
  <si>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t>
  </si>
  <si>
    <t>Сверло п/мет ступ. 4-12мм*5ступ.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</si>
  <si>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4-12мм 5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</si>
  <si>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4-12мм*9ступ.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</si>
  <si>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4-12мм 9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</si>
  <si>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4-20мм*9ступ.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</si>
  <si>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4-20мм 9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</si>
  <si>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4-22мм*10ступ.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</si>
  <si>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4-22мм 10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</si>
  <si>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4-30мм*14ступ.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</si>
  <si>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4-30мм 14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</si>
  <si>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5-35мм*13ступ.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</si>
  <si>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5-35мм 13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</si>
  <si>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6-12мм*7ступ.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</si>
  <si>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6-12мм 7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</si>
  <si>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6-18мм*7ступ.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</si>
  <si>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6-18мм 7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</si>
  <si>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6-20мм*8ступ.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</si>
  <si>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6-20мм 8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</si>
  <si>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10-20мм*11ступ.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</si>
  <si>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10-20мм 11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</si>
  <si>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14-24мм*6ступ.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</si>
  <si>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14-24мм 6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</si>
  <si>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20-30мм*11ступ.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</si>
  <si>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20-30мм 11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</si>
  <si>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п/мет ступ. 20-34мм*8ступ. титан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</si>
  <si>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20-34мм 8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t>
  </si>
  <si>
    <t>Сверло п/бет 4*75мм титан 10шт бокс профи Атака</t>
  </si>
  <si>
    <t xml:space="preserve">Сверла Атака являются самым популярным расходным инструмекнтом, который с успехом применяется и в быту и в производстве. 
Сверло Профи Атака по бетону 4*75мм 
Материал: инструментальная быстрорежущая сталь типа 
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t>
  </si>
  <si>
    <t>Сверло п/бет 5*85мм титан 10шт бокс профи Атака</t>
  </si>
  <si>
    <t xml:space="preserve">Сверла Атака являются самым популярным расходным инструмекнтом, который с успехом применяется и в быту и в производстве. 
Сверло Профи Атака по бетону 5*85мм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t>
  </si>
  <si>
    <t>Сверло п/бет 6*100мм титан 10шт бокс профи Атака</t>
  </si>
  <si>
    <t xml:space="preserve">Сверла Атака являются самым популярным расходным инструмекнтом, который с успехом применяется и в быту и в производстве. 
Сверло Профи Атака по бетону 6*100мм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t>
  </si>
  <si>
    <t>Сверло п/бет 6*120мм титан 10шт бокс профи Атака</t>
  </si>
  <si>
    <t xml:space="preserve">Сверла Атака являются самым популярным расходным инструмекнтом, который с успехом применяется и в быту и в производстве. 
Сверло Профи Атака по бетону 6*120мм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t>
  </si>
  <si>
    <t>Сверло п/бет 8*120мм титан 6шт бокс профи Атака</t>
  </si>
  <si>
    <t xml:space="preserve">Сверла Атака являются самым популярным расходным инструмекнтом, который с успехом применяется и в быту и в производстве. 
Сверло Профи Атака по бетону 8*120мм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6шт </t>
  </si>
  <si>
    <t>Сверло п/бет 10*120мм титан 6шт бокс профи Атака</t>
  </si>
  <si>
    <t xml:space="preserve">Сверла Атака являются самым популярным расходным инструмекнтом, который с успехом применяется и в быту и в производстве. 
Сверло Профи Атака по бетону 10*120мм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6шт </t>
  </si>
  <si>
    <t>Сверло п/бет 12*150мм титан 6шт бокс профи Атака</t>
  </si>
  <si>
    <t xml:space="preserve">Сверла Атака являются самым популярным расходным инструмекнтом, который с успехом применяется и в быту и в производстве. 
Сверло Профи Атака по бетону 12*150мм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6шт </t>
  </si>
  <si>
    <t>Сверло п/дер винт. 6*230мм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</si>
  <si>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6*230мм 
Упаковка: бокс</t>
  </si>
  <si>
    <t>Сверло п/дер винт. 8*230мм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</si>
  <si>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8*230мм 
Упаковка: бокс</t>
  </si>
  <si>
    <t>Сверло п/дер винт. 10*230мм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</si>
  <si>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10*230мм 
Упаковка: бокс</t>
  </si>
  <si>
    <t>Сверло п/дер винт. 10*460мм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</si>
  <si>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10*460мм 
Упаковка: бокс</t>
  </si>
  <si>
    <t>Сверло п/дер винт. 12*230мм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</si>
  <si>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12*230мм 
Упаковка: бокс</t>
  </si>
  <si>
    <t>Сверло п/дер винт. 12*460мм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</si>
  <si>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12*460мм 
Упаковка: бокс</t>
  </si>
  <si>
    <t>Сверло п/дер винт. 16*230мм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</si>
  <si>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16*230мм 
Упаковка: бокс</t>
  </si>
  <si>
    <t>Сверло п/дер винт. 18*230мм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</si>
  <si>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18*230мм 
Упаковка: бокс</t>
  </si>
  <si>
    <t>Сверло п/дер винт. 18*460мм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</si>
  <si>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18*460мм 
Упаковка: бокс</t>
  </si>
  <si>
    <t>Сверло п/дер винт. 20*230мм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</si>
  <si>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20*230мм 
Упаковка: бокс</t>
  </si>
  <si>
    <t>Сверло п/дер винт. 20*460мм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</si>
  <si>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20*460мм 
Упаковка: бокс</t>
  </si>
  <si>
    <t>Сверло п/кафелю, стеклу 3мм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</si>
  <si>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3мм 
Упаковка: бокс, 8шт</t>
  </si>
  <si>
    <t>Сверло п/кафелю, стеклу 4мм 8шт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</si>
  <si>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4мм 
Упаковка: бокс, 8шт</t>
  </si>
  <si>
    <t>Сверло п/кафелю, стеклу 5мм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</si>
  <si>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5мм 
Упаковка: бокс, 6шт</t>
  </si>
  <si>
    <t>Сверло п/кафелю, стеклу 6мм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</si>
  <si>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6мм 
Упаковка: бокс, 6шт</t>
  </si>
  <si>
    <t>Сверло п/кафелю, стеклу 8мм 6шт бокс профи Атака</t>
  </si>
  <si>
    <t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8мм 
Упаковка: бокс, 6шт</t>
  </si>
  <si>
    <t>Сверло п/кафелю, стеклу 10мм 4шт бокс профи Атака</t>
  </si>
  <si>
    <t>Сверло п/дер винт. 14*460мм бокс профи Атака</t>
  </si>
  <si>
    <t>Сверло п/дер винт. 16*460мм бокс профи Атака</t>
  </si>
  <si>
    <t>Фрезы</t>
  </si>
  <si>
    <t>Фреза Атака 001060 пазовая прямая D6/ф8/H16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</si>
  <si>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001060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</si>
  <si>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001080 пазовая прямая D8/ф8/H20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</si>
  <si>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001080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</si>
  <si>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001100 пазовая прямая D10/ф8/H20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</si>
  <si>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</si>
  <si>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001120 пазовая прямая D12/ф8/H20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</si>
  <si>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001120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</si>
  <si>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001160 пазовая прямая D16/ф8/H20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</si>
  <si>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</si>
  <si>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001180 пазовая прямая D18/ф8/H20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</si>
  <si>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</si>
  <si>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002060 пазовая прямая D6/ф12/H16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</si>
  <si>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002060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</si>
  <si>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002080 пазовая прямая D8/ф12/H20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</si>
  <si>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002080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</si>
  <si>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002100 пазовая прямая D10/ф12/H20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</si>
  <si>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</si>
  <si>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002120 пазовая прямая D12/ф12/H20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</si>
  <si>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002120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</si>
  <si>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002160 пазовая прямая D16/ф12/H20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</si>
  <si>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</si>
  <si>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002180 пазовая прямая D18/ф12/H20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</si>
  <si>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</si>
  <si>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101127 пазовая конструкционная D12,7/ф8/H12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</si>
  <si>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101127 пазовая конструкционная.
Предназначена для выборки пазов прямого профиля типа "ласточкин хвост". Изготовлена из высококачественной стали. Используют для обработки дерева, ДСП и ламината.</t>
  </si>
  <si>
    <t>Фреза Атака 102127 пазовая конструкционная D12,7/ф12/H12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</si>
  <si>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102127 пазовая конструкционная.
Предназначена для выборки пазов прямого профиля типа "ласточкин хвост". Изготовлена из высококачественной стали. Используют для обработки дерева, ДСП и ламината.</t>
  </si>
  <si>
    <t>Фреза Атака 111127 пазовая галтельная V-образная-90 D12,7/ф8/H12,7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</si>
  <si>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111127 пазовая галтельная V-образная 90.
Предназначена для изготовления V-образного паза с целью креплений столярных изделий. Изготовлена из высококачественной стали. Используют для обработки дерева, ДСП и ламината.</t>
  </si>
  <si>
    <t>Фреза Атака 112127 пазовая галтельная V-образная-90 D12,7/ф12/H12,7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</si>
  <si>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112127 пазовая галтельная V-образная 90.
Предназначена для изготовления V-образного паза с целью креплений столярных изделий.  Изготовлена из высококачественной стали. Используют для обработки дерева, ДСП и ламината.</t>
  </si>
  <si>
    <t>Фреза Атака 401127 пазовая галтельная D12,7/ф8/H9,5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</si>
  <si>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401127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t>
  </si>
  <si>
    <t>Фреза Атака 401190 пазовая галтельная D19/ф8/H12,7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</si>
  <si>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401190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t>
  </si>
  <si>
    <t>Фреза Атака 402127 пазовая галтельная D12,7/ф12/H9,5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</si>
  <si>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402127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t>
  </si>
  <si>
    <t>Фреза Атака 402190 пазовая галтельная D19/ф12/H12,7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</si>
  <si>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402190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t>
  </si>
  <si>
    <t>Фреза Атака 411255 кромочная калевочная D25,5/ф8/H12,7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</si>
  <si>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411255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</si>
  <si>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411350 кромочная калевочная D35/ф8/H17,4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</si>
  <si>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411350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</si>
  <si>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412286 кромочная калевочная D28,6/ф12/H12,7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</si>
  <si>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412286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</si>
  <si>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412381 кромочная калевочная D38,1/ф12/H17,4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</si>
  <si>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</si>
  <si>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591255 кромочная калевочная D25,5/ф8/H13,5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</si>
  <si>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</si>
  <si>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591286 кромочная калевочная D28,6/ф8/H16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</si>
  <si>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</si>
  <si>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591318 кромочная калевочная D31,8/ф8/H16,6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</si>
  <si>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</si>
  <si>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591381 кромочная калевочная D38,1/ф8/H19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</si>
  <si>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</si>
  <si>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592255 кромочная калевочная D25,5/ф12/H13,5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</si>
  <si>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</si>
  <si>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592286 кромочная калевочная D28,6/ф12/H16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</si>
  <si>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</si>
  <si>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592318 кромочная калевочная D31,8/ф12/H16,6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</si>
  <si>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</si>
  <si>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592381 кромочная калевочная D38,1/ф12/H19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</si>
  <si>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</si>
  <si>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601255 кромочная калевочная D25,5/ф8/H13,5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</si>
  <si>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</si>
  <si>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601286 кромочная калевочная D28,6/ф8/H16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</si>
  <si>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</si>
  <si>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601318 кромочная калевочная D31,8/ф8/H16,6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</si>
  <si>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</si>
  <si>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602255 кромочная калевочная D25,5/ф12/H13,5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</si>
  <si>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602255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</si>
  <si>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602286 кромочная калевочная D28,6/ф12/H16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</si>
  <si>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602286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</si>
  <si>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602381 кромочная калевочная D38,1/ф12/H19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</si>
  <si>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</si>
  <si>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561222 кромочная калевочная D22,2/ф8/H13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</si>
  <si>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561222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</si>
  <si>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561285 кромочная калевочная D28,5/ф8/H14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</si>
  <si>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561285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</si>
  <si>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561350 кромочная калевочная D35/ф8/H16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</si>
  <si>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561350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</si>
  <si>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562255 кромочная калевочная D25,5/ф12/H12,7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</si>
  <si>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562255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</si>
  <si>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562318 кромочная калевочная D31,8/ф12/H14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</si>
  <si>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562318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</si>
  <si>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562381 кромочная калевочная D38,1/ф12/H16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</si>
  <si>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</si>
  <si>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151285 кромочная фальцевая D28,5/ф8/H17,4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</si>
  <si>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151285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</si>
  <si>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152318 кромочная фальцевая D31,8/ф12/H17,4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</si>
  <si>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152318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</si>
  <si>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131320 кромочная конусная 45 D32/ф8/H15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</si>
  <si>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131320 кромочная конусная 45.
Фреза кромочная конусная 45. Изготовлена из высококачественной стали. Используют для обработки дерева, ДСП и ламината.</t>
  </si>
  <si>
    <t>Фреза Атака 132320 кромочная конусная 45 D32/ф12/H15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</si>
  <si>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132320 кромочная конусная 45.
Фреза кромочная конусная 45. Изготовлена из высококачественной стали. Используют для обработки дерева, ДСП и ламината.</t>
  </si>
  <si>
    <t>Фреза Атака 422318 кромочная калевочная D31,8/ф12/H12,7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</si>
  <si>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422318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</si>
  <si>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422381 кромочная калевочная D38,1/ф8/H17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</si>
  <si>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</si>
  <si>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421318 кромочная калевочная D31,8/ф8/H12,7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</si>
  <si>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421318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</si>
  <si>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421381 кромочная калевочная D38,1/ф8/H15,9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</si>
  <si>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421381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</si>
  <si>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601381 кромочная калевочная D38,1/ф8/H19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</si>
  <si>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</si>
  <si>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021100 пазовая прямая концевая D10/ф8/H20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</si>
  <si>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</si>
  <si>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021120 пазовая прямая концевая D12/ф8/H20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</si>
  <si>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021120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</si>
  <si>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021140 пазовая прямая концевая D14/ф8/H20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</si>
  <si>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021140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</si>
  <si>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021150 пазовая прямая концевая D15/ф8/H20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</si>
  <si>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021150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</si>
  <si>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021160 пазовая прямая концевая D16/ф8/H20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</si>
  <si>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</si>
  <si>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021180 пазовая прямая концевая D18/ф8/H20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</si>
  <si>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</si>
  <si>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021200 пазовая прямая концевая D20/ф8/H20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</si>
  <si>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021200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</si>
  <si>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031060 пазовая прямая концевая D6/ф8/H16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</si>
  <si>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031060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</si>
  <si>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031080 пазовая прямая концевая D8/ф8/H20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</si>
  <si>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031080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</si>
  <si>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301095 кромочная прямая D9,5/ф8/H13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</si>
  <si>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301095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</si>
  <si>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301095-1 кромочная прямая D9,5/ф8/H25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</si>
  <si>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301095-1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</si>
  <si>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301127-1 кромочная прямая D12,7/ф8/H25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</si>
  <si>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301127-1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</si>
  <si>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301127-2 кромочная прямая D12,7/ф8/H32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</si>
  <si>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301127-2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</si>
  <si>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301160 кромочная прямая D16/ф8/H25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</si>
  <si>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301160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</si>
  <si>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001140 пазовая прямая D14/ф8/H20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</si>
  <si>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001140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</si>
  <si>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021120-1 пазовая прямая D12/ф8/H38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</si>
  <si>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021120-1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</si>
  <si>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322220 пазовая прямая с подшипником D22/ф12/H25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</si>
  <si>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322220 пазовая прямая с подшипником.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</si>
  <si>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022200В-2 пазовая прямая с подрезателем D20/ф12/H38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</si>
  <si>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022200В-2 пазовая прямая с подрезателем.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</si>
  <si>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022120В-3 пазовая прямая с подрезателем D12/ф12/H38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</si>
  <si>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022120В-3 пазовая прямая с подрезателем.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</si>
  <si>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322190-2 пазовая прямая с подшипником D19/ф12/H38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</si>
  <si>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322190-2 пазовая прямая с подшипником.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</si>
  <si>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302127-3 кромочная прямая D12,7/ф12/H38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</si>
  <si>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302127-3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</si>
  <si>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302127-4 кромочная прямая D12,7/ф12/H50,8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</si>
  <si>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302127-4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</si>
  <si>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302190L-1 кромочная прямая скошенное лезвие D19/ф12/H38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</si>
  <si>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302190L-1 кромочная прямая со скошенной поверхностью.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</si>
  <si>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302190L-2 кромочная прямая скошенное лезвие D19/ф12/H50,8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</si>
  <si>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302190L-2 кромочная прямая со скошенной поверхностью.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</si>
  <si>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Набор фрез Атака VM0701-8 для поперечного сращивания 6шт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</si>
  <si>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Набор фрез Атака VM0701-8 для поперечного сращивания 6шт.
Набор фрез для поперечного сращивания. Изготовлены из высококачественной стали. Используют для обработки дерева, ДСП и ламината.</t>
  </si>
  <si>
    <t>Набор фрез Атака VRMB06-A для выборки четверти 7шт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</si>
  <si>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Набор фрез Атака VRMB06-A для выборки четверти 7шт.
Набор фрез для выборки четверти 6шт. Изготовлена из высококачественной стали. Используют для обработки дерева, ДСП и ламината.</t>
  </si>
  <si>
    <t>Фреза Атака 411286 кромочная калевочная D28,6/ф8/H12,7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</si>
  <si>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411286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</si>
  <si>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591190 кромочная калевочная D19/ф8/H10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</si>
  <si>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591190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</si>
  <si>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591222 кромочная калевочная D22,2/ф8/H12,7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</si>
  <si>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591222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</si>
  <si>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592445 кромочная калевочная D44,5/ф12/H22,2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</si>
  <si>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592445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</si>
  <si>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301190L кромочная прямая D19/ф8/H25,4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</si>
  <si>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301190L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</si>
  <si>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151254 кромочная фальцевая D25,4/ф8/H10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</si>
  <si>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151254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</si>
  <si>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151318 кромочная фальцевая D31,8/ф8/H12,7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</si>
  <si>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151318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</si>
  <si>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151381 кромочная фальцевая D38,1/ф8/H10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</si>
  <si>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151381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</si>
  <si>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692222А кромочная  фигурная D22,2/ф12/H28,6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</si>
  <si>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692222А кромочная  фигурная.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</si>
  <si>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692222С кромочная  фигурная D22,2/ф12/H28,6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</si>
  <si>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692222С кромочная  фигурная.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t>
  </si>
  <si>
    <t>Фреза Атака 401095 пазовая галтельная D9,5/ф8/H9,5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</si>
  <si>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401095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t>
  </si>
  <si>
    <t>Фреза Атака 401159 пазовая галтельная D15,9/ф8/H12,7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</si>
  <si>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401159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t>
  </si>
  <si>
    <t>Фреза Атака 111095 пазовая галтельная V-образная-90 D9,5/ф8/H12,7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</si>
  <si>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111095 пазовая галтельная V-образная 90.
Предназначена для декоративной работы и работ по кромке изделий Изготовлена из высококачественной стали. Используют для обработки дерева, ДСП и ламината.</t>
  </si>
  <si>
    <t>Фреза Атака 001250-1 пазовая прямая D25/ф8/H25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</si>
  <si>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001250-1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t>
  </si>
  <si>
    <t>Фреза Атака 321160 пазовая прямая с подшипником D16/ф8/H20</t>
  </si>
  <si>
    <t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321160 пазовая прямая с подшипником.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t>
  </si>
  <si>
    <t>Фреза Атака кромочная замковая D41,3/ф12/H22 (8140920)</t>
  </si>
  <si>
    <t>Фреза Атака кромочная замковая D41,3/ф12/H22</t>
  </si>
  <si>
    <t>Фреза Атака кромочная замковая D41,3/ф12/H22 (8140940)</t>
  </si>
  <si>
    <t>Фреза Атака кромочная калевочная D50,8/ф12/H25</t>
  </si>
  <si>
    <t>Фреза Атака кромочная калевочная D19/ф8/H10</t>
  </si>
  <si>
    <t>Фреза Атака кромочная калевочная D44,5/ф12/H22 (8140990)</t>
  </si>
  <si>
    <t>Фреза Атака кромочная калевочная D28,6/ф8/H13 (8141000)</t>
  </si>
  <si>
    <t>Фреза Атака кромочная калевочная D33,3/ф8/H16</t>
  </si>
  <si>
    <t>Фреза Атака кромочная калевочная D28,6/ф8/H13 (8141030)</t>
  </si>
  <si>
    <t>Фреза Атака кромочная калевочная D33,3/ф8/H13</t>
  </si>
  <si>
    <t>Фреза Атака кромочная калевочная D42,8/ф8/H19</t>
  </si>
  <si>
    <t>Фреза Атака кромочная калевочная D34,9/ф8/H13</t>
  </si>
  <si>
    <t>Фреза Атака кромочная калевочная D28,6/ф8/H13 (8141070)</t>
  </si>
  <si>
    <t>Фреза Атака кромочная калевочная D28,6/ф8/H14</t>
  </si>
  <si>
    <t>Фреза Атака кромочная профилирующая D28,6/ф8/H19</t>
  </si>
  <si>
    <t>Фреза Атака кромочная профилирующая D22,2/ф12/H25,4</t>
  </si>
  <si>
    <t>Фреза Атака кромочная профилирующая D25,4/ф12/H31,8</t>
  </si>
  <si>
    <t>Фреза Атака кромочная профилирующая D31,8/ф12/H44,5</t>
  </si>
  <si>
    <t>Фреза Атака кромочная профилирующая D28,6/ф8/H25</t>
  </si>
  <si>
    <t>Фреза Атака кромочная прямая D22,2/ф12/H26</t>
  </si>
  <si>
    <t>Фреза Атака кромочная прямая D12,7/ф12/H25</t>
  </si>
  <si>
    <t>Фреза Атака кромочная фальцевая D38,1/ф12/H13</t>
  </si>
  <si>
    <t>Фреза Атака кромочная фальцевая дисковая D50,8/ф8/H2</t>
  </si>
  <si>
    <t>Фреза Атака кромочная фальцевая дисковая D50,8/ф8/H3</t>
  </si>
  <si>
    <t>Фреза Атака кромочная фальцевая дисковая D50,8/ф8/H4</t>
  </si>
  <si>
    <t>Фреза Атака кромочная фальцевая дисковая D50,8/ф8/H5</t>
  </si>
  <si>
    <t>Фреза Атака кромочная фальцевая дисковая D50,8/ф8/H6</t>
  </si>
  <si>
    <t>Фреза Атака кромочная фигурная D22,2/ф12/H41</t>
  </si>
  <si>
    <t>Фреза Атака кромочная фигурная D25,4/ф12/H35</t>
  </si>
  <si>
    <t>Фреза Атака кромочная фигурная D28,6/ф12/H41</t>
  </si>
  <si>
    <t>Фреза Атака кромочная фигурная D25,4/ф12/H41</t>
  </si>
  <si>
    <t>Фреза Атака кромочная филенчатая D63,5/ф12,7/H19 (8141260)</t>
  </si>
  <si>
    <t>Фреза Атака кромочная филенчатая D38,1/ф12,7/H17</t>
  </si>
  <si>
    <t>Фреза Атака кромочная филенчатая D50,8/ф12,7/H13</t>
  </si>
  <si>
    <t>Фреза Атака кромочная филенчатая D89/ф12,7/H19</t>
  </si>
  <si>
    <t>Фреза Атака кромочная филенчатая D79,4/ф16/H25,4</t>
  </si>
  <si>
    <t>Фреза Атака пазовая галтельная D6,4/ф8/H13</t>
  </si>
  <si>
    <t>Фреза Атака пазовая галтельная D12,7/ф8/H25</t>
  </si>
  <si>
    <t>Фреза Атака пазовая галтельная D25,4/ф8/H16</t>
  </si>
  <si>
    <t>Фреза Атака пазовая галтельная V-образная D19/ф12/H9,5</t>
  </si>
  <si>
    <t>Фреза Атака пазовая галтельная V-образная D25,4/ф12/H12,7</t>
  </si>
  <si>
    <t>Фреза Атака пазовая галтельная V-образная D15,8/ф8/H7,9</t>
  </si>
  <si>
    <t>Фреза Атака пазовая прямая D3/ф8/H6</t>
  </si>
  <si>
    <t>Фреза Атака пазовая прямая D4/ф8/H13</t>
  </si>
  <si>
    <t>Фреза Атака пазовая прямая D12/ф12/H51</t>
  </si>
  <si>
    <t>Фреза Атака пазовая прямая D15/ф8/H25</t>
  </si>
  <si>
    <t>Фреза Атака пазовая прямая D20/ф8/H19</t>
  </si>
  <si>
    <t>Фреза Атака пазовая прямая D22/ф8/H22</t>
  </si>
  <si>
    <t>Фреза Атака пазовая прямая D24/ф8/H25</t>
  </si>
  <si>
    <t>Фреза Атака пазовая прямая D6/ф8/H19</t>
  </si>
  <si>
    <t>Фреза Атака пазовая прямая D8/ф8/H25</t>
  </si>
  <si>
    <t>Фреза Атака пазовая прямая D10/ф8/H25</t>
  </si>
  <si>
    <t>Фреза Атака пазовая прямая D35/ф12/H32</t>
  </si>
  <si>
    <t>Фреза Атака пазовая прямая D14/ф12/H51</t>
  </si>
  <si>
    <t>Фреза Атака пазовая прямая D16/ф12/H51</t>
  </si>
  <si>
    <t>Фреза Атака пазовая прямая с подшипником D6,35/ф8/H19</t>
  </si>
  <si>
    <t>Фреза Атака пазовая прямая с подшипником D12,7/ф8/H26</t>
  </si>
  <si>
    <t>Фреза Атака пазовая прямая с подшипником D15,8/ф8/H26</t>
  </si>
  <si>
    <t>Фреза Атака пазовая прямая с подшипником D28,6/ф12/H38</t>
  </si>
  <si>
    <t>Фреза Атака пазовая фасонная D9,5/ф8/H8</t>
  </si>
  <si>
    <t>Фреза Атака пазовая фасонная D22,2/ф12/H15</t>
  </si>
  <si>
    <t>Фреза Атака пазовая фасонная D12,7/ф8/H10</t>
  </si>
  <si>
    <t>Фреза Атака пазовая фасонная D19/ф12/H16</t>
  </si>
  <si>
    <t>Фреза Атака пазовая фасонная D28,6/ф8/H13</t>
  </si>
  <si>
    <t>Фреза Атака пазовая фасонная D19/ф8/H14</t>
  </si>
  <si>
    <t>Фреза Атака пазовая фасонная D31,3/ф8/H16</t>
  </si>
  <si>
    <t>Фреза Атака пазовая фасонная D19/ф8/H11</t>
  </si>
  <si>
    <t>Фреза Атака пазовая фасонная D25,4/ф8/H14</t>
  </si>
  <si>
    <t>Фреза Атака пазовая фасонная D31,8/ф8/H16</t>
  </si>
  <si>
    <t>Фреза Атака кромочная филенчатая D63,5/ф12,7/H19 (8141270)</t>
  </si>
  <si>
    <t>Фреза АТАКА пазовая прямая D8/ф6/H20</t>
  </si>
  <si>
    <t>Фреза АТАКА пазовая прямая D10/ф6/H20</t>
  </si>
  <si>
    <t>Фреза АТАКА кромочная калевочная D22,2/ф6/H11,1 (8142510)</t>
  </si>
  <si>
    <t>Фреза АТАКА кромочная калевочная D19/ф9/H10,3</t>
  </si>
  <si>
    <t>Фреза АТАКА пазовая прямая D6/ф6/H20</t>
  </si>
  <si>
    <t>Фреза АТАКА пазовая прямая D12/ф6/H20</t>
  </si>
  <si>
    <t>Фреза АТАКА кромочная прямая D9,5/ф6/H25</t>
  </si>
  <si>
    <t>Фреза АТАКА кромочная фальцевая D19/ф6/H12,7</t>
  </si>
  <si>
    <t>Фреза АТАКА кромочная калевочная D19/ф6/H10,3</t>
  </si>
  <si>
    <t>Фреза АТАКА кромочная калевочная D22,2/ф6/H11,1 (8142530)</t>
  </si>
  <si>
    <t>Щётки</t>
  </si>
  <si>
    <t>Щётка №001; 107514120 d- 75 М14 чашеобразная гофрир.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</si>
  <si>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№001.
Навинчивается, резьба М14
Диаметр щетки 75мм
Материал - гофрированная сталь
Толщина проволоки - 0,30мм (обработка средней интенсивности)</t>
  </si>
  <si>
    <t>Щётка №002; 110014120 d-100 М14 чашеобразная гофрир.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</si>
  <si>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№002.
Навинчивается, резьба М14
Диаметр щетки 100мм
Материал - гофрированная сталь
Толщина проволоки - 0,30мм (обработка средней интенсивности)</t>
  </si>
  <si>
    <t>Щётка №003; 112514120 d-125 М14 чашеобразная гофрир.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</si>
  <si>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№003.
Навинчивается, резьба М14
Диаметр щетки 125мм
Материал - гофрированная сталь
Толщина проволоки - 0,30мм (обработка средней интенсивности)</t>
  </si>
  <si>
    <t>Щётка №021; 210014120 d-100 М14 вогнутая, гофрир.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</si>
  <si>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№021.
Навинчивается, резьба М14
Диаметр щетки 100мм
Материал - гофрированная сталь
Толщина проволоки - 0,20мм (щадящая обработка)</t>
  </si>
  <si>
    <t>Щётка №022; 210014320 d-100 М14 вогнутая, гофрир.латун.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</si>
  <si>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№022.
Навинчивается, резьба М14
Диаметр щетки 100мм
Материал - гофрированная латунь
Толщина проволоки - 0,20мм (щадящая обработка)</t>
  </si>
  <si>
    <t>Щётка №023; 211514120 d-115 М14 вогнутая, гофрир.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</si>
  <si>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№023.
Навинчивается, резьба М14
Диаметр щетки 115мм
Материал - гофрированная сталь
Толщина проволоки - 0,20мм (щадящая обработка)</t>
  </si>
  <si>
    <t>Щётка №024; 211514320 d-115 М14 вогнутая, гофрир.латун.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</si>
  <si>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№024.
Навинчивается, резьба М14
Диаметр щетки 115мм
Материал - гофрированная латунь
Толщина проволоки - 0,20мм (щадящая обработка)</t>
  </si>
  <si>
    <t>Щётка №013; 1108014135 d- 80 М14 чашеобразная с кольцом,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</si>
  <si>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№013.
Навинчивается, резьба М14
Диаметр щетки 80мм
Материал - витая сталь
Толщина проволоки - 0,35мм (грубая обработка)</t>
  </si>
  <si>
    <t>Щётка №014; 1110014135 d-100 М-14 чашеобразная с кольцом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</si>
  <si>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№014.
Навинчивается, резьба М14
Диаметр щетки 100мм
Материал - витая сталь
Толщина проволоки - 0,35мм (грубая обработка)</t>
  </si>
  <si>
    <t>Щётка №025; 1210014135 d-100 M-14 вогнутая,витая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</si>
  <si>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№025.
Навинчивается, резьба М14
Диаметр щетки 100мм
Материал - витая сталь
Толщина проволоки - 0,50мм (грубая интенсивная обработка)</t>
  </si>
  <si>
    <t>Щётка №026; 1211514135 d-115 M-14 вогнутая,витая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</si>
  <si>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№026.
Навинчивается, резьба М14
Диаметр щетки 115мм
Материал - витая сталь
Толщина проволоки - 0,50мм (грубая интенсивная обработка)</t>
  </si>
  <si>
    <t>Щётка №004; 2106514135 d- 65 M-14 чашеобразная,витая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</si>
  <si>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№004.
Навинчивается, резьба М14
Диаметр щетки 65мм
Материал - витая сталь
Толщина проволоки - 0,50мм (грубая интенсивная обработка)</t>
  </si>
  <si>
    <t>Щётка №006; 2108014135 d- 80 M-14 чашеобразная,витая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</si>
  <si>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№006.
Навинчивается, резьба М14
Диаметр щетки 80мм
Материал - витая сталь
Толщина проволоки - 0,50мм (грубая интенсивная обработка)</t>
  </si>
  <si>
    <t>Щётка №008; 2110014135 d-100 M-14 чашеобразная,витая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</si>
  <si>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№008.
Навинчивается, резьба М14
Диаметр щетки 100мм
Материал - витая сталь
Толщина проволоки - 0,50мм (грубая интенсивная обработка)</t>
  </si>
  <si>
    <t>Щётка №010; 2112014135 d-120 M-14 чашеобразная,витая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</si>
  <si>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№010.
Навинчивается, резьба М14
Диаметр щетки 120мм
Материал - витая сталь
Толщина проволоки - 0,50мм (грубая интенсивная обработка)</t>
  </si>
  <si>
    <t>Щётка №031; 310030120 d-100 круглая д/точила,гофриров.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</si>
  <si>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№150.
Диаметр щетки 100мм
Материал - гофрированная сталь
Толщина проволоки - 0,30мм (обработка средней интенсивности)</t>
  </si>
  <si>
    <t>Щётка №032; 312530120 d-125 круглая д/точила,гофриров.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</si>
  <si>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№151.
Диаметр щетки 125мм
Материал - гофрированная сталь
Толщина проволоки - 0,30мм (обработка средней интенсивности)</t>
  </si>
  <si>
    <t>Щётка №033; 315050120 d-150 круглая д/точила,гофриров.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</si>
  <si>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№152.
Диаметр щетки 150мм
Материал - гофрированная сталь
Толщина проволоки - 0,30мм (обработка средней интенсивности)</t>
  </si>
  <si>
    <t>Щётка №034; 317550120 d-175 круглая д/точила,гофриров.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</si>
  <si>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№153.
Диаметр щетки 175мм
Материал - гофрированная сталь
Толщина проволоки - 0,30мм (обработка средней интенсивности)</t>
  </si>
  <si>
    <t>Щётка №035; 320050120 d-200 круглая д/точила,гофриров.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</si>
  <si>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№160.
Диаметр щетки 200мм
Материал - гофрированная сталь
Толщина проволоки - 0,30мм (обработка средней интенсивности)</t>
  </si>
  <si>
    <t>Щётка №047; 5305006120 d-50 для дрели 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</si>
  <si>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№161.
Хвостовик, d=6мм
Диаметр щетки 50мм
Материал - гофрированная сталь
Толщина проволоки - 0,30мм (обработка средней интенсивности)</t>
  </si>
  <si>
    <t>Щётка №052; 5305006320 d-50 для дрели  гофрирован.латун.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</si>
  <si>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№162.
Хвостовик, d=6мм
Диаметр щетки 50мм
Материал - гофрированная латунь
Толщина проволоки - 0,30мм (обработка средней интенсивности)</t>
  </si>
  <si>
    <t>Щётка №048; 5306306120 d-65 для дрели  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</si>
  <si>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№163.
Хвостовик, d=6мм
Диаметр щетки 65мм
Материал - гофрированная сталь
Толщина проволоки - 0,30мм (обработка средней интенсивности)</t>
  </si>
  <si>
    <t>Щётка №053; 5306306320 d-65 для дрели  гофрирован.латун.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</si>
  <si>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№170.
Хвостовик, d=6мм
Диаметр щетки 65мм
Материал - гофрированная латунь
Толщина проволоки - 0,30мм (обработка средней интенсивности)</t>
  </si>
  <si>
    <t>Щётка №049; 5307506120 d-75 для дрели  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</si>
  <si>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№015.
Хвостовик, d=6мм
Диаметр щетки 75мм
Материал - гофрированная сталь
Толщина проволоки - 0,30мм (обработка средней интенсивности)</t>
  </si>
  <si>
    <t>Щётка №054; 5307506320 d-75 для дрели  гофрирован.латун.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</si>
  <si>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№054.
Хвостовик, d=6мм
Диаметр щетки 75мм
Материал - гофрированная латунь
Толщина проволоки - 0,30мм (обработка средней интенсивности)</t>
  </si>
  <si>
    <t>Щётка №061; 3105006120 d-50 для дрели чашеобразная,гофрирован.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</si>
  <si>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№061.
Хвостовик, d=6мм
Диаметр щетки 50мм
Материал - гофрированная сталь
Толщина проволоки - 0,30мм (обработка средней интенсивности)</t>
  </si>
  <si>
    <t>Щётка №062; 3106306120 d-63 для дрели чашеобразная,гофрирован.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</si>
  <si>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№062.
Хвостовик, d=6мм
Диаметр щетки 63мм
Материал - гофрированная сталь
Толщина проволоки - 0,30мм (обработка средней интенсивности)</t>
  </si>
  <si>
    <t>Щётка №063; 3107506120 d-75 для дрели чашеобразная,гофрирован.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</si>
  <si>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№063.
Хвостовик, d=6мм
Диаметр щетки 75мм
Материал - гофрированная сталь
Толщина проволоки - 0,30мм (обработка средней интенсивности)</t>
  </si>
  <si>
    <t>Щётка №064; 210006120 d-100 для дрели вогнутая,гофрирован.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</si>
  <si>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дрели, модель №064.
Хвостовик, d=6мм
Диаметр щетки 100мм
Материал - гофрированная сталь
Толщина проволоки - 0,20мм (щадящая обработка)</t>
  </si>
  <si>
    <t>Щётка №070; 402406130 d-24 для дрели кисть,гофрирован.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</si>
  <si>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№070.
Хвостовик, d=6мм
Диаметр щетки 24мм
Материал - гофрированная сталь
Толщина проволоки - 0,30мм (обработка средней интенсивности)</t>
  </si>
  <si>
    <t>Щётка №071; 403006130 d-30 для дрели кисть,гофрирован.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</si>
  <si>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№071.
Хвостовик, d=6мм
Диаметр щетки 30мм
Материал - гофрированная сталь
Толщина проволоки - 0,30мм (обработка средней интенсивности)</t>
  </si>
  <si>
    <t>Щётка №081; 5405006120 d-50 для дрели дисковая,гофрирован.шестигран.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</si>
  <si>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 для дрели, модель №081.
Шестигранник, 6мм
Диаметр щетки 50мм
Материал - латунь
Толщина проволоки - 0,30мм (обработка средней интенсивности)</t>
  </si>
  <si>
    <t>Щётка №082; 5407506120 d-75 для дрели дисковая,гофрирован.шестигран.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</si>
  <si>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№082.
Шестигранник, 6мм
Диаметр щетки 75мм
Материал - гофрированная сталь
Толщина проволоки - 0,30мм (обработка средней интенсивности)</t>
  </si>
  <si>
    <t>Щётка №083; 5410006120 d-100 для дрели дисковая,гофрирован.шестигран.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</si>
  <si>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№083.
Шестигранник, 6мм
Диаметр щетки 100мм
Материал - гофрированная сталь
Толщина проволоки - 0,30мм (обработка средней интенсивности)</t>
  </si>
  <si>
    <t>Щётка №084; 3205006120 d-50 для дрели чашеобразная,гофрирован.шестигран.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</si>
  <si>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№084.
Шестигранник, 6мм
Диаметр щетки 50мм
Материал - гофрированная сталь
Толщина проволоки - 0,20мм (щадящая обработка)</t>
  </si>
  <si>
    <t>Щётка №085; 3207506120 d-75 для дрели чашеобразная,гофрирован.шестигран.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</si>
  <si>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№085.
Шестигранник, 6мм
Диаметр щетки 75мм
Материал - гофрированная сталь
Толщина проволоки - 0,20мм (щадящая обработка)</t>
  </si>
  <si>
    <t>Щётка №086; 1307506135 d-75 для дрели дисковая,витая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</si>
  <si>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 для дрели, модель №086.
Хвостовик, d=6мм
Диаметр щетки 75мм
Материал - витая сталь
Толщина проволоки - 0,35мм (грубая обработка)</t>
  </si>
  <si>
    <t>Щётка №065 2107506135 d-75 для дрели чашеобразная,витая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</si>
  <si>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№065.
Хвостовик, d=6мм
Диаметр щетки 75мм
Материал - витая сталь
Толщина проволоки - 0,50мм (грубая интенсивная обработка)</t>
  </si>
  <si>
    <t>Щётка №103; 1207506135 d-75 для дрели вогнутая,витая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</si>
  <si>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дрели, модель №103.
Хвостовик, d=6мм
Диаметр щетки 75мм
Материал - витая сталь
Толщина проволоки - 0,35мм (грубая обработка)</t>
  </si>
  <si>
    <t>Щётка №093; 6306306555 d-63 для дрели круглая,абразивная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</si>
  <si>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№093.
Хвостовик, d=6мм
Диаметр щетки 63мм
Материал - абразив
Для мягкой обработки поверхностей</t>
  </si>
  <si>
    <t>Щётка №096; 4105006555 d-50 для дрели чашеобразная,абразивная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</si>
  <si>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№096.
Хвостовик, d=6мм
Диаметр щетки 50мм
Материал - абразив
Для мягкой обработки поверхностей</t>
  </si>
  <si>
    <t>Щётка №097; 4106306555 d-63 для дрели чашеобразная,абразивная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</si>
  <si>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№097.
Хвостовик, d=6мм
Диаметр щетки 63мм
Материал - абразив
Для мягкой обработки поверхностей</t>
  </si>
  <si>
    <t>Щётка №098; 4107506555 d-75 для дрели чашеобразная,абразивная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</si>
  <si>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№098.
Хвостовик, d=6мм
Диаметр щетки 75мм
Материал - абразив
Для мягкой обработки поверхностей</t>
  </si>
  <si>
    <t>Щётка №100; 3401706555 d-17 для дрели кисть,абразивная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</si>
  <si>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№100.
Хвостовик, d=6мм
Диаметр щетки 17мм
Материал - абразив
Для мягкой обработки поверхностей</t>
  </si>
  <si>
    <t>Щётка №101; 3402406555 d-24 для дрели кисть,абразивная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</si>
  <si>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№101.
Хвостовик, d=6мм
Диаметр щетки 24мм
Материал - абразив
Для мягкой обработки поверхностей</t>
  </si>
  <si>
    <t>Щётка №102; 3403006555 d-30 для дрели кисть,абразивная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</si>
  <si>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№102.
Хвостовик, d=6мм
Диаметр щетки 30мм
Материал - абразив
Для мягкой обработки поверхностей</t>
  </si>
  <si>
    <t>Щётка №116; 7133004 с деревянной ручкой 4-х рядная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</si>
  <si>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№116.
Материал - сталь
Толщина проволоки - 0,30мм (обработка средней интенсивности)</t>
  </si>
  <si>
    <t>Щётка №111; 17130001 с пластиковой ручкой стальная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</si>
  <si>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№111.
Материал - витая сталь
Толщина проволоки - 0,30мм (обработка средней интенсивности)</t>
  </si>
  <si>
    <t>Щётка №112; 17230001 с пластиковой ручкой омедненная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</si>
  <si>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№112.
Материал - латунь
Толщина проволоки - 0,30мм (обработка средней интенсивности)</t>
  </si>
  <si>
    <t>Щётка №113; 17430001 с пластиковой ручкой латунная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</si>
  <si>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№113.
Материал - латунь
Толщина проволоки - 0,30мм (обработка средней интенсивности)</t>
  </si>
  <si>
    <t>Щётка №087; 1310006135 d-100 для дрели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</si>
  <si>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№087.
Хвостовик, d=6мм
Диаметр щетки 100мм
Материал - витая сталь
Толщина проволоки - 0,30мм (обработка средней интенсивности)</t>
  </si>
  <si>
    <t>Щётка №130 1060141d-60мм чашеобразная гофрир.провол.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</si>
  <si>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№130.
Посадка, диск d=22,2мм
Диаметр щетки 60мм
Материал - гофрированная сталь
Толщина проволоки - 0,30мм (обработка средней интенсивности)</t>
  </si>
  <si>
    <t>Щётка №131 11065141 d-65мм чашеобразная с кольцом,витая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</si>
  <si>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дрели, модель №131.
Хвостовик, d=6мм
Диаметр щетки 65мм
Материал - витая сталь
Толщина проволоки - 0,35мм (грубая обработка)</t>
  </si>
  <si>
    <t>Щётка №132 13075131 d-75мм круглая для УШМ,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</si>
  <si>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№132.
Посадка, диск d=22,2мм
Диаметр щетки 75мм
Материал - витая сталь
Толщина проволоки - 0,50мм (грубая интенсивная обработка)</t>
  </si>
  <si>
    <t>Щётка №133 13100331 d-100мм круглая для УШМ.витая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</si>
  <si>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№133.
Посадка, диск d=22,2мм
Диаметр щетки 100мм
Материал - витая сталь
Толщина проволоки - 0,50мм (грубая интенсивная обработка)</t>
  </si>
  <si>
    <t>Щётка №134 13115221 d-115мм круглая для УШМ 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</si>
  <si>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№134.
Посадка, диск d=22,2мм
Диаметр щетки 115мм
Материал - витая сталь
Толщина проволоки - 0,50мм (грубая интенсивная обработка)</t>
  </si>
  <si>
    <t>Щётка №135 13150221 d-150мм круглая для УШМ 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</si>
  <si>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№135.
Посадка, диск d=22,2мм
Диаметр щетки 150мм
Материал - витая сталь
Толщина проволоки - 0,50мм (грубая интенсивная обработка)</t>
  </si>
  <si>
    <t>Щётка №136 13178221 d-178мм круглая для УШМ 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</si>
  <si>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№136.
Посадка, диск d=22,2мм
Диаметр щетки 178мм
Материал - витая сталь
Толщина проволоки - 0,50мм (грубая интенсивная обработка)</t>
  </si>
  <si>
    <t>Щётка №137 13200221 d-200мм круглая для УШМ 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</si>
  <si>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№137.
Посадка, диск d=22,2мм
Диаметр щетки 200мм
Материал - витая сталь
Толщина проволоки - 0,50мм (грубая интенсивная обработка)</t>
  </si>
  <si>
    <t>Щётка №138 713303 с деревянной ручкой 3-х рядная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</si>
  <si>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№138.
Материал - сталь
Толщина проволоки - 0,30мм (обработка средней интенсивности)</t>
  </si>
  <si>
    <t>Щётка №139 53038061 d-38мм для дрели гофрированная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</si>
  <si>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№139.
Хвостовик, d=6мм
Диаметр щетки 38мм
Материал - гофрированная сталь
Толщина проволоки - 0,30мм (обработка средней интенсивности)</t>
  </si>
  <si>
    <t>Щётка №145 7133005 с деревянной ручкой 5-ти рядная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</si>
  <si>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№145.
Материал - сталь
Толщина проволоки - 0,30мм (обработка средней интенсивности)</t>
  </si>
  <si>
    <t>Щётка №150 0106014430 d-60 М14 чашеобразная, 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</si>
  <si>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№150.
Навинчивается, резьба М14
Диаметр щетки 60мм
Материал - нержавеющая гофрированная сталь
Толщина проволоки - 0,30мм (обработка средней интенсивности)</t>
  </si>
  <si>
    <t>Щётка №151 0107514430 d-75 M14 чашеобразная, 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</si>
  <si>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№151.
Навинчивается, резьба М14
Диаметр щетки 75мм
Материал - нержавеющая гофрированная сталь
Толщина проволоки - 0,30мм (обработка средней интенсивности)</t>
  </si>
  <si>
    <t>Щётка №152 0110014430 d-100 M14 чашеобразная, 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</si>
  <si>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№152.
Навинчивается, резьба М14
Диаметр щетки 100мм
Материал - нержавеющая гофрированная сталь
Толщина проволоки - 0,30мм (обработка средней интенсивности)</t>
  </si>
  <si>
    <t>Щётка №153 0112514430 d-125 M14 чашеобразная, 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</si>
  <si>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№153.
Навинчивается, резьба М14
Диаметр щетки 125мм
Материал - нержавеющая гофрированная сталь
Толщина проволоки - 0,30мм (обработка средней интенсивности)</t>
  </si>
  <si>
    <t>Щётка №160 2106514450 d-65 M14 чашеобразная,витая,нерж.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</si>
  <si>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№160.
Навинчивается, резьба М14
Диаметр щетки 65мм
Материал - витая сталь
Толщина проволоки - 0,35мм (грубая обработка)</t>
  </si>
  <si>
    <t>Щётка №161 2108014450 d-80 M14 чашеобразная,витая,нерж.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</si>
  <si>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№161.
Навинчивается, резьба М14
Диаметр щетки 80мм
Материал - витая сталь
Толщина проволоки - 0,50мм (грубая интенсивная обработка)</t>
  </si>
  <si>
    <t>Щётка №162 2110014450 d-100 M14 чашеобразная, витая, 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</si>
  <si>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№162.
Навинчивается, резьба М14
Диаметр щетки 100мм
Материал - витая сталь
Толщина проволоки - 0,35мм (грубая обработка)</t>
  </si>
  <si>
    <t>Щётка №163 2112014450 d-120 M14 чашеобразная,витая,нерж.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</si>
  <si>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№163.
Навинчивается, резьба М14
Диаметр щетки 120мм
Материал - витая сталь
Толщина проволоки - 0,35мм (грубая обработка)</t>
  </si>
  <si>
    <t>Щётка №170 1807514555 d-75 M14 чашеобразная,абразивная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</si>
  <si>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№170.
Навинчивается, резьба М14
Диаметр щетки 75мм
Материал - витая сталь
Толщина проволоки - 0,50мм (грубая интенсивная обработка)</t>
  </si>
  <si>
    <t>Щётка №171 1810014555 d-100 M14 чашеобразная,абразивная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</si>
  <si>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№171.
Хвостовик, d=6мм
Диаметр щетки 100мм
Материал - абразив
Для мягкой обработки поверхностей</t>
  </si>
  <si>
    <t>Щётка №172 1812514555 d-125 M14 чашеобразная,абразивная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</si>
  <si>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№172.
Хвостовик, d=6мм
Диаметр щетки 125мм
Материал - абразив
Для мягкой обработки поверхностей</t>
  </si>
  <si>
    <t>Щётка №180 0310020430 d-100 круглая д/точила,гофрир.,нерж.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</si>
  <si>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№180.
Диаметр щетки 100мм
Материал - нержавеющая гофрированная сталь
Толщина проволоки - 0,30мм (обработка средней интенсивности)</t>
  </si>
  <si>
    <t>Щётка №181 0312520430 d-125 круглая д/точила,гофрир.,нерж.</t>
  </si>
  <si>
    <t>s</t>
  </si>
  <si>
    <t>Щётка №182 0315032430 d-150 круглая д/точила,гофрир.,нерж.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</si>
  <si>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№182.
Диаметр щетки 150мм
Материал - нержавеющая гофрированная сталь
Толщина проволоки - 0,30мм (обработка средней интенсивности)</t>
  </si>
  <si>
    <t>Щётка №183 0317532430 d-175 круглая д/точила,гофрир.,нерж.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</si>
  <si>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№183.
Диаметр щетки 175мм
Материал - нержавеющая гофрированная сталь
Толщина проволоки - 0,30мм (обработка средней интенсивности)</t>
  </si>
  <si>
    <t>Щётка №184 0320032430 d-200 круглая д/точила,гофрир.,нерж.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</si>
  <si>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№184.
Диаметр щетки 200мм
Материал - нержавеющая гофрированная сталь
Толщина проволоки - 0,30мм (обработка средней интенсивности)</t>
  </si>
  <si>
    <t>Щётка №015; 1112014150 d-120 M-14 чашеобразная с кольцом,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</si>
  <si>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№015.
Навинчивается, резьба М14
Диаметр щетки 120мм
Материал - витая сталь
Толщина проволоки - 0,35мм (грубая обработка)</t>
  </si>
  <si>
    <t>Щётка №125 1512522150 d-125мм круглая для УШМ, витая</t>
  </si>
  <si>
    <t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№125.
Посадка, диск d=22,2мм
Диаметр щетки 125мм
Материал - витая сталь
Толщина проволоки - 0,50мм (грубая интенсивная обработка)</t>
  </si>
  <si>
    <t>Щётка д/чистки форсунок D=20мм, L=295мм</t>
  </si>
  <si>
    <t>Щётка д/чистки форсунок D=30мм, L=295мм</t>
  </si>
  <si>
    <t>Щётка д/чистки форсунок D=40мм, L=295мм</t>
  </si>
  <si>
    <t>Миксер - насадки</t>
  </si>
  <si>
    <t>УТ-99840</t>
  </si>
  <si>
    <t>Насадка для миксера Атака, д/красок и легких смесей, 60 х 400мм, оцинк., шестигр. хвостовик 7 мм</t>
  </si>
  <si>
    <t>УТ-99841</t>
  </si>
  <si>
    <t>Насадка для миксера Атака, д/красок и легких смесей, 80 х 400мм, оцинк., шестигр. хвостовик  8 мм</t>
  </si>
  <si>
    <t>УТ-99842</t>
  </si>
  <si>
    <t>Насадка для миксера Атака, д/красок и легких смесей, 100 х 550мм, оцинк., шестигр. хвостовик  8 мм</t>
  </si>
  <si>
    <t>УТ-99837</t>
  </si>
  <si>
    <t>Насадка для миксера Атака, д/легких растворов, 120 х 590мм, оцинк., хвостовик М14</t>
  </si>
  <si>
    <t>УТ-99838</t>
  </si>
  <si>
    <t>Насадка для миксера Атака, д/легких растворов, 140 х 590мм, оцинк., хвостовик М14</t>
  </si>
  <si>
    <t>УТ-99839</t>
  </si>
  <si>
    <t>Насадка для миксера Атака, д/легких растворов, 160 х 590мм, оцинк., хвостовик М14</t>
  </si>
  <si>
    <t>УТ-99834</t>
  </si>
  <si>
    <t>Насадка для миксера Атака, д/тяжелых растворов, 120 х 590мм, оцинк., хвостовик М14</t>
  </si>
  <si>
    <t>УТ-99835</t>
  </si>
  <si>
    <t>Насадка для миксера Атака, д/тяжелых растворов, 140 х 590мм, оцинк., хвостовик М14</t>
  </si>
  <si>
    <t>УТ-99836</t>
  </si>
  <si>
    <t>Насадка для миксера Атака, д/тяжелых растворов, 160 х 590 мм, оцинк., хвостовик М14</t>
  </si>
  <si>
    <t>УТ-99843</t>
  </si>
  <si>
    <t>Насадка для миксера Атака, д/песчано-гравийных смесей, 60 х 400 мм, оцинк., шестигр. хвостовик 7 мм</t>
  </si>
  <si>
    <t>УТ-99844</t>
  </si>
  <si>
    <t>Насадка для миксера Атака, д/песчано-гравийных смесей, 80 х 400мм, оцинк., шестигр. хвостовик  7 мм</t>
  </si>
  <si>
    <t>УТ-99845</t>
  </si>
  <si>
    <t>Насадка для миксера Атака, д/песчано-гравийных смесей,100 х 450мм, оцинк., шестигр. хвостовик  8 мм</t>
  </si>
  <si>
    <t>УТ-99846</t>
  </si>
  <si>
    <t>Насадка для миксера Атака, д/песчано-гравийных смесей, 120 х 500мм, оцинк., шестигр. хвостовик  8 мм</t>
  </si>
  <si>
    <t>УТ-99847</t>
  </si>
  <si>
    <t>Насадка для миксера Атака, д/гипсовых смесей и наливных полов, 120 х 590мм, оцинк., хвостовик М14</t>
  </si>
  <si>
    <t>УТ-99848</t>
  </si>
  <si>
    <t>Насадки для миксера (ком. 2шт.) Атака, д/легких растворов (краска, грунтовка, штукатурка, наливной</t>
  </si>
  <si>
    <t>Тепловое оборудование ПРОФТЕПЛО</t>
  </si>
  <si>
    <t>ГАЗОВЫЕ ТЕПЛОВЫЕ ПУШКИ НА СЖИЖЕННОМ ГАЗЕ</t>
  </si>
  <si>
    <t>Калорифер газовый Профтепло КГ-10 апельсин</t>
  </si>
  <si>
    <t>, Расход топлива: 0,7 кг/ч, Производит. по воздуху: 300 м3/ч</t>
  </si>
  <si>
    <t>Калорифер газовый Профтепло КГ-18 апельсин</t>
  </si>
  <si>
    <t>, Расход топлива: 1,2 кг/ч, Производит. по воздуху: 500 м3/ч</t>
  </si>
  <si>
    <t>Калорифер газовый Профтепло КГ-30 апельсин</t>
  </si>
  <si>
    <t>Калорифер газовый Профтепло КГ-57 апельсин</t>
  </si>
  <si>
    <t>, Расход топлива: 2,9-4,1 кг/ч, Производит. по воздуху: 3000 м3/ч</t>
  </si>
  <si>
    <t>Калорифер газовый Профтепло КГ-81 апельсин</t>
  </si>
  <si>
    <t>, Расход топлива: 3,9-5,6 кг/ч, Производит. по воздуху: 3000 м3/ч</t>
  </si>
  <si>
    <t>ГАЗОВЫЕ ТЕПЛОВЫЕ ПУШКИ НА ПРИРОДНОМ ГАЗЕ</t>
  </si>
  <si>
    <t>Калорифер газовый КГ-18ПГ</t>
  </si>
  <si>
    <t>, Расход топлива: 1,53 кг/ч, Производит. по воздуху: 850 м3/ч</t>
  </si>
  <si>
    <t>Калорифер газовый Профтепло КГ-100 ПГ</t>
  </si>
  <si>
    <t>Мощность: 103 кВт</t>
  </si>
  <si>
    <t>ДИЗЕЛЬНЫЕ ТЕПЛОВЫЕ ПУШКИ ПРЯМОГО НАГРЕВА</t>
  </si>
  <si>
    <t>Калорифер дизельный Профтепло ДК-15П апельсин</t>
  </si>
  <si>
    <t>Мощность: 15 кВт</t>
  </si>
  <si>
    <t>Калорифер дизельный Профтепло ДК-20П апельсин</t>
  </si>
  <si>
    <t>, Расход топлива: 2 кг/ч, Производит. по воздуху: 450 м3/ч, Объем бака: 19 л</t>
  </si>
  <si>
    <t>Калорифер дизельный Профтепло ДК-30П апельсин</t>
  </si>
  <si>
    <t>Мощность: 30 кВт</t>
  </si>
  <si>
    <t>Калорифер дизельный Профтепло ДК-45П апельсин</t>
  </si>
  <si>
    <t>Мощность: 45 кВт</t>
  </si>
  <si>
    <t>Калорифер дизельный Профтепло ДК-45П апельсин с дисплеем</t>
  </si>
  <si>
    <t>Калорифер дизельный Профтепло ДН-65П апельсин</t>
  </si>
  <si>
    <t>Мощность: 65 кВт</t>
  </si>
  <si>
    <t>Калорифер дизельный Профтепло ДН-65П апельсин с дисплеем</t>
  </si>
  <si>
    <t>Калорифер дизельный Профтепло ДН-105П апельсин</t>
  </si>
  <si>
    <t>Расход топлива: 8,9 кг/ч, Производит. по воздуху: 3300 м3/ч, Объем бака: 145 л, Мощность: 105 кВт</t>
  </si>
  <si>
    <t>Калорифер дизельный Профтепло ДН-105П апельсин с дисплеем</t>
  </si>
  <si>
    <t>Мощность: 105 кВт</t>
  </si>
  <si>
    <t>ДИЗЕЛЬНЫЕ ТЕПЛОВЫЕ ПУШКИ ПРЯМОГО НАГРЕВА (СО СЪЕМНЫМИ КАНИСТРАМИ)</t>
  </si>
  <si>
    <t>Калорифер дизельный Профтепло ДК-14ПК апельсин</t>
  </si>
  <si>
    <t>, Расход топлива: 1,56 кг/ч, Производит. по воздуху: 230 м3/ч, Объем бака: 5 л</t>
  </si>
  <si>
    <t>Калорифер дизельный Профтепло ДК-26ПК апельсин</t>
  </si>
  <si>
    <t>, Расход топлива: 2,2 кг/ч, Производит. по воздуху: 400 м3/ч, Объем бака: 5х2 л</t>
  </si>
  <si>
    <t>НЕПРЯМОЙ НАГРЕВ, ДИЗЕЛЬНЫЕ ТЕПЛОВЫЕ ПУШКИ</t>
  </si>
  <si>
    <t>Калорифер дизельный Профтепло ДК-21Н апельсин</t>
  </si>
  <si>
    <t>, Расход топлива: 1,96 кг/ч, Производит. по воздуху: 1000 м3/ч, Объем бака: 41 л</t>
  </si>
  <si>
    <t>Калорифер дизельный Профтепло ДК-21Н апельсин с дисплеем</t>
  </si>
  <si>
    <t>Мощность: 21 кВт</t>
  </si>
  <si>
    <t>Калорифер дизельный Профтепло ДН-52Н апельсин</t>
  </si>
  <si>
    <t>, Расход топлива: 4,32 кг/ч, Производит. по воздуху: 1800 м3/ч, Объем бака: 41 л</t>
  </si>
  <si>
    <t>Калорифер дизельный Профтепло ДН-52Н апельсин с дисплеем</t>
  </si>
  <si>
    <t>Мощность: 52 кВт</t>
  </si>
  <si>
    <t>Калорифер дизельный Профтепло ДН-80Н апельсин</t>
  </si>
  <si>
    <t>, Расход топлива: 7,4 кг/ч, Производит. по воздуху: 3300 м3/ч, Объем бака: 145 л</t>
  </si>
  <si>
    <t>Калорифер дизельный Профтепло ДН-80Н апельсин с дисплеем</t>
  </si>
  <si>
    <t>Мощность: 80 кВт</t>
  </si>
  <si>
    <t>ТЕПЛОВЕНТИЛЯТОРЫ В КРУГЛОМ КОРПУСЕ</t>
  </si>
  <si>
    <t>Тепловентилятор Профтепло ТТ-2 апельсин</t>
  </si>
  <si>
    <t>Тепловентилятор Профтепло ТТ-3 апельсин</t>
  </si>
  <si>
    <t>Тепловентилятор Профтепло ТТ-5 апельсин</t>
  </si>
  <si>
    <t>Тепловентилятор Профтепло ТТ-15 апельсин</t>
  </si>
  <si>
    <t>Тепловентилятор Профтепло ТТ-18 апельсин</t>
  </si>
  <si>
    <t>ТЕПЛОВЕНТИЛЯТОРЫ В КРУГЛОМ КОРПУСЕ С КАПИЛЯРНЫМ ТЕРМОСТАТОМ</t>
  </si>
  <si>
    <t>Тепловентилятор Профтепло ТТ-2Т апельсин</t>
  </si>
  <si>
    <t>Тепловентилятор Профтепло ТТ-3Т апельсин</t>
  </si>
  <si>
    <t>Тепловентилятор Профтепло ТТ-5Т апельсин</t>
  </si>
  <si>
    <t>Тепловентилятор Профтепло ТТ-6Т апельсин</t>
  </si>
  <si>
    <t>Тепловентилятор Профтепло ТТ-9Т апельсин</t>
  </si>
  <si>
    <t>Тепловентилятор Профтепло ТТ-15Т апельсин</t>
  </si>
  <si>
    <t>Тепловентилятор Профтепло ТТ-18Т апельсин</t>
  </si>
  <si>
    <t>ТЕПЛОВЕНТИЛЯТОРЫ В КВАДРАТНОМ КОРПУСЕ</t>
  </si>
  <si>
    <t>Тепловентилятор Профтепло ТТ-30Т апельсин</t>
  </si>
  <si>
    <t>ИНФРАКРАСНЫЕ ОБОГРЕВАТЕЛИ</t>
  </si>
  <si>
    <t>Обогреватель инфракрасный Профтепло ICT-0,8</t>
  </si>
  <si>
    <t>Обогреватель инфракрасный Профтепло ICT-1,0</t>
  </si>
  <si>
    <t>Обогреватель инфракрасный Профтепло ICT-1,4</t>
  </si>
  <si>
    <t>Обогреватель инфракрасный Профтепло ICT-2,0</t>
  </si>
  <si>
    <t>ТЕПЛОВЫЕ ЗАВЕСЫ (СТИЧ)</t>
  </si>
  <si>
    <t>Тепловая завеса Профтепло НТT 306</t>
  </si>
  <si>
    <t>Тепловая завеса Профтепло НТT 508</t>
  </si>
  <si>
    <t>Тепловая завеса Профтепло НТT 610</t>
  </si>
  <si>
    <t>Бетоносмесители ПРОФМАШ</t>
  </si>
  <si>
    <t>БЕТОНОСМЕСИТЕЛИ</t>
  </si>
  <si>
    <t>Бетоносмеситель Б-130  "ПРОФМАШ"</t>
  </si>
  <si>
    <t>, Вес: 50 кг, Напряжение: 220 В, Объем барабана: 130 л</t>
  </si>
  <si>
    <t>Бетоносмеситель Б-180  "ПРОФМАШ"</t>
  </si>
  <si>
    <t>, Вес: 57 кг, Напряжение: 220 В, Объем барабана: 180 л</t>
  </si>
  <si>
    <t>Бетоносмеситель Б-130P МАКСИМ "ПРОФМАШ"</t>
  </si>
  <si>
    <t>00-00000011</t>
  </si>
  <si>
    <t>Бетоносмеситель Б-120  "ПРОФМАШ"</t>
  </si>
  <si>
    <t>00-00000012</t>
  </si>
  <si>
    <t>Бетоносмеситель Б-120  "ПРОФМАШ" с чугунным венцом</t>
  </si>
  <si>
    <t>00-00000013</t>
  </si>
  <si>
    <t>Бетоносмеситель Б-140  "ПРОФМАШ"</t>
  </si>
  <si>
    <t>00-00000014</t>
  </si>
  <si>
    <t>Бетоносмеситель Б-140  "ПРОФМАШ" с чугунным венцом</t>
  </si>
  <si>
    <t>Бетоносмеситель Б-130  "ПРОФМАШ" с чугунным венцом</t>
  </si>
  <si>
    <t>Бетоносмеситель Б-180  "ПРОФМАШ" с чугунным венцом</t>
  </si>
  <si>
    <t>УТ-00000081</t>
  </si>
  <si>
    <t>Бетоносмеситель Б-200  "ПРОФМАШ"</t>
  </si>
  <si>
    <t>УТ-00000082</t>
  </si>
  <si>
    <t>Бетоносмеситель Б-200  "ПРОФМАШ" с чугунным венцом</t>
  </si>
  <si>
    <t>УТ-00000258</t>
  </si>
  <si>
    <t>Бетоносмеситель Б-160  "ПРОФМАШ"</t>
  </si>
  <si>
    <t>УТ-00000261</t>
  </si>
  <si>
    <t>Бетоносмеситель Б-160  "ПРОФМАШ" с чугунным венцом</t>
  </si>
  <si>
    <t>УТ-00000259</t>
  </si>
  <si>
    <t>Бетоносмеситель Б-220  "ПРОФМАШ"</t>
  </si>
  <si>
    <t>УТ-00000262</t>
  </si>
  <si>
    <t>Бетоносмеситель Б-220  "ПРОФМАШ" с чугунным венцом</t>
  </si>
  <si>
    <t>Инструмент ПРОФМАШ</t>
  </si>
  <si>
    <t>УТ-00000191</t>
  </si>
  <si>
    <t>Ковш штукатурный КШ-4</t>
  </si>
  <si>
    <t>Краскопульт СО-20 В "ПРОФМАШ"</t>
  </si>
  <si>
    <t xml:space="preserve">УТ-99867   </t>
  </si>
  <si>
    <t>ПРОСЕИВАТЕЛЬ (для Б-120, Б-130, Б-140, Б-160)</t>
  </si>
  <si>
    <t>Бетоносмесители ЭНТУЗИАСТ</t>
  </si>
  <si>
    <t xml:space="preserve">УТ-251     </t>
  </si>
  <si>
    <t>Бетоносмеситель Б-150  "ЭНТУЗИАСТ"</t>
  </si>
  <si>
    <t xml:space="preserve">УТ-252     </t>
  </si>
  <si>
    <t>Бетоносмеситель Б-180  "ЭНТУЗИАСТ"</t>
  </si>
  <si>
    <t xml:space="preserve">УТ-254     </t>
  </si>
  <si>
    <t>Бетоносмеситель Б-150  "ЭНТУЗИАСТ" с чугунным венцом</t>
  </si>
  <si>
    <t xml:space="preserve">УТ-255     </t>
  </si>
  <si>
    <t>Бетоносмеситель Б-180  "ЭНТУЗИАСТ" с чугунным венцом</t>
  </si>
  <si>
    <t xml:space="preserve">УТ-257     </t>
  </si>
  <si>
    <t>Бетоносмеситель Б-165  "ЭНТУЗИАСТ"</t>
  </si>
  <si>
    <t xml:space="preserve">УТ-256     </t>
  </si>
  <si>
    <t>Бетоносмеситель Б-165 "ЭНТУЗИАСТ" с чугунным венцом</t>
  </si>
</sst>
</file>

<file path=xl/styles.xml><?xml version="1.0" encoding="utf-8"?>
<styleSheet xmlns="http://schemas.openxmlformats.org/spreadsheetml/2006/main">
  <numFmts count="16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_-;\-* #,##0_-;_-* &quot;-&quot;_-;_-@_-"/>
    <numFmt numFmtId="165" formatCode="_-* #,##0.00&quot;р.&quot;_-;\-* #,##0.00&quot;р.&quot;_-;_-* &quot;-&quot;??&quot;р.&quot;_-;_-@_-"/>
    <numFmt numFmtId="166" formatCode="#,##0.00&quot;р.&quot;"/>
    <numFmt numFmtId="167" formatCode="_-[$€-2]\ * #,##0.00_-;\-[$€-2]\ * #,##0.00_-;_-[$€-2]\ * &quot;-&quot;??_-;_-@_-"/>
    <numFmt numFmtId="9" formatCode="0%"/>
    <numFmt numFmtId="3" formatCode="#,##0"/>
    <numFmt numFmtId="4" formatCode="#,##0.00"/>
    <numFmt numFmtId="49" formatCode="@"/>
  </numFmts>
  <fonts count="14">
    <font>
      <name val="Calibri"/>
      <charset val="204"/>
      <family val="2"/>
      <color rgb="FF000000"/>
      <sz val="11"/>
      <extLst>
        <ext uri="smNativeData">
          <pm:charSpec xmlns:pm="smNativeData" id="170730262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0730262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 Cyr"/>
      <charset val="204"/>
      <family val="2"/>
      <color rgb="FF000000"/>
      <sz val="10"/>
      <extLst>
        <ext uri="smNativeData">
          <pm:charSpec xmlns:pm="smNativeData" id="1707302626" ulstyle="none" kern="1">
            <pm:latin face="Arial Cyr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6"/>
      <extLst>
        <ext uri="smNativeData">
          <pm:charSpec xmlns:pm="smNativeData" id="1707302626" ulstyle="none" kern="1">
            <pm:latin face="Calibri" sz="320" lang="default" weight="bold"/>
            <pm:cs face="Times New Roman" sz="320" lang="default" weight="bold"/>
            <pm:ea face="SimSun" sz="320" lang="default" weight="bold"/>
          </pm:charSpec>
        </ext>
      </extLst>
    </font>
    <font>
      <name val="Calibri"/>
      <charset val="204"/>
      <family val="2"/>
      <b/>
      <color rgb="FF000000"/>
      <sz val="9"/>
      <extLst>
        <ext uri="smNativeData">
          <pm:charSpec xmlns:pm="smNativeData" id="1707302626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charset val="204"/>
      <family val="2"/>
      <color rgb="FF000000"/>
      <sz val="9"/>
      <extLst>
        <ext uri="smNativeData">
          <pm:charSpec xmlns:pm="smNativeData" id="1707302626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07302626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Calibri"/>
      <charset val="204"/>
      <family val="2"/>
      <color rgb="FF0000FF"/>
      <sz val="11"/>
      <u val="single"/>
      <extLst>
        <ext uri="smNativeData">
          <pm:charSpec xmlns:pm="smNativeData" id="1707302626" fgClr="0000FF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charset val="204"/>
      <family val="2"/>
      <b/>
      <color rgb="FFFCD5B4"/>
      <sz val="9"/>
      <extLst>
        <ext uri="smNativeData">
          <pm:charSpec xmlns:pm="smNativeData" id="1707302626" fgClr="FCD5B4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Helv"/>
      <charset val="204"/>
      <color rgb="FF000000"/>
      <sz val="10"/>
      <extLst>
        <ext uri="smNativeData">
          <pm:charSpec xmlns:pm="smNativeData" id="1707302626" ulstyle="none" kern="1">
            <pm:latin face="Helv" sz="200" lang="default"/>
            <pm:cs face="Times New Roman" sz="200" lang="default"/>
            <pm:ea face="SimSun" sz="200" lang="default"/>
          </pm:charSpec>
        </ext>
      </extLst>
    </font>
    <font>
      <name val="Arial Cyr"/>
      <charset val="204"/>
      <family val="2"/>
      <color rgb="FF0000FF"/>
      <sz val="10"/>
      <u val="single"/>
      <extLst>
        <ext uri="smNativeData">
          <pm:charSpec xmlns:pm="smNativeData" id="1707302626" fgClr="0000FF" ulstyle="single" kern="1">
            <pm:latin face="Arial Cyr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07302626" ulstyle="none" kern="1">
            <pm:latin face="Arial" sz="160" lang="default"/>
            <pm:cs face="Times New Roman" sz="160" lang="default"/>
            <pm:ea face="SimSun" sz="160" lang="default"/>
          </pm:charSpec>
        </ext>
      </extLst>
    </font>
    <font>
      <name val="Calibri"/>
      <charset val="204"/>
      <family val="2"/>
      <b/>
      <color rgb="FF000000"/>
      <sz val="14"/>
      <extLst>
        <ext uri="smNativeData">
          <pm:charSpec xmlns:pm="smNativeData" id="1707302626" ulstyle="none" kern="1">
            <pm:latin face="Calibri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Calibri"/>
      <charset val="204"/>
      <family val="2"/>
      <color rgb="FFFFFFFF"/>
      <sz val="11"/>
      <extLst>
        <ext uri="smNativeData">
          <pm:charSpec xmlns:pm="smNativeData" id="1707302626" fgClr="FFFFFF" ulstyle="none" kern="1">
            <pm:latin face="Calibri" sz="220" lang="default"/>
            <pm:cs face="Arial" sz="220" lang="default"/>
            <pm:ea face="Arial" sz="220" lang="default"/>
          </pm:charSpec>
        </ext>
      </extLst>
    </font>
  </fonts>
  <fills count="4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CD5B4"/>
        <bgColor rgb="FFFFFFFF"/>
        <extLst>
          <ext uri="smNativeData">
            <pm:shade xmlns:pm="smNativeData" id="1707302626" type="1" fgLvl="100" fgClr="00FCD5B4" bgLvl="0" bgClr="00000000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07302626" type="1" fgLvl="100" fgClr="00FDE9D9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C000"/>
        <bgColor rgb="FFFFFFFF"/>
        <extLst>
          <ext uri="smNativeData">
            <pm:shade xmlns:pm="smNativeData" id="1707302626" type="1" fgLvl="100" fgClr="00FFC000" bgLvl="0" bgClr="00000000"/>
          </ext>
        </extLst>
      </patternFill>
    </fill>
    <fill>
      <patternFill patternType="solid">
        <fgColor rgb="FFFCD5B4"/>
        <bgColor rgb="FFFFFFFF"/>
        <extLst>
          <ext uri="smNativeData">
            <pm:shade xmlns:pm="smNativeData" id="1707302626" type="1" fgLvl="100" fgClr="00FCD5B4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07302626" type="1" fgLvl="100" fgClr="0092D050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07302626" type="1" fgLvl="100" fgClr="00FFC000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07302626" type="1" fgLvl="100" fgClr="0092D05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07302626" type="1" fgLvl="100" fgClr="00FFFFFF" bgLvl="0" bgClr="00000000"/>
          </ext>
        </extLst>
      </patternFill>
    </fill>
    <fill>
      <patternFill patternType="solid">
        <fgColor rgb="FFE26B0A"/>
        <bgColor rgb="FFFFFFFF"/>
        <extLst>
          <ext uri="smNativeData">
            <pm:shade xmlns:pm="smNativeData" id="1707302626" type="1" fgLvl="100" fgClr="00E26B0A" bgLvl="0" bgClr="00000000"/>
          </ext>
        </extLst>
      </patternFill>
    </fill>
    <fill>
      <patternFill patternType="solid">
        <fgColor rgb="FFF5F145"/>
        <bgColor rgb="FFFFFFFF"/>
        <extLst>
          <ext uri="smNativeData">
            <pm:shade xmlns:pm="smNativeData" id="1707302626" type="1" fgLvl="100" fgClr="00F5F145" bgLvl="0" bgClr="00000000"/>
          </ext>
        </extLst>
      </patternFill>
    </fill>
    <fill>
      <patternFill patternType="solid">
        <fgColor rgb="FFD7E3BB"/>
        <bgColor rgb="FFFFFFFF"/>
        <extLst>
          <ext uri="smNativeData">
            <pm:shade xmlns:pm="smNativeData" id="1707302626" type="1" fgLvl="100" fgClr="00D7E3BB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07302626" type="1" fgLvl="100" fgClr="00000000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07302626" type="1" fgLvl="100" fgClr="0092D050" bgLvl="0" bgClr="00000000"/>
          </ext>
        </extLst>
      </patternFill>
    </fill>
    <fill>
      <patternFill patternType="solid">
        <fgColor rgb="FF216BAF"/>
        <bgColor rgb="FFFFFFFF"/>
        <extLst>
          <ext uri="smNativeData">
            <pm:shade xmlns:pm="smNativeData" id="1707302626" type="1" fgLvl="100" fgClr="00216BAF" bgLvl="0" bgClr="00000000"/>
          </ext>
        </extLst>
      </patternFill>
    </fill>
    <fill>
      <patternFill patternType="solid">
        <fgColor rgb="FFDCE6F1"/>
        <bgColor rgb="FFFFFFFF"/>
        <extLst>
          <ext uri="smNativeData">
            <pm:shade xmlns:pm="smNativeData" id="1707302626" type="1" fgLvl="100" fgClr="00DCE6F1" bgLvl="0" bgClr="00000000"/>
          </ext>
        </extLst>
      </patternFill>
    </fill>
    <fill>
      <patternFill patternType="solid">
        <fgColor rgb="FFFCD5B4"/>
        <bgColor rgb="FFFFFFFF"/>
        <extLst>
          <ext uri="smNativeData">
            <pm:shade xmlns:pm="smNativeData" id="1707302626" type="1" fgLvl="100" fgClr="00FCD5B4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07302626" type="1" fgLvl="100" fgClr="00FFC000" bgLvl="0" bgClr="00000000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07302626" type="1" fgLvl="100" fgClr="00FFFF00" bgLvl="0" bgClr="00000000"/>
          </ext>
        </extLst>
      </patternFill>
    </fill>
    <fill>
      <patternFill patternType="solid">
        <fgColor rgb="FFC5D9F1"/>
        <bgColor rgb="FFFFFFFF"/>
        <extLst>
          <ext uri="smNativeData">
            <pm:shade xmlns:pm="smNativeData" id="1707302626" type="1" fgLvl="100" fgClr="00C5D9F1" bgLvl="0" bgClr="00000000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07302626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6B8B7"/>
        <bgColor rgb="FFFFFFFF"/>
        <extLst>
          <ext uri="smNativeData">
            <pm:shade xmlns:pm="smNativeData" id="1707302626" type="1" fgLvl="100" fgClr="00E6B8B7" bgLvl="0" bgClr="00000000"/>
          </ext>
        </extLst>
      </patternFill>
    </fill>
    <fill>
      <patternFill patternType="solid">
        <fgColor rgb="FF66FF99"/>
        <bgColor rgb="FFFFFFFF"/>
        <extLst>
          <ext uri="smNativeData">
            <pm:shade xmlns:pm="smNativeData" id="1707302626" type="1" fgLvl="100" fgClr="0066FF99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07302626" type="1" fgLvl="100" fgClr="0092D050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07302626" type="1" fgLvl="100" fgClr="0092D050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07302626" type="1" fgLvl="100" fgClr="0092D050" bgLvl="0" bgClr="00000000"/>
          </ext>
        </extLst>
      </patternFill>
    </fill>
    <fill>
      <patternFill patternType="solid">
        <fgColor rgb="FF19E178"/>
        <bgColor rgb="FFFFFFFF"/>
        <extLst>
          <ext uri="smNativeData">
            <pm:shade xmlns:pm="smNativeData" id="1707302626" type="1" fgLvl="100" fgClr="0019E178" bgLvl="0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07302626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07302626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07302626" type="1" fgLvl="100" fgClr="00FFFFFF" bgLvl="0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07302626" type="1" fgLvl="100" fgClr="00FFFFFF" bgLvl="100" bgClr="00000000"/>
          </ext>
        </extLst>
      </patternFill>
    </fill>
  </fills>
  <borders count="4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/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/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07302626"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/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/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/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3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07302626">
            <pm:line position="top" type="1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07302626">
            <pm:line position="top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07302626"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302626"/>
        </ext>
      </extLst>
    </border>
  </borders>
  <cellStyleXfs count="86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7" fillId="0" borderId="0" applyNumberFormat="0" applyFont="1" applyFill="0" applyBorder="0" applyAlignment="0" applyProtection="0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9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9" fontId="1" fillId="0" borderId="0" applyNumberFormat="1" applyFont="0" applyFill="0" applyBorder="0" applyAlignment="0" applyProtection="0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165" fontId="1" fillId="0" borderId="0" applyNumberFormat="1" applyFont="0" applyFill="0" applyBorder="0" applyAlignment="0" applyProtection="0"/>
    <xf numFmtId="0" fontId="9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10" fillId="0" borderId="0" applyNumberFormat="0" applyFont="1" applyFill="0" applyBorder="0" applyAlignment="0" applyProtection="0"/>
    <xf numFmtId="0" fontId="1" fillId="0" borderId="0" applyNumberFormat="1" applyFont="1" applyFill="1" applyBorder="1" applyAlignment="1" applyProtection="1"/>
    <xf numFmtId="165" fontId="0" fillId="0" borderId="0" applyNumberFormat="1" applyFont="0" applyFill="0" applyBorder="0" applyAlignment="0" applyProtection="0"/>
    <xf numFmtId="0" fontId="1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9" fontId="1" fillId="0" borderId="0" applyNumberFormat="1" applyFont="0" applyFill="0" applyBorder="0" applyAlignment="0" applyProtection="0"/>
    <xf numFmtId="0" fontId="11" fillId="0" borderId="0" applyNumberFormat="1" applyFont="1" applyFill="1" applyBorder="1" applyAlignment="1" applyProtection="1"/>
    <xf numFmtId="0" fontId="11" fillId="0" borderId="0" applyNumberFormat="1" applyFont="1" applyFill="1" applyBorder="1" applyAlignment="1" applyProtection="1"/>
    <xf numFmtId="0" fontId="1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165" fontId="1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7" fillId="0" borderId="0" applyNumberFormat="0" applyFont="1" applyFill="0" applyBorder="0" applyAlignment="0" applyProtection="0"/>
    <xf numFmtId="0" fontId="1" fillId="0" borderId="0" applyNumberFormat="1" applyFont="1" applyFill="1" applyBorder="1" applyAlignment="1" applyProtection="1"/>
    <xf numFmtId="164" fontId="1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11" fillId="0" borderId="0" applyNumberFormat="1" applyFont="1" applyFill="1" applyBorder="1" applyAlignment="1" applyProtection="1"/>
    <xf numFmtId="0" fontId="11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165" fontId="1" fillId="0" borderId="0" applyNumberFormat="1" applyFont="0" applyFill="0" applyBorder="0" applyAlignment="0" applyProtection="0"/>
    <xf numFmtId="0" fontId="11" fillId="0" borderId="0" applyNumberFormat="1" applyFont="1" applyFill="1" applyBorder="1" applyAlignment="1" applyProtection="1"/>
  </cellStyleXfs>
  <cellXfs count="138">
    <xf numFmtId="0" fontId="0" fillId="0" borderId="0" xfId="0"/>
    <xf numFmtId="9" fontId="0" fillId="0" borderId="0" xfId="1"/>
    <xf numFmtId="0" fontId="0" fillId="0" borderId="0" xfId="2"/>
    <xf numFmtId="0" fontId="2" fillId="0" borderId="0" xfId="3"/>
    <xf numFmtId="0" fontId="0" fillId="0" borderId="0" xfId="4"/>
    <xf numFmtId="0" fontId="1" fillId="0" borderId="0" xfId="5"/>
    <xf numFmtId="0" fontId="0" fillId="0" borderId="0" xfId="6"/>
    <xf numFmtId="0" fontId="0" fillId="0" borderId="0" xfId="7"/>
    <xf numFmtId="0" fontId="0" fillId="0" borderId="0" xfId="8"/>
    <xf numFmtId="0" fontId="0" fillId="0" borderId="0" xfId="9"/>
    <xf numFmtId="0" fontId="0" fillId="0" borderId="0" xfId="10"/>
    <xf numFmtId="0" fontId="0" fillId="0" borderId="0" xfId="11"/>
    <xf numFmtId="0" fontId="0" fillId="0" borderId="0" xfId="12"/>
    <xf numFmtId="0" fontId="0" fillId="0" borderId="0" xfId="13"/>
    <xf numFmtId="0" fontId="0" fillId="0" borderId="0" xfId="14"/>
    <xf numFmtId="0" fontId="0" fillId="0" borderId="0" xfId="15"/>
    <xf numFmtId="0" fontId="0" fillId="0" borderId="0" xfId="16"/>
    <xf numFmtId="0" fontId="1" fillId="0" borderId="0" xfId="17"/>
    <xf numFmtId="0" fontId="1" fillId="0" borderId="0" xfId="18"/>
    <xf numFmtId="0" fontId="1" fillId="0" borderId="0" xfId="19"/>
    <xf numFmtId="0" fontId="1" fillId="0" borderId="0" xfId="20"/>
    <xf numFmtId="0" fontId="0" fillId="0" borderId="0" xfId="21"/>
    <xf numFmtId="0" fontId="0" fillId="0" borderId="0" xfId="22"/>
    <xf numFmtId="0" fontId="1" fillId="0" borderId="0" xfId="23"/>
    <xf numFmtId="0" fontId="1" fillId="0" borderId="0" xfId="24"/>
    <xf numFmtId="0" fontId="1" fillId="0" borderId="0" xfId="25"/>
    <xf numFmtId="0" fontId="1" fillId="0" borderId="0" xfId="26"/>
    <xf numFmtId="0" fontId="1" fillId="0" borderId="0" xfId="27"/>
    <xf numFmtId="0" fontId="1" fillId="0" borderId="0" xfId="28"/>
    <xf numFmtId="0" fontId="7" fillId="0" borderId="0" xfId="29"/>
    <xf numFmtId="0" fontId="1" fillId="0" borderId="0" xfId="30"/>
    <xf numFmtId="0" fontId="0" fillId="0" borderId="0" xfId="31"/>
    <xf numFmtId="9" fontId="0" fillId="0" borderId="0" xfId="32"/>
    <xf numFmtId="0" fontId="0" fillId="0" borderId="0" xfId="33"/>
    <xf numFmtId="0" fontId="9" fillId="0" borderId="0" xfId="34"/>
    <xf numFmtId="0" fontId="1" fillId="0" borderId="0" xfId="35"/>
    <xf numFmtId="0" fontId="1" fillId="0" borderId="0" xfId="36"/>
    <xf numFmtId="0" fontId="1" fillId="0" borderId="0" xfId="37"/>
    <xf numFmtId="0" fontId="0" fillId="0" borderId="0" xfId="38"/>
    <xf numFmtId="0" fontId="1" fillId="0" borderId="0" xfId="39"/>
    <xf numFmtId="0" fontId="1" fillId="0" borderId="0" xfId="40"/>
    <xf numFmtId="0" fontId="1" fillId="0" borderId="0" xfId="41"/>
    <xf numFmtId="9" fontId="1" fillId="0" borderId="0" xfId="42"/>
    <xf numFmtId="0" fontId="1" fillId="0" borderId="0" xfId="43"/>
    <xf numFmtId="0" fontId="1" fillId="0" borderId="0" xfId="44"/>
    <xf numFmtId="165" fontId="1" fillId="0" borderId="0" xfId="45"/>
    <xf numFmtId="0" fontId="9" fillId="0" borderId="0" xfId="46"/>
    <xf numFmtId="0" fontId="2" fillId="0" borderId="0" xfId="47"/>
    <xf numFmtId="0" fontId="0" fillId="0" borderId="0" xfId="48"/>
    <xf numFmtId="0" fontId="2" fillId="0" borderId="0" xfId="49"/>
    <xf numFmtId="0" fontId="1" fillId="0" borderId="0" xfId="50"/>
    <xf numFmtId="0" fontId="0" fillId="0" borderId="0" xfId="51"/>
    <xf numFmtId="0" fontId="2" fillId="0" borderId="0" xfId="52"/>
    <xf numFmtId="0" fontId="0" fillId="0" borderId="0" xfId="53"/>
    <xf numFmtId="0" fontId="2" fillId="0" borderId="0" xfId="54"/>
    <xf numFmtId="0" fontId="10" fillId="0" borderId="0" xfId="55"/>
    <xf numFmtId="0" fontId="1" fillId="0" borderId="0" xfId="56"/>
    <xf numFmtId="165" fontId="0" fillId="0" borderId="0" xfId="57"/>
    <xf numFmtId="0" fontId="11" fillId="0" borderId="0" xfId="58"/>
    <xf numFmtId="0" fontId="1" fillId="0" borderId="0" xfId="59"/>
    <xf numFmtId="0" fontId="2" fillId="0" borderId="0" xfId="60"/>
    <xf numFmtId="0" fontId="1" fillId="0" borderId="0" xfId="61"/>
    <xf numFmtId="0" fontId="0" fillId="0" borderId="0" xfId="62"/>
    <xf numFmtId="0" fontId="0" fillId="0" borderId="0" xfId="63"/>
    <xf numFmtId="0" fontId="0" fillId="0" borderId="0" xfId="64"/>
    <xf numFmtId="0" fontId="0" fillId="0" borderId="0" xfId="65"/>
    <xf numFmtId="9" fontId="1" fillId="0" borderId="0" xfId="66"/>
    <xf numFmtId="0" fontId="11" fillId="0" borderId="0" xfId="67"/>
    <xf numFmtId="0" fontId="11" fillId="0" borderId="0" xfId="68"/>
    <xf numFmtId="0" fontId="11" fillId="0" borderId="0" xfId="69"/>
    <xf numFmtId="0" fontId="1" fillId="0" borderId="0" xfId="70"/>
    <xf numFmtId="165" fontId="1" fillId="0" borderId="0" xfId="71"/>
    <xf numFmtId="0" fontId="0" fillId="0" borderId="0" xfId="72"/>
    <xf numFmtId="0" fontId="7" fillId="0" borderId="0" xfId="73"/>
    <xf numFmtId="0" fontId="1" fillId="0" borderId="0" xfId="74"/>
    <xf numFmtId="164" fontId="1" fillId="0" borderId="0" xfId="75"/>
    <xf numFmtId="0" fontId="0" fillId="0" borderId="0" xfId="76"/>
    <xf numFmtId="0" fontId="0" fillId="0" borderId="0" xfId="77"/>
    <xf numFmtId="0" fontId="1" fillId="0" borderId="0" xfId="78"/>
    <xf numFmtId="0" fontId="1" fillId="0" borderId="0" xfId="79"/>
    <xf numFmtId="0" fontId="1" fillId="0" borderId="0" xfId="80"/>
    <xf numFmtId="0" fontId="11" fillId="0" borderId="0" xfId="81"/>
    <xf numFmtId="0" fontId="11" fillId="0" borderId="0" xfId="82"/>
    <xf numFmtId="0" fontId="1" fillId="0" borderId="0" xfId="83"/>
    <xf numFmtId="165" fontId="1" fillId="0" borderId="0" xfId="84"/>
    <xf numFmtId="0" fontId="11" fillId="0" borderId="0" xfId="85"/>
    <xf numFmtId="0" fontId="5" fillId="0" borderId="1" xfId="0" applyFont="1" applyBorder="1" applyProtection="1">
      <protection locked="1" hidden="1"/>
    </xf>
    <xf numFmtId="166" fontId="4" fillId="0" borderId="6" xfId="0" applyNumberFormat="1" applyFont="1" applyBorder="1" applyAlignment="1" applyProtection="1">
      <alignment horizontal="center" vertical="center" wrapText="1"/>
      <protection locked="0" hidden="0"/>
    </xf>
    <xf numFmtId="0" fontId="4" fillId="4" borderId="3" xfId="0" applyFont="1" applyFill="1" applyBorder="1" applyProtection="1">
      <protection locked="0" hidden="0"/>
    </xf>
    <xf numFmtId="0" fontId="5" fillId="0" borderId="1" xfId="0" applyFont="1" applyBorder="1" applyProtection="1">
      <protection locked="0" hidden="0"/>
    </xf>
    <xf numFmtId="0" fontId="4" fillId="9" borderId="8" xfId="0" applyFont="1" applyFill="1" applyProtection="1">
      <protection locked="0" hidden="0"/>
    </xf>
    <xf numFmtId="0" fontId="6" fillId="9" borderId="8" xfId="0" applyFont="1" applyFill="1" applyProtection="1">
      <protection locked="0" hidden="0"/>
    </xf>
    <xf numFmtId="0" fontId="5" fillId="5" borderId="4" xfId="0" applyFont="1" applyFill="1" applyProtection="1">
      <protection locked="0" hidden="0"/>
    </xf>
    <xf numFmtId="166" fontId="5" fillId="5" borderId="4" xfId="0" applyNumberFormat="1" applyFont="1" applyFill="1" applyAlignment="1" applyProtection="1">
      <alignment horizontal="center"/>
      <protection locked="0" hidden="0"/>
    </xf>
    <xf numFmtId="0" fontId="5" fillId="5" borderId="4" xfId="0" applyFont="1" applyFill="1" applyAlignment="1" applyProtection="1">
      <alignment horizontal="center"/>
      <protection locked="0" hidden="0"/>
    </xf>
    <xf numFmtId="165" fontId="5" fillId="5" borderId="4" xfId="0" applyNumberFormat="1" applyFont="1" applyFill="1" applyAlignment="1" applyProtection="1">
      <alignment horizontal="center"/>
      <protection locked="0" hidden="0"/>
    </xf>
    <xf numFmtId="0" fontId="5" fillId="0" borderId="0" xfId="0" applyFont="1" applyProtection="1">
      <protection locked="0" hidden="0"/>
    </xf>
    <xf numFmtId="0" fontId="4" fillId="11" borderId="10" xfId="0" applyFont="1" applyFill="1" applyBorder="1" applyProtection="1">
      <protection locked="0" hidden="0"/>
    </xf>
    <xf numFmtId="0" fontId="5" fillId="11" borderId="10" xfId="0" applyFont="1" applyFill="1" applyBorder="1" applyProtection="1">
      <protection locked="0" hidden="0"/>
    </xf>
    <xf numFmtId="166" fontId="5" fillId="11" borderId="10" xfId="0" applyNumberFormat="1" applyFont="1" applyFill="1" applyBorder="1" applyAlignment="1" applyProtection="1">
      <alignment horizontal="center"/>
      <protection locked="0" hidden="0"/>
    </xf>
    <xf numFmtId="0" fontId="5" fillId="11" borderId="10" xfId="0" applyFont="1" applyFill="1" applyBorder="1" applyAlignment="1" applyProtection="1">
      <alignment horizontal="center"/>
      <protection locked="0" hidden="0"/>
    </xf>
    <xf numFmtId="165" fontId="5" fillId="11" borderId="10" xfId="0" applyNumberFormat="1" applyFont="1" applyFill="1" applyBorder="1" applyAlignment="1" applyProtection="1">
      <alignment horizontal="center"/>
      <protection locked="0" hidden="0"/>
    </xf>
    <xf numFmtId="166" fontId="5" fillId="0" borderId="1" xfId="0" applyNumberFormat="1" applyFont="1" applyBorder="1" applyAlignment="1" applyProtection="1">
      <alignment horizontal="center"/>
      <protection locked="0" hidden="0"/>
    </xf>
    <xf numFmtId="0" fontId="5" fillId="0" borderId="1" xfId="0" applyFont="1" applyBorder="1" applyAlignment="1" applyProtection="1">
      <alignment horizontal="center"/>
      <protection locked="0" hidden="0"/>
    </xf>
    <xf numFmtId="165" fontId="5" fillId="0" borderId="1" xfId="0" applyNumberFormat="1" applyFont="1" applyBorder="1" applyAlignment="1">
      <alignment horizontal="center"/>
    </xf>
    <xf numFmtId="166" fontId="4" fillId="4" borderId="3" xfId="0" applyNumberFormat="1" applyFont="1" applyFill="1" applyBorder="1" applyAlignment="1" applyProtection="1">
      <alignment horizontal="center"/>
      <protection locked="0" hidden="0"/>
    </xf>
    <xf numFmtId="0" fontId="4" fillId="4" borderId="3" xfId="0" applyFont="1" applyFill="1" applyBorder="1" applyAlignment="1" applyProtection="1">
      <alignment horizontal="center"/>
      <protection locked="0" hidden="0"/>
    </xf>
    <xf numFmtId="165" fontId="5" fillId="4" borderId="3" xfId="0" applyNumberFormat="1" applyFont="1" applyFill="1" applyBorder="1" applyAlignment="1">
      <alignment horizontal="center"/>
    </xf>
    <xf numFmtId="165" fontId="5" fillId="11" borderId="10" xfId="0" applyNumberFormat="1" applyFont="1" applyFill="1" applyBorder="1" applyAlignment="1">
      <alignment horizontal="center"/>
    </xf>
    <xf numFmtId="0" fontId="5" fillId="0" borderId="1" xfId="3" applyFont="1" applyBorder="1" applyAlignment="1" applyProtection="1">
      <alignment horizontal="center" vertical="center"/>
      <protection locked="0" hidden="0"/>
    </xf>
    <xf numFmtId="166" fontId="5" fillId="0" borderId="0" xfId="0" applyNumberFormat="1" applyFont="1" applyAlignment="1" applyProtection="1">
      <alignment horizontal="center"/>
      <protection locked="0" hidden="0"/>
    </xf>
    <xf numFmtId="0" fontId="5" fillId="0" borderId="0" xfId="0" applyFont="1" applyAlignment="1" applyProtection="1">
      <alignment horizontal="center"/>
      <protection locked="0" hidden="0"/>
    </xf>
    <xf numFmtId="165" fontId="5" fillId="0" borderId="0" xfId="0" applyNumberFormat="1" applyFont="1" applyAlignment="1" applyProtection="1">
      <alignment horizontal="center"/>
      <protection locked="0" hidden="0"/>
    </xf>
    <xf numFmtId="0" fontId="4" fillId="0" borderId="1" xfId="0" applyFont="1" applyBorder="1" applyAlignment="1" applyProtection="1">
      <alignment horizontal="center" vertical="center" wrapText="1"/>
      <protection locked="0" hidden="0"/>
    </xf>
    <xf numFmtId="0" fontId="4" fillId="0" borderId="1" xfId="0" applyFont="1" applyBorder="1" applyProtection="1">
      <protection locked="0" hidden="0"/>
    </xf>
    <xf numFmtId="0" fontId="8" fillId="4" borderId="3" xfId="0" applyFont="1" applyFill="1" applyBorder="1" applyProtection="1">
      <protection locked="0" hidden="0"/>
    </xf>
    <xf numFmtId="0" fontId="3" fillId="11" borderId="10" xfId="0" applyFont="1" applyFill="1" applyBorder="1" applyProtection="1">
      <protection locked="0" hidden="0"/>
    </xf>
    <xf numFmtId="0" fontId="4" fillId="25" borderId="24" xfId="0" applyFont="1" applyFill="1" applyBorder="1" applyProtection="1">
      <protection locked="0" hidden="0"/>
    </xf>
    <xf numFmtId="0" fontId="5" fillId="25" borderId="24" xfId="0" applyFont="1" applyFill="1" applyBorder="1" applyProtection="1">
      <protection locked="0" hidden="0"/>
    </xf>
    <xf numFmtId="166" fontId="5" fillId="25" borderId="24" xfId="0" applyNumberFormat="1" applyFont="1" applyFill="1" applyBorder="1" applyAlignment="1" applyProtection="1">
      <alignment horizontal="center"/>
      <protection locked="0" hidden="0"/>
    </xf>
    <xf numFmtId="0" fontId="5" fillId="25" borderId="24" xfId="0" applyFont="1" applyFill="1" applyBorder="1" applyAlignment="1" applyProtection="1">
      <alignment horizontal="center"/>
      <protection locked="0" hidden="0"/>
    </xf>
    <xf numFmtId="0" fontId="5" fillId="4" borderId="3" xfId="0" applyFont="1" applyFill="1" applyBorder="1" applyProtection="1">
      <protection locked="0" hidden="0"/>
    </xf>
    <xf numFmtId="166" fontId="5" fillId="4" borderId="3" xfId="0" applyNumberFormat="1" applyFont="1" applyFill="1" applyBorder="1" applyAlignment="1" applyProtection="1">
      <alignment horizontal="center"/>
      <protection locked="0" hidden="0"/>
    </xf>
    <xf numFmtId="0" fontId="5" fillId="4" borderId="3" xfId="0" applyFont="1" applyFill="1" applyBorder="1" applyAlignment="1" applyProtection="1">
      <alignment horizontal="center"/>
      <protection locked="0" hidden="0"/>
    </xf>
    <xf numFmtId="0" fontId="4" fillId="11" borderId="10" xfId="0" applyFont="1" applyFill="1" applyBorder="1" applyAlignment="1" applyProtection="1">
      <alignment vertical="top"/>
      <protection locked="0" hidden="0"/>
    </xf>
    <xf numFmtId="165" fontId="5" fillId="25" borderId="24" xfId="0" applyNumberFormat="1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166" fontId="4" fillId="0" borderId="25" xfId="0" applyNumberFormat="1" applyFont="1" applyBorder="1" applyAlignment="1" applyProtection="1">
      <alignment horizontal="center" vertical="center" wrapText="1"/>
      <protection locked="0" hidden="0"/>
    </xf>
    <xf numFmtId="0" fontId="4" fillId="0" borderId="6" xfId="0" applyFont="1" applyBorder="1" applyAlignment="1" applyProtection="1">
      <alignment horizontal="center" vertical="center" wrapText="1"/>
      <protection locked="0" hidden="0"/>
    </xf>
    <xf numFmtId="0" fontId="12" fillId="0" borderId="27" xfId="0" applyFont="1" applyBorder="1" applyAlignment="1" applyProtection="1">
      <alignment horizontal="center"/>
      <protection locked="0" hidden="0"/>
    </xf>
    <xf numFmtId="0" fontId="12" fillId="0" borderId="28" xfId="0" applyFont="1" applyBorder="1" applyAlignment="1" applyProtection="1">
      <alignment horizontal="center"/>
      <protection locked="0" hidden="0"/>
    </xf>
    <xf numFmtId="166" fontId="12" fillId="0" borderId="28" xfId="0" applyNumberFormat="1" applyFont="1" applyBorder="1" applyAlignment="1" applyProtection="1">
      <alignment horizontal="center"/>
      <protection locked="0" hidden="0"/>
    </xf>
    <xf numFmtId="165" fontId="12" fillId="0" borderId="29" xfId="0" applyNumberFormat="1" applyFont="1" applyBorder="1" applyAlignment="1" applyProtection="1">
      <alignment horizontal="center"/>
      <protection locked="0" hidden="0"/>
    </xf>
    <xf numFmtId="166" fontId="5" fillId="25" borderId="24" xfId="57" applyNumberFormat="1" applyFont="1" applyFill="1" applyBorder="1" applyProtection="1">
      <protection locked="0" hidden="0"/>
    </xf>
    <xf numFmtId="165" fontId="4" fillId="0" borderId="36" xfId="0" applyNumberFormat="1" applyFont="1" applyBorder="1" applyAlignment="1" applyProtection="1">
      <alignment horizontal="center" vertical="center" wrapText="1"/>
      <protection locked="0" hidden="0"/>
    </xf>
    <xf numFmtId="165" fontId="4" fillId="0" borderId="6" xfId="0" applyNumberFormat="1" applyFont="1" applyBorder="1" applyAlignment="1" applyProtection="1">
      <alignment horizontal="center" vertical="center" wrapText="1"/>
      <protection locked="0" hidden="0"/>
    </xf>
    <xf numFmtId="0" fontId="4" fillId="0" borderId="36" xfId="0" applyFont="1" applyBorder="1" applyAlignment="1" applyProtection="1">
      <alignment horizontal="center" vertical="center" wrapText="1"/>
      <protection locked="0" hidden="0"/>
    </xf>
    <xf numFmtId="166" fontId="4" fillId="0" borderId="36" xfId="0" applyNumberFormat="1" applyFont="1" applyBorder="1" applyAlignment="1" applyProtection="1">
      <alignment horizontal="center" vertical="center" wrapText="1"/>
      <protection locked="0" hidden="0"/>
    </xf>
  </cellXfs>
  <cellStyles count="86">
    <cellStyle name="Normal" xfId="0" builtinId="0" customBuiltin="1"/>
    <cellStyle name="Percent" xfId="1" builtinId="5" customBuiltin="1"/>
    <cellStyle name="Обычный 9" xfId="2"/>
    <cellStyle name="Обычный 3" xfId="3"/>
    <cellStyle name="Обычный 6" xfId="4"/>
    <cellStyle name="Обычный 2" xfId="5"/>
    <cellStyle name="Обычный 10" xfId="6"/>
    <cellStyle name="Обычный 11" xfId="7"/>
    <cellStyle name="Обычный 12" xfId="8"/>
    <cellStyle name="Обычный 13" xfId="9"/>
    <cellStyle name="Обычный 14" xfId="10"/>
    <cellStyle name="Обычный 15" xfId="11"/>
    <cellStyle name="Обычный 2 2" xfId="12"/>
    <cellStyle name="Обычный 4" xfId="13"/>
    <cellStyle name="Обычный 4 2" xfId="14"/>
    <cellStyle name="Обычный 5" xfId="15"/>
    <cellStyle name="Обычный 5 2" xfId="16"/>
    <cellStyle name="Обычный 6 2" xfId="17"/>
    <cellStyle name="Обычный 7" xfId="18"/>
    <cellStyle name="Обычный 7 2" xfId="19"/>
    <cellStyle name="Обычный 7 3" xfId="20"/>
    <cellStyle name="Обычный 8" xfId="21"/>
    <cellStyle name="Обычный 8 2" xfId="22"/>
    <cellStyle name="Стиль 1" xfId="23"/>
    <cellStyle name="Стиль 1 2" xfId="24"/>
    <cellStyle name="Стиль 1 2 2" xfId="25"/>
    <cellStyle name="Обычный 6 2 2" xfId="26"/>
    <cellStyle name="Обычный 7 2 2" xfId="27"/>
    <cellStyle name="Обычный 16" xfId="28"/>
    <cellStyle name="Hyperlink" xfId="29" builtinId="8" customBuiltin="1"/>
    <cellStyle name="Стиль 1 2 3" xfId="30"/>
    <cellStyle name="Обычный 17" xfId="31"/>
    <cellStyle name="Процентный 2" xfId="32"/>
    <cellStyle name="Обычный 3 2" xfId="33"/>
    <cellStyle name="Стиль 1 3" xfId="34"/>
    <cellStyle name="Обычный 7 3 3" xfId="35"/>
    <cellStyle name="Стиль 1 2 2 3" xfId="36"/>
    <cellStyle name="Обычный 16 3" xfId="37"/>
    <cellStyle name="Обычный 18" xfId="38"/>
    <cellStyle name="Обычный 7 3 2" xfId="39"/>
    <cellStyle name="Стиль 1 2 2 2" xfId="40"/>
    <cellStyle name="Обычный 16 2" xfId="41"/>
    <cellStyle name="Процентный 3" xfId="42"/>
    <cellStyle name="Обычный 19" xfId="43"/>
    <cellStyle name="Обычный 20" xfId="44"/>
    <cellStyle name="Денежный 2" xfId="45"/>
    <cellStyle name="Стиль 1 4" xfId="46"/>
    <cellStyle name="Обычный 4 3" xfId="47"/>
    <cellStyle name="Обычный 2 2 2" xfId="48"/>
    <cellStyle name="Обычный 3 2 2" xfId="49"/>
    <cellStyle name="Стиль 1 2 2 4" xfId="50"/>
    <cellStyle name="Обычный 2 2 3" xfId="51"/>
    <cellStyle name="Обычный 3 3" xfId="52"/>
    <cellStyle name="Обычный 2 2 2 2" xfId="53"/>
    <cellStyle name="Обычный 2 3" xfId="54"/>
    <cellStyle name="Гиперссылка 2" xfId="55"/>
    <cellStyle name="Обычный 21" xfId="56"/>
    <cellStyle name="Currency" xfId="57" builtinId="4" customBuiltin="1"/>
    <cellStyle name="Обычный 22" xfId="58"/>
    <cellStyle name="Обычный 2 2 4" xfId="59"/>
    <cellStyle name="Обычный 2 4" xfId="60"/>
    <cellStyle name="Обычный 22 2" xfId="61"/>
    <cellStyle name="Обычный 23" xfId="62"/>
    <cellStyle name="Обычный 24" xfId="63"/>
    <cellStyle name="Обычный 6 3" xfId="64"/>
    <cellStyle name="Обычный 8 3" xfId="65"/>
    <cellStyle name="Процентный 4" xfId="66"/>
    <cellStyle name="Обычный 25" xfId="67"/>
    <cellStyle name="Обычный 26" xfId="68"/>
    <cellStyle name="Обычный 27" xfId="69"/>
    <cellStyle name="Обычный 28" xfId="70"/>
    <cellStyle name="Денежный 3" xfId="71"/>
    <cellStyle name="Обычный 7 4" xfId="72"/>
    <cellStyle name="Гиперссылка 3" xfId="73"/>
    <cellStyle name="Normal_Sheet1" xfId="74"/>
    <cellStyle name="Comma [0]_11" xfId="75"/>
    <cellStyle name="Обычный 3 4" xfId="76"/>
    <cellStyle name="Обычный 2 5" xfId="77"/>
    <cellStyle name="Обычный 19 2" xfId="78"/>
    <cellStyle name="Обычный 20 2" xfId="79"/>
    <cellStyle name="Обычный 21 2" xfId="80"/>
    <cellStyle name="Обычный 26 2" xfId="81"/>
    <cellStyle name="Обычный 27 2" xfId="82"/>
    <cellStyle name="Обычный 28 2" xfId="83"/>
    <cellStyle name="Денежный 3 2" xfId="84"/>
    <cellStyle name="Обычный 29" xfId="85"/>
  </cellStyles>
  <tableStyles count="0"/>
  <extLst>
    <ext uri="smNativeData">
      <pm:charStyles xmlns:pm="smNativeData" id="1707302626" count="1">
        <pm:charStyle name="Обычный" fontId="0" Id="1"/>
      </pm:charStyles>
      <pm:colors xmlns:pm="smNativeData" id="1707302626" count="17">
        <pm:color name="Цвет 24" rgb="FCD5B4"/>
        <pm:color name="Цвет 25" rgb="FFC000"/>
        <pm:color name="Цвет 26" rgb="92D050"/>
        <pm:color name="Цвет 27" rgb="FDE9D9"/>
        <pm:color name="Цвет 28" rgb="216BAF"/>
        <pm:color name="Цвет 29" rgb="DCE6F1"/>
        <pm:color name="Цвет 30" rgb="E26B0A"/>
        <pm:color name="Цвет 31" rgb="F5F145"/>
        <pm:color name="Цвет 32" rgb="D7E3BB"/>
        <pm:color name="Цвет 33" rgb="C5D9F1"/>
        <pm:color name="Цвет 34" rgb="E6B8B7"/>
        <pm:color name="Цвет 35" rgb="66FF99"/>
        <pm:color name="Цвет 36" rgb="19E178"/>
        <pm:color name="Цвет 37" rgb="FABF8F"/>
        <pm:color name="Цвет 38" rgb="F79646"/>
        <pm:color name="Цвет 39" rgb="FFFEFE"/>
        <pm:color name="Цвет 40" rgb="0070C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5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hyperlink" Target="#&#1055;&#1088;&#1072;&#1081;&#1089;!A1"/><Relationship Id="rId2" Type="http://schemas.openxmlformats.org/officeDocument/2006/relationships/hyperlink" Target="#&#1055;&#1085;&#1077;&#1074;&#1084;&#1072;&#1090;&#1080;&#1082;&#1072;!A1"/><Relationship Id="rId3" Type="http://schemas.openxmlformats.org/officeDocument/2006/relationships/hyperlink" Target="#&#1052;&#1072;&#1089;&#1083;&#1086;!A1"/><Relationship Id="rId4" Type="http://schemas.openxmlformats.org/officeDocument/2006/relationships/hyperlink" Target="#&#1050;&#1086;&#1084;&#1087;&#1088;&#1077;&#1089;&#1089;&#1086;&#1088;&#1099;!A1"/><Relationship Id="rId5" Type="http://schemas.openxmlformats.org/officeDocument/2006/relationships/hyperlink" Target="#&#1040;&#1090;&#1072;&#1082;&#1072;!A1"/><Relationship Id="rId6" Type="http://schemas.openxmlformats.org/officeDocument/2006/relationships/hyperlink" Target="#&apos;&#1058;&#1077;&#1087;&#1083;&#1086;&#1074;&#1086;&#1077; &#1086;&#1073;&#1086;&#1088;&#1091;&#1076;&#1086;&#1074;&#1072;&#1085;&#1080;&#1077;&apos;!A1"/><Relationship Id="rId7" Type="http://schemas.openxmlformats.org/officeDocument/2006/relationships/hyperlink" Target="#&#1055;&#1088;&#1086;&#1092;&#1084;&#1072;&#1096;!A1"/><Relationship Id="rId8" Type="http://schemas.openxmlformats.org/officeDocument/2006/relationships/hyperlink" Target="#&apos;&#1040;&#1088;&#1089;&#1077;&#1085;&#1072;&#1083; &apos;!A1"/><Relationship Id="rId9" Type="http://schemas.openxmlformats.org/officeDocument/2006/relationships/hyperlink" Target="#&#1054;&#1082;&#1088;&#1072;&#1089;&#1082;&#1072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</xdr:colOff>
      <xdr:row>0</xdr:row>
      <xdr:rowOff>31750</xdr:rowOff>
    </xdr:from>
    <xdr:to>
      <xdr:col>9</xdr:col>
      <xdr:colOff>857250</xdr:colOff>
      <xdr:row>7</xdr:row>
      <xdr:rowOff>863600</xdr:rowOff>
    </xdr:to>
    <xdr:grpSp>
      <xdr:nvGrpSpPr>
        <xdr:cNvPr id="2" name="Группа 1"/>
        <xdr:cNvGrpSpPr>
          <a:extLst>
            <a:ext uri="smNativeData">
              <pm:smNativeData xmlns:pm="smNativeData" val="SMDATA_4_4l7DZRMAAAAlAAAAAQAAAI8BAAAAkAAAAEgAAACQAAAASAAAAAAAAAAAAAAAAAAAABcAAAAUAAAAAAAAAAAAAAD/fwAA/38AAAAAAAAJAAAABAAAAAAAAAAhAAAAMAAAACwAAAAAAAAAAAAAAL4AHwAHAAAACQAAAC4YqwMrAAAAMgAAALtNAAAhBwAAAAAAAA=="/>
            </a:ext>
          </a:extLst>
        </xdr:cNvGrpSpPr>
      </xdr:nvGrpSpPr>
      <xdr:grpSpPr>
        <a:xfrm>
          <a:off x="27305" y="31750"/>
          <a:ext cx="12635865" cy="1158875"/>
          <a:chOff x="27305" y="31750"/>
          <a:chExt cx="12635865" cy="1158875"/>
        </a:xfrm>
      </xdr:grpSpPr>
      <xdr:sp macro="" fLocksText="0">
        <xdr:nvSpPr>
          <xdr:cNvPr id="3" name="Скругленный прямоугольник 25">
            <a:hlinkClick xmlns:r="http://schemas.openxmlformats.org/officeDocument/2006/relationships" r:id="rId1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L2KZADp7ywAAAAAAAAAAAAAAAAAAAAAAAAAAAAAAAAAAAAAAAAAAAAAAAAAAAAAAAAAAAJz///9aAAAAAAAAAAEAAABQAAAAPXvHAAAAAAAAAAAAAAAAAAAAAAAAAAAAAAAAAAAAAAAAAAAAAAAAAAAAAAAAAAAAAAAAAAAAAAAAAAAAFAAAADwAAAABAAAAAAAAAAAAAAAPAAAAAQAAACMAAAAjAAAAIwAAAB4AAAAAAAAAZAAAAGQAAAAAAAAAZAAAAGQAAAAVAAAAYAAAAAEAAAAAAAAAAAAAAAAAAAAAAAAAAAAAAAAAAAD///9/AAAAAAAAAAABAAAA////AAAAAABkAAAAAAAAABQAAAAAAAAAAAAAACYAAAAAAAAAtAEAAA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CAAAAZAAAACgAAAAAAAAAAAAAAAAAAAAkAAAAJAAAAAAAAAAHAAAAAAAAAAAAAAAAAAAAAAAAAAAAAAAAAAAAf39/ACUAAABYAAAAAQAAAAAAAAAAAAAAAAAAAAAAAAAAAAAAAAAAAAAAAAAAAAAAAAAAAAAAAAASAAAAAAAAAKCGAQAAAAAAAAAAAAAAAAAMAAAAAQAAAAAAAAAAAAAAgE8SACEAAAAwAAAALAAAAAAAAAAAAAAAAAAAAAAAAAAAAAAAAAAAACsAAACKAAAA1wQAAMkGAAAAAAAA"/>
              </a:ext>
            </a:extLst>
          </xdr:cNvSpPr>
        </xdr:nvSpPr>
        <xdr:spPr>
          <a:xfrm rot="16200000">
            <a:off x="27305" y="87630"/>
            <a:ext cx="786765" cy="1102995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2F6299"/>
              </a:gs>
              <a:gs pos="80000">
                <a:srgbClr val="3D7BC7"/>
              </a:gs>
              <a:gs pos="100000">
                <a:srgbClr val="3A7BCB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 prstMaterial="warmMatte">
            <a:bevelT w="63500" h="25400" prst="circle"/>
          </a:sp3d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ctr" defTabSz="360045" rtl="0">
              <a:defRPr sz="1000"/>
            </a:pPr>
            <a:r>
              <a:rPr lang="ru-ru" sz="1800" b="1" i="0" u="none" strike="noStrike" kern="100" spc="48" baseline="0">
                <a:solidFill>
                  <a:srgbClr val="FFFEFE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ВОЗДУХ</a:t>
            </a:r>
          </a:p>
        </xdr:txBody>
      </xdr:sp>
      <xdr:sp macro="" fLocksText="0">
        <xdr:nvSpPr>
          <xdr:cNvPr id="4" name="Скругленный прямоугольник 61">
            <a:hlinkClick xmlns:r="http://schemas.openxmlformats.org/officeDocument/2006/relationships" r:id="rId2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L2KZADp7ywAAAAAAAAAAAAAAAAAAAAAAAAAAAAAAAAAAAAAAAAAAAAAAAAAAAAAAAAAAAJz///9aAAAAAAAAAAEAAABQAAAAPXvH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HkFAADVAwAAiRcAAJwBAAAAAAAA"/>
              </a:ext>
            </a:extLst>
          </xdr:cNvSpPr>
        </xdr:nvSpPr>
        <xdr:spPr>
          <a:xfrm>
            <a:off x="889635" y="622935"/>
            <a:ext cx="3825875" cy="261620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2F6299"/>
              </a:gs>
              <a:gs pos="80000">
                <a:srgbClr val="3D7BC7"/>
              </a:gs>
              <a:gs pos="100000">
                <a:srgbClr val="3A7BCB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l" defTabSz="360045" rtl="0">
              <a:defRPr sz="1000"/>
            </a:pPr>
            <a:r>
              <a:rPr lang="ru-ru" sz="1100" b="0" i="0" u="none" strike="noStrike" kern="100" baseline="0">
                <a:solidFill>
                  <a:srgbClr val="FFFFFF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Пневматическое   оборудование </a:t>
            </a:r>
          </a:p>
        </xdr:txBody>
      </xdr:sp>
      <xdr:sp macro="" fLocksText="0">
        <xdr:nvSpPr>
          <xdr:cNvPr id="5" name="Скругленный прямоугольник 62">
            <a:hlinkClick xmlns:r="http://schemas.openxmlformats.org/officeDocument/2006/relationships" r:id="rId3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L2KZADp7ywAAAAAAAAAAAAAAAAAAAAAAAAAAAAAAAAAAAAAAAAAAAAAAAAAAAAAAAAAAAJz///9aAAAAAAAAAAEAAABQAAAAPXvH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HIFAAC8BQAAixcAAIsBAAAAAAAA"/>
              </a:ext>
            </a:extLst>
          </xdr:cNvSpPr>
        </xdr:nvSpPr>
        <xdr:spPr>
          <a:xfrm>
            <a:off x="885190" y="932180"/>
            <a:ext cx="3827145" cy="250825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2F6299"/>
              </a:gs>
              <a:gs pos="80000">
                <a:srgbClr val="3D7BC7"/>
              </a:gs>
              <a:gs pos="100000">
                <a:srgbClr val="3A7BCB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l" defTabSz="360045" rtl="0">
              <a:defRPr sz="1000"/>
            </a:pPr>
            <a:r>
              <a:rPr lang="ru-ru" sz="1100" b="0" i="0" u="none" strike="noStrike" kern="100" baseline="0">
                <a:solidFill>
                  <a:srgbClr val="FFFFFF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Масло</a:t>
            </a:r>
          </a:p>
        </xdr:txBody>
      </xdr:sp>
      <xdr:sp macro="" fLocksText="0">
        <xdr:nvSpPr>
          <xdr:cNvPr id="6" name="Скругленный прямоугольник 63">
            <a:hlinkClick xmlns:r="http://schemas.openxmlformats.org/officeDocument/2006/relationships" r:id="rId4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L2KZADp7ywAAAAAAAAAAAAAAAAAAAAAAAAAAAAAAAAAAAAAAAAAAAAAAAAAAAAAAAAAAAJz///9aAAAAAAAAAAEAAABQAAAAPXvH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HYFAABlAAAAjBcAAIoBAAAAAAAA"/>
              </a:ext>
            </a:extLst>
          </xdr:cNvSpPr>
        </xdr:nvSpPr>
        <xdr:spPr>
          <a:xfrm>
            <a:off x="887730" y="64135"/>
            <a:ext cx="3827780" cy="250190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2F6299"/>
              </a:gs>
              <a:gs pos="80000">
                <a:srgbClr val="3D7BC7"/>
              </a:gs>
              <a:gs pos="100000">
                <a:srgbClr val="3A7BCB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l" defTabSz="360045" rtl="0">
              <a:defRPr sz="1000"/>
            </a:pPr>
            <a:r>
              <a:rPr lang="ru-ru" sz="1100" b="0" i="0" u="none" strike="noStrike" kern="100" baseline="0">
                <a:solidFill>
                  <a:srgbClr val="FFFFFF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Компрессорное оборудование</a:t>
            </a:r>
          </a:p>
        </xdr:txBody>
      </xdr:sp>
      <xdr:sp macro="" fLocksText="0">
        <xdr:nvSpPr>
          <xdr:cNvPr id="7" name="Скругленный прямоугольник 57">
            <a:hlinkClick xmlns:r="http://schemas.openxmlformats.org/officeDocument/2006/relationships" r:id="rId5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zm8gAP+RNQAAAAAAAAAAAAAAAAAAAAAAAAAAAAAAAAAAAAAAAAAAAAAAAAAAAAAAAAAAAJz///9aAAAAAAAAAAEAAABQAAAA/44z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AAAAAAAAAAAEAAAAAAAAAPAAAACoAAAAqAAAAZAAAAGQAAAAAAAAAy8vLADwAAAAqAAAAKgAAAGQAAABkAAAAAAAAABcAAAAUAAAAAAAAAAAAAAD/fwAA/38AAAAAAAAJAAAABAAAAAAAAAAeAAAAaAAAAAAAAAAAAAAAAAAAAAAAAAAAAAAAECcAABAnAAAAAAAAAAAAAAAAAAAAAAAAAAAAAAAAAAAAAAAAAAAAAFA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JAeAABKAgAASxYAAJ8BAAAAAAAA"/>
              </a:ext>
            </a:extLst>
          </xdr:cNvSpPr>
        </xdr:nvSpPr>
        <xdr:spPr>
          <a:xfrm>
            <a:off x="4968240" y="372110"/>
            <a:ext cx="3623945" cy="263525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CE6F20"/>
              </a:gs>
              <a:gs pos="80000">
                <a:srgbClr val="FF8E33"/>
              </a:gs>
              <a:gs pos="100000">
                <a:srgbClr val="FF9135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50800" dist="37717" dir="2700000" algn="tl">
              <a:srgbClr val="000000">
                <a:alpha val="40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ctr" defTabSz="360045" rtl="0">
              <a:defRPr sz="1000"/>
            </a:pPr>
            <a:r>
              <a:rPr lang="ru-ru" sz="1100" b="1" i="0" u="none" strike="noStrike" kern="100" baseline="0">
                <a:solidFill>
                  <a:srgbClr val="000000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Расходные материалы АТАКА</a:t>
            </a:r>
          </a:p>
        </xdr:txBody>
      </xdr:sp>
      <xdr:sp macro="" fLocksText="0">
        <xdr:nvSpPr>
          <xdr:cNvPr id="8" name="Скругленный прямоугольник 58">
            <a:hlinkClick xmlns:r="http://schemas.openxmlformats.org/officeDocument/2006/relationships" r:id="rId6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zm8gAP+RNQAAAAAAAAAAAAAAAAAAAAAAAAAAAAAAAAAAAAAAAAAAAAAAAAAAAAAAAAAAAJz///9aAAAAAAAAAAEAAABQAAAA/44z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PU1AABGAgAA8RcAAJABAAAAAAAA"/>
              </a:ext>
            </a:extLst>
          </xdr:cNvSpPr>
        </xdr:nvSpPr>
        <xdr:spPr>
          <a:xfrm>
            <a:off x="8771255" y="369570"/>
            <a:ext cx="3891915" cy="254000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CE6F20"/>
              </a:gs>
              <a:gs pos="80000">
                <a:srgbClr val="FF8E33"/>
              </a:gs>
              <a:gs pos="100000">
                <a:srgbClr val="FF9135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ctr" defTabSz="360045" rtl="0">
              <a:defRPr sz="1000"/>
            </a:pPr>
            <a:r>
              <a:rPr lang="ru-ru" sz="1100" b="1" i="0" u="none" strike="noStrike" kern="100" baseline="0">
                <a:solidFill>
                  <a:srgbClr val="000000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Тепловое оборудование</a:t>
            </a:r>
          </a:p>
        </xdr:txBody>
      </xdr:sp>
      <xdr:sp macro="" fLocksText="0">
        <xdr:nvSpPr>
          <xdr:cNvPr id="9" name="Скругленный прямоугольник 59">
            <a:hlinkClick xmlns:r="http://schemas.openxmlformats.org/officeDocument/2006/relationships" r:id="rId7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zm8gAP+RNQAAAAAAAAAAAAAAAAAAAAAAAAAAAAAAAAAAAAAAAAAAAAAAAAAAAAAAAAAAAJz///9aAAAAAAAAAAEAAABQAAAA/44z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PU1AAAyAAAA4BcAALsBAAAAAAAA"/>
              </a:ext>
            </a:extLst>
          </xdr:cNvSpPr>
        </xdr:nvSpPr>
        <xdr:spPr>
          <a:xfrm>
            <a:off x="8771255" y="31750"/>
            <a:ext cx="3881120" cy="281305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CE6F20"/>
              </a:gs>
              <a:gs pos="80000">
                <a:srgbClr val="FF8E33"/>
              </a:gs>
              <a:gs pos="100000">
                <a:srgbClr val="FF9135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ctr" defTabSz="360045" rtl="0">
              <a:defRPr sz="1000"/>
            </a:pPr>
            <a:r>
              <a:rPr lang="ru-ru" sz="1100" b="1" i="0" u="none" strike="noStrike" kern="100" baseline="0">
                <a:solidFill>
                  <a:srgbClr val="000000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Бетоносмесители ПРОФМАШ</a:t>
            </a:r>
          </a:p>
        </xdr:txBody>
      </xdr:sp>
      <xdr:sp macro="" fLocksText="0">
        <xdr:nvSpPr>
          <xdr:cNvPr id="10" name="Скругленный прямоугольник 60">
            <a:hlinkClick xmlns:r="http://schemas.openxmlformats.org/officeDocument/2006/relationships" r:id="rId8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zm8gAP+RNQAAAAAAAAAAAAAAAAAAAAAAAAAAAAAAAAAAAAAAAAAAAAAAAAAAAAAAAAAAAJz///9aAAAAAAAAAAEAAABQAAAA/44z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JoeAABJAAAARRYAAH4BAAAAAAAA"/>
              </a:ext>
            </a:extLst>
          </xdr:cNvSpPr>
        </xdr:nvSpPr>
        <xdr:spPr>
          <a:xfrm>
            <a:off x="4974590" y="46355"/>
            <a:ext cx="3620135" cy="242570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CE6F20"/>
              </a:gs>
              <a:gs pos="80000">
                <a:srgbClr val="FF8E33"/>
              </a:gs>
              <a:gs pos="100000">
                <a:srgbClr val="FF9135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ctr" defTabSz="360045" rtl="0">
              <a:defRPr sz="1000"/>
            </a:pPr>
            <a:r>
              <a:rPr lang="ru-ru" sz="1100" b="1" i="0" u="none" strike="noStrike" kern="100" baseline="0">
                <a:solidFill>
                  <a:srgbClr val="000000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Ручной инструмент АРСЕНАЛ</a:t>
            </a:r>
          </a:p>
        </xdr:txBody>
      </xdr:sp>
      <xdr:sp macro="" fLocksText="0">
        <xdr:nvSpPr>
          <xdr:cNvPr id="11" name="Скругленный прямоугольник 33">
            <a:hlinkClick xmlns:r="http://schemas.openxmlformats.org/officeDocument/2006/relationships" r:id="rId1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eJc3AJ3HRwAAAAAAAAAAAAAAAAAAAAAAAAAAAAAAAAAAAAAAAAAAAAAAAAAAAAAAAAAAAJz///9aAAAAAAAAAAEAAABQAAAAm8RIAAAAAAAAAAAAAAAAAAAAAAAAAAAAAAAAAAAAAAAAAAAAAAAAAAAAAAAAAAAAAAAAAAAAAAAAAAAAFAAAADwAAAABAAAAAAAAAAAAAAAPAAAAAQAAACMAAAAjAAAAIwAAAB4AAAAAAAAAZAAAAGQAAAAAAAAAZAAAAGQAAAAVAAAAYAAAAAEAAAAAAAAAAAAAAAAAAAAAAAAAAAAAAAAAAAD///9/AAAAAAAAAAABAAAA////AAAAAABkAAAAAAAAABQAAAAAAAAAAAAAACYAAAAAAAAAtAEAAA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CAAAAZAAAACgAAAAAAAAAAAAAAAAAAAAkAAAAJAAAAAAAAAAHAAAAAAAAAAAAAAAAAAAAAAAAAAAAAAAAAAAAf39/ACUAAABYAAAAAQAAAAAAAAAAAAAAAAAAAAAAAAAAAAAAAAAAAAAAAAAAAAAAAAAAAAAAAAASAAAAAAAAAKCGAQAAAAAAAAAAAAAAAAAMAAAAAQAAAAAAAAAAAAAAgE8SACEAAAAwAAAALAAAAAAAAAAAAAAAAAAAAAAAAAAAAAAAAAAAAHweAAA0BAAASS8AAMQCAAAAAAAA"/>
              </a:ext>
            </a:extLst>
          </xdr:cNvSpPr>
        </xdr:nvSpPr>
        <xdr:spPr>
          <a:xfrm>
            <a:off x="4955540" y="683260"/>
            <a:ext cx="7686675" cy="449580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789737"/>
              </a:gs>
              <a:gs pos="80000">
                <a:srgbClr val="9BC448"/>
              </a:gs>
              <a:gs pos="100000">
                <a:srgbClr val="9DC747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 prstMaterial="warmMatte">
            <a:bevelT w="63500" h="25400" prst="circle"/>
          </a:sp3d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ctr" defTabSz="360045" rtl="0">
              <a:defRPr sz="1000"/>
            </a:pPr>
            <a:r>
              <a:rPr lang="ru-ru" sz="1400" b="1" i="0" u="none" strike="noStrike" kern="100" baseline="0">
                <a:solidFill>
                  <a:srgbClr val="000000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Основной</a:t>
            </a:r>
            <a:r>
              <a:rPr lang="ru-ru" sz="1800" b="1" i="0" u="none" strike="noStrike" kern="100" baseline="0">
                <a:solidFill>
                  <a:srgbClr val="000000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 </a:t>
            </a:r>
            <a:r>
              <a:rPr lang="ru-ru" sz="1200" b="1" i="0" u="none" strike="noStrike" kern="100" baseline="0">
                <a:solidFill>
                  <a:srgbClr val="000000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ПРАЙС-ЛИСТ</a:t>
            </a:r>
          </a:p>
        </xdr:txBody>
      </xdr:sp>
      <xdr:sp macro="" fLocksText="0">
        <xdr:nvSpPr>
          <xdr:cNvPr id="12" name="Скругленный прямоугольник 16">
            <a:hlinkClick xmlns:r="http://schemas.openxmlformats.org/officeDocument/2006/relationships" r:id="rId9"/>
          </xdr:cNvPr>
          <xdr:cNvSpPr>
            <a:extLst>
              <a:ext uri="smNativeData">
                <pm:smNativeData xmlns:pm="smNativeData" val="SMDATA_13_4l7DZRMAAAAlAAAAZQAAAA0AAAAAkAAAAEgAAACQAAAASAAAAAAAAAABAAAAAAAAAAEAAABQAAAAhbacS3FV1T8AAAAAAADwvwAAAAAAAOA/AAAAAAAA4D8AAAAAAADgPwAAAAAAAOA/AAAAAAAA4D8AAAAAAADgPwAAAAAAAOA/AAAAAAAA4D8CAAAAjAAAAAEAAAADAAAAL2KZADp7ywAAAAAAAAAAAAAAAAAAAAAAAAAAAAAAAAAAAAAAAAAAAAAAAAAAAAAAAAAAAJz///9aAAAAAAAAAAEAAABQAAAAPXvHAAAAAAAAAAAAAAAAAAAAAAAAAAAAAAAAAAAAAAAAAAAAAAAAAAAAAAAAAAAAAAAAAAAAAAAAAAAAFAAAADwAAAABAAAAAAAAAAAAAAAPAAAAAQAAABQAAAAUAAAAFAAAAAEAAAAAAAAAZAAAAGQAAAAAAAAAZAAAAGQAAAAVAAAAYAAAAAAAAAAAAAAADwAAACADAAAAAAAAAAAAAAEAAACgMgAAVgcAAKr4//8BAAAAAAAAAAEAAABkAAAAAAAAABQAAABAHwAAAAAAACYAAAAAAAAAwOD//wAAAAAmAAAAZAAAABYAAABMAAAAAQAAAAAAAAACAAAAAAAAAAEAAAAAAAAAQQAAAAAAAAAkAAAAZAAAAGQAAAAAAAAAzMzMAAAAAABQAAAAUAAAAGQAAABk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IUFAAAiAgAAjBcAAJABAAAAAAAA"/>
              </a:ext>
            </a:extLst>
          </xdr:cNvSpPr>
        </xdr:nvSpPr>
        <xdr:spPr>
          <a:xfrm>
            <a:off x="897255" y="346710"/>
            <a:ext cx="3827780" cy="254000"/>
          </a:xfrm>
          <a:prstGeom prst="roundRect">
            <a:avLst>
              <a:gd name="adj" fmla="val 16667"/>
            </a:avLst>
          </a:prstGeom>
          <a:gradFill flip="none" rotWithShape="0">
            <a:gsLst>
              <a:gs pos="0">
                <a:srgbClr val="2F6299"/>
              </a:gs>
              <a:gs pos="80000">
                <a:srgbClr val="3D7BC7"/>
              </a:gs>
              <a:gs pos="100000">
                <a:srgbClr val="3A7BCB"/>
              </a:gs>
            </a:gsLst>
            <a:lin ang="16200000" scaled="0"/>
            <a:tileRect/>
          </a:gradFill>
          <a:ln w="9525" cap="flat">
            <a:solidFill>
              <a:srgbClr val="000000"/>
            </a:solidFill>
            <a:prstDash val="solid"/>
            <a:headEnd type="none" w="med" len="med"/>
            <a:tailEnd type="none" w="med" len="med"/>
          </a:ln>
          <a:effectLst>
            <a:outerShdw blurRad="40005" dist="22860" dir="5400000" algn="tr">
              <a:srgbClr val="000000">
                <a:alpha val="35000"/>
              </a:srgbClr>
            </a:outerShdw>
          </a:effectLst>
        </xdr:spPr>
        <xdr:txBody>
          <a:bodyPr spcFirstLastPara="1" vertOverflow="clip" horzOverflow="clip" wrap="square" lIns="91440" tIns="45720" rIns="91440" bIns="45720" anchor="ctr" upright="1"/>
          <a:lstStyle/>
          <a:p>
            <a:pPr algn="l" defTabSz="360045" rtl="0">
              <a:defRPr sz="1000"/>
            </a:pPr>
            <a:r>
              <a:rPr lang="ru-ru" sz="1100" b="0" i="0" u="none" strike="noStrike" kern="100" baseline="0">
                <a:solidFill>
                  <a:srgbClr val="FFFFFF"/>
                </a:solidFill>
                <a:latin typeface="Calibri" pitchFamily="2" charset="204"/>
                <a:ea typeface="Arial" pitchFamily="2" charset="0"/>
                <a:cs typeface="Arial" pitchFamily="2" charset="0"/>
              </a:rPr>
              <a:t>Окрасочное оборудование </a:t>
            </a:r>
          </a:p>
        </xdr:txBody>
      </xdr:sp>
    </xdr:grpSp>
    <xdr:clientData/>
  </xdr:twoCellAnchor>
</xdr:wsDr>
</file>

<file path=xl/externalLinks/_rels/externalLink1.xml.rels><?xml version="1.0" encoding="UTF-8" standalone="yes" ?>
<Relationships xmlns="http://schemas.openxmlformats.org/package/2006/relationships"><Relationship Id="rId1" Type="http://schemas.openxmlformats.org/officeDocument/2006/relationships/externalLinkPath" Target="file:///P:\2&#1044;%20&#1044;&#1077;&#1087;&#1072;&#1088;&#1090;&#1072;&#1084;&#1077;&#1085;&#1090;%20&#1088;&#1072;&#1089;&#1087;&#1088;&#1086;&#1089;&#1090;&#1088;&#1072;&#1085;&#1077;&#1085;&#1080;&#1103;\&#1054;&#1073;&#1097;&#1072;&#1103;%20&#1087;&#1072;&#1087;&#1082;&#1072;\&#1055;&#1088;&#1072;&#1081;&#1089;%20&#1083;&#1080;&#1089;&#1090;&#1099;\&#1055;&#1088;&#1072;&#1081;&#1089;-&#1083;&#1080;&#1089;&#1090;%20&#1054;&#1087;&#1090;&#1080;&#1084;&#1080;&#1089;&#1090;%2028.08.20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Прайс"/>
      <sheetName val="Компрессоры"/>
      <sheetName val="Ресиверы"/>
      <sheetName val="Пневматика"/>
      <sheetName val="Окраска"/>
      <sheetName val="Масло"/>
      <sheetName val="Ручной инстурмент Арсенал"/>
      <sheetName val="Ручной инстурмент Отверткин"/>
      <sheetName val="Атака"/>
      <sheetName val="Тепловое оборудование"/>
      <sheetName val="Профмаш"/>
    </sheetNames>
    <sheetDataSet>
      <sheetData sheetId="0"/>
      <sheetData sheetId="1">
        <row r="7">
          <cell r="A7" t="str">
            <v>Код</v>
          </cell>
          <cell r="B7" t="str">
            <v>Наименование продукции</v>
          </cell>
          <cell r="C7" t="str">
            <v>Ед. изм.</v>
          </cell>
          <cell r="D7" t="str">
            <v>Ресивер, л</v>
          </cell>
          <cell r="E7" t="str">
            <v>Производительность, л/мин</v>
          </cell>
          <cell r="F7" t="str">
            <v>Мощность, кВт</v>
          </cell>
          <cell r="G7" t="str">
            <v>Давление, бар</v>
          </cell>
          <cell r="H7" t="str">
            <v>Напряжение, В</v>
          </cell>
          <cell r="I7" t="str">
            <v>Характеристики</v>
          </cell>
          <cell r="J7" t="str">
            <v>Опт</v>
          </cell>
          <cell r="K7" t="str">
            <v>Рек. Розница</v>
          </cell>
          <cell r="L7" t="str">
            <v>Наличие на складе</v>
          </cell>
          <cell r="M7" t="str">
            <v>Ваша скидка по теме</v>
          </cell>
          <cell r="N7" t="str">
            <v>Заказ</v>
          </cell>
          <cell r="O7" t="str">
            <v>Сумма</v>
          </cell>
        </row>
        <row r="8">
          <cell r="M8">
            <v>0</v>
          </cell>
        </row>
        <row r="9">
          <cell r="A9" t="str">
            <v>Компрессорное оборудование GARAGE</v>
          </cell>
        </row>
        <row r="10">
          <cell r="A10" t="str">
            <v>МАСЛЯНЫЕ КОМПРЕССОРЫ С ПРЯМОЙ ПЕРЕДАЧЕЙ</v>
          </cell>
        </row>
        <row r="11">
          <cell r="A11">
            <v>8142210</v>
          </cell>
          <cell r="B11" t="str">
            <v>Компрессор Garage PK 24.F250/1.5</v>
          </cell>
          <cell r="C11" t="str">
            <v>шт</v>
          </cell>
          <cell r="D11">
            <v>24</v>
          </cell>
          <cell r="E11">
            <v>250</v>
          </cell>
          <cell r="F11">
            <v>1.5</v>
          </cell>
          <cell r="G11">
            <v>8</v>
          </cell>
          <cell r="H11">
            <v>220</v>
          </cell>
          <cell r="I11" t="str">
            <v>Компрессор поршневой масляный PK 24.F250/1.5,  ресивер - 24 л, мощность - 1,5 Квт, производительность - 250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1">
            <v>8635</v>
          </cell>
          <cell r="K11">
            <v>9930</v>
          </cell>
          <cell r="L11" t="str">
            <v>-</v>
          </cell>
          <cell r="M11">
            <v>8635</v>
          </cell>
          <cell r="N11">
            <v>0</v>
          </cell>
          <cell r="O11">
            <v>0</v>
          </cell>
        </row>
        <row r="12">
          <cell r="A12" t="str">
            <v>УТ-00000119</v>
          </cell>
          <cell r="B12" t="str">
            <v>Компрессор Garage ST 24.F220/1.3</v>
          </cell>
          <cell r="C12" t="str">
            <v>шт</v>
          </cell>
          <cell r="D12">
            <v>24</v>
          </cell>
          <cell r="E12">
            <v>220</v>
          </cell>
          <cell r="F12">
            <v>1.30000000000000004</v>
          </cell>
          <cell r="G12">
            <v>8</v>
          </cell>
          <cell r="H12">
            <v>220</v>
          </cell>
          <cell r="I12" t="str">
            <v>Компрессор поршневой масляный ST 24.F220/1.3,  ресивер - 24 л, мощность - 1,3 Квт, производительность - 220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2">
            <v>8978</v>
          </cell>
          <cell r="K12">
            <v>10325</v>
          </cell>
          <cell r="L12" t="str">
            <v>-</v>
          </cell>
          <cell r="M12">
            <v>8978</v>
          </cell>
          <cell r="N12">
            <v>0</v>
          </cell>
          <cell r="O12">
            <v>0</v>
          </cell>
        </row>
        <row r="13">
          <cell r="A13" t="str">
            <v>УТ-00000120</v>
          </cell>
          <cell r="B13" t="str">
            <v>Компрессор Garage ST 40.F220/1.3</v>
          </cell>
          <cell r="C13" t="str">
            <v>шт</v>
          </cell>
          <cell r="D13">
            <v>40</v>
          </cell>
          <cell r="E13">
            <v>220</v>
          </cell>
          <cell r="F13">
            <v>1.30000000000000004</v>
          </cell>
          <cell r="G13">
            <v>8</v>
          </cell>
          <cell r="H13">
            <v>220</v>
          </cell>
          <cell r="I13" t="str">
            <v>Компрессор поршневой масляный ST 40.F220/1.3,  ресивер - 24 л, мощность - 1,3 Квт, производительность - 220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3">
            <v>10202</v>
          </cell>
          <cell r="K13">
            <v>11732</v>
          </cell>
          <cell r="L13" t="str">
            <v>-</v>
          </cell>
          <cell r="M13">
            <v>10202</v>
          </cell>
          <cell r="N13">
            <v>0</v>
          </cell>
          <cell r="O13">
            <v>0</v>
          </cell>
        </row>
        <row r="14">
          <cell r="A14" t="str">
            <v>УТ-00000062</v>
          </cell>
          <cell r="B14" t="str">
            <v>Компрессор Garage PK 40.F250/1.5</v>
          </cell>
          <cell r="C14" t="str">
            <v>шт</v>
          </cell>
          <cell r="D14">
            <v>40</v>
          </cell>
          <cell r="E14">
            <v>250</v>
          </cell>
          <cell r="F14">
            <v>1.5</v>
          </cell>
          <cell r="G14">
            <v>8</v>
          </cell>
          <cell r="H14">
            <v>220</v>
          </cell>
          <cell r="I14" t="str">
            <v>Компрессор поршневой масляный PK 40.F210/1.5,  ресивер - 40 л, мощность - 1,5 Квт, производительность - 210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4">
            <v>10234</v>
          </cell>
          <cell r="K14">
            <v>11769</v>
          </cell>
          <cell r="L14" t="str">
            <v>-</v>
          </cell>
          <cell r="M14">
            <v>10234</v>
          </cell>
          <cell r="N14">
            <v>0</v>
          </cell>
          <cell r="O14">
            <v>0</v>
          </cell>
        </row>
        <row r="15">
          <cell r="A15" t="str">
            <v>УТ-00000121</v>
          </cell>
          <cell r="B15" t="str">
            <v>Компрессор Garage PRO 50.MKV400/2.3</v>
          </cell>
          <cell r="C15" t="str">
            <v>шт</v>
          </cell>
          <cell r="D15">
            <v>50</v>
          </cell>
          <cell r="E15">
            <v>400</v>
          </cell>
          <cell r="F15">
            <v>2.29999999999999982</v>
          </cell>
          <cell r="G15">
            <v>8</v>
          </cell>
          <cell r="H15">
            <v>220</v>
          </cell>
          <cell r="I15" t="str">
            <v>Компрессор поршневой масляный PRO 50.MKV400/2.3, ресивер - 50 л, мощность - 2,3 Квт, производительность - 400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5">
            <v>22158</v>
          </cell>
          <cell r="K15">
            <v>25482</v>
          </cell>
          <cell r="L15" t="str">
            <v>-</v>
          </cell>
          <cell r="M15">
            <v>22158</v>
          </cell>
          <cell r="N15">
            <v>0</v>
          </cell>
          <cell r="O15">
            <v>0</v>
          </cell>
        </row>
        <row r="16">
          <cell r="A16" t="str">
            <v>УТ-00000410</v>
          </cell>
          <cell r="B16" t="str">
            <v>Компрессор Garage PRO 100.MKV400/2.3 </v>
          </cell>
          <cell r="C16" t="str">
            <v>шт</v>
          </cell>
          <cell r="D16">
            <v>100</v>
          </cell>
          <cell r="E16">
            <v>400</v>
          </cell>
          <cell r="F16">
            <v>2.29999999999999982</v>
          </cell>
          <cell r="G16">
            <v>8</v>
          </cell>
          <cell r="H16">
            <v>220</v>
          </cell>
          <cell r="I16" t="str">
            <v>Компрессор поршневой масляный PRO 100.MKV400/2.3, ресивер - 100 л, мощность - 2,3 Квт, производительность - 400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6">
            <v>29182</v>
          </cell>
          <cell r="K16">
            <v>33560</v>
          </cell>
          <cell r="L16" t="str">
            <v>+</v>
          </cell>
          <cell r="M16">
            <v>29182</v>
          </cell>
          <cell r="N16">
            <v>0</v>
          </cell>
          <cell r="O16">
            <v>0</v>
          </cell>
        </row>
        <row r="17">
          <cell r="A17">
            <v>8885010</v>
          </cell>
          <cell r="B17" t="str">
            <v>Компрессор Garage PRO 24.F320/2.0</v>
          </cell>
          <cell r="C17" t="str">
            <v>шт</v>
          </cell>
          <cell r="D17">
            <v>24</v>
          </cell>
          <cell r="E17">
            <v>320</v>
          </cell>
          <cell r="F17">
            <v>2</v>
          </cell>
          <cell r="G17">
            <v>8</v>
          </cell>
          <cell r="H17">
            <v>220</v>
          </cell>
          <cell r="I17" t="str">
            <v>Компрессор поршневой масляный  PRO 24.F320/2.0, ресивер - 24 л, мощность - 2 Квт, производительность - 320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7">
            <v>12222</v>
          </cell>
          <cell r="K17">
            <v>14056</v>
          </cell>
          <cell r="L17" t="str">
            <v>+</v>
          </cell>
          <cell r="M17">
            <v>12222</v>
          </cell>
          <cell r="N17">
            <v>0</v>
          </cell>
          <cell r="O17">
            <v>0</v>
          </cell>
        </row>
        <row r="18">
          <cell r="A18">
            <v>8885020</v>
          </cell>
          <cell r="B18" t="str">
            <v>Компрессор Garage PRO 50.F320/2.0</v>
          </cell>
          <cell r="C18" t="str">
            <v>шт</v>
          </cell>
          <cell r="D18">
            <v>50</v>
          </cell>
          <cell r="E18">
            <v>320</v>
          </cell>
          <cell r="F18">
            <v>2</v>
          </cell>
          <cell r="G18">
            <v>8</v>
          </cell>
          <cell r="H18">
            <v>220</v>
          </cell>
          <cell r="I18" t="str">
            <v>Компрессор поршневой масляный PRO 50.F320/2.0, ресивер - 50 л, мощность - 2 Квт, производительность - 320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8">
            <v>13871</v>
          </cell>
          <cell r="K18">
            <v>15952</v>
          </cell>
          <cell r="L18" t="str">
            <v>-</v>
          </cell>
          <cell r="M18">
            <v>13871</v>
          </cell>
          <cell r="N18">
            <v>0</v>
          </cell>
          <cell r="O18">
            <v>0</v>
          </cell>
        </row>
        <row r="19">
          <cell r="A19">
            <v>8889100</v>
          </cell>
          <cell r="B19" t="str">
            <v>Компрессор Garage ST 24.F230/1.3</v>
          </cell>
          <cell r="C19" t="str">
            <v>шт</v>
          </cell>
          <cell r="D19">
            <v>24</v>
          </cell>
          <cell r="E19">
            <v>230</v>
          </cell>
          <cell r="F19">
            <v>1.30000000000000004</v>
          </cell>
          <cell r="G19">
            <v>8</v>
          </cell>
          <cell r="H19">
            <v>220</v>
          </cell>
          <cell r="I19" t="str">
            <v>Компрессор поршневой масляный   ST 24.F230/1.3, ресивер - 24 л, мощность - 1,3 Квт, производительность - 230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19">
            <v>8592</v>
          </cell>
          <cell r="K19">
            <v>9880</v>
          </cell>
          <cell r="L19" t="str">
            <v>+</v>
          </cell>
          <cell r="M19">
            <v>8592</v>
          </cell>
          <cell r="N19">
            <v>0</v>
          </cell>
          <cell r="O19">
            <v>0</v>
          </cell>
        </row>
        <row r="20">
          <cell r="A20">
            <v>8889110</v>
          </cell>
          <cell r="B20" t="str">
            <v>Компрессор Garage ST 40.F230/1.3</v>
          </cell>
          <cell r="C20" t="str">
            <v>шт</v>
          </cell>
          <cell r="D20">
            <v>40</v>
          </cell>
          <cell r="E20">
            <v>230</v>
          </cell>
          <cell r="F20">
            <v>1.30000000000000004</v>
          </cell>
          <cell r="G20">
            <v>8</v>
          </cell>
          <cell r="H20">
            <v>220</v>
          </cell>
          <cell r="I20" t="str">
            <v>Компрессор поршневой масляный   ST 40.F230/1.3, ресивер - 24 л, мощность - 1,3 Квт, производительность - 230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20">
            <v>10360</v>
          </cell>
          <cell r="K20">
            <v>11915</v>
          </cell>
          <cell r="L20" t="str">
            <v>+</v>
          </cell>
          <cell r="M20">
            <v>10360</v>
          </cell>
          <cell r="N20">
            <v>0</v>
          </cell>
          <cell r="O20">
            <v>0</v>
          </cell>
        </row>
        <row r="21">
          <cell r="A21">
            <v>8889070</v>
          </cell>
          <cell r="B21" t="str">
            <v>Компрессор Garage PRO 50.MKV405/2.3</v>
          </cell>
          <cell r="C21" t="str">
            <v>шт</v>
          </cell>
          <cell r="D21">
            <v>50</v>
          </cell>
          <cell r="E21">
            <v>405</v>
          </cell>
          <cell r="F21">
            <v>2.29999999999999982</v>
          </cell>
          <cell r="G21">
            <v>8</v>
          </cell>
          <cell r="H21">
            <v>220</v>
          </cell>
          <cell r="I21" t="str">
            <v>Компрессор поршневой масляный 50.MKV405/2.3, ресивер - 50 л, мощность - 2,3 Квт, производительность - 405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21">
            <v>20152</v>
          </cell>
          <cell r="K21">
            <v>23175</v>
          </cell>
          <cell r="L21" t="str">
            <v>-</v>
          </cell>
          <cell r="M21">
            <v>20152</v>
          </cell>
          <cell r="N21">
            <v>0</v>
          </cell>
          <cell r="O21">
            <v>0</v>
          </cell>
        </row>
        <row r="22">
          <cell r="A22">
            <v>8889060</v>
          </cell>
          <cell r="B22" t="str">
            <v>Компрессор Garage PRO 100.MKV405/2.3</v>
          </cell>
          <cell r="C22" t="str">
            <v>шт</v>
          </cell>
          <cell r="D22">
            <v>100</v>
          </cell>
          <cell r="E22">
            <v>405</v>
          </cell>
          <cell r="F22">
            <v>2.29999999999999982</v>
          </cell>
          <cell r="G22">
            <v>8</v>
          </cell>
          <cell r="H22">
            <v>220</v>
          </cell>
          <cell r="I22" t="str">
            <v>Компрессор поршневой масляный PRO 100.MKV405/2.3, ресивер - 100 л, мощность - 2,3 Квт, производительность - 405 л/мин, давление - 8 бар, напряжение - 220В. Может широко использоваться для: подкачки шин автомобиля и любых воздушных конструкций,  поддувки и очистки воздухом от грязи и пыли, покраски краскораспылителем (от стен до машин), антикоррозийной обработки различных поверхностей, мойки машин и деталей,  работы с пневмоинструментом.</v>
          </cell>
          <cell r="J22">
            <v>27480</v>
          </cell>
          <cell r="K22">
            <v>31602</v>
          </cell>
          <cell r="L22" t="str">
            <v>-</v>
          </cell>
          <cell r="M22">
            <v>27480</v>
          </cell>
          <cell r="N22">
            <v>0</v>
          </cell>
          <cell r="O22">
            <v>0</v>
          </cell>
        </row>
        <row r="23">
          <cell r="A23" t="str">
            <v>КОМПРЕССОРЫ С РЕМЕННЫМ ПРИВОДОМ</v>
          </cell>
        </row>
        <row r="24">
          <cell r="A24">
            <v>8087900</v>
          </cell>
          <cell r="B24" t="str">
            <v>Компрессор Garage PK 50.MBV400/2.2</v>
          </cell>
          <cell r="C24" t="str">
            <v>шт</v>
          </cell>
          <cell r="D24">
            <v>50</v>
          </cell>
          <cell r="E24">
            <v>400</v>
          </cell>
          <cell r="F24">
            <v>2.20000000000000018</v>
          </cell>
          <cell r="G24">
            <v>10</v>
          </cell>
          <cell r="H24">
            <v>220</v>
          </cell>
          <cell r="I24" t="str">
            <v>Производительность: 400 л/мин, Давление: 10 бар, Напряжение: 220 В, Объем: 50 л, Мощность: 2,2 кВт</v>
          </cell>
          <cell r="J24">
            <v>30712</v>
          </cell>
          <cell r="K24">
            <v>34705</v>
          </cell>
          <cell r="L24" t="str">
            <v>+</v>
          </cell>
          <cell r="M24">
            <v>30712</v>
          </cell>
          <cell r="N24">
            <v>0</v>
          </cell>
          <cell r="O24">
            <v>0</v>
          </cell>
        </row>
        <row r="25">
          <cell r="A25">
            <v>8087910</v>
          </cell>
          <cell r="B25" t="str">
            <v>Компрессор Garage PK 100.MBV400/2.2</v>
          </cell>
          <cell r="C25" t="str">
            <v>шт</v>
          </cell>
          <cell r="D25">
            <v>100</v>
          </cell>
          <cell r="E25">
            <v>400</v>
          </cell>
          <cell r="F25">
            <v>2.20000000000000018</v>
          </cell>
          <cell r="G25">
            <v>10</v>
          </cell>
          <cell r="H25">
            <v>220</v>
          </cell>
          <cell r="I25" t="str">
            <v>Производительность: 400 л/мин, Давление: 10 бар, Напряжение: 220 В, Объем: 100 л, Мощность: 2,2 кВт</v>
          </cell>
          <cell r="J25">
            <v>35643</v>
          </cell>
          <cell r="K25">
            <v>39920</v>
          </cell>
          <cell r="L25" t="str">
            <v>+</v>
          </cell>
          <cell r="M25">
            <v>35643</v>
          </cell>
          <cell r="N25">
            <v>0</v>
          </cell>
          <cell r="O25">
            <v>0</v>
          </cell>
        </row>
        <row r="26">
          <cell r="A26">
            <v>8889040</v>
          </cell>
          <cell r="B26" t="str">
            <v>Компрессор Garage PRO 100.MBV400/2.2 Верт.</v>
          </cell>
          <cell r="C26" t="str">
            <v>шт</v>
          </cell>
          <cell r="D26">
            <v>100</v>
          </cell>
          <cell r="E26">
            <v>400</v>
          </cell>
          <cell r="F26">
            <v>2.20000000000000018</v>
          </cell>
          <cell r="G26">
            <v>10</v>
          </cell>
          <cell r="H26">
            <v>220</v>
          </cell>
          <cell r="I26" t="str">
            <v>Производительность: 400 л/мин, Давление: 10 бар, Напряжение: 220 В, Объем: 100 л, Мощность: 2,2 кВт ВЕРТИКАЛЬНЫЙ</v>
          </cell>
          <cell r="J26">
            <v>39963</v>
          </cell>
          <cell r="K26">
            <v>43959</v>
          </cell>
          <cell r="L26" t="str">
            <v>+</v>
          </cell>
          <cell r="M26">
            <v>39963</v>
          </cell>
          <cell r="N26">
            <v>0</v>
          </cell>
          <cell r="O26">
            <v>0</v>
          </cell>
        </row>
        <row r="27">
          <cell r="A27" t="str">
            <v>КОМПРЕССОРЫ ПОРШНЕВЫЕ БЕЗМАСЛЯНЫЕ</v>
          </cell>
        </row>
        <row r="28">
          <cell r="A28">
            <v>8885000</v>
          </cell>
          <cell r="B28" t="str">
            <v>Компрессор безмасляный Garage PRO 24.SL190/1.3</v>
          </cell>
          <cell r="C28" t="str">
            <v>шт</v>
          </cell>
          <cell r="D28">
            <v>24</v>
          </cell>
          <cell r="E28">
            <v>190</v>
          </cell>
          <cell r="F28">
            <v>1.30000000000000004</v>
          </cell>
          <cell r="G28">
            <v>8</v>
          </cell>
          <cell r="H28">
            <v>220</v>
          </cell>
          <cell r="I28" t="str">
            <v>Производительность: 190 л/мин, Давление: 8 бар, Напряжение: 220 В, Объем: 24 л, Мощность: 1,3 кВт</v>
          </cell>
          <cell r="J28">
            <v>10411</v>
          </cell>
          <cell r="K28">
            <v>11973</v>
          </cell>
          <cell r="L28" t="str">
            <v>+</v>
          </cell>
          <cell r="M28">
            <v>10411</v>
          </cell>
          <cell r="N28">
            <v>0</v>
          </cell>
          <cell r="O28">
            <v>0</v>
          </cell>
        </row>
        <row r="29">
          <cell r="A29">
            <v>8889050</v>
          </cell>
          <cell r="B29" t="str">
            <v>Компрессор безмасляный Garage PRO 100.SL400/2.2</v>
          </cell>
          <cell r="C29" t="str">
            <v>шт</v>
          </cell>
          <cell r="D29">
            <v>100</v>
          </cell>
          <cell r="E29">
            <v>476</v>
          </cell>
          <cell r="F29">
            <v>2.20000000000000018</v>
          </cell>
          <cell r="G29">
            <v>8</v>
          </cell>
          <cell r="H29">
            <v>220</v>
          </cell>
          <cell r="I29" t="str">
            <v>Производительность: 476 л/мин, Давление: 8 бар, Напряжение: 220 В, Объем: 100 л, Мощность: 2,2 кВт</v>
          </cell>
          <cell r="J29">
            <v>33876</v>
          </cell>
          <cell r="K29">
            <v>38959</v>
          </cell>
          <cell r="L29" t="str">
            <v>+</v>
          </cell>
          <cell r="M29">
            <v>33876</v>
          </cell>
          <cell r="N29">
            <v>0</v>
          </cell>
          <cell r="O29">
            <v>0</v>
          </cell>
        </row>
        <row r="30">
          <cell r="A30" t="str">
            <v>Компрессорное оборудование REMEZA</v>
          </cell>
        </row>
        <row r="31">
          <cell r="A31" t="str">
            <v>УТ-00000118</v>
          </cell>
          <cell r="B31" t="str">
            <v>Сертификат расширенной гарантии Remeza на 3 года</v>
          </cell>
          <cell r="C31" t="str">
            <v>шт</v>
          </cell>
          <cell r="J31">
            <v>1530</v>
          </cell>
          <cell r="K31">
            <v>2999</v>
          </cell>
          <cell r="L31" t="str">
            <v>+</v>
          </cell>
          <cell r="M31">
            <v>1530</v>
          </cell>
          <cell r="N31">
            <v>0</v>
          </cell>
          <cell r="O31">
            <v>0</v>
          </cell>
        </row>
        <row r="32">
          <cell r="A32" t="str">
            <v>КОМПРЕССОРЫ ПОРШНЕВЫЕ С ПРЯМЫМ ПРИВОДОМ СЕРИИ J (КИТАЙ)</v>
          </cell>
        </row>
        <row r="33">
          <cell r="A33">
            <v>4150470</v>
          </cell>
          <cell r="B33" t="str">
            <v>Компрессор СБ 4/С-24.J1047 B (Remeza)</v>
          </cell>
          <cell r="C33" t="str">
            <v>шт</v>
          </cell>
          <cell r="D33">
            <v>24</v>
          </cell>
          <cell r="E33">
            <v>200</v>
          </cell>
          <cell r="F33">
            <v>1.5</v>
          </cell>
          <cell r="G33">
            <v>8</v>
          </cell>
          <cell r="H33">
            <v>220</v>
          </cell>
          <cell r="I33" t="str">
            <v>Производительность: 200 л/мин, Ресивер: 24 л</v>
          </cell>
          <cell r="J33">
            <v>24982</v>
          </cell>
          <cell r="K33">
            <v>29391</v>
          </cell>
          <cell r="L33" t="str">
            <v>-</v>
          </cell>
          <cell r="M33">
            <v>24982</v>
          </cell>
          <cell r="N33">
            <v>0</v>
          </cell>
          <cell r="O33">
            <v>0</v>
          </cell>
        </row>
        <row r="34">
          <cell r="A34">
            <v>4150620</v>
          </cell>
          <cell r="B34" t="str">
            <v>Компрессор CБ 4/C-24.J1048 B (Remeza)</v>
          </cell>
          <cell r="C34" t="str">
            <v>шт</v>
          </cell>
          <cell r="D34">
            <v>24</v>
          </cell>
          <cell r="E34">
            <v>260</v>
          </cell>
          <cell r="F34">
            <v>1.8</v>
          </cell>
          <cell r="G34">
            <v>8</v>
          </cell>
          <cell r="H34">
            <v>220</v>
          </cell>
          <cell r="I34" t="str">
            <v>Производительность: 274 л/мин, Ресивер: 24 л</v>
          </cell>
          <cell r="J34">
            <v>26944</v>
          </cell>
          <cell r="K34">
            <v>31698</v>
          </cell>
          <cell r="L34" t="str">
            <v>-</v>
          </cell>
          <cell r="M34">
            <v>26944</v>
          </cell>
          <cell r="N34">
            <v>0</v>
          </cell>
          <cell r="O34">
            <v>0</v>
          </cell>
        </row>
        <row r="35">
          <cell r="A35" t="str">
            <v>КОМПРЕССОРЫ ПОРШНЕВЫЕ С ПРЯМЫМ ПРИВОДОМ СЕРИИ J </v>
          </cell>
        </row>
        <row r="36">
          <cell r="A36">
            <v>1529730</v>
          </cell>
          <cell r="B36" t="str">
            <v>Компрессор СБ 4/С-  50.J1047 B</v>
          </cell>
          <cell r="C36" t="str">
            <v>шт</v>
          </cell>
          <cell r="D36">
            <v>50</v>
          </cell>
          <cell r="E36">
            <v>200</v>
          </cell>
          <cell r="F36">
            <v>1.5</v>
          </cell>
          <cell r="G36">
            <v>8</v>
          </cell>
          <cell r="H36">
            <v>220</v>
          </cell>
          <cell r="I36" t="str">
            <v>Производительность: 200 л/мин, Давление: 8 Атм, Напряжение: 220 В, Кол-во цилиндров/ступеней: 1/1 шт, Ресивер: 50 л, Выход: 1/4 дюйм, , Вес: 38 кг,</v>
          </cell>
          <cell r="J36">
            <v>31997</v>
          </cell>
          <cell r="K36">
            <v>36796</v>
          </cell>
          <cell r="L36" t="str">
            <v>+</v>
          </cell>
          <cell r="M36">
            <v>31997</v>
          </cell>
          <cell r="N36">
            <v>0</v>
          </cell>
          <cell r="O36">
            <v>0</v>
          </cell>
        </row>
        <row r="37">
          <cell r="A37">
            <v>1529740</v>
          </cell>
          <cell r="B37" t="str">
            <v>Компрессор СБ 4/С-  50.J1048 B</v>
          </cell>
          <cell r="C37" t="str">
            <v>шт</v>
          </cell>
          <cell r="D37">
            <v>50</v>
          </cell>
          <cell r="E37">
            <v>260</v>
          </cell>
          <cell r="F37">
            <v>1.8</v>
          </cell>
          <cell r="G37">
            <v>8</v>
          </cell>
          <cell r="H37">
            <v>220</v>
          </cell>
          <cell r="I37" t="str">
            <v>Производительность: 260 л/мин, Давление: 8 Атм, Напряжение: 220 В, Кол-во цилиндров/ступеней: 1/1 шт, Ресивер: 50 л, Выход: 1/4 дюйм, Вес: 42 кг, </v>
          </cell>
          <cell r="J37">
            <v>33509</v>
          </cell>
          <cell r="K37">
            <v>38536</v>
          </cell>
          <cell r="L37" t="str">
            <v>-</v>
          </cell>
          <cell r="M37">
            <v>33509</v>
          </cell>
          <cell r="N37">
            <v>0</v>
          </cell>
          <cell r="O37">
            <v>0</v>
          </cell>
        </row>
        <row r="38">
          <cell r="A38">
            <v>1523410</v>
          </cell>
          <cell r="B38" t="str">
            <v>Компрессор СБ 4/С-  50.J2047 B</v>
          </cell>
          <cell r="C38" t="str">
            <v>шт</v>
          </cell>
          <cell r="D38">
            <v>50</v>
          </cell>
          <cell r="E38">
            <v>400</v>
          </cell>
          <cell r="F38">
            <v>2.20000000000000018</v>
          </cell>
          <cell r="G38">
            <v>8</v>
          </cell>
          <cell r="H38">
            <v>220</v>
          </cell>
          <cell r="I38" t="str">
            <v>Производительность: 400 л/мин, Давление: 8 Атм, Напряжение: 220 В, Кол-во цилиндров/ступеней: 2/1 шт, Ресивер: 50 л, Выход: 1/4 дюйм, Мощность: 2,2 кВт</v>
          </cell>
          <cell r="J38">
            <v>42236</v>
          </cell>
          <cell r="K38">
            <v>48571</v>
          </cell>
          <cell r="L38" t="str">
            <v>+</v>
          </cell>
          <cell r="M38">
            <v>42236</v>
          </cell>
          <cell r="N38">
            <v>0</v>
          </cell>
          <cell r="O38">
            <v>0</v>
          </cell>
        </row>
        <row r="39">
          <cell r="A39">
            <v>1523420</v>
          </cell>
          <cell r="B39" t="str">
            <v>Компрессор СБ 4/С-100.J2047 B</v>
          </cell>
          <cell r="C39" t="str">
            <v>шт</v>
          </cell>
          <cell r="D39">
            <v>100</v>
          </cell>
          <cell r="E39">
            <v>400</v>
          </cell>
          <cell r="F39">
            <v>2.20000000000000018</v>
          </cell>
          <cell r="G39">
            <v>8</v>
          </cell>
          <cell r="H39">
            <v>220</v>
          </cell>
          <cell r="I39" t="str">
            <v>Производительность: 400 л/мин, Давление: 8 Атм, Напряжение: 220 В, Кол-во цилиндров/ступеней: 2/1 шт, Ресивер: 100 л, Выход: 1/4 дюйм</v>
          </cell>
          <cell r="J39">
            <v>44796</v>
          </cell>
          <cell r="K39">
            <v>51515</v>
          </cell>
          <cell r="L39" t="str">
            <v>+</v>
          </cell>
          <cell r="M39">
            <v>44796</v>
          </cell>
          <cell r="N39">
            <v>0</v>
          </cell>
          <cell r="O39">
            <v>0</v>
          </cell>
        </row>
        <row r="40">
          <cell r="A40" t="str">
            <v>КОМПРЕССОРЫ ПОРШНЕВЫЕ С РЕМЕННЫМ ПРИВОДОМ</v>
          </cell>
        </row>
        <row r="41">
          <cell r="A41">
            <v>8090660</v>
          </cell>
          <cell r="B41" t="str">
            <v>Компрессор СБ4/С-50.LB 24 A</v>
          </cell>
          <cell r="C41" t="str">
            <v>шт</v>
          </cell>
          <cell r="D41">
            <v>50</v>
          </cell>
          <cell r="E41">
            <v>360</v>
          </cell>
          <cell r="F41">
            <v>2.20000000000000018</v>
          </cell>
          <cell r="G41">
            <v>10</v>
          </cell>
          <cell r="H41">
            <v>220</v>
          </cell>
          <cell r="I41" t="str">
            <v>Производительность: 360 л/мин, Давление: 10 бар, Напряжение: 220 В, Мощность: 2,2 кВт</v>
          </cell>
          <cell r="J41">
            <v>44156</v>
          </cell>
          <cell r="K41">
            <v>48571</v>
          </cell>
          <cell r="L41" t="str">
            <v>+</v>
          </cell>
          <cell r="M41">
            <v>44156</v>
          </cell>
          <cell r="N41">
            <v>0</v>
          </cell>
          <cell r="O41">
            <v>0</v>
          </cell>
        </row>
        <row r="42">
          <cell r="A42">
            <v>21245</v>
          </cell>
          <cell r="B42" t="str">
            <v>Компрессор СБ 4/С-  50 LB 30 A</v>
          </cell>
          <cell r="C42" t="str">
            <v>шт</v>
          </cell>
          <cell r="D42">
            <v>50</v>
          </cell>
          <cell r="E42">
            <v>420</v>
          </cell>
          <cell r="F42">
            <v>2.20000000000000018</v>
          </cell>
          <cell r="G42">
            <v>10</v>
          </cell>
          <cell r="H42">
            <v>220</v>
          </cell>
          <cell r="I42" t="str">
            <v>Производительность: 420 л/мин, Давление: 10 Атм, Напряжение: 220 В, Кол-во цилиндров/ступеней: 2/1 шт, Ресивер: 50 л, Выход: 1/4 дюйм</v>
          </cell>
          <cell r="J42">
            <v>49845</v>
          </cell>
          <cell r="K42">
            <v>53833</v>
          </cell>
          <cell r="L42" t="str">
            <v>+</v>
          </cell>
          <cell r="M42">
            <v>49845</v>
          </cell>
          <cell r="N42">
            <v>0</v>
          </cell>
          <cell r="O42">
            <v>0</v>
          </cell>
        </row>
        <row r="43">
          <cell r="A43">
            <v>21348</v>
          </cell>
          <cell r="B43" t="str">
            <v>Компрессор СБ 4/С-  50 LB 30</v>
          </cell>
          <cell r="C43" t="str">
            <v>шт</v>
          </cell>
          <cell r="D43">
            <v>50</v>
          </cell>
          <cell r="E43">
            <v>420</v>
          </cell>
          <cell r="F43">
            <v>2.20000000000000018</v>
          </cell>
          <cell r="G43">
            <v>10</v>
          </cell>
          <cell r="H43">
            <v>380</v>
          </cell>
          <cell r="I43" t="str">
            <v>Производительность: 420 л/мин, Давление: 10 Атм, Напряжение: 380 В, Кол-во цилиндров/ступеней: 2/1 шт, Ресивер: 50 л, Выход: 1/4 дюйм</v>
          </cell>
          <cell r="J43">
            <v>53115</v>
          </cell>
          <cell r="K43">
            <v>61082</v>
          </cell>
          <cell r="L43" t="str">
            <v>-</v>
          </cell>
          <cell r="M43">
            <v>53115</v>
          </cell>
          <cell r="N43">
            <v>0</v>
          </cell>
          <cell r="O43">
            <v>0</v>
          </cell>
        </row>
        <row r="44">
          <cell r="A44">
            <v>1796120</v>
          </cell>
          <cell r="B44" t="str">
            <v>Компрессор СБ 4/С-  50 LB 30  3,0 кВт</v>
          </cell>
          <cell r="C44" t="str">
            <v>шт</v>
          </cell>
          <cell r="D44">
            <v>50</v>
          </cell>
          <cell r="E44">
            <v>500</v>
          </cell>
          <cell r="F44">
            <v>3</v>
          </cell>
          <cell r="G44">
            <v>9</v>
          </cell>
          <cell r="H44">
            <v>380</v>
          </cell>
          <cell r="I44" t="str">
            <v>Производительность: 500 л/мин, Давление: 9 Атм, Напряжение: 380 В, Габаритные размеры: 850*400*770 мм, Кол-во цилиндров/ступеней: 2/1 шт, Ресивер: 50 л, </v>
          </cell>
          <cell r="J44">
            <v>64314</v>
          </cell>
          <cell r="K44">
            <v>70745</v>
          </cell>
          <cell r="L44" t="str">
            <v>-</v>
          </cell>
          <cell r="M44">
            <v>64314</v>
          </cell>
          <cell r="N44">
            <v>0</v>
          </cell>
          <cell r="O44">
            <v>0</v>
          </cell>
        </row>
        <row r="45">
          <cell r="A45">
            <v>21206</v>
          </cell>
          <cell r="B45" t="str">
            <v>Компрессор СБ 4/С-  50 LB 40</v>
          </cell>
          <cell r="C45" t="str">
            <v>шт</v>
          </cell>
          <cell r="D45">
            <v>50</v>
          </cell>
          <cell r="E45">
            <v>580</v>
          </cell>
          <cell r="F45">
            <v>3</v>
          </cell>
          <cell r="G45">
            <v>10</v>
          </cell>
          <cell r="H45">
            <v>380</v>
          </cell>
          <cell r="I45" t="str">
            <v>Производительность: 580 л/мин, Давление: 10 Атм, Напряжение: 380 В, Кол-во цилиндров/ступеней: 3./1 шт, Ресивер: 50 л, Выход: 1/2 + 1/4 дюйм</v>
          </cell>
          <cell r="J45">
            <v>67300</v>
          </cell>
          <cell r="K45">
            <v>77395</v>
          </cell>
          <cell r="L45" t="str">
            <v>+</v>
          </cell>
          <cell r="M45">
            <v>67300</v>
          </cell>
          <cell r="N45">
            <v>0</v>
          </cell>
          <cell r="O45">
            <v>0</v>
          </cell>
        </row>
        <row r="46">
          <cell r="A46">
            <v>8087940</v>
          </cell>
          <cell r="B46" t="str">
            <v>Компрессор СБ4/С-100.LB 24 A</v>
          </cell>
          <cell r="C46" t="str">
            <v>-</v>
          </cell>
          <cell r="D46">
            <v>100</v>
          </cell>
          <cell r="E46">
            <v>360</v>
          </cell>
          <cell r="F46">
            <v>2.20000000000000018</v>
          </cell>
          <cell r="G46">
            <v>10</v>
          </cell>
          <cell r="H46">
            <v>220</v>
          </cell>
          <cell r="I46" t="str">
            <v>Производительность: 360 л/мин, Давление: 10 бар, Напряжение: 220 В, Мощность: 2,2 кВт</v>
          </cell>
          <cell r="J46">
            <v>46502</v>
          </cell>
          <cell r="K46">
            <v>51152</v>
          </cell>
          <cell r="L46" t="str">
            <v>-</v>
          </cell>
          <cell r="M46">
            <v>46502</v>
          </cell>
          <cell r="N46">
            <v>0</v>
          </cell>
          <cell r="O46">
            <v>0</v>
          </cell>
        </row>
        <row r="47">
          <cell r="A47">
            <v>21688</v>
          </cell>
          <cell r="B47" t="str">
            <v>Компрессор СБ 4/С-100 LB 30 A</v>
          </cell>
          <cell r="C47" t="str">
            <v>шт</v>
          </cell>
          <cell r="D47">
            <v>100</v>
          </cell>
          <cell r="E47">
            <v>420</v>
          </cell>
          <cell r="F47">
            <v>2.20000000000000018</v>
          </cell>
          <cell r="G47">
            <v>10</v>
          </cell>
          <cell r="H47">
            <v>220</v>
          </cell>
          <cell r="I47" t="str">
            <v>Производительность: 420 л/мин, Давление: 10 Атм, Напряжение: 220 В, Кол-во цилиндров/ступеней: 2/1 шт, Ресивер: 100 л, Выход: 1/4 дюйм</v>
          </cell>
          <cell r="J47">
            <v>51800</v>
          </cell>
          <cell r="K47">
            <v>55944</v>
          </cell>
          <cell r="L47" t="str">
            <v>-</v>
          </cell>
          <cell r="M47">
            <v>51800</v>
          </cell>
          <cell r="N47">
            <v>0</v>
          </cell>
          <cell r="O47">
            <v>0</v>
          </cell>
        </row>
        <row r="48">
          <cell r="A48">
            <v>20645</v>
          </cell>
          <cell r="B48" t="str">
            <v>Компрессор СБ 4/С-100 LB 30</v>
          </cell>
          <cell r="C48" t="str">
            <v>шт</v>
          </cell>
          <cell r="D48">
            <v>100</v>
          </cell>
          <cell r="E48">
            <v>420</v>
          </cell>
          <cell r="F48">
            <v>2.20000000000000018</v>
          </cell>
          <cell r="G48">
            <v>10</v>
          </cell>
          <cell r="H48">
            <v>380</v>
          </cell>
          <cell r="I48" t="str">
            <v>Производительность: 420 л/мин, Давление: 10 Атм, Напряжение: 380 В, Кол-во цилиндров/ступеней: 2/1 шт, Ресивер: 100 л, Выход: 1/4 дюйм</v>
          </cell>
          <cell r="J48">
            <v>55994</v>
          </cell>
          <cell r="K48">
            <v>64394</v>
          </cell>
          <cell r="L48" t="str">
            <v>-</v>
          </cell>
          <cell r="M48">
            <v>55994</v>
          </cell>
          <cell r="N48">
            <v>0</v>
          </cell>
          <cell r="O48">
            <v>0</v>
          </cell>
        </row>
        <row r="49">
          <cell r="A49">
            <v>1796150</v>
          </cell>
          <cell r="B49" t="str">
            <v>Компрессор СБ 4/С-100 LB 30  3,0 кВт</v>
          </cell>
          <cell r="C49" t="str">
            <v>шт</v>
          </cell>
          <cell r="D49">
            <v>100</v>
          </cell>
          <cell r="E49">
            <v>500</v>
          </cell>
          <cell r="F49">
            <v>3</v>
          </cell>
          <cell r="G49">
            <v>9</v>
          </cell>
          <cell r="H49">
            <v>380</v>
          </cell>
          <cell r="I49" t="str">
            <v>Производительность: 500 л/мин,Давление: 9 Атм, Напряжение: 380 В, Габаритные размеры: 1150*490*850 мм, Кол-во цилиндров/ступеней: 2/1 шт, Ресивер: 100 л</v>
          </cell>
          <cell r="J49">
            <v>67087</v>
          </cell>
          <cell r="K49">
            <v>73795</v>
          </cell>
          <cell r="L49" t="str">
            <v>-</v>
          </cell>
          <cell r="M49">
            <v>67087</v>
          </cell>
          <cell r="N49">
            <v>0</v>
          </cell>
          <cell r="O49">
            <v>0</v>
          </cell>
        </row>
        <row r="50">
          <cell r="A50">
            <v>20984</v>
          </cell>
          <cell r="B50" t="str">
            <v>Компрессор СБ 4/С-100 LB 40</v>
          </cell>
          <cell r="C50" t="str">
            <v>шт</v>
          </cell>
          <cell r="D50">
            <v>100</v>
          </cell>
          <cell r="E50">
            <v>580</v>
          </cell>
          <cell r="F50">
            <v>3</v>
          </cell>
          <cell r="G50">
            <v>10</v>
          </cell>
          <cell r="H50">
            <v>380</v>
          </cell>
          <cell r="I50" t="str">
            <v>Производительность: 580 л/мин, Давление: 10 Атм, Напряжение: 380 В, Кол-во цилиндров/ступеней: 3./1 шт, Ресивер: 100 л, Выход: 1/2 + 1/4 дюйм</v>
          </cell>
          <cell r="J50">
            <v>71033</v>
          </cell>
          <cell r="K50">
            <v>81688</v>
          </cell>
          <cell r="L50" t="str">
            <v>+</v>
          </cell>
          <cell r="M50">
            <v>71033</v>
          </cell>
          <cell r="N50">
            <v>0</v>
          </cell>
          <cell r="O50">
            <v>0</v>
          </cell>
        </row>
        <row r="51">
          <cell r="A51">
            <v>20646</v>
          </cell>
          <cell r="B51" t="str">
            <v>Компрессор СБ 4/С-100 LB 50</v>
          </cell>
          <cell r="C51" t="str">
            <v>шт</v>
          </cell>
          <cell r="D51">
            <v>100</v>
          </cell>
          <cell r="E51">
            <v>690</v>
          </cell>
          <cell r="F51">
            <v>4</v>
          </cell>
          <cell r="G51">
            <v>10</v>
          </cell>
          <cell r="H51">
            <v>380</v>
          </cell>
          <cell r="I51" t="str">
            <v>Производительность: 690 л/мин, Давление: 10 Атм, Напряжение: 380 В, Кол-во цилиндров/ступеней: 2./1 шт, Ресивер: 100 л, Выход: 1/2 дюйм</v>
          </cell>
          <cell r="J51">
            <v>90978</v>
          </cell>
          <cell r="K51">
            <v>104625</v>
          </cell>
          <cell r="L51" t="str">
            <v>-</v>
          </cell>
          <cell r="M51">
            <v>90978</v>
          </cell>
          <cell r="N51">
            <v>0</v>
          </cell>
          <cell r="O51">
            <v>0</v>
          </cell>
        </row>
        <row r="52">
          <cell r="A52">
            <v>20967</v>
          </cell>
          <cell r="B52" t="str">
            <v>Компрессор СБ 4/С-100 LB 75</v>
          </cell>
          <cell r="C52" t="str">
            <v>шт</v>
          </cell>
          <cell r="D52">
            <v>100</v>
          </cell>
          <cell r="E52">
            <v>950</v>
          </cell>
          <cell r="F52">
            <v>5.5</v>
          </cell>
          <cell r="G52">
            <v>10</v>
          </cell>
          <cell r="H52">
            <v>380</v>
          </cell>
          <cell r="I52" t="str">
            <v>Производительность: 950 л/мин, Давление: 10 Атм, Напряжение: 380 В, Кол-во цилиндров/ступеней: 3./1 шт, Ресивер: 100 л, Выход: 1/2 дюйм</v>
          </cell>
          <cell r="J52">
            <v>105589</v>
          </cell>
          <cell r="K52">
            <v>121428</v>
          </cell>
          <cell r="L52" t="str">
            <v>-</v>
          </cell>
          <cell r="M52">
            <v>105589</v>
          </cell>
          <cell r="N52">
            <v>0</v>
          </cell>
          <cell r="O52">
            <v>0</v>
          </cell>
        </row>
        <row r="53">
          <cell r="A53">
            <v>8096450</v>
          </cell>
          <cell r="B53" t="str">
            <v>Компрессор СБ4/С-200.LB30 А</v>
          </cell>
          <cell r="C53" t="str">
            <v>шт</v>
          </cell>
          <cell r="D53">
            <v>200</v>
          </cell>
          <cell r="E53">
            <v>420</v>
          </cell>
          <cell r="F53">
            <v>2.20000000000000018</v>
          </cell>
          <cell r="G53">
            <v>10</v>
          </cell>
          <cell r="H53">
            <v>220</v>
          </cell>
          <cell r="I53" t="str">
            <v>Производительность: 420 л/мин, Давление: 10 Атм, Напряжение: 220 В, Кол-во цилиндров/ступеней: 2/1 шт, Ресивер: 200 л, Выход: 1/4 дюйм</v>
          </cell>
          <cell r="J53">
            <v>61647</v>
          </cell>
          <cell r="K53">
            <v>70894</v>
          </cell>
          <cell r="L53" t="str">
            <v>-</v>
          </cell>
          <cell r="M53">
            <v>61647</v>
          </cell>
          <cell r="N53">
            <v>0</v>
          </cell>
          <cell r="O53">
            <v>0</v>
          </cell>
        </row>
        <row r="54">
          <cell r="A54">
            <v>8096460</v>
          </cell>
          <cell r="B54" t="str">
            <v>Компрессор СБ4/С-200.LB30</v>
          </cell>
          <cell r="C54" t="str">
            <v>шт</v>
          </cell>
          <cell r="D54">
            <v>200</v>
          </cell>
          <cell r="E54">
            <v>420</v>
          </cell>
          <cell r="F54">
            <v>2.20000000000000018</v>
          </cell>
          <cell r="G54">
            <v>10</v>
          </cell>
          <cell r="H54">
            <v>380</v>
          </cell>
          <cell r="I54" t="str">
            <v>Производительность: 420 л/мин, Давление: 10 Атм, Напряжение: 380 В, Кол-во цилиндров/ступеней: 2/1 шт, Ресивер: 200 л, Выход: 1/4 дюйм</v>
          </cell>
          <cell r="J54">
            <v>66020</v>
          </cell>
          <cell r="K54">
            <v>75924</v>
          </cell>
          <cell r="L54" t="str">
            <v>-</v>
          </cell>
          <cell r="M54">
            <v>66020</v>
          </cell>
          <cell r="N54">
            <v>0</v>
          </cell>
          <cell r="O54">
            <v>0</v>
          </cell>
        </row>
        <row r="55">
          <cell r="A55">
            <v>7088720</v>
          </cell>
          <cell r="B55" t="str">
            <v>Компрессор СБ4/С-200.LB30-3.0</v>
          </cell>
          <cell r="C55" t="str">
            <v>шт</v>
          </cell>
          <cell r="D55">
            <v>200</v>
          </cell>
          <cell r="E55">
            <v>500</v>
          </cell>
          <cell r="F55">
            <v>3</v>
          </cell>
          <cell r="G55">
            <v>9</v>
          </cell>
          <cell r="H55">
            <v>380</v>
          </cell>
          <cell r="I55" t="str">
            <v>Производительность: 500 л/мин, Напряжение: 380 В, Мощность: 3,0 кВт</v>
          </cell>
          <cell r="J55">
            <v>81059</v>
          </cell>
          <cell r="K55">
            <v>93217</v>
          </cell>
          <cell r="L55" t="str">
            <v>-</v>
          </cell>
          <cell r="M55">
            <v>81059</v>
          </cell>
          <cell r="N55">
            <v>0</v>
          </cell>
          <cell r="O55">
            <v>0</v>
          </cell>
        </row>
        <row r="56">
          <cell r="A56">
            <v>21208</v>
          </cell>
          <cell r="B56" t="str">
            <v>Компрессор СБ 4/С-200 LB 40</v>
          </cell>
          <cell r="C56" t="str">
            <v>шт</v>
          </cell>
          <cell r="D56">
            <v>200</v>
          </cell>
          <cell r="E56">
            <v>580</v>
          </cell>
          <cell r="F56">
            <v>3</v>
          </cell>
          <cell r="G56">
            <v>10</v>
          </cell>
          <cell r="H56">
            <v>380</v>
          </cell>
          <cell r="I56" t="str">
            <v>Производительность: 580 л/мин, Давление: 10 Атм, Напряжение: 380 В, Кол-во цилиндров/ступеней: 3./1 шт, Ресивер: 200 л, Выход: 1/2 + 1/4 дюйм</v>
          </cell>
          <cell r="J56">
            <v>85885</v>
          </cell>
          <cell r="K56">
            <v>96191</v>
          </cell>
          <cell r="L56" t="str">
            <v>+</v>
          </cell>
          <cell r="M56">
            <v>85885</v>
          </cell>
          <cell r="N56">
            <v>0</v>
          </cell>
          <cell r="O56">
            <v>0</v>
          </cell>
        </row>
        <row r="57">
          <cell r="A57">
            <v>20389</v>
          </cell>
          <cell r="B57" t="str">
            <v>Компрессор СБ 4/Ф-270 LB 50</v>
          </cell>
          <cell r="C57" t="str">
            <v>шт</v>
          </cell>
          <cell r="D57">
            <v>270</v>
          </cell>
          <cell r="E57">
            <v>690</v>
          </cell>
          <cell r="F57">
            <v>4</v>
          </cell>
          <cell r="G57">
            <v>10</v>
          </cell>
          <cell r="H57">
            <v>380</v>
          </cell>
          <cell r="I57" t="str">
            <v>Производительность: 690 л/мин, Давление: 10 Атм, Напряжение: 380 В, Кол-во цилиндров/ступеней: 2./1 шт, Ресивер: 270 л, Выход: 1/2 + 1/4 дюйм</v>
          </cell>
          <cell r="J57">
            <v>111136</v>
          </cell>
          <cell r="K57">
            <v>127806</v>
          </cell>
          <cell r="L57" t="str">
            <v>+</v>
          </cell>
          <cell r="M57">
            <v>111136</v>
          </cell>
          <cell r="N57">
            <v>0</v>
          </cell>
          <cell r="O57">
            <v>0</v>
          </cell>
        </row>
        <row r="58">
          <cell r="A58">
            <v>8096440</v>
          </cell>
          <cell r="B58" t="str">
            <v>Компрессор СБ4/Ф-270.LB50-5.5</v>
          </cell>
          <cell r="C58" t="str">
            <v>шт</v>
          </cell>
          <cell r="D58">
            <v>270</v>
          </cell>
          <cell r="E58">
            <v>880</v>
          </cell>
          <cell r="F58">
            <v>5.5</v>
          </cell>
          <cell r="G58">
            <v>10</v>
          </cell>
          <cell r="H58">
            <v>380</v>
          </cell>
          <cell r="I58" t="str">
            <v>Производительность: 880 л/мин, Давление: 10 Атм, Напряжение: 380 В, Кол-во цилиндров/ступеней: 2./1 шт, Ресивер: 270 л, Выход: 1/2 + 1/4 дюйм</v>
          </cell>
          <cell r="J58">
            <v>118175</v>
          </cell>
          <cell r="K58">
            <v>135901</v>
          </cell>
          <cell r="L58" t="str">
            <v>-</v>
          </cell>
          <cell r="M58">
            <v>118175</v>
          </cell>
          <cell r="N58">
            <v>0</v>
          </cell>
          <cell r="O58">
            <v>0</v>
          </cell>
        </row>
        <row r="59">
          <cell r="A59">
            <v>21213</v>
          </cell>
          <cell r="B59" t="str">
            <v>Компрессор СБ 4/Ф-270 LB 75</v>
          </cell>
          <cell r="C59" t="str">
            <v>шт</v>
          </cell>
          <cell r="D59">
            <v>270</v>
          </cell>
          <cell r="E59">
            <v>950</v>
          </cell>
          <cell r="F59">
            <v>5.5</v>
          </cell>
          <cell r="G59">
            <v>10</v>
          </cell>
          <cell r="H59">
            <v>380</v>
          </cell>
          <cell r="I59" t="str">
            <v>Производительность: 950 л/мин, Давление: 10 Атм, Напряжение: 380 В, Кол-во цилиндров/ступеней: 3./1 шт, Ресивер: 270 л, Выход: 1/2+1/4 дюйм</v>
          </cell>
          <cell r="J59">
            <v>127321</v>
          </cell>
          <cell r="K59">
            <v>146419</v>
          </cell>
          <cell r="L59" t="str">
            <v>+</v>
          </cell>
          <cell r="M59">
            <v>127321</v>
          </cell>
          <cell r="N59">
            <v>0</v>
          </cell>
          <cell r="O59">
            <v>0</v>
          </cell>
        </row>
        <row r="60">
          <cell r="A60">
            <v>20386</v>
          </cell>
          <cell r="B60" t="str">
            <v>Компрессор СБ 4/Ф-500 LB 75</v>
          </cell>
          <cell r="C60" t="str">
            <v>шт</v>
          </cell>
          <cell r="D60">
            <v>500</v>
          </cell>
          <cell r="E60">
            <v>950</v>
          </cell>
          <cell r="F60">
            <v>5.5</v>
          </cell>
          <cell r="G60">
            <v>10</v>
          </cell>
          <cell r="H60">
            <v>380</v>
          </cell>
          <cell r="I60" t="str">
            <v>Производительность: 950 л/мин, Давление: 10 Атм, Напряжение: 380 В, Кол-во цилиндров/ступеней: 3./1 шт, Ресивер: 500 л, Выход: 3/4+1/4 дюйм</v>
          </cell>
          <cell r="J60">
            <v>134920</v>
          </cell>
          <cell r="K60">
            <v>155158</v>
          </cell>
          <cell r="L60" t="str">
            <v>+</v>
          </cell>
          <cell r="M60">
            <v>134920</v>
          </cell>
          <cell r="N60">
            <v>0</v>
          </cell>
          <cell r="O60">
            <v>0</v>
          </cell>
        </row>
        <row r="61">
          <cell r="A61">
            <v>20388</v>
          </cell>
          <cell r="B61" t="str">
            <v>Компрессор СБ 4/Ф-500 LT 100</v>
          </cell>
          <cell r="C61" t="str">
            <v>шт</v>
          </cell>
          <cell r="D61">
            <v>500</v>
          </cell>
          <cell r="E61">
            <v>1400</v>
          </cell>
          <cell r="F61">
            <v>7.5</v>
          </cell>
          <cell r="G61">
            <v>10</v>
          </cell>
          <cell r="H61">
            <v>380</v>
          </cell>
          <cell r="I61" t="str">
            <v>Производительность: 1400 л/мин, Давление: 10 Атм, Напряжение: 380 В, Кол-во цилиндров/ступеней: 2/2 шт, Ресивер: 500 л, Выход: 3/4 дюйм</v>
          </cell>
          <cell r="J61">
            <v>162838</v>
          </cell>
          <cell r="K61">
            <v>187263</v>
          </cell>
          <cell r="L61" t="str">
            <v>-</v>
          </cell>
          <cell r="M61">
            <v>162838</v>
          </cell>
          <cell r="N61">
            <v>0</v>
          </cell>
          <cell r="O61">
            <v>0</v>
          </cell>
        </row>
        <row r="62">
          <cell r="A62">
            <v>8096200</v>
          </cell>
          <cell r="B62" t="str">
            <v>Компрессор СБ4/Ф500.LT100/16-7,5</v>
          </cell>
          <cell r="C62" t="str">
            <v>шт</v>
          </cell>
          <cell r="D62">
            <v>500</v>
          </cell>
          <cell r="E62">
            <v>1000</v>
          </cell>
          <cell r="F62">
            <v>7.5</v>
          </cell>
          <cell r="G62">
            <v>16</v>
          </cell>
          <cell r="H62">
            <v>380</v>
          </cell>
          <cell r="I62" t="str">
            <v>Производительность: 1000 л/мин, Давление: 16 Атм, Напряжение: 380 В, Кол-во цилиндров/ступеней: 4/2 шт, Ресивер: 500 л, Выход: 3/4 дюйм, Мощность: 7,5 кВт</v>
          </cell>
          <cell r="J62">
            <v>227604</v>
          </cell>
          <cell r="K62">
            <v>261744</v>
          </cell>
          <cell r="L62" t="str">
            <v>-</v>
          </cell>
          <cell r="M62">
            <v>227604</v>
          </cell>
          <cell r="N62">
            <v>0</v>
          </cell>
          <cell r="O62">
            <v>0</v>
          </cell>
        </row>
        <row r="63">
          <cell r="A63">
            <v>38882</v>
          </cell>
          <cell r="B63" t="str">
            <v>Компрессор СБ 4/Ф-500 LB 75 ТБ Тандем</v>
          </cell>
          <cell r="C63" t="str">
            <v>шт</v>
          </cell>
          <cell r="D63">
            <v>500</v>
          </cell>
          <cell r="E63">
            <v>1900</v>
          </cell>
          <cell r="F63" t="str">
            <v>5,5+5,5</v>
          </cell>
          <cell r="G63">
            <v>10</v>
          </cell>
          <cell r="H63">
            <v>380</v>
          </cell>
          <cell r="I63" t="str">
            <v>Производительность: 1900 л/мин, Давление: 10 Атм, Напряжение: 380 В, Кол-во цилиндров/ступеней: 2/2 шт, Ресивер: 500 л, Выход: 3/4 дюйм</v>
          </cell>
          <cell r="J63">
            <v>281359</v>
          </cell>
          <cell r="K63">
            <v>323562</v>
          </cell>
          <cell r="L63" t="str">
            <v>-</v>
          </cell>
          <cell r="M63">
            <v>281359</v>
          </cell>
          <cell r="N63">
            <v>0</v>
          </cell>
          <cell r="O63">
            <v>0</v>
          </cell>
        </row>
        <row r="64">
          <cell r="A64">
            <v>7088740</v>
          </cell>
          <cell r="B64" t="str">
            <v>Компрессор СБ4/Ф-500.LT100/16</v>
          </cell>
          <cell r="C64" t="str">
            <v>шт</v>
          </cell>
          <cell r="D64">
            <v>500</v>
          </cell>
          <cell r="E64">
            <v>1400</v>
          </cell>
          <cell r="F64">
            <v>11</v>
          </cell>
          <cell r="G64">
            <v>16</v>
          </cell>
          <cell r="H64">
            <v>380</v>
          </cell>
          <cell r="I64" t="str">
            <v>Производительность: 1400 л/мин, Давление: 16 Атм, Напряжение: 380 В, Кол-во цилиндров/ступеней: 2/2 шт, Ресивер: 500 л, Выход: 3/4 дюйм, Мощность: 11,0 кВт</v>
          </cell>
          <cell r="J64">
            <v>269840</v>
          </cell>
          <cell r="K64">
            <v>302220</v>
          </cell>
          <cell r="L64" t="str">
            <v>-</v>
          </cell>
          <cell r="M64">
            <v>269840</v>
          </cell>
          <cell r="N64">
            <v>0</v>
          </cell>
          <cell r="O64">
            <v>0</v>
          </cell>
        </row>
        <row r="65">
          <cell r="A65">
            <v>21211</v>
          </cell>
          <cell r="B65" t="str">
            <v>Компрессор СБ 4/Ф-500 LB 75 Т  Тандем</v>
          </cell>
          <cell r="C65" t="str">
            <v>шт</v>
          </cell>
          <cell r="D65">
            <v>500</v>
          </cell>
          <cell r="E65">
            <v>1900</v>
          </cell>
          <cell r="F65" t="str">
            <v>5,5+5,5</v>
          </cell>
          <cell r="G65">
            <v>10</v>
          </cell>
          <cell r="H65">
            <v>380</v>
          </cell>
          <cell r="I65" t="str">
            <v>Производительность: 1900 л/мин, Давление: 10 Атм, Напряжение: 380 В, Кол-во цилиндров/ступеней: 2/2 шт, Ресивер: 500 л, Выход: 3/4 дюйм</v>
          </cell>
          <cell r="J65">
            <v>339913</v>
          </cell>
          <cell r="K65">
            <v>390900</v>
          </cell>
          <cell r="L65" t="str">
            <v>-</v>
          </cell>
          <cell r="M65">
            <v>339913</v>
          </cell>
          <cell r="N65">
            <v>0</v>
          </cell>
          <cell r="O65">
            <v>0</v>
          </cell>
        </row>
        <row r="66">
          <cell r="A66">
            <v>8087450</v>
          </cell>
          <cell r="B66" t="str">
            <v>Компрессор СБ4/Ф-500.LT100-11,0</v>
          </cell>
          <cell r="C66" t="str">
            <v>шт</v>
          </cell>
          <cell r="D66">
            <v>500</v>
          </cell>
          <cell r="E66">
            <v>1700</v>
          </cell>
          <cell r="F66">
            <v>11</v>
          </cell>
          <cell r="G66">
            <v>10</v>
          </cell>
          <cell r="H66">
            <v>380</v>
          </cell>
          <cell r="I66" t="str">
            <v>Производительность: 1700 л/мин, Давление: 10 Атм, Напряжение: 380 В, К Ресивер: 500 л</v>
          </cell>
          <cell r="J66">
            <v>204246</v>
          </cell>
          <cell r="K66">
            <v>234884</v>
          </cell>
          <cell r="L66" t="str">
            <v>-</v>
          </cell>
          <cell r="M66">
            <v>204246</v>
          </cell>
          <cell r="N66">
            <v>0</v>
          </cell>
          <cell r="O66">
            <v>0</v>
          </cell>
        </row>
        <row r="67">
          <cell r="A67" t="str">
            <v>КОМПРЕССОРЫ С ОСУШИТЕЛЕМ ХОЛОДИЛЬНОГО ТИПА</v>
          </cell>
        </row>
        <row r="68">
          <cell r="A68">
            <v>7065480</v>
          </cell>
          <cell r="B68" t="str">
            <v>Компрессор СБ4/Ф-500.LB50 Д</v>
          </cell>
          <cell r="C68" t="str">
            <v>шт</v>
          </cell>
          <cell r="D68">
            <v>500</v>
          </cell>
          <cell r="E68">
            <v>630</v>
          </cell>
          <cell r="F68">
            <v>4</v>
          </cell>
          <cell r="G68">
            <v>10</v>
          </cell>
          <cell r="H68">
            <v>380</v>
          </cell>
          <cell r="I68" t="str">
            <v>Производительность: 630 л/мин, Напряжение: 380 В, Мощность: 4 кВт</v>
          </cell>
          <cell r="J68">
            <v>370096</v>
          </cell>
          <cell r="K68">
            <v>425611</v>
          </cell>
          <cell r="L68" t="str">
            <v>-</v>
          </cell>
          <cell r="M68">
            <v>370096</v>
          </cell>
          <cell r="N68">
            <v>0</v>
          </cell>
          <cell r="O68">
            <v>0</v>
          </cell>
        </row>
        <row r="69">
          <cell r="A69">
            <v>7025230</v>
          </cell>
          <cell r="B69" t="str">
            <v>Компрессор СБ4/Ф-500 LB75Д</v>
          </cell>
          <cell r="C69" t="str">
            <v>шт</v>
          </cell>
          <cell r="D69">
            <v>500</v>
          </cell>
          <cell r="E69">
            <v>880</v>
          </cell>
          <cell r="F69">
            <v>5.5</v>
          </cell>
          <cell r="G69">
            <v>10</v>
          </cell>
          <cell r="H69">
            <v>380</v>
          </cell>
          <cell r="I69" t="str">
            <v>Производительность: 880 л/мин, Объем: 500 л, Мощность двигателя: 550 кВт</v>
          </cell>
          <cell r="J69">
            <v>383855</v>
          </cell>
          <cell r="K69">
            <v>441434</v>
          </cell>
          <cell r="L69" t="str">
            <v>-</v>
          </cell>
          <cell r="M69">
            <v>383855</v>
          </cell>
          <cell r="N69">
            <v>0</v>
          </cell>
          <cell r="O69">
            <v>0</v>
          </cell>
        </row>
        <row r="70">
          <cell r="A70">
            <v>7065490</v>
          </cell>
          <cell r="B70" t="str">
            <v>Компрессор СБ4/Ф-500.LT100 Д</v>
          </cell>
          <cell r="C70" t="str">
            <v>шт</v>
          </cell>
          <cell r="D70">
            <v>500</v>
          </cell>
          <cell r="E70">
            <v>1400</v>
          </cell>
          <cell r="F70">
            <v>7.5</v>
          </cell>
          <cell r="G70">
            <v>10</v>
          </cell>
          <cell r="H70">
            <v>380</v>
          </cell>
          <cell r="I70" t="str">
            <v>Производительность: 1400 л/мин, Напряжение: 380 В, Мощность: 7,5 кВт</v>
          </cell>
          <cell r="J70">
            <v>413825</v>
          </cell>
          <cell r="K70">
            <v>475899</v>
          </cell>
          <cell r="L70" t="str">
            <v>-</v>
          </cell>
          <cell r="M70">
            <v>413825</v>
          </cell>
          <cell r="N70">
            <v>0</v>
          </cell>
          <cell r="O70">
            <v>0</v>
          </cell>
        </row>
        <row r="71">
          <cell r="A71" t="str">
            <v>КОМПРЕССОРЫ ПОРШНЕВЫЕ С ВЕРТИКАЛЬНЫМ РАСПОЛОЖЕНИЕМ РЕСИВЕРА</v>
          </cell>
        </row>
        <row r="72">
          <cell r="A72">
            <v>22865</v>
          </cell>
          <cell r="B72" t="str">
            <v>Компрессор СБ 4/С-100 LB 30 АВ  Вертик.</v>
          </cell>
          <cell r="C72" t="str">
            <v>шт</v>
          </cell>
          <cell r="D72">
            <v>100</v>
          </cell>
          <cell r="E72">
            <v>420</v>
          </cell>
          <cell r="F72">
            <v>2.20000000000000018</v>
          </cell>
          <cell r="G72">
            <v>10</v>
          </cell>
          <cell r="H72">
            <v>220</v>
          </cell>
          <cell r="I72" t="str">
            <v>Производительность: 420 л/мин, Давление: 10 Атм, Напряжение: 220 В, Кол-во цилиндров/ступеней: 2./1 шт, Ресивер: 100 л, Выход: 1/4 дюйм</v>
          </cell>
          <cell r="J72">
            <v>65273</v>
          </cell>
          <cell r="K72">
            <v>75064</v>
          </cell>
          <cell r="L72" t="str">
            <v>+</v>
          </cell>
          <cell r="M72">
            <v>65273</v>
          </cell>
          <cell r="N72">
            <v>0</v>
          </cell>
          <cell r="O72">
            <v>0</v>
          </cell>
        </row>
        <row r="73">
          <cell r="A73">
            <v>20383</v>
          </cell>
          <cell r="B73" t="str">
            <v>Компрессор СБ 4/С-100 LB 30 В  Вертик.</v>
          </cell>
          <cell r="C73" t="str">
            <v>шт</v>
          </cell>
          <cell r="D73">
            <v>100</v>
          </cell>
          <cell r="E73">
            <v>420</v>
          </cell>
          <cell r="F73">
            <v>2.20000000000000018</v>
          </cell>
          <cell r="G73">
            <v>10</v>
          </cell>
          <cell r="H73">
            <v>380</v>
          </cell>
          <cell r="I73" t="str">
            <v>Производительность: 420 л/мин, Давление: 10 Атм, Напряжение: 380 В, Кол-во цилиндров/ступеней: 2/1 шт, Ресивер: 100 л, Выход: 1/4 дюйм</v>
          </cell>
          <cell r="J73">
            <v>70286</v>
          </cell>
          <cell r="K73">
            <v>80830</v>
          </cell>
          <cell r="L73" t="str">
            <v>+</v>
          </cell>
          <cell r="M73">
            <v>70286</v>
          </cell>
          <cell r="N73">
            <v>0</v>
          </cell>
          <cell r="O73">
            <v>0</v>
          </cell>
        </row>
        <row r="74">
          <cell r="A74">
            <v>21212</v>
          </cell>
          <cell r="B74" t="str">
            <v>Компрессор СБ 4/С-100 LB 40 В Вертик.</v>
          </cell>
          <cell r="C74" t="str">
            <v>шт</v>
          </cell>
          <cell r="D74">
            <v>100</v>
          </cell>
          <cell r="E74">
            <v>530</v>
          </cell>
          <cell r="F74">
            <v>3</v>
          </cell>
          <cell r="G74">
            <v>10</v>
          </cell>
          <cell r="H74">
            <v>380</v>
          </cell>
          <cell r="I74" t="str">
            <v>Производительность: 580 л/мин, Давление: 10 Атм, Напряжение: 380 В, Кол-во цилиндров/ступеней: 2./1 шт, Ресивер: 100 л, Выход: 1/2+1/4 дюйм</v>
          </cell>
          <cell r="J74">
            <v>82445</v>
          </cell>
          <cell r="K74">
            <v>94812</v>
          </cell>
          <cell r="L74" t="str">
            <v>-</v>
          </cell>
          <cell r="M74">
            <v>82445</v>
          </cell>
          <cell r="N74">
            <v>0</v>
          </cell>
          <cell r="O74">
            <v>0</v>
          </cell>
        </row>
        <row r="75">
          <cell r="A75">
            <v>21209</v>
          </cell>
          <cell r="B75" t="str">
            <v>Компрессор СБ 4/Ф-270 LB-50 В Вертик.</v>
          </cell>
          <cell r="C75" t="str">
            <v>шт</v>
          </cell>
          <cell r="D75">
            <v>270</v>
          </cell>
          <cell r="E75">
            <v>630</v>
          </cell>
          <cell r="F75">
            <v>4</v>
          </cell>
          <cell r="G75">
            <v>10</v>
          </cell>
          <cell r="H75">
            <v>380</v>
          </cell>
          <cell r="I75" t="str">
            <v>Производительность: 690 л/мин, Давление: 10 Атм, Напряжение: 380 В, Кол-во цилиндров/ступеней: 2./1 шт, Ресивер: 270 л, Выход: 1/2 дюйм</v>
          </cell>
          <cell r="J75">
            <v>122441</v>
          </cell>
          <cell r="K75">
            <v>140807</v>
          </cell>
          <cell r="L75" t="str">
            <v>-</v>
          </cell>
          <cell r="M75">
            <v>122441</v>
          </cell>
          <cell r="N75">
            <v>0</v>
          </cell>
          <cell r="O75">
            <v>0</v>
          </cell>
        </row>
        <row r="76">
          <cell r="A76">
            <v>21214</v>
          </cell>
          <cell r="B76" t="str">
            <v>Компрессор СБ 4/Ф-270 LB 75 В  Вертик.</v>
          </cell>
          <cell r="C76" t="str">
            <v>шт</v>
          </cell>
          <cell r="D76">
            <v>270</v>
          </cell>
          <cell r="E76">
            <v>880</v>
          </cell>
          <cell r="F76">
            <v>5.5</v>
          </cell>
          <cell r="G76">
            <v>10</v>
          </cell>
          <cell r="H76">
            <v>380</v>
          </cell>
          <cell r="I76" t="str">
            <v>Производительность: 950 л/мин, Давление: 10 Атм, Напряжение: 380 В, Кол-во цилиндров/ступеней: 2./1 шт, Ресивер: 270 л, Выход: 1/2 дюйм</v>
          </cell>
          <cell r="J76">
            <v>139079</v>
          </cell>
          <cell r="K76">
            <v>159941</v>
          </cell>
          <cell r="L76" t="str">
            <v>-</v>
          </cell>
          <cell r="M76">
            <v>139079</v>
          </cell>
          <cell r="N76">
            <v>0</v>
          </cell>
          <cell r="O76">
            <v>0</v>
          </cell>
        </row>
        <row r="77">
          <cell r="A77">
            <v>7065470</v>
          </cell>
          <cell r="B77" t="str">
            <v>Компрессор СБ4/Ф-270.LT100 В   Вертик.</v>
          </cell>
          <cell r="C77" t="str">
            <v>шт</v>
          </cell>
          <cell r="D77">
            <v>270</v>
          </cell>
          <cell r="E77">
            <v>1400</v>
          </cell>
          <cell r="F77">
            <v>5.5</v>
          </cell>
          <cell r="G77">
            <v>10</v>
          </cell>
          <cell r="H77">
            <v>380</v>
          </cell>
          <cell r="I77" t="str">
            <v>Производительность: 1400 л/мин, Давление: 10 Атм, Напряжение: 380 В, Кол-во цилиндров/ступеней: 2./1 шт, Ресивер: 270 л, Выход: 1/2 дюйм</v>
          </cell>
          <cell r="J77">
            <v>209046</v>
          </cell>
          <cell r="K77">
            <v>240403</v>
          </cell>
          <cell r="L77" t="str">
            <v>-</v>
          </cell>
          <cell r="M77">
            <v>209046</v>
          </cell>
          <cell r="N77">
            <v>0</v>
          </cell>
          <cell r="O77">
            <v>0</v>
          </cell>
        </row>
        <row r="78">
          <cell r="A78" t="str">
            <v>КОМПРЕССОРЫ ПЕРЕДВИЖНЫЕ ДЛЯ СТРОИТЕЛЬНЫХ РАБОТ</v>
          </cell>
        </row>
        <row r="79">
          <cell r="A79">
            <v>952180</v>
          </cell>
          <cell r="B79" t="str">
            <v>Компрессор СБ 4/С-  90 LB75</v>
          </cell>
          <cell r="C79" t="str">
            <v>шт</v>
          </cell>
          <cell r="D79">
            <v>90</v>
          </cell>
          <cell r="E79">
            <v>980</v>
          </cell>
          <cell r="F79">
            <v>5.5</v>
          </cell>
          <cell r="G79">
            <v>8</v>
          </cell>
          <cell r="H79">
            <v>380</v>
          </cell>
          <cell r="I79" t="str">
            <v>Производительность: 980 л/мин, Давление: 8 Атм, Напряжение: 380 В, Кол-во цилиндров/ступеней: 3/1 шт, Ресивер: 90 л, Выход: 3/4 дюйм</v>
          </cell>
          <cell r="J79">
            <v>152625</v>
          </cell>
          <cell r="K79">
            <v>175519</v>
          </cell>
          <cell r="L79" t="str">
            <v>-</v>
          </cell>
          <cell r="M79">
            <v>152625</v>
          </cell>
          <cell r="N79">
            <v>0</v>
          </cell>
          <cell r="O79">
            <v>0</v>
          </cell>
        </row>
        <row r="80">
          <cell r="A80">
            <v>1164850</v>
          </cell>
          <cell r="B80" t="str">
            <v>Компрессор СБ 4/С-  90 LB75  SPE390R бенз.ручной</v>
          </cell>
          <cell r="C80" t="str">
            <v>шт</v>
          </cell>
          <cell r="D80">
            <v>90</v>
          </cell>
          <cell r="E80">
            <v>980</v>
          </cell>
          <cell r="F80" t="str">
            <v>13НР</v>
          </cell>
          <cell r="G80">
            <v>8</v>
          </cell>
          <cell r="H80" t="str">
            <v>бензин</v>
          </cell>
          <cell r="I80" t="str">
            <v>Производительность: 980 л/мин, Давление: 8 Атм, Кол-во цилиндров/ступеней: 3/1 шт, Ресивер: 90 л, Тип двигателя: Бензин , Выход: 3/4 дюйм</v>
          </cell>
          <cell r="J80">
            <v>219628</v>
          </cell>
          <cell r="K80">
            <v>247619</v>
          </cell>
          <cell r="L80" t="str">
            <v>-</v>
          </cell>
          <cell r="M80">
            <v>219628</v>
          </cell>
          <cell r="N80">
            <v>0</v>
          </cell>
          <cell r="O80">
            <v>0</v>
          </cell>
        </row>
        <row r="81">
          <cell r="A81">
            <v>952150</v>
          </cell>
          <cell r="B81" t="str">
            <v>Компрессор СБ 4/С-  90 W115-6</v>
          </cell>
          <cell r="C81" t="str">
            <v>шт</v>
          </cell>
          <cell r="D81">
            <v>90</v>
          </cell>
          <cell r="E81">
            <v>2800</v>
          </cell>
          <cell r="F81">
            <v>11</v>
          </cell>
          <cell r="G81">
            <v>6</v>
          </cell>
          <cell r="H81">
            <v>380</v>
          </cell>
          <cell r="I81" t="str">
            <v>Производительность: 2800 л/мин, Давление: 6 Атм, Напряжение: 380 В, Кол-во цилиндров/ступеней: 3/1 шт, Ресивер: 90 л, Выход: 3/4 дюйм</v>
          </cell>
          <cell r="J81">
            <v>273573</v>
          </cell>
          <cell r="K81">
            <v>314609</v>
          </cell>
          <cell r="L81" t="str">
            <v>-</v>
          </cell>
          <cell r="M81">
            <v>273573</v>
          </cell>
          <cell r="N81">
            <v>0</v>
          </cell>
          <cell r="O81">
            <v>0</v>
          </cell>
        </row>
        <row r="82">
          <cell r="A82">
            <v>1164840</v>
          </cell>
          <cell r="B82" t="str">
            <v>Компрессор СБ 4/С-  90 W95-6</v>
          </cell>
          <cell r="J82">
            <v>253308</v>
          </cell>
          <cell r="K82">
            <v>291305</v>
          </cell>
          <cell r="L82" t="str">
            <v>-</v>
          </cell>
          <cell r="M82">
            <v>253308</v>
          </cell>
          <cell r="N82">
            <v>0</v>
          </cell>
          <cell r="O82">
            <v>0</v>
          </cell>
        </row>
        <row r="83">
          <cell r="A83">
            <v>1164860</v>
          </cell>
          <cell r="B83" t="str">
            <v>Компрессор СБ 4/С-  90 LB75  SPE390E бенз.со стартером</v>
          </cell>
          <cell r="C83" t="str">
            <v>шт</v>
          </cell>
          <cell r="D83">
            <v>90</v>
          </cell>
          <cell r="E83">
            <v>980</v>
          </cell>
          <cell r="F83" t="str">
            <v>13НР</v>
          </cell>
          <cell r="G83">
            <v>8</v>
          </cell>
          <cell r="H83" t="str">
            <v>бензин</v>
          </cell>
          <cell r="I83" t="str">
            <v>Производительность: 980 л/мин, Давление: 8 Атм, Кол-во цилиндров/ступеней: 3/1 шт, Ресивер: 90 л, Тип двигателя: бензин , Выход: 3/4 дюйм</v>
          </cell>
          <cell r="J83">
            <v>254672</v>
          </cell>
          <cell r="K83">
            <v>287130</v>
          </cell>
          <cell r="L83" t="str">
            <v>-</v>
          </cell>
          <cell r="M83">
            <v>254672</v>
          </cell>
          <cell r="N83">
            <v>0</v>
          </cell>
          <cell r="O83">
            <v>0</v>
          </cell>
        </row>
        <row r="84">
          <cell r="A84">
            <v>1164920</v>
          </cell>
          <cell r="B84" t="str">
            <v>Компрессор СБ 4/С-  90 W95-6  SPE390E бенз.со стартером</v>
          </cell>
          <cell r="C84" t="str">
            <v>шт</v>
          </cell>
          <cell r="D84">
            <v>90</v>
          </cell>
          <cell r="E84">
            <v>1700</v>
          </cell>
          <cell r="F84" t="str">
            <v>13НР</v>
          </cell>
          <cell r="G84">
            <v>6</v>
          </cell>
          <cell r="H84" t="str">
            <v>бензин</v>
          </cell>
          <cell r="I84" t="str">
            <v>Производительность: 1700 л/мин, Давление: 6 Атм, Кол-во цилиндров/ступеней: 3/1 шт, Мощность двигателя: 13 л.с, Ресивер: 90 л, Тип двигателя: бензин , Выход: 3/4 дюйм</v>
          </cell>
          <cell r="J84">
            <v>273961</v>
          </cell>
          <cell r="K84">
            <v>308877</v>
          </cell>
          <cell r="L84" t="str">
            <v>-</v>
          </cell>
          <cell r="M84">
            <v>273961</v>
          </cell>
          <cell r="N84">
            <v>0</v>
          </cell>
          <cell r="O84">
            <v>0</v>
          </cell>
        </row>
        <row r="85">
          <cell r="A85">
            <v>1164900</v>
          </cell>
          <cell r="B85" t="str">
            <v>Компрессор СБ 4/С-  90 W95-6  SPE390R бенз.ручной</v>
          </cell>
          <cell r="C85" t="str">
            <v>шт</v>
          </cell>
          <cell r="D85">
            <v>90</v>
          </cell>
          <cell r="E85">
            <v>1700</v>
          </cell>
          <cell r="F85" t="str">
            <v>13НР</v>
          </cell>
          <cell r="G85">
            <v>6</v>
          </cell>
          <cell r="H85" t="str">
            <v>бензин</v>
          </cell>
          <cell r="I85" t="str">
            <v>Производительность: 1700 л/мин, Давление: 6 Атм, Кол-во цилиндров/ступеней: 3/1 шт, Мощность двигателя: 13 л.с, Ресивер: 90 л, Тип двигателя: бензин , Выход: 3/4 дюйм</v>
          </cell>
          <cell r="J85">
            <v>248370</v>
          </cell>
          <cell r="K85">
            <v>280024</v>
          </cell>
          <cell r="L85" t="str">
            <v>-</v>
          </cell>
          <cell r="M85">
            <v>248370</v>
          </cell>
          <cell r="N85">
            <v>0</v>
          </cell>
          <cell r="O85">
            <v>0</v>
          </cell>
        </row>
        <row r="86">
          <cell r="A86" t="str">
            <v>КОМПРЕССОРЫ ПОРШНЕВЫЕ БЕЗМАСЛЯНЫЕ</v>
          </cell>
        </row>
        <row r="87">
          <cell r="A87">
            <v>8084880</v>
          </cell>
          <cell r="B87" t="str">
            <v>Компрессор СБ4/С-24.OLD10</v>
          </cell>
          <cell r="C87" t="str">
            <v>шт</v>
          </cell>
          <cell r="D87">
            <v>24</v>
          </cell>
          <cell r="E87">
            <v>105</v>
          </cell>
          <cell r="F87">
            <v>0.75</v>
          </cell>
          <cell r="G87">
            <v>8</v>
          </cell>
          <cell r="H87">
            <v>220</v>
          </cell>
          <cell r="I87" t="str">
            <v>Производительность: 105 л/мин, Давление: 8 Атм, Ресивер: 25 л, Рабочее давление: 220 Атм, Мощность: 0,75 кВт</v>
          </cell>
          <cell r="J87">
            <v>35943</v>
          </cell>
          <cell r="K87">
            <v>41335</v>
          </cell>
          <cell r="L87" t="str">
            <v>-</v>
          </cell>
          <cell r="M87">
            <v>35943</v>
          </cell>
          <cell r="N87">
            <v>0</v>
          </cell>
          <cell r="O87">
            <v>0</v>
          </cell>
        </row>
        <row r="88">
          <cell r="A88">
            <v>8091380</v>
          </cell>
          <cell r="B88" t="str">
            <v>Компрессор СБ4/С-24.OLD15</v>
          </cell>
          <cell r="C88" t="str">
            <v>шт</v>
          </cell>
          <cell r="D88">
            <v>24</v>
          </cell>
          <cell r="E88">
            <v>150</v>
          </cell>
          <cell r="F88">
            <v>1.10000000000000009</v>
          </cell>
          <cell r="G88">
            <v>8</v>
          </cell>
          <cell r="H88">
            <v>220</v>
          </cell>
          <cell r="I88" t="str">
            <v>Производительность: 150 л/мин, Напряжение: 220 В, Объем: 24 л, Мощность: 1,1 кВт</v>
          </cell>
          <cell r="J88">
            <v>42022</v>
          </cell>
          <cell r="K88">
            <v>48326</v>
          </cell>
          <cell r="L88" t="str">
            <v>-</v>
          </cell>
          <cell r="M88">
            <v>42022</v>
          </cell>
          <cell r="N88">
            <v>0</v>
          </cell>
          <cell r="O88">
            <v>0</v>
          </cell>
        </row>
        <row r="89">
          <cell r="A89">
            <v>8090430</v>
          </cell>
          <cell r="B89" t="str">
            <v>Компрессор СБ4/С-24.OLD20</v>
          </cell>
          <cell r="C89" t="str">
            <v>шт</v>
          </cell>
          <cell r="D89">
            <v>24</v>
          </cell>
          <cell r="E89">
            <v>200</v>
          </cell>
          <cell r="F89">
            <v>1.5</v>
          </cell>
          <cell r="G89">
            <v>8</v>
          </cell>
          <cell r="H89">
            <v>220</v>
          </cell>
          <cell r="I89" t="str">
            <v>Производительность: 200 л/мин, Напряжение: 220 В, Объем: 24 л, Мощность: 1,5 кВт</v>
          </cell>
          <cell r="J89">
            <v>54181</v>
          </cell>
          <cell r="K89">
            <v>62308</v>
          </cell>
          <cell r="L89" t="str">
            <v>-</v>
          </cell>
          <cell r="M89">
            <v>54181</v>
          </cell>
          <cell r="N89">
            <v>0</v>
          </cell>
          <cell r="O89">
            <v>0</v>
          </cell>
        </row>
        <row r="90">
          <cell r="A90">
            <v>8084870</v>
          </cell>
          <cell r="B90" t="str">
            <v>Компрессор СБ4/С-50.OLD15</v>
          </cell>
          <cell r="C90" t="str">
            <v>шт</v>
          </cell>
          <cell r="D90">
            <v>50</v>
          </cell>
          <cell r="E90">
            <v>150</v>
          </cell>
          <cell r="F90">
            <v>1.10000000000000009</v>
          </cell>
          <cell r="G90">
            <v>8</v>
          </cell>
          <cell r="H90">
            <v>220</v>
          </cell>
          <cell r="I90" t="str">
            <v>Производительность: 150 л/мин, Давление: 8 бар, Напряжение: 220 В, Ресивер: 50 л, Мощность: 1,1 кВт</v>
          </cell>
          <cell r="J90">
            <v>46715</v>
          </cell>
          <cell r="K90">
            <v>53723</v>
          </cell>
          <cell r="L90" t="str">
            <v>-</v>
          </cell>
          <cell r="M90">
            <v>46715</v>
          </cell>
          <cell r="N90">
            <v>0</v>
          </cell>
          <cell r="O90">
            <v>0</v>
          </cell>
        </row>
        <row r="91">
          <cell r="A91">
            <v>8090440</v>
          </cell>
          <cell r="B91" t="str">
            <v>Компрессор СБ4/С-50.OLD20</v>
          </cell>
          <cell r="C91" t="str">
            <v>шт</v>
          </cell>
          <cell r="D91">
            <v>50</v>
          </cell>
          <cell r="E91">
            <v>200</v>
          </cell>
          <cell r="F91">
            <v>1.5</v>
          </cell>
          <cell r="G91">
            <v>8</v>
          </cell>
          <cell r="H91">
            <v>220</v>
          </cell>
          <cell r="I91" t="str">
            <v>Производительность: 200 л/мин, Давление: 8 бар, Напряжение: 220 В, Ресивер: 50 л, Мощность: 1,5 кВт</v>
          </cell>
          <cell r="J91">
            <v>57594</v>
          </cell>
          <cell r="K91">
            <v>66233</v>
          </cell>
          <cell r="L91" t="str">
            <v>-</v>
          </cell>
          <cell r="M91">
            <v>57594</v>
          </cell>
          <cell r="N91">
            <v>0</v>
          </cell>
          <cell r="O91">
            <v>0</v>
          </cell>
        </row>
        <row r="92">
          <cell r="A92">
            <v>8098610</v>
          </cell>
          <cell r="B92" t="str">
            <v>Компрессор СБ4/С-100.OLD15Т</v>
          </cell>
          <cell r="C92" t="str">
            <v>шт</v>
          </cell>
          <cell r="D92">
            <v>100</v>
          </cell>
          <cell r="E92">
            <v>400</v>
          </cell>
          <cell r="F92" t="str">
            <v>1,1+1,1</v>
          </cell>
          <cell r="G92">
            <v>8</v>
          </cell>
          <cell r="H92">
            <v>220</v>
          </cell>
          <cell r="I92" t="str">
            <v>Производительность: 400 л/мин, Давление: 8 бар, Напряжение: 220 В, Ресивер: 100 л, Мощность: 1,1+1,4</v>
          </cell>
          <cell r="J92">
            <v>92791</v>
          </cell>
          <cell r="K92">
            <v>106709</v>
          </cell>
          <cell r="L92" t="str">
            <v>+</v>
          </cell>
          <cell r="M92">
            <v>92791</v>
          </cell>
          <cell r="N92">
            <v>0</v>
          </cell>
          <cell r="O92">
            <v>0</v>
          </cell>
        </row>
        <row r="93">
          <cell r="A93">
            <v>8105680</v>
          </cell>
          <cell r="B93" t="str">
            <v>Компрессор СБ4/С-100.OLD20-3T</v>
          </cell>
          <cell r="C93" t="str">
            <v>шт</v>
          </cell>
          <cell r="D93">
            <v>100</v>
          </cell>
          <cell r="E93">
            <v>500</v>
          </cell>
          <cell r="F93" t="str">
            <v>1,4+1,4</v>
          </cell>
          <cell r="G93">
            <v>8</v>
          </cell>
          <cell r="H93">
            <v>380</v>
          </cell>
          <cell r="I93" t="str">
            <v>Производительность: 500 л/минн, Давление: 8 бар, Напряжение: 380 В, Ресивер: 100 л, Мощность: 1,1+1,2</v>
          </cell>
          <cell r="J93">
            <v>138120</v>
          </cell>
          <cell r="K93">
            <v>158838</v>
          </cell>
          <cell r="L93" t="str">
            <v>-</v>
          </cell>
          <cell r="M93">
            <v>138120</v>
          </cell>
          <cell r="N93">
            <v>0</v>
          </cell>
          <cell r="O93">
            <v>0</v>
          </cell>
        </row>
        <row r="94">
          <cell r="A94" t="str">
            <v>УТ-00000229</v>
          </cell>
          <cell r="B94" t="str">
            <v>Компрессор СБ4/C-20.OLD15</v>
          </cell>
          <cell r="C94" t="str">
            <v>шт</v>
          </cell>
          <cell r="D94">
            <v>20</v>
          </cell>
          <cell r="E94">
            <v>200</v>
          </cell>
          <cell r="F94">
            <v>1.10000000000000009</v>
          </cell>
          <cell r="G94">
            <v>8</v>
          </cell>
          <cell r="H94">
            <v>220</v>
          </cell>
          <cell r="I94" t="str">
            <v>Производительность: 200 л/мин, Давление: 8 бар, Напряжение: 220 В, Ресивер: 20 л, Мощность: 1,1 кВт</v>
          </cell>
          <cell r="J94">
            <v>49062</v>
          </cell>
          <cell r="K94">
            <v>56421</v>
          </cell>
          <cell r="L94" t="str">
            <v>-</v>
          </cell>
          <cell r="M94">
            <v>49062</v>
          </cell>
          <cell r="N94">
            <v>0</v>
          </cell>
          <cell r="O94">
            <v>0</v>
          </cell>
        </row>
        <row r="95">
          <cell r="A95" t="str">
            <v>УТ-00000253</v>
          </cell>
          <cell r="B95" t="str">
            <v>Компрессор СБ4/C-20.OLD20</v>
          </cell>
          <cell r="C95" t="str">
            <v>шт</v>
          </cell>
          <cell r="D95">
            <v>20</v>
          </cell>
          <cell r="E95">
            <v>250</v>
          </cell>
          <cell r="F95">
            <v>1.39999999999999991</v>
          </cell>
          <cell r="G95">
            <v>8</v>
          </cell>
          <cell r="H95">
            <v>220</v>
          </cell>
          <cell r="I95" t="str">
            <v>Производительность: 250 л/мин, Давление: 8 бар, Напряжение: 220 В, Ресивер: 20 л, Мощность: 1,4 кВт</v>
          </cell>
          <cell r="J95">
            <v>60794</v>
          </cell>
          <cell r="K95">
            <v>69913</v>
          </cell>
          <cell r="L95" t="str">
            <v>-</v>
          </cell>
          <cell r="M95">
            <v>60794</v>
          </cell>
          <cell r="N95">
            <v>0</v>
          </cell>
          <cell r="O95">
            <v>0</v>
          </cell>
        </row>
        <row r="96">
          <cell r="A96">
            <v>3046640</v>
          </cell>
          <cell r="B96" t="str">
            <v>Компрессор СБ4/C-50.OLD20-3</v>
          </cell>
          <cell r="C96" t="str">
            <v>шт</v>
          </cell>
          <cell r="D96">
            <v>50</v>
          </cell>
          <cell r="E96">
            <v>250</v>
          </cell>
          <cell r="F96">
            <v>1.39999999999999991</v>
          </cell>
          <cell r="G96">
            <v>8</v>
          </cell>
          <cell r="H96">
            <v>380</v>
          </cell>
          <cell r="I96" t="str">
            <v>Производительность: 250 л/мин, Давление: 8 бар, Напряжение: 380 В, Ресивер: 50 л, Мощность: 1,4 кВт</v>
          </cell>
          <cell r="J96">
            <v>63674</v>
          </cell>
          <cell r="K96">
            <v>73225</v>
          </cell>
          <cell r="L96" t="str">
            <v>-</v>
          </cell>
          <cell r="M96">
            <v>63674</v>
          </cell>
          <cell r="N96">
            <v>0</v>
          </cell>
          <cell r="O96">
            <v>0</v>
          </cell>
        </row>
        <row r="97">
          <cell r="A97">
            <v>3046650</v>
          </cell>
          <cell r="B97" t="str">
            <v>Компрессор СБ4/C-50.OLD20-3/10</v>
          </cell>
          <cell r="C97" t="str">
            <v>шт</v>
          </cell>
          <cell r="D97">
            <v>50</v>
          </cell>
          <cell r="E97">
            <v>125</v>
          </cell>
          <cell r="F97">
            <v>1.39999999999999991</v>
          </cell>
          <cell r="G97">
            <v>10</v>
          </cell>
          <cell r="H97">
            <v>380</v>
          </cell>
          <cell r="I97" t="str">
            <v>Производительность: 120 л/мин Давление: 10 бар, Напряжение: 380 В, Ресивер: 50 л, Мощность: 1,4 кВт</v>
          </cell>
          <cell r="J97">
            <v>68047</v>
          </cell>
          <cell r="K97">
            <v>78254</v>
          </cell>
          <cell r="L97" t="str">
            <v>-</v>
          </cell>
          <cell r="M97">
            <v>68047</v>
          </cell>
          <cell r="N97">
            <v>0</v>
          </cell>
          <cell r="O97">
            <v>0</v>
          </cell>
        </row>
        <row r="98">
          <cell r="A98">
            <v>3046300</v>
          </cell>
          <cell r="B98" t="str">
            <v>Компрессор СБ4/С-100.OLD20-3Т/10</v>
          </cell>
          <cell r="C98" t="str">
            <v>шт</v>
          </cell>
          <cell r="D98">
            <v>100</v>
          </cell>
          <cell r="E98">
            <v>250</v>
          </cell>
          <cell r="F98" t="str">
            <v>1,4+1,4</v>
          </cell>
          <cell r="G98">
            <v>10</v>
          </cell>
          <cell r="H98">
            <v>380</v>
          </cell>
          <cell r="I98" t="str">
            <v>Производительность: 250 л/мин, Давление: 8 бар, Напряжение: 220 В, Ресивер: 50 л, Мощность: 1,5 кВт</v>
          </cell>
          <cell r="J98">
            <v>165637</v>
          </cell>
          <cell r="K98">
            <v>190483</v>
          </cell>
          <cell r="L98" t="str">
            <v>-</v>
          </cell>
          <cell r="M98">
            <v>165637</v>
          </cell>
          <cell r="N98">
            <v>0</v>
          </cell>
          <cell r="O98">
            <v>0</v>
          </cell>
        </row>
        <row r="99">
          <cell r="A99">
            <v>3046310</v>
          </cell>
          <cell r="B99" t="str">
            <v>Компрессор СБ4/С-150.OLD20x3</v>
          </cell>
          <cell r="C99" t="str">
            <v>шт</v>
          </cell>
          <cell r="D99">
            <v>150</v>
          </cell>
          <cell r="E99">
            <v>750</v>
          </cell>
          <cell r="F99" t="str">
            <v>1,4x3</v>
          </cell>
          <cell r="G99">
            <v>8</v>
          </cell>
          <cell r="H99">
            <v>380</v>
          </cell>
          <cell r="I99" t="str">
            <v>Производительность: 750 л/мин, Давление: 8 бар, Напряжение: 380 В, Ресивер: 150 л, Мощность: 1,5 кВт</v>
          </cell>
          <cell r="J99">
            <v>250962</v>
          </cell>
          <cell r="K99">
            <v>288606</v>
          </cell>
          <cell r="L99" t="str">
            <v>-</v>
          </cell>
          <cell r="M99">
            <v>250962</v>
          </cell>
          <cell r="N99">
            <v>0</v>
          </cell>
          <cell r="O99">
            <v>0</v>
          </cell>
        </row>
        <row r="100">
          <cell r="A100">
            <v>3046320</v>
          </cell>
          <cell r="B100" t="str">
            <v>Компрессор СБ4/С-150.OLD20x4</v>
          </cell>
          <cell r="C100" t="str">
            <v>шт</v>
          </cell>
          <cell r="D100">
            <v>150</v>
          </cell>
          <cell r="E100">
            <v>1000</v>
          </cell>
          <cell r="F100" t="str">
            <v>1,4x4</v>
          </cell>
          <cell r="G100">
            <v>8</v>
          </cell>
          <cell r="H100">
            <v>380</v>
          </cell>
          <cell r="I100" t="str">
            <v>Производительность: 1000 л/мин, Давление: 8 бар, Напряжение: 380 В, Ресивер: 150 л, Мощность: 1,4x4 кВт</v>
          </cell>
          <cell r="J100">
            <v>300450</v>
          </cell>
          <cell r="K100">
            <v>345518</v>
          </cell>
          <cell r="L100" t="str">
            <v>-</v>
          </cell>
          <cell r="M100">
            <v>300450</v>
          </cell>
          <cell r="N100">
            <v>0</v>
          </cell>
          <cell r="O100">
            <v>0</v>
          </cell>
        </row>
        <row r="101">
          <cell r="A101" t="str">
            <v>КОМПРЕССОРЫ ПОРШНЕВЫЕ МАСЛЯНЫЕ С ПРЯМОЙ ПЕРЕДАЧЕЙ</v>
          </cell>
        </row>
        <row r="102">
          <cell r="A102">
            <v>8101780</v>
          </cell>
          <cell r="B102" t="str">
            <v>Компрессор COSMOS 24</v>
          </cell>
          <cell r="C102" t="str">
            <v>шт</v>
          </cell>
          <cell r="D102">
            <v>24</v>
          </cell>
          <cell r="E102">
            <v>240</v>
          </cell>
          <cell r="F102">
            <v>1.5</v>
          </cell>
          <cell r="G102">
            <v>8</v>
          </cell>
          <cell r="H102">
            <v>220</v>
          </cell>
          <cell r="J102">
            <v>0</v>
          </cell>
          <cell r="K102">
            <v>19926</v>
          </cell>
          <cell r="L102" t="str">
            <v>-</v>
          </cell>
          <cell r="M102">
            <v>19926</v>
          </cell>
          <cell r="N102">
            <v>0</v>
          </cell>
          <cell r="O102">
            <v>0</v>
          </cell>
        </row>
        <row r="103">
          <cell r="A103">
            <v>8101790</v>
          </cell>
          <cell r="B103" t="str">
            <v>Компрессор SUPER COSMOS 24</v>
          </cell>
          <cell r="C103" t="str">
            <v>шт</v>
          </cell>
          <cell r="D103">
            <v>24</v>
          </cell>
          <cell r="E103">
            <v>260</v>
          </cell>
          <cell r="F103">
            <v>1.8</v>
          </cell>
          <cell r="G103">
            <v>8</v>
          </cell>
          <cell r="H103">
            <v>220</v>
          </cell>
          <cell r="J103">
            <v>21239.9700000000012</v>
          </cell>
          <cell r="K103">
            <v>21239.9700000000012</v>
          </cell>
          <cell r="L103" t="str">
            <v>-</v>
          </cell>
          <cell r="M103">
            <v>21239.9700000000012</v>
          </cell>
          <cell r="N103">
            <v>0</v>
          </cell>
          <cell r="O103">
            <v>0</v>
          </cell>
        </row>
        <row r="104">
          <cell r="A104">
            <v>8101800</v>
          </cell>
          <cell r="B104" t="str">
            <v>Компрессор COSMOS 50</v>
          </cell>
          <cell r="C104" t="str">
            <v>шт</v>
          </cell>
          <cell r="D104">
            <v>50</v>
          </cell>
          <cell r="E104">
            <v>240</v>
          </cell>
          <cell r="F104">
            <v>1.5</v>
          </cell>
          <cell r="G104">
            <v>8</v>
          </cell>
          <cell r="H104">
            <v>220</v>
          </cell>
          <cell r="J104">
            <v>22225</v>
          </cell>
          <cell r="K104">
            <v>22225</v>
          </cell>
          <cell r="L104" t="str">
            <v>-</v>
          </cell>
          <cell r="M104">
            <v>22225</v>
          </cell>
          <cell r="N104">
            <v>0</v>
          </cell>
          <cell r="O104">
            <v>0</v>
          </cell>
        </row>
        <row r="105">
          <cell r="A105">
            <v>8101810</v>
          </cell>
          <cell r="B105" t="str">
            <v>Компрессор SUPER COSMOS 50</v>
          </cell>
          <cell r="C105" t="str">
            <v>шт</v>
          </cell>
          <cell r="D105">
            <v>50</v>
          </cell>
          <cell r="E105">
            <v>260</v>
          </cell>
          <cell r="F105">
            <v>1.8</v>
          </cell>
          <cell r="G105">
            <v>8</v>
          </cell>
          <cell r="H105">
            <v>220</v>
          </cell>
          <cell r="J105">
            <v>23320</v>
          </cell>
          <cell r="K105">
            <v>23320</v>
          </cell>
          <cell r="L105" t="str">
            <v>-</v>
          </cell>
          <cell r="M105">
            <v>23320</v>
          </cell>
          <cell r="N105">
            <v>0</v>
          </cell>
          <cell r="O105">
            <v>0</v>
          </cell>
        </row>
        <row r="106">
          <cell r="A106">
            <v>8155010</v>
          </cell>
          <cell r="B106" t="str">
            <v>Компрессор FIAC 2 HP 50 L</v>
          </cell>
          <cell r="C106" t="str">
            <v>шт</v>
          </cell>
          <cell r="J106">
            <v>15473.75</v>
          </cell>
          <cell r="K106">
            <v>17871.25</v>
          </cell>
          <cell r="L106" t="str">
            <v>-</v>
          </cell>
          <cell r="M106">
            <v>17871.25</v>
          </cell>
          <cell r="N106">
            <v>0</v>
          </cell>
          <cell r="O106">
            <v>0</v>
          </cell>
        </row>
        <row r="107">
          <cell r="A107">
            <v>8155000</v>
          </cell>
          <cell r="B107" t="str">
            <v>Компрессор FIAC 2 HP 24 L</v>
          </cell>
          <cell r="C107" t="str">
            <v>шт</v>
          </cell>
          <cell r="J107">
            <v>12661.25</v>
          </cell>
          <cell r="K107">
            <v>14560</v>
          </cell>
          <cell r="L107" t="str">
            <v>-</v>
          </cell>
          <cell r="M107">
            <v>14560</v>
          </cell>
          <cell r="N107">
            <v>0</v>
          </cell>
          <cell r="O107">
            <v>0</v>
          </cell>
        </row>
        <row r="108">
          <cell r="A108" t="str">
            <v>Компрессоры поршневые с ременной передачей (СЕРИЯ АВ)</v>
          </cell>
        </row>
        <row r="109">
          <cell r="A109">
            <v>8101850</v>
          </cell>
          <cell r="B109" t="str">
            <v>Компрессор AB 50-360 A (СБ4/С-50.АВ360 А )</v>
          </cell>
          <cell r="C109" t="str">
            <v>шт</v>
          </cell>
          <cell r="D109">
            <v>50</v>
          </cell>
          <cell r="E109">
            <v>360</v>
          </cell>
          <cell r="F109">
            <v>2.20000000000000018</v>
          </cell>
          <cell r="G109">
            <v>10</v>
          </cell>
          <cell r="H109">
            <v>220</v>
          </cell>
          <cell r="J109">
            <v>0</v>
          </cell>
          <cell r="K109">
            <v>51926</v>
          </cell>
          <cell r="L109" t="str">
            <v>-</v>
          </cell>
          <cell r="M109">
            <v>51926</v>
          </cell>
          <cell r="N109">
            <v>0</v>
          </cell>
          <cell r="O109">
            <v>0</v>
          </cell>
        </row>
        <row r="110">
          <cell r="A110">
            <v>8101840</v>
          </cell>
          <cell r="B110" t="str">
            <v>Компрессор AB 50-360 (СБ4/С-50.АВ360)</v>
          </cell>
          <cell r="C110" t="str">
            <v>шт</v>
          </cell>
          <cell r="D110">
            <v>50</v>
          </cell>
          <cell r="E110">
            <v>360</v>
          </cell>
          <cell r="F110">
            <v>2.20000000000000018</v>
          </cell>
          <cell r="G110">
            <v>10</v>
          </cell>
          <cell r="H110">
            <v>380</v>
          </cell>
          <cell r="J110">
            <v>0</v>
          </cell>
          <cell r="K110">
            <v>55309</v>
          </cell>
          <cell r="L110" t="str">
            <v>-</v>
          </cell>
          <cell r="M110">
            <v>55309</v>
          </cell>
          <cell r="N110">
            <v>0</v>
          </cell>
          <cell r="O110">
            <v>0</v>
          </cell>
        </row>
        <row r="111">
          <cell r="A111">
            <v>8101870</v>
          </cell>
          <cell r="B111" t="str">
            <v>Компрессор AB 100-360 A (СБ4/С-100.AB360 А )</v>
          </cell>
          <cell r="C111" t="str">
            <v>шт</v>
          </cell>
          <cell r="D111">
            <v>100</v>
          </cell>
          <cell r="E111">
            <v>360</v>
          </cell>
          <cell r="F111">
            <v>2.20000000000000018</v>
          </cell>
          <cell r="G111">
            <v>10</v>
          </cell>
          <cell r="H111">
            <v>220</v>
          </cell>
          <cell r="J111">
            <v>0</v>
          </cell>
          <cell r="K111">
            <v>55309</v>
          </cell>
          <cell r="L111" t="str">
            <v>-</v>
          </cell>
          <cell r="M111">
            <v>55309</v>
          </cell>
          <cell r="N111">
            <v>0</v>
          </cell>
          <cell r="O111">
            <v>0</v>
          </cell>
        </row>
        <row r="112">
          <cell r="A112">
            <v>8101860</v>
          </cell>
          <cell r="B112" t="str">
            <v>Компрессор AB 100-360 (СБ4/С-100.AB360)</v>
          </cell>
          <cell r="C112" t="str">
            <v>шт</v>
          </cell>
          <cell r="D112">
            <v>100</v>
          </cell>
          <cell r="E112">
            <v>360</v>
          </cell>
          <cell r="F112">
            <v>2.20000000000000018</v>
          </cell>
          <cell r="G112">
            <v>10</v>
          </cell>
          <cell r="H112">
            <v>380</v>
          </cell>
          <cell r="J112">
            <v>0</v>
          </cell>
          <cell r="K112">
            <v>59133</v>
          </cell>
          <cell r="L112" t="str">
            <v>-</v>
          </cell>
          <cell r="M112">
            <v>59133</v>
          </cell>
          <cell r="N112">
            <v>0</v>
          </cell>
          <cell r="O112">
            <v>0</v>
          </cell>
        </row>
        <row r="113">
          <cell r="A113" t="str">
            <v>Компрессоры поршневые с ременной передачей, 3 Квт.,с производительностью от 500 л./мин. (СЕРИЯ АВ)</v>
          </cell>
        </row>
        <row r="114">
          <cell r="A114">
            <v>8101880</v>
          </cell>
          <cell r="B114" t="str">
            <v>Компрессор AB 50-515 (СБ4/С-50.AB515 )</v>
          </cell>
          <cell r="C114" t="str">
            <v>шт</v>
          </cell>
          <cell r="D114">
            <v>50</v>
          </cell>
          <cell r="E114">
            <v>515</v>
          </cell>
          <cell r="F114">
            <v>3</v>
          </cell>
          <cell r="G114">
            <v>10</v>
          </cell>
          <cell r="H114">
            <v>380</v>
          </cell>
          <cell r="J114">
            <v>0</v>
          </cell>
          <cell r="K114">
            <v>69577</v>
          </cell>
          <cell r="L114" t="str">
            <v>-</v>
          </cell>
          <cell r="M114">
            <v>69577</v>
          </cell>
          <cell r="N114">
            <v>0</v>
          </cell>
          <cell r="O114">
            <v>0</v>
          </cell>
        </row>
        <row r="115">
          <cell r="A115">
            <v>8101890</v>
          </cell>
          <cell r="B115" t="str">
            <v>Компрессор AB 100-515 (СБ4/С-100.AB515 )</v>
          </cell>
          <cell r="C115" t="str">
            <v>шт</v>
          </cell>
          <cell r="D115">
            <v>100</v>
          </cell>
          <cell r="E115">
            <v>515</v>
          </cell>
          <cell r="F115">
            <v>3</v>
          </cell>
          <cell r="G115">
            <v>10</v>
          </cell>
          <cell r="H115">
            <v>380</v>
          </cell>
          <cell r="J115">
            <v>0</v>
          </cell>
          <cell r="K115">
            <v>73696</v>
          </cell>
          <cell r="L115" t="str">
            <v>-</v>
          </cell>
          <cell r="M115">
            <v>73696</v>
          </cell>
          <cell r="N115">
            <v>0</v>
          </cell>
          <cell r="O115">
            <v>0</v>
          </cell>
        </row>
        <row r="116">
          <cell r="A116">
            <v>8101900</v>
          </cell>
          <cell r="B116" t="str">
            <v>Компрессор AB 200-515 (СБ4/С-200.AB515 )</v>
          </cell>
          <cell r="C116" t="str">
            <v>шт</v>
          </cell>
          <cell r="D116">
            <v>200</v>
          </cell>
          <cell r="E116">
            <v>515</v>
          </cell>
          <cell r="F116">
            <v>3</v>
          </cell>
          <cell r="G116">
            <v>10</v>
          </cell>
          <cell r="H116">
            <v>380</v>
          </cell>
          <cell r="J116">
            <v>0</v>
          </cell>
          <cell r="K116">
            <v>91495</v>
          </cell>
          <cell r="L116" t="str">
            <v>-</v>
          </cell>
          <cell r="M116">
            <v>91495</v>
          </cell>
          <cell r="N116">
            <v>0</v>
          </cell>
          <cell r="O116">
            <v>0</v>
          </cell>
        </row>
        <row r="117">
          <cell r="A117" t="str">
            <v>Компрессоры поршневые с ременной передачей, 4 Квт.,с производительностью 650 л./мин. (СЕРИЯ АВ)</v>
          </cell>
        </row>
        <row r="118">
          <cell r="A118">
            <v>8101910</v>
          </cell>
          <cell r="B118" t="str">
            <v>Компрессор AB 100-678 (СБ4/С-100.AB678)</v>
          </cell>
          <cell r="C118" t="str">
            <v>шт</v>
          </cell>
          <cell r="D118">
            <v>100</v>
          </cell>
          <cell r="E118">
            <v>650</v>
          </cell>
          <cell r="F118">
            <v>4</v>
          </cell>
          <cell r="G118">
            <v>10</v>
          </cell>
          <cell r="H118">
            <v>380</v>
          </cell>
          <cell r="J118">
            <v>0</v>
          </cell>
          <cell r="K118">
            <v>119591</v>
          </cell>
          <cell r="L118" t="str">
            <v>-</v>
          </cell>
          <cell r="M118">
            <v>119591</v>
          </cell>
          <cell r="N118">
            <v>0</v>
          </cell>
          <cell r="O118">
            <v>0</v>
          </cell>
        </row>
        <row r="119">
          <cell r="A119">
            <v>8101920</v>
          </cell>
          <cell r="B119" t="str">
            <v>Компрессор AB 300-678 (СБ4/С-270.AB678)</v>
          </cell>
          <cell r="C119" t="str">
            <v>шт</v>
          </cell>
          <cell r="D119">
            <v>270</v>
          </cell>
          <cell r="E119">
            <v>650</v>
          </cell>
          <cell r="F119">
            <v>4</v>
          </cell>
          <cell r="G119">
            <v>10</v>
          </cell>
          <cell r="H119">
            <v>380</v>
          </cell>
          <cell r="J119">
            <v>0</v>
          </cell>
          <cell r="K119">
            <v>143421</v>
          </cell>
          <cell r="L119" t="str">
            <v>-</v>
          </cell>
          <cell r="M119">
            <v>143421</v>
          </cell>
          <cell r="N119">
            <v>0</v>
          </cell>
          <cell r="O119">
            <v>0</v>
          </cell>
        </row>
        <row r="120">
          <cell r="A120" t="str">
            <v>Компрессоры поршневые с ременной передачей, 5.5 Квт.,с производительностью 850 л./мин. (СЕРИЯ АВ)</v>
          </cell>
        </row>
        <row r="121">
          <cell r="A121">
            <v>8101930</v>
          </cell>
          <cell r="B121" t="str">
            <v>Компрессор AB 100-858 (СБ4/С-100.AB858)</v>
          </cell>
          <cell r="C121" t="str">
            <v>шт</v>
          </cell>
          <cell r="D121">
            <v>100</v>
          </cell>
          <cell r="E121">
            <v>850</v>
          </cell>
          <cell r="F121">
            <v>5.5</v>
          </cell>
          <cell r="G121">
            <v>10</v>
          </cell>
          <cell r="H121">
            <v>380</v>
          </cell>
          <cell r="J121">
            <v>0</v>
          </cell>
          <cell r="K121">
            <v>125181</v>
          </cell>
          <cell r="L121" t="str">
            <v>-</v>
          </cell>
          <cell r="M121">
            <v>125181</v>
          </cell>
          <cell r="N121">
            <v>0</v>
          </cell>
          <cell r="O121">
            <v>0</v>
          </cell>
        </row>
        <row r="122">
          <cell r="A122">
            <v>8101940</v>
          </cell>
          <cell r="B122" t="str">
            <v>Компрессор AB 300-858 (СБ4/С-270.AB858)</v>
          </cell>
          <cell r="C122" t="str">
            <v>шт</v>
          </cell>
          <cell r="D122">
            <v>270</v>
          </cell>
          <cell r="E122">
            <v>850</v>
          </cell>
          <cell r="F122">
            <v>5.5</v>
          </cell>
          <cell r="G122">
            <v>10</v>
          </cell>
          <cell r="H122">
            <v>380</v>
          </cell>
          <cell r="J122">
            <v>0</v>
          </cell>
          <cell r="K122">
            <v>149011</v>
          </cell>
          <cell r="L122" t="str">
            <v>-</v>
          </cell>
          <cell r="M122">
            <v>149011</v>
          </cell>
          <cell r="N122">
            <v>0</v>
          </cell>
          <cell r="O122">
            <v>0</v>
          </cell>
        </row>
        <row r="123">
          <cell r="A123">
            <v>8102050</v>
          </cell>
          <cell r="B123" t="str">
            <v>Компрессор AB 300-858/16 (СБ4/Ф-270.AB858/16)</v>
          </cell>
          <cell r="C123" t="str">
            <v>шт</v>
          </cell>
          <cell r="D123">
            <v>270</v>
          </cell>
          <cell r="E123">
            <v>850</v>
          </cell>
          <cell r="F123">
            <v>7.5</v>
          </cell>
          <cell r="G123">
            <v>16</v>
          </cell>
          <cell r="H123">
            <v>380</v>
          </cell>
          <cell r="J123">
            <v>0</v>
          </cell>
          <cell r="K123">
            <v>168134</v>
          </cell>
          <cell r="L123" t="str">
            <v>-</v>
          </cell>
          <cell r="M123">
            <v>168134</v>
          </cell>
          <cell r="N123">
            <v>0</v>
          </cell>
          <cell r="O123">
            <v>0</v>
          </cell>
        </row>
        <row r="124">
          <cell r="A124">
            <v>8101950</v>
          </cell>
          <cell r="B124" t="str">
            <v>Компрессор AB 500-858 (СБ4/Ф-500.AB858)</v>
          </cell>
          <cell r="C124" t="str">
            <v>шт</v>
          </cell>
          <cell r="D124">
            <v>500</v>
          </cell>
          <cell r="E124">
            <v>850</v>
          </cell>
          <cell r="F124">
            <v>5.5</v>
          </cell>
          <cell r="G124">
            <v>10</v>
          </cell>
          <cell r="H124">
            <v>380</v>
          </cell>
          <cell r="J124">
            <v>0</v>
          </cell>
          <cell r="K124">
            <v>155336</v>
          </cell>
          <cell r="L124" t="str">
            <v>-</v>
          </cell>
          <cell r="M124">
            <v>155336</v>
          </cell>
          <cell r="N124">
            <v>0</v>
          </cell>
          <cell r="O124">
            <v>0</v>
          </cell>
        </row>
        <row r="125">
          <cell r="A125">
            <v>8101960</v>
          </cell>
          <cell r="B125" t="str">
            <v>Компрессор AB 500-998 (СБ4/Ф-500.AB998)</v>
          </cell>
          <cell r="C125" t="str">
            <v>шт</v>
          </cell>
          <cell r="D125">
            <v>500</v>
          </cell>
          <cell r="E125">
            <v>1000</v>
          </cell>
          <cell r="F125">
            <v>7.5</v>
          </cell>
          <cell r="G125">
            <v>10</v>
          </cell>
          <cell r="H125">
            <v>380</v>
          </cell>
          <cell r="J125">
            <v>0</v>
          </cell>
          <cell r="K125">
            <v>208733</v>
          </cell>
          <cell r="L125" t="str">
            <v>-</v>
          </cell>
          <cell r="M125">
            <v>208733</v>
          </cell>
          <cell r="N125">
            <v>0</v>
          </cell>
          <cell r="O125">
            <v>0</v>
          </cell>
        </row>
        <row r="126">
          <cell r="A126">
            <v>8102060</v>
          </cell>
          <cell r="B126" t="str">
            <v>Компрессор AB 500-858/16 (СБ4/Ф-500.AB858/16)</v>
          </cell>
          <cell r="C126" t="str">
            <v>шт</v>
          </cell>
          <cell r="D126">
            <v>500</v>
          </cell>
          <cell r="E126">
            <v>850</v>
          </cell>
          <cell r="F126">
            <v>7.5</v>
          </cell>
          <cell r="G126">
            <v>16</v>
          </cell>
          <cell r="H126">
            <v>380</v>
          </cell>
          <cell r="J126">
            <v>0</v>
          </cell>
          <cell r="K126">
            <v>184314</v>
          </cell>
          <cell r="L126" t="str">
            <v>-</v>
          </cell>
          <cell r="M126">
            <v>184314</v>
          </cell>
          <cell r="N126">
            <v>0</v>
          </cell>
          <cell r="O126">
            <v>0</v>
          </cell>
        </row>
        <row r="127">
          <cell r="A127" t="str">
            <v>Компрессоры поршневые, тандемы с ременной передачей  (СЕРИЯ АВ)</v>
          </cell>
        </row>
        <row r="128">
          <cell r="A128">
            <v>8101970</v>
          </cell>
          <cell r="B128" t="str">
            <v>Компрессор ABT 500-1300WB (СБ4/Ф-500.АВ678ТБ)</v>
          </cell>
          <cell r="C128" t="str">
            <v>шт</v>
          </cell>
          <cell r="D128">
            <v>500</v>
          </cell>
          <cell r="E128">
            <v>1300</v>
          </cell>
          <cell r="F128" t="str">
            <v>4,0+4,0</v>
          </cell>
          <cell r="G128">
            <v>10</v>
          </cell>
          <cell r="H128">
            <v>380</v>
          </cell>
          <cell r="J128">
            <v>0</v>
          </cell>
          <cell r="K128">
            <v>238741</v>
          </cell>
          <cell r="L128" t="str">
            <v>-</v>
          </cell>
          <cell r="M128">
            <v>238741</v>
          </cell>
          <cell r="N128">
            <v>0</v>
          </cell>
          <cell r="O128">
            <v>0</v>
          </cell>
        </row>
        <row r="129">
          <cell r="A129">
            <v>8101980</v>
          </cell>
          <cell r="B129" t="str">
            <v>Компрессор ABT 500-1700WB (СБ4/Ф-500.AB858ТБ)</v>
          </cell>
          <cell r="C129" t="str">
            <v>шт</v>
          </cell>
          <cell r="D129">
            <v>500</v>
          </cell>
          <cell r="E129">
            <v>1700</v>
          </cell>
          <cell r="F129" t="str">
            <v>5,5+5,5</v>
          </cell>
          <cell r="G129">
            <v>10</v>
          </cell>
          <cell r="H129">
            <v>380</v>
          </cell>
          <cell r="J129">
            <v>0</v>
          </cell>
          <cell r="K129">
            <v>255657</v>
          </cell>
          <cell r="L129" t="str">
            <v>-</v>
          </cell>
          <cell r="M129">
            <v>255657</v>
          </cell>
          <cell r="N129">
            <v>0</v>
          </cell>
          <cell r="O129">
            <v>0</v>
          </cell>
        </row>
        <row r="130">
          <cell r="A130">
            <v>8102090</v>
          </cell>
          <cell r="B130" t="str">
            <v>Компрессор ABT 500-1300B (СБ4/Ф-500.АВ678Т)</v>
          </cell>
          <cell r="C130" t="str">
            <v>шт</v>
          </cell>
          <cell r="D130">
            <v>500</v>
          </cell>
          <cell r="E130">
            <v>1300</v>
          </cell>
          <cell r="F130" t="str">
            <v>4,0+4,0</v>
          </cell>
          <cell r="G130">
            <v>10</v>
          </cell>
          <cell r="H130">
            <v>380</v>
          </cell>
          <cell r="J130">
            <v>0</v>
          </cell>
          <cell r="K130">
            <v>270808</v>
          </cell>
          <cell r="L130" t="str">
            <v>-</v>
          </cell>
          <cell r="M130">
            <v>270808</v>
          </cell>
          <cell r="N130">
            <v>0</v>
          </cell>
          <cell r="O130">
            <v>0</v>
          </cell>
        </row>
        <row r="131">
          <cell r="A131">
            <v>8102100</v>
          </cell>
          <cell r="B131" t="str">
            <v>Компрессор ABT 500-1700B (СБ4/Ф-500.AB858Т)</v>
          </cell>
          <cell r="C131" t="str">
            <v>шт</v>
          </cell>
          <cell r="D131">
            <v>500</v>
          </cell>
          <cell r="E131">
            <v>1700</v>
          </cell>
          <cell r="F131" t="str">
            <v>5,5+5,5</v>
          </cell>
          <cell r="G131">
            <v>10</v>
          </cell>
          <cell r="H131">
            <v>380</v>
          </cell>
          <cell r="J131">
            <v>0</v>
          </cell>
          <cell r="K131">
            <v>283606</v>
          </cell>
          <cell r="L131" t="str">
            <v>-</v>
          </cell>
          <cell r="M131">
            <v>283606</v>
          </cell>
          <cell r="N131">
            <v>0</v>
          </cell>
          <cell r="O131">
            <v>0</v>
          </cell>
        </row>
        <row r="132">
          <cell r="A132">
            <v>8101990</v>
          </cell>
          <cell r="B132" t="str">
            <v>Компрессор ABT 500-2200B (СБ4/Ф-500.AB998Т)</v>
          </cell>
          <cell r="C132" t="str">
            <v>шт</v>
          </cell>
          <cell r="D132">
            <v>500</v>
          </cell>
          <cell r="E132">
            <v>2000</v>
          </cell>
          <cell r="F132" t="str">
            <v>7,5+7,5</v>
          </cell>
          <cell r="G132">
            <v>10</v>
          </cell>
          <cell r="H132">
            <v>380</v>
          </cell>
          <cell r="J132">
            <v>0</v>
          </cell>
          <cell r="K132">
            <v>405992</v>
          </cell>
          <cell r="L132" t="str">
            <v>-</v>
          </cell>
          <cell r="M132">
            <v>405992</v>
          </cell>
          <cell r="N132">
            <v>0</v>
          </cell>
          <cell r="O132">
            <v>0</v>
          </cell>
        </row>
        <row r="133">
          <cell r="A133">
            <v>8102070</v>
          </cell>
          <cell r="B133" t="str">
            <v>Компрессор ABT 500-1700B/16 (СБ4/Ф-500.AB858Т/16)</v>
          </cell>
          <cell r="C133" t="str">
            <v>шт</v>
          </cell>
          <cell r="D133">
            <v>500</v>
          </cell>
          <cell r="E133">
            <v>1700</v>
          </cell>
          <cell r="F133" t="str">
            <v>5,5+5,5</v>
          </cell>
          <cell r="G133">
            <v>16</v>
          </cell>
          <cell r="H133">
            <v>380</v>
          </cell>
          <cell r="J133">
            <v>0</v>
          </cell>
          <cell r="K133">
            <v>327294</v>
          </cell>
          <cell r="L133" t="str">
            <v>-</v>
          </cell>
          <cell r="M133">
            <v>327294</v>
          </cell>
          <cell r="N133">
            <v>0</v>
          </cell>
          <cell r="O133">
            <v>0</v>
          </cell>
        </row>
        <row r="134">
          <cell r="A134" t="str">
            <v>УТ-00000022</v>
          </cell>
          <cell r="B134" t="str">
            <v>Компрессор ABT 500-2200WB (СБ4/Ф-500.AB998ТБ)</v>
          </cell>
          <cell r="C134" t="str">
            <v>шт</v>
          </cell>
          <cell r="D134">
            <v>500</v>
          </cell>
          <cell r="J134">
            <v>0</v>
          </cell>
          <cell r="K134">
            <v>369217</v>
          </cell>
          <cell r="L134" t="str">
            <v>-</v>
          </cell>
          <cell r="M134">
            <v>369217</v>
          </cell>
          <cell r="N134">
            <v>0</v>
          </cell>
          <cell r="O134">
            <v>0</v>
          </cell>
        </row>
        <row r="135">
          <cell r="A135" t="str">
            <v>Компрессоры поршневые, вертикальные  (СЕРИЯ АВ)</v>
          </cell>
        </row>
        <row r="136">
          <cell r="A136">
            <v>8102000</v>
          </cell>
          <cell r="B136" t="str">
            <v>Компрессор ABV 100-360 A (СБ4/С-100.AB360АВ)</v>
          </cell>
          <cell r="C136" t="str">
            <v>шт</v>
          </cell>
          <cell r="D136">
            <v>100</v>
          </cell>
          <cell r="E136">
            <v>360</v>
          </cell>
          <cell r="F136">
            <v>2.20000000000000018</v>
          </cell>
          <cell r="G136">
            <v>10</v>
          </cell>
          <cell r="H136">
            <v>220</v>
          </cell>
          <cell r="J136">
            <v>0</v>
          </cell>
          <cell r="K136">
            <v>68107</v>
          </cell>
          <cell r="L136" t="str">
            <v>-</v>
          </cell>
          <cell r="M136">
            <v>68107</v>
          </cell>
          <cell r="N136">
            <v>0</v>
          </cell>
          <cell r="O136">
            <v>0</v>
          </cell>
        </row>
        <row r="137">
          <cell r="A137">
            <v>8102010</v>
          </cell>
          <cell r="B137" t="str">
            <v>Компрессор ABV 100-360 ( СБ4/С-100.AB360В)</v>
          </cell>
          <cell r="C137" t="str">
            <v>шт</v>
          </cell>
          <cell r="D137">
            <v>100</v>
          </cell>
          <cell r="E137">
            <v>360</v>
          </cell>
          <cell r="F137">
            <v>2.20000000000000018</v>
          </cell>
          <cell r="G137">
            <v>10</v>
          </cell>
          <cell r="H137">
            <v>380</v>
          </cell>
          <cell r="J137">
            <v>0</v>
          </cell>
          <cell r="K137">
            <v>72078</v>
          </cell>
          <cell r="L137" t="str">
            <v>-</v>
          </cell>
          <cell r="M137">
            <v>72078</v>
          </cell>
          <cell r="N137">
            <v>0</v>
          </cell>
          <cell r="O137">
            <v>0</v>
          </cell>
        </row>
        <row r="138">
          <cell r="A138">
            <v>8102020</v>
          </cell>
          <cell r="B138" t="str">
            <v>Компрессор ABV 100-515 (СБ4/С-100.AB515В)</v>
          </cell>
          <cell r="C138" t="str">
            <v>шт</v>
          </cell>
          <cell r="D138">
            <v>100</v>
          </cell>
          <cell r="E138">
            <v>515</v>
          </cell>
          <cell r="F138">
            <v>3</v>
          </cell>
          <cell r="G138">
            <v>10</v>
          </cell>
          <cell r="H138">
            <v>380</v>
          </cell>
          <cell r="J138">
            <v>0</v>
          </cell>
          <cell r="K138">
            <v>87524</v>
          </cell>
          <cell r="L138" t="str">
            <v>-</v>
          </cell>
          <cell r="M138">
            <v>87524</v>
          </cell>
          <cell r="N138">
            <v>0</v>
          </cell>
          <cell r="O138">
            <v>0</v>
          </cell>
        </row>
        <row r="139">
          <cell r="A139">
            <v>8102030</v>
          </cell>
          <cell r="B139" t="str">
            <v>Компрессор ABV 300-678 (СБ4/Ф-270.AB678В)</v>
          </cell>
          <cell r="C139" t="str">
            <v>шт</v>
          </cell>
          <cell r="D139">
            <v>270</v>
          </cell>
          <cell r="E139">
            <v>670</v>
          </cell>
          <cell r="F139">
            <v>4</v>
          </cell>
          <cell r="G139">
            <v>10</v>
          </cell>
          <cell r="H139">
            <v>380</v>
          </cell>
          <cell r="J139">
            <v>0</v>
          </cell>
          <cell r="K139">
            <v>150628</v>
          </cell>
          <cell r="L139" t="str">
            <v>-</v>
          </cell>
          <cell r="M139">
            <v>150628</v>
          </cell>
          <cell r="N139">
            <v>0</v>
          </cell>
          <cell r="O139">
            <v>0</v>
          </cell>
        </row>
        <row r="140">
          <cell r="A140">
            <v>8102040</v>
          </cell>
          <cell r="B140" t="str">
            <v>Компрессор ABV 300-858 (СБ4/Ф-270.AB858В)</v>
          </cell>
          <cell r="C140" t="str">
            <v>шт</v>
          </cell>
          <cell r="D140">
            <v>270</v>
          </cell>
          <cell r="E140">
            <v>850</v>
          </cell>
          <cell r="F140">
            <v>5.5</v>
          </cell>
          <cell r="G140">
            <v>10</v>
          </cell>
          <cell r="H140">
            <v>380</v>
          </cell>
          <cell r="J140">
            <v>0</v>
          </cell>
          <cell r="K140">
            <v>157101</v>
          </cell>
          <cell r="L140" t="str">
            <v>-</v>
          </cell>
          <cell r="M140">
            <v>157101</v>
          </cell>
          <cell r="N140">
            <v>0</v>
          </cell>
          <cell r="O140">
            <v>0</v>
          </cell>
        </row>
        <row r="141">
          <cell r="A141" t="str">
            <v>Компрессоры поршневые, передвижные (СЕРИЯ АВ)</v>
          </cell>
        </row>
        <row r="142">
          <cell r="A142">
            <v>8102080</v>
          </cell>
          <cell r="B142" t="str">
            <v>Компрессор AB 100-858 SPE390R (СБ4/С-100.АВ858.SPE390R)</v>
          </cell>
          <cell r="C142" t="str">
            <v>шт</v>
          </cell>
          <cell r="D142">
            <v>100</v>
          </cell>
          <cell r="E142">
            <v>850</v>
          </cell>
          <cell r="F142" t="str">
            <v>13НР</v>
          </cell>
          <cell r="G142">
            <v>8</v>
          </cell>
          <cell r="H142" t="str">
            <v>бензин</v>
          </cell>
          <cell r="J142">
            <v>0</v>
          </cell>
          <cell r="K142">
            <v>222560</v>
          </cell>
          <cell r="L142" t="str">
            <v>-</v>
          </cell>
          <cell r="M142">
            <v>222560</v>
          </cell>
          <cell r="N142">
            <v>0</v>
          </cell>
          <cell r="O142">
            <v>0</v>
          </cell>
        </row>
        <row r="143">
          <cell r="A143" t="str">
            <v>УТ-00000177</v>
          </cell>
          <cell r="B143" t="str">
            <v>Компрессор AB 100-998 SPE390E (СБ4/С-100.АB998.SPE390Е)</v>
          </cell>
          <cell r="C143" t="str">
            <v>шт</v>
          </cell>
          <cell r="D143">
            <v>100</v>
          </cell>
          <cell r="E143">
            <v>1000</v>
          </cell>
          <cell r="G143">
            <v>8</v>
          </cell>
          <cell r="H143" t="str">
            <v>бензин</v>
          </cell>
          <cell r="J143">
            <v>0</v>
          </cell>
          <cell r="K143">
            <v>242713</v>
          </cell>
          <cell r="L143" t="str">
            <v>-</v>
          </cell>
          <cell r="M143">
            <v>242713</v>
          </cell>
          <cell r="N143">
            <v>0</v>
          </cell>
          <cell r="O143">
            <v>0</v>
          </cell>
        </row>
        <row r="144">
          <cell r="A144" t="str">
            <v>УТ-00000289</v>
          </cell>
          <cell r="B144" t="str">
            <v>Компрессор AB 100-858 SPE390E (СБ4/С-100.AB858.SPE390E)</v>
          </cell>
          <cell r="C144" t="str">
            <v>шт</v>
          </cell>
          <cell r="D144">
            <v>100</v>
          </cell>
          <cell r="E144">
            <v>850</v>
          </cell>
          <cell r="G144">
            <v>8</v>
          </cell>
          <cell r="H144" t="str">
            <v>бензин</v>
          </cell>
          <cell r="J144">
            <v>0</v>
          </cell>
          <cell r="K144">
            <v>222560</v>
          </cell>
          <cell r="L144" t="str">
            <v>-</v>
          </cell>
          <cell r="M144">
            <v>222560</v>
          </cell>
          <cell r="N144">
            <v>0</v>
          </cell>
          <cell r="O144">
            <v>0</v>
          </cell>
        </row>
        <row r="145">
          <cell r="A145" t="str">
            <v>УТ-00000657</v>
          </cell>
          <cell r="B145" t="str">
            <v>Компрессор AB 100-998 SPE390R (СБ4/С-100.AB998.SPE390R)</v>
          </cell>
          <cell r="C145" t="str">
            <v>шт</v>
          </cell>
          <cell r="D145">
            <v>100</v>
          </cell>
          <cell r="E145">
            <v>1000</v>
          </cell>
          <cell r="G145">
            <v>8</v>
          </cell>
          <cell r="H145" t="str">
            <v>бензин</v>
          </cell>
          <cell r="J145">
            <v>0</v>
          </cell>
          <cell r="K145">
            <v>242713</v>
          </cell>
          <cell r="L145" t="str">
            <v>-</v>
          </cell>
          <cell r="M145">
            <v>242713</v>
          </cell>
          <cell r="N145">
            <v>0</v>
          </cell>
          <cell r="O145">
            <v>0</v>
          </cell>
        </row>
        <row r="146">
          <cell r="A146" t="str">
            <v>Компрессорное оборудование FIAC</v>
          </cell>
        </row>
        <row r="147">
          <cell r="A147" t="str">
            <v>Поршневые блоки</v>
          </cell>
        </row>
        <row r="148">
          <cell r="A148" t="str">
            <v>REMEZA</v>
          </cell>
        </row>
        <row r="149">
          <cell r="A149">
            <v>8108550</v>
          </cell>
          <cell r="B149" t="str">
            <v>R 4011110070 Блок поршневой OLD10 (TA-10)</v>
          </cell>
          <cell r="C149" t="str">
            <v>шт</v>
          </cell>
          <cell r="J149">
            <v>21500</v>
          </cell>
          <cell r="K149">
            <v>25800</v>
          </cell>
          <cell r="L149" t="str">
            <v>-</v>
          </cell>
          <cell r="M149">
            <v>21500</v>
          </cell>
          <cell r="N149">
            <v>0</v>
          </cell>
          <cell r="O149">
            <v>0</v>
          </cell>
        </row>
        <row r="150">
          <cell r="A150">
            <v>487720</v>
          </cell>
          <cell r="B150" t="str">
            <v>R 4011110080 Блок поршневой OLD15 (TA-15)</v>
          </cell>
          <cell r="C150" t="str">
            <v>шт</v>
          </cell>
          <cell r="J150">
            <v>30000</v>
          </cell>
          <cell r="K150">
            <v>36000</v>
          </cell>
          <cell r="L150" t="str">
            <v>-</v>
          </cell>
          <cell r="M150">
            <v>30000</v>
          </cell>
          <cell r="N150">
            <v>0</v>
          </cell>
          <cell r="O150">
            <v>0</v>
          </cell>
        </row>
        <row r="151">
          <cell r="A151">
            <v>8108360</v>
          </cell>
          <cell r="B151" t="str">
            <v>R 4011110090 Блок поршневой OLD20/220 (TA-20)</v>
          </cell>
          <cell r="C151" t="str">
            <v>шт</v>
          </cell>
          <cell r="J151">
            <v>45200</v>
          </cell>
          <cell r="K151">
            <v>54240</v>
          </cell>
          <cell r="L151" t="str">
            <v>-</v>
          </cell>
          <cell r="M151">
            <v>45200</v>
          </cell>
          <cell r="N151">
            <v>0</v>
          </cell>
          <cell r="O151">
            <v>0</v>
          </cell>
        </row>
        <row r="152">
          <cell r="A152">
            <v>8086480</v>
          </cell>
          <cell r="B152" t="str">
            <v>R 4011120010 Блок поршневой OLD20/380 (TAT-20P3)</v>
          </cell>
          <cell r="C152" t="str">
            <v>шт</v>
          </cell>
          <cell r="J152">
            <v>45800</v>
          </cell>
          <cell r="K152">
            <v>54960</v>
          </cell>
          <cell r="L152" t="str">
            <v>-</v>
          </cell>
          <cell r="M152">
            <v>45800</v>
          </cell>
          <cell r="N152">
            <v>0</v>
          </cell>
          <cell r="O152">
            <v>0</v>
          </cell>
        </row>
        <row r="153">
          <cell r="A153">
            <v>8093460</v>
          </cell>
          <cell r="B153" t="str">
            <v>R 4011210160 Блок поршневой J1047B (TAV-2024)</v>
          </cell>
          <cell r="C153" t="str">
            <v>шт</v>
          </cell>
          <cell r="J153">
            <v>15400</v>
          </cell>
          <cell r="K153">
            <v>18480</v>
          </cell>
          <cell r="L153" t="str">
            <v>-</v>
          </cell>
          <cell r="M153">
            <v>15400</v>
          </cell>
          <cell r="N153">
            <v>0</v>
          </cell>
          <cell r="O153">
            <v>0</v>
          </cell>
        </row>
        <row r="154">
          <cell r="A154">
            <v>402940</v>
          </cell>
          <cell r="B154" t="str">
            <v>R 4011210170 Блок поршневой J1048B (TAV-2524)</v>
          </cell>
          <cell r="C154" t="str">
            <v>шт</v>
          </cell>
          <cell r="J154">
            <v>16801</v>
          </cell>
          <cell r="K154">
            <v>20161</v>
          </cell>
          <cell r="L154" t="str">
            <v>-</v>
          </cell>
          <cell r="M154">
            <v>16801</v>
          </cell>
          <cell r="N154">
            <v>0</v>
          </cell>
          <cell r="O154">
            <v>0</v>
          </cell>
        </row>
        <row r="155">
          <cell r="A155">
            <v>37679</v>
          </cell>
          <cell r="B155" t="str">
            <v>R 4011210180 Блок поршневой J2047B (TAV-3024)</v>
          </cell>
          <cell r="C155" t="str">
            <v>шт</v>
          </cell>
          <cell r="J155">
            <v>24701</v>
          </cell>
          <cell r="K155">
            <v>29641</v>
          </cell>
          <cell r="L155" t="str">
            <v>-</v>
          </cell>
          <cell r="M155">
            <v>24701</v>
          </cell>
          <cell r="N155">
            <v>0</v>
          </cell>
          <cell r="O155">
            <v>0</v>
          </cell>
        </row>
        <row r="156">
          <cell r="A156">
            <v>8109080</v>
          </cell>
          <cell r="B156" t="str">
            <v>R 4022230220 (4022230280) Блок поршневой LB 24B</v>
          </cell>
          <cell r="C156" t="str">
            <v>шт</v>
          </cell>
          <cell r="J156">
            <v>12900</v>
          </cell>
          <cell r="K156">
            <v>15480</v>
          </cell>
          <cell r="L156" t="str">
            <v>-</v>
          </cell>
          <cell r="M156">
            <v>12900</v>
          </cell>
          <cell r="N156">
            <v>0</v>
          </cell>
          <cell r="O156">
            <v>0</v>
          </cell>
        </row>
        <row r="157">
          <cell r="A157">
            <v>489860</v>
          </cell>
          <cell r="B157" t="str">
            <v>R 4022230010 (4022230250) Блок поршневой LB 30-2</v>
          </cell>
          <cell r="C157" t="str">
            <v>шт</v>
          </cell>
          <cell r="J157">
            <v>17400</v>
          </cell>
          <cell r="K157">
            <v>20880</v>
          </cell>
          <cell r="L157" t="str">
            <v>-</v>
          </cell>
          <cell r="M157">
            <v>17400</v>
          </cell>
          <cell r="N157">
            <v>0</v>
          </cell>
          <cell r="O157">
            <v>0</v>
          </cell>
        </row>
        <row r="158">
          <cell r="A158">
            <v>489870</v>
          </cell>
          <cell r="B158" t="str">
            <v>R 4023430010 Блок поршневой LB 40-3</v>
          </cell>
          <cell r="C158" t="str">
            <v>шт</v>
          </cell>
          <cell r="J158">
            <v>24101</v>
          </cell>
          <cell r="K158">
            <v>28921</v>
          </cell>
          <cell r="L158" t="str">
            <v>-</v>
          </cell>
          <cell r="M158">
            <v>24101</v>
          </cell>
          <cell r="N158">
            <v>0</v>
          </cell>
          <cell r="O158">
            <v>0</v>
          </cell>
        </row>
        <row r="159">
          <cell r="A159">
            <v>489880</v>
          </cell>
          <cell r="B159" t="str">
            <v>R 4022230020 Блок поршневой LB 50-2</v>
          </cell>
          <cell r="C159" t="str">
            <v>шт</v>
          </cell>
          <cell r="J159">
            <v>28601</v>
          </cell>
          <cell r="K159">
            <v>34321</v>
          </cell>
          <cell r="L159" t="str">
            <v>-</v>
          </cell>
          <cell r="M159">
            <v>28601</v>
          </cell>
          <cell r="N159">
            <v>0</v>
          </cell>
          <cell r="O159">
            <v>0</v>
          </cell>
        </row>
        <row r="160">
          <cell r="A160">
            <v>615580</v>
          </cell>
          <cell r="B160" t="str">
            <v>R 4023430020 Блок поршневой LB 75-2</v>
          </cell>
          <cell r="C160" t="str">
            <v>шт</v>
          </cell>
          <cell r="J160">
            <v>37201</v>
          </cell>
          <cell r="K160">
            <v>44641</v>
          </cell>
          <cell r="L160" t="str">
            <v>-</v>
          </cell>
          <cell r="M160">
            <v>37201</v>
          </cell>
          <cell r="N160">
            <v>0</v>
          </cell>
          <cell r="O160">
            <v>0</v>
          </cell>
        </row>
        <row r="161">
          <cell r="A161">
            <v>1024050</v>
          </cell>
          <cell r="B161" t="str">
            <v>R 4022340010 Блок поршневой LT 100</v>
          </cell>
          <cell r="C161" t="str">
            <v>шт</v>
          </cell>
          <cell r="J161">
            <v>88401</v>
          </cell>
          <cell r="K161">
            <v>106081</v>
          </cell>
          <cell r="L161" t="str">
            <v>-</v>
          </cell>
          <cell r="M161">
            <v>88401</v>
          </cell>
          <cell r="N161">
            <v>0</v>
          </cell>
          <cell r="O161">
            <v>0</v>
          </cell>
        </row>
        <row r="162">
          <cell r="A162">
            <v>2588440</v>
          </cell>
          <cell r="B162" t="str">
            <v>R 4022230030 Блок поршневой V80</v>
          </cell>
          <cell r="C162" t="str">
            <v>шт</v>
          </cell>
          <cell r="J162">
            <v>51801</v>
          </cell>
          <cell r="K162">
            <v>62162</v>
          </cell>
          <cell r="L162" t="str">
            <v>-</v>
          </cell>
          <cell r="M162">
            <v>51801</v>
          </cell>
          <cell r="N162">
            <v>0</v>
          </cell>
          <cell r="O162">
            <v>0</v>
          </cell>
        </row>
        <row r="163">
          <cell r="A163">
            <v>1016600</v>
          </cell>
          <cell r="B163" t="str">
            <v>R 4022230040 Блок поршневой V90</v>
          </cell>
          <cell r="C163" t="str">
            <v>шт</v>
          </cell>
          <cell r="J163">
            <v>82402</v>
          </cell>
          <cell r="K163">
            <v>98882</v>
          </cell>
          <cell r="L163" t="str">
            <v>-</v>
          </cell>
          <cell r="M163">
            <v>82402</v>
          </cell>
          <cell r="N163">
            <v>0</v>
          </cell>
          <cell r="O163">
            <v>0</v>
          </cell>
        </row>
        <row r="164">
          <cell r="A164">
            <v>2588370</v>
          </cell>
          <cell r="B164" t="str">
            <v>R 4023430030 Блок поршневой W80</v>
          </cell>
          <cell r="C164" t="str">
            <v>шт</v>
          </cell>
          <cell r="J164">
            <v>65801</v>
          </cell>
          <cell r="K164">
            <v>78961</v>
          </cell>
          <cell r="L164" t="str">
            <v>-</v>
          </cell>
          <cell r="M164">
            <v>65801</v>
          </cell>
          <cell r="N164">
            <v>0</v>
          </cell>
          <cell r="O164">
            <v>0</v>
          </cell>
        </row>
        <row r="165">
          <cell r="A165">
            <v>8095480</v>
          </cell>
          <cell r="B165" t="str">
            <v>R 4023430060 Блок поршневой W95I (6 Bar)</v>
          </cell>
          <cell r="C165" t="str">
            <v>шт</v>
          </cell>
          <cell r="J165">
            <v>97802</v>
          </cell>
          <cell r="K165">
            <v>117362</v>
          </cell>
          <cell r="L165" t="str">
            <v>-</v>
          </cell>
          <cell r="M165">
            <v>97802</v>
          </cell>
          <cell r="N165">
            <v>0</v>
          </cell>
          <cell r="O165">
            <v>0</v>
          </cell>
        </row>
        <row r="166">
          <cell r="A166">
            <v>1171170</v>
          </cell>
          <cell r="B166" t="str">
            <v>R 4023530010 Блок поршневой W95II</v>
          </cell>
          <cell r="C166" t="str">
            <v>шт</v>
          </cell>
          <cell r="J166">
            <v>97802</v>
          </cell>
          <cell r="K166">
            <v>117362</v>
          </cell>
          <cell r="L166" t="str">
            <v>-</v>
          </cell>
          <cell r="M166">
            <v>97802</v>
          </cell>
          <cell r="N166">
            <v>0</v>
          </cell>
          <cell r="O166">
            <v>0</v>
          </cell>
        </row>
        <row r="167">
          <cell r="A167">
            <v>7065160</v>
          </cell>
          <cell r="B167" t="str">
            <v>R 4023430070 Блок поршневой W115I (6 Bar)</v>
          </cell>
          <cell r="C167" t="str">
            <v>шт</v>
          </cell>
          <cell r="J167">
            <v>147301</v>
          </cell>
          <cell r="K167">
            <v>176761</v>
          </cell>
          <cell r="L167" t="str">
            <v>-</v>
          </cell>
          <cell r="M167">
            <v>147301</v>
          </cell>
          <cell r="N167">
            <v>0</v>
          </cell>
          <cell r="O167">
            <v>0</v>
          </cell>
        </row>
        <row r="168">
          <cell r="A168">
            <v>2540500</v>
          </cell>
          <cell r="B168" t="str">
            <v>R 4023530020 Блок поршневой W115IIA (10 Bar)</v>
          </cell>
          <cell r="C168" t="str">
            <v>шт</v>
          </cell>
          <cell r="J168">
            <v>147301</v>
          </cell>
          <cell r="K168">
            <v>176761</v>
          </cell>
          <cell r="L168" t="str">
            <v>-</v>
          </cell>
          <cell r="M168">
            <v>147301</v>
          </cell>
          <cell r="N168">
            <v>0</v>
          </cell>
          <cell r="O168">
            <v>0</v>
          </cell>
        </row>
        <row r="169">
          <cell r="A169">
            <v>1945460</v>
          </cell>
          <cell r="B169" t="str">
            <v>R 4023530030 Блок поршневой W115IIB (16 Bar)</v>
          </cell>
          <cell r="C169" t="str">
            <v>шт</v>
          </cell>
          <cell r="J169">
            <v>147301</v>
          </cell>
          <cell r="K169">
            <v>176761</v>
          </cell>
          <cell r="L169" t="str">
            <v>-</v>
          </cell>
          <cell r="M169">
            <v>147301</v>
          </cell>
          <cell r="N169">
            <v>0</v>
          </cell>
          <cell r="O169">
            <v>0</v>
          </cell>
        </row>
        <row r="170">
          <cell r="A170" t="str">
            <v>FIAC</v>
          </cell>
        </row>
        <row r="171">
          <cell r="A171">
            <v>8102790</v>
          </cell>
          <cell r="B171" t="str">
            <v>R 4011110040 Блок поршневой F114</v>
          </cell>
          <cell r="C171" t="str">
            <v>шт</v>
          </cell>
          <cell r="J171">
            <v>32229</v>
          </cell>
          <cell r="K171">
            <v>38675</v>
          </cell>
          <cell r="L171" t="str">
            <v>-</v>
          </cell>
          <cell r="M171">
            <v>32229</v>
          </cell>
          <cell r="N171">
            <v>0</v>
          </cell>
          <cell r="O171">
            <v>0</v>
          </cell>
        </row>
        <row r="172">
          <cell r="A172">
            <v>7022040</v>
          </cell>
          <cell r="B172" t="str">
            <v>R 4011110060 Блок поршневой GMS150/220В</v>
          </cell>
          <cell r="C172" t="str">
            <v>шт</v>
          </cell>
          <cell r="J172">
            <v>55988</v>
          </cell>
          <cell r="K172">
            <v>67186</v>
          </cell>
          <cell r="L172" t="str">
            <v>-</v>
          </cell>
          <cell r="M172">
            <v>55988</v>
          </cell>
          <cell r="N172">
            <v>0</v>
          </cell>
          <cell r="O172">
            <v>0</v>
          </cell>
        </row>
        <row r="173">
          <cell r="A173">
            <v>2111300</v>
          </cell>
          <cell r="B173" t="str">
            <v>R 4012310010 Блок поршневой VS 204/220</v>
          </cell>
          <cell r="C173" t="str">
            <v>шт</v>
          </cell>
          <cell r="J173">
            <v>82388</v>
          </cell>
          <cell r="K173">
            <v>98865</v>
          </cell>
          <cell r="L173" t="str">
            <v>-</v>
          </cell>
          <cell r="M173">
            <v>82388</v>
          </cell>
          <cell r="N173">
            <v>0</v>
          </cell>
          <cell r="O173">
            <v>0</v>
          </cell>
        </row>
        <row r="174">
          <cell r="A174">
            <v>8083720</v>
          </cell>
          <cell r="B174" t="str">
            <v>R 4021210070 Блок поршневой АВ 360</v>
          </cell>
          <cell r="C174" t="str">
            <v>шт</v>
          </cell>
          <cell r="J174">
            <v>17489</v>
          </cell>
          <cell r="K174">
            <v>20987</v>
          </cell>
          <cell r="L174" t="str">
            <v>-</v>
          </cell>
          <cell r="M174">
            <v>17489</v>
          </cell>
          <cell r="N174">
            <v>0</v>
          </cell>
          <cell r="O174">
            <v>0</v>
          </cell>
        </row>
        <row r="175">
          <cell r="A175">
            <v>8086000</v>
          </cell>
          <cell r="B175" t="str">
            <v>R 4021210080 Блок поршневой АВ 515</v>
          </cell>
          <cell r="C175" t="str">
            <v>шт</v>
          </cell>
          <cell r="J175">
            <v>31570</v>
          </cell>
          <cell r="K175">
            <v>37884</v>
          </cell>
          <cell r="L175" t="str">
            <v>-</v>
          </cell>
          <cell r="M175">
            <v>31570</v>
          </cell>
          <cell r="N175">
            <v>0</v>
          </cell>
          <cell r="O175">
            <v>0</v>
          </cell>
        </row>
        <row r="176">
          <cell r="A176">
            <v>622470</v>
          </cell>
          <cell r="B176" t="str">
            <v>R 4021320040 Блок поршневой АВ 678-1</v>
          </cell>
          <cell r="C176" t="str">
            <v>шт</v>
          </cell>
          <cell r="J176">
            <v>75129</v>
          </cell>
          <cell r="K176">
            <v>90154</v>
          </cell>
          <cell r="L176" t="str">
            <v>-</v>
          </cell>
          <cell r="M176">
            <v>75129</v>
          </cell>
          <cell r="N176">
            <v>0</v>
          </cell>
          <cell r="O176">
            <v>0</v>
          </cell>
        </row>
        <row r="177">
          <cell r="A177">
            <v>8103020</v>
          </cell>
          <cell r="B177" t="str">
            <v>R 4021320050 Блок поршневой АВ 858-2</v>
          </cell>
          <cell r="C177" t="str">
            <v>шт</v>
          </cell>
          <cell r="J177">
            <v>75129</v>
          </cell>
          <cell r="K177">
            <v>90154</v>
          </cell>
          <cell r="L177" t="str">
            <v>-</v>
          </cell>
          <cell r="M177">
            <v>75129</v>
          </cell>
          <cell r="N177">
            <v>0</v>
          </cell>
          <cell r="O177">
            <v>0</v>
          </cell>
        </row>
        <row r="178">
          <cell r="A178">
            <v>2429080</v>
          </cell>
          <cell r="B178" t="str">
            <v>R 4021320060 Блок поршневой AB 998</v>
          </cell>
          <cell r="C178" t="str">
            <v>шт</v>
          </cell>
          <cell r="J178">
            <v>119898</v>
          </cell>
          <cell r="K178">
            <v>143877</v>
          </cell>
          <cell r="L178" t="str">
            <v>-</v>
          </cell>
          <cell r="M178">
            <v>119898</v>
          </cell>
          <cell r="N178">
            <v>0</v>
          </cell>
          <cell r="O178">
            <v>0</v>
          </cell>
        </row>
      </sheetData>
      <sheetData sheetId="2"/>
      <sheetData sheetId="3">
        <row r="9">
          <cell r="S9" t="str">
            <v>Опт</v>
          </cell>
          <cell r="T9" t="str">
            <v>Рек. Розница</v>
          </cell>
          <cell r="U9" t="str">
            <v>Наличие на складе</v>
          </cell>
          <cell r="V9" t="str">
            <v>Ваша скидка по теме</v>
          </cell>
          <cell r="W9" t="str">
            <v>Заказ</v>
          </cell>
          <cell r="X9" t="str">
            <v>Сумма</v>
          </cell>
        </row>
        <row r="10">
          <cell r="B10" t="str">
            <v>***</v>
          </cell>
          <cell r="C10" t="str">
            <v>***</v>
          </cell>
          <cell r="D10" t="str">
            <v>***</v>
          </cell>
          <cell r="E10" t="str">
            <v>***</v>
          </cell>
          <cell r="F10" t="str">
            <v>***</v>
          </cell>
          <cell r="G10" t="str">
            <v>***</v>
          </cell>
          <cell r="H10" t="str">
            <v>***</v>
          </cell>
          <cell r="I10" t="str">
            <v>***</v>
          </cell>
          <cell r="J10" t="str">
            <v>***</v>
          </cell>
          <cell r="K10" t="str">
            <v>***</v>
          </cell>
          <cell r="L10" t="str">
            <v>***</v>
          </cell>
          <cell r="M10" t="str">
            <v>***</v>
          </cell>
          <cell r="N10" t="str">
            <v>***</v>
          </cell>
          <cell r="O10" t="str">
            <v>***</v>
          </cell>
          <cell r="P10" t="str">
            <v>***</v>
          </cell>
          <cell r="Q10" t="str">
            <v>***</v>
          </cell>
          <cell r="R10" t="str">
            <v>***</v>
          </cell>
          <cell r="V10">
            <v>0</v>
          </cell>
        </row>
        <row r="11">
          <cell r="B11" t="str">
            <v>Код</v>
          </cell>
          <cell r="C11" t="str">
            <v>Бренд</v>
          </cell>
          <cell r="G11" t="str">
            <v>Наименование</v>
          </cell>
          <cell r="I11" t="str">
            <v>Ударный
механизм</v>
          </cell>
          <cell r="J11" t="str">
            <v>Просад.
квадрат
(Дюйм)</v>
          </cell>
          <cell r="K11" t="str">
            <v>Макс.крут.
момент
(Н·м)</v>
          </cell>
          <cell r="L11" t="str">
            <v>Макс.
Резьба
(мм)</v>
          </cell>
          <cell r="M11" t="str">
            <v>Скор. св.
вращ.
(об/мин)</v>
          </cell>
          <cell r="N11" t="str">
            <v>Вес
(Кг)</v>
          </cell>
          <cell r="O11" t="str">
            <v>Входной
диаметр 
(Дюйм)</v>
          </cell>
          <cell r="P11" t="str">
            <v>Диам.
Шланга
(мм)</v>
          </cell>
          <cell r="Q11" t="str">
            <v>Расход
воздуха
(л/мин)</v>
          </cell>
          <cell r="S11" t="str">
            <v>Опт</v>
          </cell>
          <cell r="T11" t="str">
            <v>Рек. Розница</v>
          </cell>
        </row>
        <row r="12">
          <cell r="B12" t="str">
            <v>УТ-00000401</v>
          </cell>
          <cell r="G12" t="str">
            <v>Гайковёрт ударный Remeza R-1200 (1/2"; 1200Нм; 185л/мин)</v>
          </cell>
          <cell r="I12" t="str">
            <v>Twin Hammer</v>
          </cell>
          <cell r="J12" t="str">
            <v>1/2</v>
          </cell>
          <cell r="K12">
            <v>1200</v>
          </cell>
          <cell r="M12">
            <v>6800</v>
          </cell>
          <cell r="N12">
            <v>2.25999999999999979</v>
          </cell>
          <cell r="O12" t="str">
            <v>1|4</v>
          </cell>
          <cell r="Q12">
            <v>185</v>
          </cell>
          <cell r="S12">
            <v>9834</v>
          </cell>
          <cell r="T12">
            <v>11802</v>
          </cell>
          <cell r="U12" t="str">
            <v>+</v>
          </cell>
          <cell r="V12">
            <v>9834</v>
          </cell>
          <cell r="X12">
            <v>0</v>
          </cell>
        </row>
        <row r="13">
          <cell r="B13" t="str">
            <v>УТ-00000402</v>
          </cell>
          <cell r="G13" t="str">
            <v>Гайковёрт ударный Remeza R-1400 (3/4"; 1400Нм; 200л/мин)</v>
          </cell>
          <cell r="I13" t="str">
            <v>Twin Hammer</v>
          </cell>
          <cell r="J13" t="str">
            <v>1/2</v>
          </cell>
          <cell r="K13">
            <v>1400</v>
          </cell>
          <cell r="M13">
            <v>6800</v>
          </cell>
          <cell r="N13">
            <v>2.29999999999999982</v>
          </cell>
          <cell r="O13" t="str">
            <v>1|4</v>
          </cell>
          <cell r="Q13">
            <v>200</v>
          </cell>
          <cell r="S13">
            <v>11207</v>
          </cell>
          <cell r="T13">
            <v>13449</v>
          </cell>
          <cell r="U13" t="str">
            <v>+</v>
          </cell>
          <cell r="V13">
            <v>11207</v>
          </cell>
          <cell r="X13">
            <v>0</v>
          </cell>
        </row>
        <row r="14">
          <cell r="B14" t="str">
            <v>Код</v>
          </cell>
          <cell r="C14" t="str">
            <v>Бренд</v>
          </cell>
          <cell r="G14" t="str">
            <v>Наименование</v>
          </cell>
          <cell r="I14" t="str">
            <v>Расходник</v>
          </cell>
          <cell r="J14" t="str">
            <v>Глубина
забивания
(мм)</v>
          </cell>
          <cell r="K14" t="str">
            <v>Калибр
пров.</v>
          </cell>
          <cell r="L14" t="str">
            <v>Ширина
шляпки
(мм)</v>
          </cell>
          <cell r="M14" t="str">
            <v>Сечение проволоки
(мм)</v>
          </cell>
          <cell r="N14" t="str">
            <v>Ёмкость
магазина
(шт)</v>
          </cell>
          <cell r="O14" t="str">
            <v>Вес
(Кг)</v>
          </cell>
          <cell r="P14" t="str">
            <v>Входной
диаметр 
(Дюйм)</v>
          </cell>
          <cell r="Q14" t="str">
            <v>Диам.
Шланга
(Дюйм)</v>
          </cell>
          <cell r="R14" t="str">
            <v>Расход
воздуха
(л/выстрел)</v>
          </cell>
          <cell r="S14" t="str">
            <v>Опт</v>
          </cell>
          <cell r="T14" t="str">
            <v>Рек. Розница</v>
          </cell>
        </row>
        <row r="15">
          <cell r="B15">
            <v>8154990</v>
          </cell>
          <cell r="G15" t="str">
            <v>Гвоздезабивной пистолет Remeza F18/30</v>
          </cell>
          <cell r="I15" t="str">
            <v>Гвоздь</v>
          </cell>
          <cell r="J15" t="str">
            <v>10-30</v>
          </cell>
          <cell r="K15">
            <v>18</v>
          </cell>
          <cell r="L15">
            <v>1.9</v>
          </cell>
          <cell r="M15" t="str">
            <v>1х1,25</v>
          </cell>
          <cell r="N15">
            <v>100</v>
          </cell>
          <cell r="O15">
            <v>1.10000000000000009</v>
          </cell>
          <cell r="P15" t="str">
            <v>3/8</v>
          </cell>
          <cell r="Q15" t="str">
            <v>3/8</v>
          </cell>
          <cell r="R15">
            <v>0.5</v>
          </cell>
          <cell r="S15">
            <v>4906</v>
          </cell>
          <cell r="T15">
            <v>5936</v>
          </cell>
          <cell r="U15" t="str">
            <v>+</v>
          </cell>
          <cell r="V15">
            <v>4906</v>
          </cell>
          <cell r="X15">
            <v>0</v>
          </cell>
        </row>
        <row r="16">
          <cell r="B16" t="str">
            <v>Код</v>
          </cell>
          <cell r="C16" t="str">
            <v>Бренд</v>
          </cell>
          <cell r="G16" t="str">
            <v>Наименование</v>
          </cell>
          <cell r="I16" t="str">
            <v>Механизм
включения</v>
          </cell>
          <cell r="K16" t="str">
            <v>Мощность
(Вт)</v>
          </cell>
          <cell r="L16" t="str">
            <v>Скор. св.
 вращ.
(об/мин)</v>
          </cell>
          <cell r="N16" t="str">
            <v>Вес
(Кг)</v>
          </cell>
          <cell r="O16" t="str">
            <v>Входной
диаметр 
(Дюйм)</v>
          </cell>
          <cell r="P16" t="str">
            <v>Диам.
Шланга
(Дюйм)</v>
          </cell>
          <cell r="Q16" t="str">
            <v>Расход
воздуха
(л/мин)</v>
          </cell>
          <cell r="S16" t="str">
            <v>Опт</v>
          </cell>
          <cell r="T16" t="str">
            <v>Рек. Розница</v>
          </cell>
        </row>
        <row r="17">
          <cell r="B17">
            <v>8154980</v>
          </cell>
          <cell r="G17" t="str">
            <v>Пневмомолоток  Remeza SR-M3008/H2 с набором зубил</v>
          </cell>
          <cell r="I17" t="str">
            <v>Шестигранный</v>
          </cell>
          <cell r="L17">
            <v>4300</v>
          </cell>
          <cell r="N17">
            <v>1.10000000000000009</v>
          </cell>
          <cell r="O17" t="str">
            <v>1/4</v>
          </cell>
          <cell r="P17" t="str">
            <v>3/8</v>
          </cell>
          <cell r="Q17">
            <v>90</v>
          </cell>
          <cell r="S17">
            <v>2715</v>
          </cell>
          <cell r="T17">
            <v>3259</v>
          </cell>
          <cell r="U17" t="str">
            <v>+</v>
          </cell>
          <cell r="V17">
            <v>2715</v>
          </cell>
          <cell r="X17">
            <v>0</v>
          </cell>
        </row>
        <row r="18">
          <cell r="B18" t="str">
            <v>Код</v>
          </cell>
          <cell r="C18" t="str">
            <v>Бренд</v>
          </cell>
          <cell r="G18" t="str">
            <v>Наименование</v>
          </cell>
          <cell r="I18" t="str">
            <v>Просад.
Размер
(мм)</v>
          </cell>
          <cell r="J18" t="str">
            <v>Диам. диска 
(мм)</v>
          </cell>
          <cell r="L18" t="str">
            <v>Скор. св.
 вращ.
(об/мин)</v>
          </cell>
          <cell r="N18" t="str">
            <v>Вес
(Кг)</v>
          </cell>
          <cell r="O18" t="str">
            <v>Входной
диаметр 
(Дюйм)</v>
          </cell>
          <cell r="P18" t="str">
            <v>Диам.
Шланга
(Дюйм)</v>
          </cell>
          <cell r="Q18" t="str">
            <v>Расход
воздуха
(л/мин)</v>
          </cell>
          <cell r="S18" t="str">
            <v>Опт</v>
          </cell>
          <cell r="T18" t="str">
            <v>Рек. Розница</v>
          </cell>
        </row>
        <row r="19">
          <cell r="B19">
            <v>8144880</v>
          </cell>
          <cell r="G19" t="str">
            <v>Пневмоуглошлифовальная машина 125мм Remeza SR-77374</v>
          </cell>
          <cell r="J19">
            <v>125</v>
          </cell>
          <cell r="L19">
            <v>11000</v>
          </cell>
          <cell r="N19">
            <v>1.10000000000000009</v>
          </cell>
          <cell r="O19" t="str">
            <v>3/8</v>
          </cell>
          <cell r="P19" t="str">
            <v>3/8</v>
          </cell>
          <cell r="Q19">
            <v>540</v>
          </cell>
          <cell r="S19">
            <v>6772</v>
          </cell>
          <cell r="T19">
            <v>8126</v>
          </cell>
          <cell r="U19" t="str">
            <v>+</v>
          </cell>
          <cell r="V19">
            <v>6772</v>
          </cell>
          <cell r="X19">
            <v>0</v>
          </cell>
        </row>
        <row r="20">
          <cell r="B20" t="str">
            <v>Код</v>
          </cell>
          <cell r="C20" t="str">
            <v>Бренд</v>
          </cell>
          <cell r="G20" t="str">
            <v>Наименование</v>
          </cell>
          <cell r="I20" t="str">
            <v>Ударный
механизм</v>
          </cell>
          <cell r="J20" t="str">
            <v>Просад.
квадрат
(Дюйм)</v>
          </cell>
          <cell r="K20" t="str">
            <v>Макс.крут.
момент
(Н·м)</v>
          </cell>
          <cell r="L20" t="str">
            <v>Макс.
Резьба
(мм)</v>
          </cell>
          <cell r="M20" t="str">
            <v>Скор. св.
вращ.
(об/мин)</v>
          </cell>
          <cell r="N20" t="str">
            <v>Вес
(Кг)</v>
          </cell>
          <cell r="O20" t="str">
            <v>Входной
диаметр 
(Дюйм)</v>
          </cell>
          <cell r="P20" t="str">
            <v>Диам.
Шланга
(мм)</v>
          </cell>
          <cell r="Q20" t="str">
            <v>Расход
воздуха
(л/мин)</v>
          </cell>
          <cell r="S20" t="str">
            <v>Опт</v>
          </cell>
          <cell r="T20" t="str">
            <v>Рек. Розница</v>
          </cell>
        </row>
        <row r="21">
          <cell r="B21" t="str">
            <v>УТ-00000588</v>
          </cell>
          <cell r="C21" t="str">
            <v>Sumake</v>
          </cell>
          <cell r="D21" t="str">
            <v>Пневматика</v>
          </cell>
          <cell r="E21" t="str">
            <v>Инструмент</v>
          </cell>
          <cell r="F21" t="str">
            <v>Гайковёрт</v>
          </cell>
          <cell r="G21" t="str">
            <v>Гайковёрт пневматический ударный 1/2" Sumake ST-IW1640 Twin Hammer (895-1152Нм; 480л/мин)</v>
          </cell>
          <cell r="I21" t="str">
            <v>Twin Hammer</v>
          </cell>
          <cell r="J21" t="str">
            <v>1/2</v>
          </cell>
          <cell r="S21">
            <v>14900</v>
          </cell>
          <cell r="T21">
            <v>18624</v>
          </cell>
          <cell r="U21" t="str">
            <v>-</v>
          </cell>
          <cell r="V21">
            <v>14900</v>
          </cell>
          <cell r="X21">
            <v>0</v>
          </cell>
        </row>
        <row r="22">
          <cell r="B22">
            <v>38593</v>
          </cell>
          <cell r="C22" t="str">
            <v>Sumake</v>
          </cell>
          <cell r="D22" t="str">
            <v>Пневматика</v>
          </cell>
          <cell r="E22" t="str">
            <v>Инструмент</v>
          </cell>
          <cell r="F22" t="str">
            <v>Гайковёрт</v>
          </cell>
          <cell r="G22" t="str">
            <v>Пневмогайковерт ST-55881-8  (1"  2439 Н·м  вал 8"  566 л/мин)</v>
          </cell>
          <cell r="H22" t="str">
            <v>IND</v>
          </cell>
          <cell r="I22" t="str">
            <v>Twin Hammer</v>
          </cell>
          <cell r="J22">
            <v>1</v>
          </cell>
          <cell r="K22">
            <v>2439</v>
          </cell>
          <cell r="L22" t="str">
            <v>M45</v>
          </cell>
          <cell r="M22">
            <v>4200</v>
          </cell>
          <cell r="N22">
            <v>10.5999999999999996</v>
          </cell>
          <cell r="O22" t="str">
            <v>1/2</v>
          </cell>
          <cell r="P22" t="str">
            <v>1/2</v>
          </cell>
          <cell r="Q22">
            <v>708</v>
          </cell>
          <cell r="S22">
            <v>64910</v>
          </cell>
          <cell r="T22">
            <v>80488</v>
          </cell>
          <cell r="U22" t="str">
            <v>+</v>
          </cell>
          <cell r="V22">
            <v>64910</v>
          </cell>
          <cell r="X22">
            <v>0</v>
          </cell>
        </row>
        <row r="23">
          <cell r="B23">
            <v>38592</v>
          </cell>
          <cell r="C23" t="str">
            <v>Sumake</v>
          </cell>
          <cell r="D23" t="str">
            <v>Пневматика</v>
          </cell>
          <cell r="E23" t="str">
            <v>Инструмент</v>
          </cell>
          <cell r="F23" t="str">
            <v>Гайковёрт</v>
          </cell>
          <cell r="G23" t="str">
            <v>Пневмогайковерт ST-55881  (1"  2439 Н·м  вал 1"  566 л/мин)</v>
          </cell>
          <cell r="H23" t="str">
            <v>IND</v>
          </cell>
          <cell r="I23" t="str">
            <v>Twin Hammer</v>
          </cell>
          <cell r="J23">
            <v>1</v>
          </cell>
          <cell r="K23">
            <v>2439</v>
          </cell>
          <cell r="L23" t="str">
            <v>M45</v>
          </cell>
          <cell r="M23">
            <v>4200</v>
          </cell>
          <cell r="N23">
            <v>9.19999999999999929</v>
          </cell>
          <cell r="O23" t="str">
            <v>1/2</v>
          </cell>
          <cell r="P23" t="str">
            <v>1/2</v>
          </cell>
          <cell r="Q23">
            <v>708</v>
          </cell>
          <cell r="S23">
            <v>66408</v>
          </cell>
          <cell r="T23">
            <v>83009</v>
          </cell>
          <cell r="U23" t="str">
            <v>-</v>
          </cell>
          <cell r="V23">
            <v>66408</v>
          </cell>
          <cell r="X23">
            <v>0</v>
          </cell>
        </row>
        <row r="24">
          <cell r="B24">
            <v>38594</v>
          </cell>
          <cell r="C24" t="str">
            <v>Sumake</v>
          </cell>
          <cell r="D24" t="str">
            <v>Пневматика</v>
          </cell>
          <cell r="E24" t="str">
            <v>Инструмент</v>
          </cell>
          <cell r="F24" t="str">
            <v>Гайковёрт</v>
          </cell>
          <cell r="G24" t="str">
            <v>Пневмогайковерт ST-55885Р  (1"  2170 Н·м  вал 1"  566 л/мин)</v>
          </cell>
          <cell r="H24" t="str">
            <v>PRO</v>
          </cell>
          <cell r="I24" t="str">
            <v>Twin Hammer</v>
          </cell>
          <cell r="J24">
            <v>1</v>
          </cell>
          <cell r="K24">
            <v>2439</v>
          </cell>
          <cell r="L24" t="str">
            <v>M45</v>
          </cell>
          <cell r="M24">
            <v>3500</v>
          </cell>
          <cell r="N24">
            <v>8.25</v>
          </cell>
          <cell r="O24" t="str">
            <v>1/2</v>
          </cell>
          <cell r="P24" t="str">
            <v>1/2</v>
          </cell>
          <cell r="Q24">
            <v>708</v>
          </cell>
          <cell r="S24">
            <v>38555</v>
          </cell>
          <cell r="T24">
            <v>48193</v>
          </cell>
          <cell r="U24" t="str">
            <v>+</v>
          </cell>
          <cell r="V24">
            <v>38555</v>
          </cell>
          <cell r="X24">
            <v>0</v>
          </cell>
        </row>
        <row r="25">
          <cell r="B25">
            <v>4117820</v>
          </cell>
          <cell r="C25" t="str">
            <v>Sumake</v>
          </cell>
          <cell r="D25" t="str">
            <v>Пневматика</v>
          </cell>
          <cell r="E25" t="str">
            <v>Инструмент</v>
          </cell>
          <cell r="F25" t="str">
            <v>Гайковёрт</v>
          </cell>
          <cell r="G25" t="str">
            <v>Пневмогайковерт ST-5596 (1") Twin Hammer</v>
          </cell>
          <cell r="H25" t="str">
            <v>PRO</v>
          </cell>
          <cell r="I25" t="str">
            <v>Twin Hammer</v>
          </cell>
          <cell r="J25">
            <v>1</v>
          </cell>
          <cell r="K25">
            <v>1882</v>
          </cell>
          <cell r="L25" t="str">
            <v>M32</v>
          </cell>
          <cell r="M25">
            <v>4000</v>
          </cell>
          <cell r="N25">
            <v>6.20000000000000018</v>
          </cell>
          <cell r="O25" t="str">
            <v>3/8</v>
          </cell>
          <cell r="P25" t="str">
            <v>3/8</v>
          </cell>
          <cell r="Q25">
            <v>708</v>
          </cell>
          <cell r="S25">
            <v>39333</v>
          </cell>
          <cell r="T25">
            <v>49166</v>
          </cell>
          <cell r="U25" t="str">
            <v>-</v>
          </cell>
          <cell r="V25">
            <v>39333</v>
          </cell>
          <cell r="X25">
            <v>0</v>
          </cell>
        </row>
        <row r="26">
          <cell r="B26">
            <v>636970</v>
          </cell>
          <cell r="C26" t="str">
            <v>Sumake</v>
          </cell>
          <cell r="D26" t="str">
            <v>Пневматика</v>
          </cell>
          <cell r="E26" t="str">
            <v>Аксессуар</v>
          </cell>
          <cell r="F26" t="str">
            <v>Гайковёрт</v>
          </cell>
          <cell r="G26" t="str">
            <v>Набор ударных головок SIS-8803  1"  (9шт.)  CR-MO</v>
          </cell>
          <cell r="H26" t="str">
            <v>REG</v>
          </cell>
          <cell r="I26" t="str">
            <v>Стандартные 24, 27, 30, 32, 35, 38, 41, 46, 50мм</v>
          </cell>
          <cell r="J26">
            <v>1</v>
          </cell>
          <cell r="S26">
            <v>13174</v>
          </cell>
          <cell r="T26">
            <v>17784</v>
          </cell>
          <cell r="U26" t="str">
            <v>+</v>
          </cell>
          <cell r="V26">
            <v>13174</v>
          </cell>
          <cell r="X26">
            <v>0</v>
          </cell>
        </row>
        <row r="27">
          <cell r="B27" t="str">
            <v>Код</v>
          </cell>
          <cell r="C27" t="str">
            <v>Бренд</v>
          </cell>
          <cell r="G27" t="str">
            <v>Наименование</v>
          </cell>
          <cell r="I27" t="str">
            <v>Ударный
механизм</v>
          </cell>
          <cell r="J27" t="str">
            <v>Просад.
квадрат
(Дюйм)</v>
          </cell>
          <cell r="K27" t="str">
            <v>Макс.крут.
момент
(Н·м)</v>
          </cell>
          <cell r="L27" t="str">
            <v>Макс.
Резьба
(мм)</v>
          </cell>
          <cell r="M27" t="str">
            <v>Скор. св.
вращ.
(об/мин)</v>
          </cell>
          <cell r="N27" t="str">
            <v>Вес
(Кг)</v>
          </cell>
          <cell r="O27" t="str">
            <v>Входной
диаметр 
(Дюйм)</v>
          </cell>
          <cell r="P27" t="str">
            <v>Диам.
Шланга
(Дюйм)</v>
          </cell>
          <cell r="Q27" t="str">
            <v>Расход
воздуха
(л/мин)</v>
          </cell>
          <cell r="S27" t="str">
            <v>Опт</v>
          </cell>
          <cell r="T27" t="str">
            <v>Рек. Розница</v>
          </cell>
        </row>
        <row r="28">
          <cell r="B28">
            <v>4117670</v>
          </cell>
          <cell r="C28" t="str">
            <v>Sumake</v>
          </cell>
          <cell r="D28" t="str">
            <v>Пневматика</v>
          </cell>
          <cell r="E28" t="str">
            <v>Инструмент</v>
          </cell>
          <cell r="F28" t="str">
            <v>Гайковёрт</v>
          </cell>
          <cell r="G28" t="str">
            <v>Пневмогайковерт ST-5577 (3/4") Тип Pin Clutch</v>
          </cell>
          <cell r="H28" t="str">
            <v>PRO</v>
          </cell>
          <cell r="I28" t="str">
            <v>Pin Clutch</v>
          </cell>
          <cell r="J28" t="str">
            <v>3/4</v>
          </cell>
          <cell r="K28">
            <v>1763</v>
          </cell>
          <cell r="L28" t="str">
            <v>M30</v>
          </cell>
          <cell r="M28">
            <v>4500</v>
          </cell>
          <cell r="N28">
            <v>6.09999999999999964</v>
          </cell>
          <cell r="O28" t="str">
            <v>1/4</v>
          </cell>
          <cell r="P28" t="str">
            <v>3/8</v>
          </cell>
          <cell r="Q28">
            <v>540</v>
          </cell>
          <cell r="S28">
            <v>26318</v>
          </cell>
          <cell r="T28">
            <v>32896</v>
          </cell>
          <cell r="U28" t="str">
            <v>-</v>
          </cell>
          <cell r="V28">
            <v>26318</v>
          </cell>
          <cell r="X28">
            <v>0</v>
          </cell>
        </row>
        <row r="29">
          <cell r="B29">
            <v>7345</v>
          </cell>
          <cell r="C29" t="str">
            <v>Sumake</v>
          </cell>
          <cell r="D29" t="str">
            <v>Пневматика</v>
          </cell>
          <cell r="E29" t="str">
            <v>Инструмент</v>
          </cell>
          <cell r="F29" t="str">
            <v>Гайковёрт</v>
          </cell>
          <cell r="G29" t="str">
            <v>Пневмогайковерт ST-6660  3/4"  1491Нм</v>
          </cell>
          <cell r="H29" t="str">
            <v>IND</v>
          </cell>
          <cell r="I29" t="str">
            <v>Twin Hammer</v>
          </cell>
          <cell r="J29" t="str">
            <v>3/4</v>
          </cell>
          <cell r="K29">
            <v>1491</v>
          </cell>
          <cell r="L29" t="str">
            <v>M30</v>
          </cell>
          <cell r="M29">
            <v>5500</v>
          </cell>
          <cell r="N29">
            <v>5.59999999999999964</v>
          </cell>
          <cell r="O29" t="str">
            <v>3/8</v>
          </cell>
          <cell r="P29" t="str">
            <v>1/2</v>
          </cell>
          <cell r="Q29">
            <v>540</v>
          </cell>
          <cell r="S29">
            <v>49285</v>
          </cell>
          <cell r="T29">
            <v>61607</v>
          </cell>
          <cell r="U29" t="str">
            <v>-</v>
          </cell>
          <cell r="V29">
            <v>49285</v>
          </cell>
          <cell r="X29">
            <v>0</v>
          </cell>
        </row>
        <row r="30">
          <cell r="B30">
            <v>4117800</v>
          </cell>
          <cell r="C30" t="str">
            <v>Sumake</v>
          </cell>
          <cell r="D30" t="str">
            <v>Пневматика</v>
          </cell>
          <cell r="E30" t="str">
            <v>Инструмент</v>
          </cell>
          <cell r="F30" t="str">
            <v>Гайковёрт</v>
          </cell>
          <cell r="G30" t="str">
            <v>Пневмогайковерт ST-5578 (3/4") Twin Hammer</v>
          </cell>
          <cell r="H30" t="str">
            <v>PRO</v>
          </cell>
          <cell r="I30" t="str">
            <v>Twin Hammer</v>
          </cell>
          <cell r="J30" t="str">
            <v>3/4</v>
          </cell>
          <cell r="K30">
            <v>1356</v>
          </cell>
          <cell r="L30" t="str">
            <v>M25</v>
          </cell>
          <cell r="M30">
            <v>4800</v>
          </cell>
          <cell r="N30">
            <v>4</v>
          </cell>
          <cell r="O30" t="str">
            <v>1/4</v>
          </cell>
          <cell r="P30" t="str">
            <v>3/8</v>
          </cell>
          <cell r="Q30">
            <v>540</v>
          </cell>
          <cell r="S30">
            <v>21247</v>
          </cell>
          <cell r="T30">
            <v>26347</v>
          </cell>
          <cell r="U30" t="str">
            <v>+</v>
          </cell>
          <cell r="V30">
            <v>21247</v>
          </cell>
          <cell r="X30">
            <v>0</v>
          </cell>
        </row>
        <row r="31">
          <cell r="B31">
            <v>4117500</v>
          </cell>
          <cell r="C31" t="str">
            <v>Sumake</v>
          </cell>
          <cell r="D31" t="str">
            <v>Пневматика</v>
          </cell>
          <cell r="E31" t="str">
            <v>Инструмент</v>
          </cell>
          <cell r="F31" t="str">
            <v>Гайковёрт</v>
          </cell>
          <cell r="G31" t="str">
            <v>Пневмогайковерт ST-5579 (3/4") Тип Pin Clutch</v>
          </cell>
          <cell r="H31" t="str">
            <v>PRO</v>
          </cell>
          <cell r="I31" t="str">
            <v>Pin Clutch</v>
          </cell>
          <cell r="J31" t="str">
            <v>3/4</v>
          </cell>
          <cell r="K31">
            <v>1356</v>
          </cell>
          <cell r="L31" t="str">
            <v>M26</v>
          </cell>
          <cell r="M31">
            <v>5000</v>
          </cell>
          <cell r="N31">
            <v>4.70000000000000018</v>
          </cell>
          <cell r="O31" t="str">
            <v>1/4</v>
          </cell>
          <cell r="P31" t="str">
            <v>3/8</v>
          </cell>
          <cell r="Q31">
            <v>540</v>
          </cell>
          <cell r="S31">
            <v>18528</v>
          </cell>
          <cell r="T31">
            <v>23160</v>
          </cell>
          <cell r="U31" t="str">
            <v>+</v>
          </cell>
          <cell r="V31">
            <v>18528</v>
          </cell>
          <cell r="X31">
            <v>0</v>
          </cell>
        </row>
        <row r="32">
          <cell r="B32">
            <v>39960</v>
          </cell>
          <cell r="C32" t="str">
            <v>Sumake</v>
          </cell>
          <cell r="D32" t="str">
            <v>Пневматика</v>
          </cell>
          <cell r="E32" t="str">
            <v>Инструмент</v>
          </cell>
          <cell r="F32" t="str">
            <v>Гайковёрт</v>
          </cell>
          <cell r="G32" t="str">
            <v>Пневмогайковерт ST-5561  (3/4", 948Нм)</v>
          </cell>
          <cell r="H32" t="str">
            <v>PRO</v>
          </cell>
          <cell r="I32" t="str">
            <v>Pin Clutch</v>
          </cell>
          <cell r="J32" t="str">
            <v>3/4</v>
          </cell>
          <cell r="K32">
            <v>948</v>
          </cell>
          <cell r="L32" t="str">
            <v>M25</v>
          </cell>
          <cell r="M32">
            <v>4500</v>
          </cell>
          <cell r="N32">
            <v>4.5</v>
          </cell>
          <cell r="O32" t="str">
            <v>1/4</v>
          </cell>
          <cell r="P32" t="str">
            <v>3/8</v>
          </cell>
          <cell r="Q32">
            <v>540</v>
          </cell>
          <cell r="S32">
            <v>18152</v>
          </cell>
          <cell r="T32">
            <v>22690</v>
          </cell>
          <cell r="U32" t="str">
            <v>-</v>
          </cell>
          <cell r="V32">
            <v>18152</v>
          </cell>
          <cell r="X32">
            <v>0</v>
          </cell>
        </row>
        <row r="33">
          <cell r="B33">
            <v>636980</v>
          </cell>
          <cell r="C33" t="str">
            <v>Sumake</v>
          </cell>
          <cell r="D33" t="str">
            <v>Пневматика</v>
          </cell>
          <cell r="E33" t="str">
            <v>Аксессуар</v>
          </cell>
          <cell r="F33" t="str">
            <v>Гайковёрт</v>
          </cell>
          <cell r="G33" t="str">
            <v>Набор ударных головок SIS-6601  3/4"  (8шт.)  CR-MO удл.</v>
          </cell>
          <cell r="H33" t="str">
            <v>PRO</v>
          </cell>
          <cell r="I33" t="str">
            <v>Высокие 26, 27, 29, 30, 32, 35, 36, 38мм</v>
          </cell>
          <cell r="J33" t="str">
            <v>3/4</v>
          </cell>
          <cell r="S33">
            <v>10160</v>
          </cell>
          <cell r="T33">
            <v>13717</v>
          </cell>
          <cell r="U33" t="str">
            <v>+</v>
          </cell>
          <cell r="V33">
            <v>10160</v>
          </cell>
          <cell r="X33">
            <v>0</v>
          </cell>
        </row>
        <row r="34">
          <cell r="B34">
            <v>636990</v>
          </cell>
          <cell r="C34" t="str">
            <v>Sumake</v>
          </cell>
          <cell r="D34" t="str">
            <v>Пневматика</v>
          </cell>
          <cell r="E34" t="str">
            <v>Аксессуар</v>
          </cell>
          <cell r="F34" t="str">
            <v>Гайковёрт</v>
          </cell>
          <cell r="G34" t="str">
            <v>Набор ударных головок SIS-6603  3/4"  (8шт.)  CR-MO</v>
          </cell>
          <cell r="H34" t="str">
            <v>PRO</v>
          </cell>
          <cell r="I34" t="str">
            <v>Стандартные 26, 27, 29, 30, 32, 35, 36, 38мм</v>
          </cell>
          <cell r="J34" t="str">
            <v>3/4</v>
          </cell>
          <cell r="S34">
            <v>5943</v>
          </cell>
          <cell r="T34">
            <v>8024</v>
          </cell>
          <cell r="U34" t="str">
            <v>+</v>
          </cell>
          <cell r="V34">
            <v>5943</v>
          </cell>
          <cell r="X34">
            <v>0</v>
          </cell>
        </row>
        <row r="35">
          <cell r="B35" t="str">
            <v>Код</v>
          </cell>
          <cell r="C35" t="str">
            <v>Бренд</v>
          </cell>
          <cell r="G35" t="str">
            <v>Наименование</v>
          </cell>
          <cell r="I35" t="str">
            <v>Ударный
механизм</v>
          </cell>
          <cell r="J35" t="str">
            <v>Просад.
квадрат
(Дюйм)</v>
          </cell>
          <cell r="K35" t="str">
            <v>Макс.крут.
момент
(Н·м)</v>
          </cell>
          <cell r="L35" t="str">
            <v>Макс.
Резьба
(мм)</v>
          </cell>
          <cell r="M35" t="str">
            <v>Скор. св.
вращ.
(об/мин)</v>
          </cell>
          <cell r="N35" t="str">
            <v>Вес
(Кг)</v>
          </cell>
          <cell r="O35" t="str">
            <v>Входной
диаметр 
(Дюйм)</v>
          </cell>
          <cell r="P35" t="str">
            <v>Диам.
Шланга
(Дюйм)</v>
          </cell>
          <cell r="Q35" t="str">
            <v>Расход
воздуха
(л/мин)</v>
          </cell>
          <cell r="S35" t="str">
            <v>Опт</v>
          </cell>
          <cell r="T35" t="str">
            <v>Рек. Розница</v>
          </cell>
        </row>
        <row r="36">
          <cell r="B36">
            <v>8094960</v>
          </cell>
          <cell r="C36" t="str">
            <v>Sumake</v>
          </cell>
          <cell r="D36" t="str">
            <v>Пневматика</v>
          </cell>
          <cell r="E36" t="str">
            <v>Инструмент</v>
          </cell>
          <cell r="F36" t="str">
            <v>Гайковёрт</v>
          </cell>
          <cell r="G36" t="str">
            <v>Пневмогайковёрт ST-C554 1/2'', 1355Нм</v>
          </cell>
          <cell r="H36" t="str">
            <v>IND</v>
          </cell>
          <cell r="I36" t="str">
            <v>Twin Hammer</v>
          </cell>
          <cell r="J36" t="str">
            <v>1/2</v>
          </cell>
          <cell r="K36">
            <v>1355</v>
          </cell>
          <cell r="L36" t="str">
            <v>M21</v>
          </cell>
          <cell r="M36">
            <v>8500</v>
          </cell>
          <cell r="N36">
            <v>2.10000000000000009</v>
          </cell>
          <cell r="O36" t="str">
            <v>1/4</v>
          </cell>
          <cell r="P36" t="str">
            <v>3/8</v>
          </cell>
          <cell r="Q36">
            <v>480</v>
          </cell>
          <cell r="S36">
            <v>12342</v>
          </cell>
          <cell r="T36">
            <v>15503</v>
          </cell>
          <cell r="U36" t="str">
            <v>+</v>
          </cell>
          <cell r="V36">
            <v>12342</v>
          </cell>
          <cell r="X36">
            <v>0</v>
          </cell>
        </row>
        <row r="37">
          <cell r="B37">
            <v>38699</v>
          </cell>
          <cell r="C37" t="str">
            <v>Sumake</v>
          </cell>
          <cell r="D37" t="str">
            <v>Пневматика</v>
          </cell>
          <cell r="E37" t="str">
            <v>Инструмент</v>
          </cell>
          <cell r="F37" t="str">
            <v>Гайковёрт</v>
          </cell>
          <cell r="G37" t="str">
            <v>Пневмогайковерт ST-55444 (1/2", 813 Нм)</v>
          </cell>
          <cell r="H37" t="str">
            <v>IND</v>
          </cell>
          <cell r="I37" t="str">
            <v>Twin Hammer</v>
          </cell>
          <cell r="J37" t="str">
            <v>1/2</v>
          </cell>
          <cell r="K37">
            <v>813</v>
          </cell>
          <cell r="L37" t="str">
            <v>M16</v>
          </cell>
          <cell r="M37">
            <v>6500</v>
          </cell>
          <cell r="N37">
            <v>2.79999999999999982</v>
          </cell>
          <cell r="O37" t="str">
            <v>1/4</v>
          </cell>
          <cell r="P37" t="str">
            <v>3/8</v>
          </cell>
          <cell r="Q37">
            <v>480</v>
          </cell>
          <cell r="S37">
            <v>14527</v>
          </cell>
          <cell r="T37">
            <v>18013</v>
          </cell>
          <cell r="U37" t="str">
            <v>+</v>
          </cell>
          <cell r="V37">
            <v>14527</v>
          </cell>
          <cell r="X37">
            <v>0</v>
          </cell>
        </row>
        <row r="38">
          <cell r="B38">
            <v>8094970</v>
          </cell>
          <cell r="C38" t="str">
            <v>Sumake</v>
          </cell>
          <cell r="D38" t="str">
            <v>Пневматика</v>
          </cell>
          <cell r="E38" t="str">
            <v>Инструмент</v>
          </cell>
          <cell r="F38" t="str">
            <v>Гайковёрт</v>
          </cell>
          <cell r="G38" t="str">
            <v>Пневмогайковёрт ST-5544SH (1/2'', 624Нм)</v>
          </cell>
          <cell r="H38" t="str">
            <v>PRO</v>
          </cell>
          <cell r="I38" t="str">
            <v>Twin Hammer</v>
          </cell>
          <cell r="J38" t="str">
            <v>1/2</v>
          </cell>
          <cell r="K38">
            <v>624</v>
          </cell>
          <cell r="L38" t="str">
            <v>M16</v>
          </cell>
          <cell r="M38">
            <v>8000</v>
          </cell>
          <cell r="N38">
            <v>2.60000000000000009</v>
          </cell>
          <cell r="O38" t="str">
            <v>1/4</v>
          </cell>
          <cell r="P38" t="str">
            <v>3/8</v>
          </cell>
          <cell r="Q38">
            <v>480</v>
          </cell>
          <cell r="S38">
            <v>11170</v>
          </cell>
          <cell r="T38">
            <v>13962</v>
          </cell>
          <cell r="U38" t="str">
            <v>+</v>
          </cell>
          <cell r="V38">
            <v>11170</v>
          </cell>
          <cell r="X38">
            <v>0</v>
          </cell>
        </row>
        <row r="39">
          <cell r="B39">
            <v>8094580</v>
          </cell>
          <cell r="C39" t="str">
            <v>Sumake</v>
          </cell>
          <cell r="D39" t="str">
            <v>Пневматика</v>
          </cell>
          <cell r="E39" t="str">
            <v>Инструмент</v>
          </cell>
          <cell r="F39" t="str">
            <v>Гайковёрт</v>
          </cell>
          <cell r="G39" t="str">
            <v>Пневмогайковёрт ST-C541 1/2'', 542Нм</v>
          </cell>
          <cell r="H39" t="str">
            <v>PRO</v>
          </cell>
          <cell r="I39" t="str">
            <v>Twin Hammer</v>
          </cell>
          <cell r="J39" t="str">
            <v>1/2</v>
          </cell>
          <cell r="K39">
            <v>542</v>
          </cell>
          <cell r="L39" t="str">
            <v>M16</v>
          </cell>
          <cell r="M39">
            <v>10000</v>
          </cell>
          <cell r="N39">
            <v>1.19999999999999996</v>
          </cell>
          <cell r="O39" t="str">
            <v>1/4</v>
          </cell>
          <cell r="P39" t="str">
            <v>3/8</v>
          </cell>
          <cell r="Q39">
            <v>430</v>
          </cell>
          <cell r="S39">
            <v>14150</v>
          </cell>
          <cell r="T39">
            <v>17688</v>
          </cell>
          <cell r="U39" t="str">
            <v>+</v>
          </cell>
          <cell r="V39">
            <v>14150</v>
          </cell>
          <cell r="X39">
            <v>0</v>
          </cell>
        </row>
        <row r="40">
          <cell r="B40">
            <v>8094980</v>
          </cell>
          <cell r="C40" t="str">
            <v>Sumake</v>
          </cell>
          <cell r="D40" t="str">
            <v>Пневматика</v>
          </cell>
          <cell r="E40" t="str">
            <v>Инструмент</v>
          </cell>
          <cell r="F40" t="str">
            <v>Гайковёрт</v>
          </cell>
          <cell r="G40" t="str">
            <v>Пневмогайковёрт ST-M3007 1/2'', 542Нм</v>
          </cell>
          <cell r="H40" t="str">
            <v>REG</v>
          </cell>
          <cell r="I40" t="str">
            <v>Twin Hammer</v>
          </cell>
          <cell r="J40" t="str">
            <v>1/2</v>
          </cell>
          <cell r="K40">
            <v>542</v>
          </cell>
          <cell r="L40" t="str">
            <v>M19</v>
          </cell>
          <cell r="M40">
            <v>6500</v>
          </cell>
          <cell r="N40">
            <v>2.10000000000000009</v>
          </cell>
          <cell r="O40" t="str">
            <v>1/4</v>
          </cell>
          <cell r="P40" t="str">
            <v>3/8</v>
          </cell>
          <cell r="Q40">
            <v>480</v>
          </cell>
          <cell r="S40">
            <v>9098</v>
          </cell>
          <cell r="T40">
            <v>11371</v>
          </cell>
          <cell r="U40" t="str">
            <v>+</v>
          </cell>
          <cell r="V40">
            <v>9098</v>
          </cell>
          <cell r="X40">
            <v>0</v>
          </cell>
        </row>
        <row r="41">
          <cell r="B41">
            <v>8094990</v>
          </cell>
          <cell r="C41" t="str">
            <v>Sumake</v>
          </cell>
          <cell r="D41" t="str">
            <v>Пневматика</v>
          </cell>
          <cell r="E41" t="str">
            <v>Инструмент</v>
          </cell>
          <cell r="F41" t="str">
            <v>Гайковёрт</v>
          </cell>
          <cell r="G41" t="str">
            <v>Пневмогайковёрт ST-M1001 1/2'', 378Нм</v>
          </cell>
          <cell r="H41" t="str">
            <v>DIY</v>
          </cell>
          <cell r="I41" t="str">
            <v>Rocking dog</v>
          </cell>
          <cell r="J41" t="str">
            <v>1/2</v>
          </cell>
          <cell r="K41">
            <v>378</v>
          </cell>
          <cell r="L41" t="str">
            <v>M16</v>
          </cell>
          <cell r="M41">
            <v>7200</v>
          </cell>
          <cell r="N41">
            <v>2.10000000000000009</v>
          </cell>
          <cell r="O41" t="str">
            <v>1/4</v>
          </cell>
          <cell r="P41" t="str">
            <v>3/8</v>
          </cell>
          <cell r="Q41">
            <v>480</v>
          </cell>
          <cell r="S41">
            <v>5438</v>
          </cell>
          <cell r="T41">
            <v>6798</v>
          </cell>
          <cell r="U41" t="str">
            <v>+</v>
          </cell>
          <cell r="V41">
            <v>5438</v>
          </cell>
          <cell r="X41">
            <v>0</v>
          </cell>
        </row>
        <row r="42">
          <cell r="B42">
            <v>11221</v>
          </cell>
          <cell r="C42" t="str">
            <v>Sumake</v>
          </cell>
          <cell r="D42" t="str">
            <v>Пневматика</v>
          </cell>
          <cell r="E42" t="str">
            <v>Инструмент</v>
          </cell>
          <cell r="F42" t="str">
            <v>Гайковёрт</v>
          </cell>
          <cell r="G42" t="str">
            <v>Пневмогайковерт ST-5540  (1/2"  311Нм)  </v>
          </cell>
          <cell r="H42" t="str">
            <v>DIY</v>
          </cell>
          <cell r="I42" t="str">
            <v>Rocking dog</v>
          </cell>
          <cell r="J42" t="str">
            <v>1/2</v>
          </cell>
          <cell r="K42">
            <v>311</v>
          </cell>
          <cell r="L42" t="str">
            <v>M16</v>
          </cell>
          <cell r="M42">
            <v>7000</v>
          </cell>
          <cell r="N42">
            <v>2.10000000000000009</v>
          </cell>
          <cell r="O42" t="str">
            <v>1/4</v>
          </cell>
          <cell r="P42" t="str">
            <v>3/8</v>
          </cell>
          <cell r="Q42">
            <v>480</v>
          </cell>
          <cell r="S42">
            <v>4454</v>
          </cell>
          <cell r="T42">
            <v>5567</v>
          </cell>
          <cell r="U42" t="str">
            <v>+</v>
          </cell>
          <cell r="V42">
            <v>4454</v>
          </cell>
          <cell r="X42">
            <v>0</v>
          </cell>
        </row>
        <row r="43">
          <cell r="B43">
            <v>637000</v>
          </cell>
          <cell r="C43" t="str">
            <v>Sumake</v>
          </cell>
          <cell r="D43" t="str">
            <v>Пневматика</v>
          </cell>
          <cell r="E43" t="str">
            <v>Аксессуар</v>
          </cell>
          <cell r="F43" t="str">
            <v>Гайковёрт</v>
          </cell>
          <cell r="G43" t="str">
            <v>Набор ударных головок SIS-4401  1/2"  (10шт.)  CR-VA удл.</v>
          </cell>
          <cell r="H43" t="str">
            <v>PRO</v>
          </cell>
          <cell r="I43" t="str">
            <v>Высокие CR-VA 11, 12, 13, 14, 16, 17, 19, 21, 22, 24мм</v>
          </cell>
          <cell r="J43" t="str">
            <v>1/2</v>
          </cell>
          <cell r="S43">
            <v>2977</v>
          </cell>
          <cell r="T43">
            <v>4019</v>
          </cell>
          <cell r="U43" t="str">
            <v>+</v>
          </cell>
          <cell r="V43">
            <v>2977</v>
          </cell>
          <cell r="X43">
            <v>0</v>
          </cell>
        </row>
        <row r="44">
          <cell r="B44">
            <v>637010</v>
          </cell>
          <cell r="C44" t="str">
            <v>Sumake</v>
          </cell>
          <cell r="D44" t="str">
            <v>Пневматика</v>
          </cell>
          <cell r="E44" t="str">
            <v>Аксессуар</v>
          </cell>
          <cell r="F44" t="str">
            <v>Гайковёрт</v>
          </cell>
          <cell r="G44" t="str">
            <v>Набор ударных головок SIS-4403  1/2"  (10шт.)  CR-VA</v>
          </cell>
          <cell r="H44" t="str">
            <v>PRO</v>
          </cell>
          <cell r="I44" t="str">
            <v>Стандартные CR-VA 11, 12, 13, 14, 16, 17, 19, 21, 22, 24мм</v>
          </cell>
          <cell r="J44" t="str">
            <v>1/2</v>
          </cell>
          <cell r="S44">
            <v>1788</v>
          </cell>
          <cell r="T44">
            <v>2411</v>
          </cell>
          <cell r="U44" t="str">
            <v>+</v>
          </cell>
          <cell r="V44">
            <v>1788</v>
          </cell>
          <cell r="X44">
            <v>0</v>
          </cell>
        </row>
        <row r="45">
          <cell r="B45" t="str">
            <v>Код</v>
          </cell>
          <cell r="C45" t="str">
            <v>Бренд</v>
          </cell>
          <cell r="G45" t="str">
            <v>Наименование</v>
          </cell>
          <cell r="I45" t="str">
            <v>Ударный
механизм</v>
          </cell>
          <cell r="J45" t="str">
            <v>Просад.
квадрат
(Дюйм)</v>
          </cell>
          <cell r="K45" t="str">
            <v>Макс.крут.
момент
(Н·м)</v>
          </cell>
          <cell r="L45" t="str">
            <v>Макс.
Резьба
(мм)</v>
          </cell>
          <cell r="M45" t="str">
            <v>Скор. св.
вращ.
(об/мин)</v>
          </cell>
          <cell r="N45" t="str">
            <v>Вес
(Кг)</v>
          </cell>
          <cell r="O45" t="str">
            <v>Входной
диаметр 
(Дюйм)</v>
          </cell>
          <cell r="P45" t="str">
            <v>Диам.
Шланга
(Дюйм)</v>
          </cell>
          <cell r="Q45" t="str">
            <v>Расход
воздуха
(л/мин)</v>
          </cell>
          <cell r="S45" t="str">
            <v>Опт</v>
          </cell>
          <cell r="T45" t="str">
            <v>Рек. Розница</v>
          </cell>
        </row>
        <row r="46">
          <cell r="B46">
            <v>8095000</v>
          </cell>
          <cell r="C46" t="str">
            <v>Sumake</v>
          </cell>
          <cell r="D46" t="str">
            <v>Пневматика</v>
          </cell>
          <cell r="E46" t="str">
            <v>Набор</v>
          </cell>
          <cell r="F46" t="str">
            <v>Гайковёрт</v>
          </cell>
          <cell r="G46" t="str">
            <v>Пневмогайковёрт ST-5567K 3/4'', 1016Нм с набором головок</v>
          </cell>
          <cell r="H46" t="str">
            <v>PRO</v>
          </cell>
          <cell r="I46" t="str">
            <v>Twin Hammer</v>
          </cell>
          <cell r="J46" t="str">
            <v>3/4</v>
          </cell>
          <cell r="K46">
            <v>1016</v>
          </cell>
          <cell r="L46" t="str">
            <v>M21</v>
          </cell>
          <cell r="M46">
            <v>6300</v>
          </cell>
          <cell r="O46" t="str">
            <v>1/4</v>
          </cell>
          <cell r="P46" t="str">
            <v>3/8</v>
          </cell>
          <cell r="Q46">
            <v>540</v>
          </cell>
          <cell r="S46">
            <v>31447</v>
          </cell>
          <cell r="T46">
            <v>39309</v>
          </cell>
          <cell r="U46" t="str">
            <v>-</v>
          </cell>
          <cell r="V46">
            <v>31447</v>
          </cell>
          <cell r="X46">
            <v>0</v>
          </cell>
        </row>
        <row r="47">
          <cell r="B47">
            <v>7342</v>
          </cell>
          <cell r="C47" t="str">
            <v>Sumake</v>
          </cell>
          <cell r="D47" t="str">
            <v>Пневматика</v>
          </cell>
          <cell r="E47" t="str">
            <v>Набор</v>
          </cell>
          <cell r="F47" t="str">
            <v>Гайковёрт</v>
          </cell>
          <cell r="G47" t="str">
            <v>Пневмогайковерт ST-5561K 3/4", 948 Нм с набором головок</v>
          </cell>
          <cell r="H47" t="str">
            <v>REG</v>
          </cell>
          <cell r="I47" t="str">
            <v>Pin Clutch</v>
          </cell>
          <cell r="J47" t="str">
            <v>3/4</v>
          </cell>
          <cell r="K47">
            <v>948</v>
          </cell>
          <cell r="L47" t="str">
            <v>M25</v>
          </cell>
          <cell r="M47">
            <v>4500</v>
          </cell>
          <cell r="O47" t="str">
            <v>1/4</v>
          </cell>
          <cell r="P47" t="str">
            <v>3/8</v>
          </cell>
          <cell r="Q47">
            <v>540</v>
          </cell>
          <cell r="S47">
            <v>24656</v>
          </cell>
          <cell r="T47">
            <v>30820</v>
          </cell>
          <cell r="U47" t="str">
            <v>+</v>
          </cell>
          <cell r="V47">
            <v>24656</v>
          </cell>
          <cell r="X47">
            <v>0</v>
          </cell>
        </row>
        <row r="48">
          <cell r="B48">
            <v>8095030</v>
          </cell>
          <cell r="C48" t="str">
            <v>Sumake</v>
          </cell>
          <cell r="D48" t="str">
            <v>Пневматика</v>
          </cell>
          <cell r="E48" t="str">
            <v>Набор</v>
          </cell>
          <cell r="F48" t="str">
            <v>Гайковёрт</v>
          </cell>
          <cell r="G48" t="str">
            <v>Пневмогайковёрт ST-M1001K 1/2'', 378Нм с набором головок</v>
          </cell>
          <cell r="H48" t="str">
            <v>DIY</v>
          </cell>
          <cell r="I48" t="str">
            <v>Rocking dog</v>
          </cell>
          <cell r="J48" t="str">
            <v>1/2</v>
          </cell>
          <cell r="K48">
            <v>378</v>
          </cell>
          <cell r="L48">
            <v>0</v>
          </cell>
          <cell r="M48">
            <v>7200</v>
          </cell>
          <cell r="O48" t="str">
            <v>1/4</v>
          </cell>
          <cell r="P48" t="str">
            <v>3/8</v>
          </cell>
          <cell r="Q48">
            <v>480</v>
          </cell>
          <cell r="S48">
            <v>7592</v>
          </cell>
          <cell r="T48">
            <v>9335</v>
          </cell>
          <cell r="U48" t="str">
            <v>+</v>
          </cell>
          <cell r="V48">
            <v>7592</v>
          </cell>
          <cell r="X48">
            <v>0</v>
          </cell>
        </row>
        <row r="49">
          <cell r="B49">
            <v>9652</v>
          </cell>
          <cell r="C49" t="str">
            <v>Sumake</v>
          </cell>
          <cell r="D49" t="str">
            <v>Пневматика</v>
          </cell>
          <cell r="E49" t="str">
            <v>Набор</v>
          </cell>
          <cell r="F49" t="str">
            <v>Гайковёрт</v>
          </cell>
          <cell r="G49" t="str">
            <v>Пневмогайковерт ST-5540K  (1/2", 311Нм ) с набором головок в пластиковом кейсе</v>
          </cell>
          <cell r="H49" t="str">
            <v>DIY</v>
          </cell>
          <cell r="I49" t="str">
            <v>Rocking dog</v>
          </cell>
          <cell r="J49" t="str">
            <v>1/2</v>
          </cell>
          <cell r="K49">
            <v>311</v>
          </cell>
          <cell r="L49" t="str">
            <v>M16</v>
          </cell>
          <cell r="M49">
            <v>7000</v>
          </cell>
          <cell r="O49" t="str">
            <v>1/4</v>
          </cell>
          <cell r="P49" t="str">
            <v>3/8</v>
          </cell>
          <cell r="Q49">
            <v>480</v>
          </cell>
          <cell r="S49">
            <v>6084</v>
          </cell>
          <cell r="T49">
            <v>7605</v>
          </cell>
          <cell r="U49" t="str">
            <v>-</v>
          </cell>
          <cell r="V49">
            <v>6084</v>
          </cell>
          <cell r="X49">
            <v>0</v>
          </cell>
        </row>
        <row r="50">
          <cell r="B50" t="str">
            <v>Код</v>
          </cell>
          <cell r="C50" t="str">
            <v>Бренд</v>
          </cell>
          <cell r="G50" t="str">
            <v>Наименование</v>
          </cell>
          <cell r="J50" t="str">
            <v>Просадочный
размер
(дюйм)</v>
          </cell>
          <cell r="K50" t="str">
            <v>Макс.крут.
момент
(Н·м)</v>
          </cell>
          <cell r="L50" t="str">
            <v>Макс. Резьба
(мм)</v>
          </cell>
          <cell r="M50" t="str">
            <v>Скор. св.
вращ.
(об/мин)</v>
          </cell>
          <cell r="N50" t="str">
            <v>Вес
(Кг)</v>
          </cell>
          <cell r="O50" t="str">
            <v>Входной
диаметр 
(Дюйм)</v>
          </cell>
          <cell r="P50" t="str">
            <v>Диам.
Шланга
(Дюйм)</v>
          </cell>
          <cell r="Q50" t="str">
            <v>Расход
воздуха
(л/мин)</v>
          </cell>
          <cell r="S50" t="str">
            <v>Опт</v>
          </cell>
          <cell r="T50" t="str">
            <v>Рек. Розница</v>
          </cell>
        </row>
        <row r="51">
          <cell r="B51">
            <v>30385</v>
          </cell>
          <cell r="C51" t="str">
            <v>Sumake</v>
          </cell>
          <cell r="D51" t="str">
            <v>Пневматика</v>
          </cell>
          <cell r="E51" t="str">
            <v>Инструмент</v>
          </cell>
          <cell r="F51" t="str">
            <v>Гайковёрт</v>
          </cell>
          <cell r="G51" t="str">
            <v>Пневмогайковерт угловой ST-5554  (1/2"  125 Нм  142 л/мин)</v>
          </cell>
          <cell r="H51" t="str">
            <v>IND</v>
          </cell>
          <cell r="I51" t="str">
            <v>Twin Hammer</v>
          </cell>
          <cell r="J51" t="str">
            <v>1/2</v>
          </cell>
          <cell r="K51">
            <v>122</v>
          </cell>
          <cell r="L51" t="str">
            <v>M13</v>
          </cell>
          <cell r="M51" t="str">
            <v>150</v>
          </cell>
          <cell r="N51">
            <v>2</v>
          </cell>
          <cell r="O51" t="str">
            <v>1/4</v>
          </cell>
          <cell r="P51" t="str">
            <v>3/8</v>
          </cell>
          <cell r="Q51">
            <v>400</v>
          </cell>
          <cell r="S51">
            <v>11652</v>
          </cell>
          <cell r="T51">
            <v>14448</v>
          </cell>
          <cell r="U51" t="str">
            <v>-</v>
          </cell>
          <cell r="V51">
            <v>11652</v>
          </cell>
          <cell r="X51">
            <v>0</v>
          </cell>
        </row>
        <row r="52">
          <cell r="B52">
            <v>30384</v>
          </cell>
          <cell r="C52" t="str">
            <v>Sumake</v>
          </cell>
          <cell r="D52" t="str">
            <v>Пневматика</v>
          </cell>
          <cell r="E52" t="str">
            <v>Инструмент</v>
          </cell>
          <cell r="F52" t="str">
            <v>Гайковёрт</v>
          </cell>
          <cell r="G52" t="str">
            <v>Пневмогайковерт угловой ST-5553  (1/2"  69 Нм  110 л/мин)</v>
          </cell>
          <cell r="H52" t="str">
            <v>IND</v>
          </cell>
          <cell r="I52" t="str">
            <v>Pin Clutch</v>
          </cell>
          <cell r="J52" t="str">
            <v>1/2</v>
          </cell>
          <cell r="K52">
            <v>61</v>
          </cell>
          <cell r="L52" t="str">
            <v>M13</v>
          </cell>
          <cell r="M52" t="str">
            <v>150</v>
          </cell>
          <cell r="N52">
            <v>1.19999999999999996</v>
          </cell>
          <cell r="O52" t="str">
            <v>1/4</v>
          </cell>
          <cell r="P52" t="str">
            <v>3/8</v>
          </cell>
          <cell r="Q52">
            <v>400</v>
          </cell>
          <cell r="S52">
            <v>4395</v>
          </cell>
          <cell r="T52">
            <v>5494</v>
          </cell>
          <cell r="U52" t="str">
            <v>-</v>
          </cell>
          <cell r="V52">
            <v>4395</v>
          </cell>
          <cell r="X52">
            <v>0</v>
          </cell>
        </row>
        <row r="53">
          <cell r="B53">
            <v>4117980</v>
          </cell>
          <cell r="C53" t="str">
            <v>Sumake</v>
          </cell>
          <cell r="D53" t="str">
            <v>Пневматика</v>
          </cell>
          <cell r="E53" t="str">
            <v>Инструмент</v>
          </cell>
          <cell r="F53" t="str">
            <v>Гайковёрт</v>
          </cell>
          <cell r="G53" t="str">
            <v>Пневмогайковерт угловой ST-M3003 (3/8")</v>
          </cell>
          <cell r="H53" t="str">
            <v>REG</v>
          </cell>
          <cell r="I53" t="str">
            <v>Pin Clutch</v>
          </cell>
          <cell r="J53" t="str">
            <v>3/8</v>
          </cell>
          <cell r="K53">
            <v>82</v>
          </cell>
          <cell r="L53" t="str">
            <v>M13</v>
          </cell>
          <cell r="M53">
            <v>180</v>
          </cell>
          <cell r="N53">
            <v>1.19999999999999996</v>
          </cell>
          <cell r="O53" t="str">
            <v>1/4</v>
          </cell>
          <cell r="P53" t="str">
            <v>3/8</v>
          </cell>
          <cell r="Q53">
            <v>283</v>
          </cell>
          <cell r="S53">
            <v>5583</v>
          </cell>
          <cell r="T53">
            <v>6980</v>
          </cell>
          <cell r="U53" t="str">
            <v>-</v>
          </cell>
          <cell r="V53">
            <v>5583</v>
          </cell>
          <cell r="X53">
            <v>0</v>
          </cell>
        </row>
        <row r="54">
          <cell r="B54">
            <v>4118260</v>
          </cell>
          <cell r="C54" t="str">
            <v>Sumake</v>
          </cell>
          <cell r="D54" t="str">
            <v>Пневматика</v>
          </cell>
          <cell r="E54" t="str">
            <v>Набор</v>
          </cell>
          <cell r="F54" t="str">
            <v>Гайковёрт</v>
          </cell>
          <cell r="G54" t="str">
            <v>Пневмогайковерт угловой ST-5510K  (1/4") с набором 10 сквозных головок</v>
          </cell>
          <cell r="H54" t="str">
            <v>IND</v>
          </cell>
          <cell r="J54" t="str">
            <v>1/4</v>
          </cell>
          <cell r="K54">
            <v>34</v>
          </cell>
          <cell r="L54" t="str">
            <v>_</v>
          </cell>
          <cell r="M54">
            <v>450</v>
          </cell>
          <cell r="N54">
            <v>0.6</v>
          </cell>
          <cell r="O54" t="str">
            <v>1/4</v>
          </cell>
          <cell r="P54" t="str">
            <v>3/8</v>
          </cell>
          <cell r="Q54">
            <v>283</v>
          </cell>
          <cell r="S54">
            <v>17785</v>
          </cell>
          <cell r="T54">
            <v>22231</v>
          </cell>
          <cell r="U54" t="str">
            <v>-</v>
          </cell>
          <cell r="V54">
            <v>17785</v>
          </cell>
          <cell r="X54">
            <v>0</v>
          </cell>
        </row>
        <row r="55">
          <cell r="B55" t="str">
            <v>Код</v>
          </cell>
          <cell r="C55" t="str">
            <v>Бренд</v>
          </cell>
          <cell r="G55" t="str">
            <v>Наименование</v>
          </cell>
          <cell r="I55" t="str">
            <v>Тип патрона</v>
          </cell>
          <cell r="J55" t="str">
            <v>Наличие
реверса</v>
          </cell>
          <cell r="K55" t="str">
            <v>Макс.
диам.
Сверла (мм)</v>
          </cell>
          <cell r="L55" t="str">
            <v>Скор. св.
 вращ.
(об/мин)</v>
          </cell>
          <cell r="M55" t="str">
            <v>Мощность
(Вт)</v>
          </cell>
          <cell r="N55" t="str">
            <v>Вес
(Кг)</v>
          </cell>
          <cell r="O55" t="str">
            <v>Входной
диаметр 
(Дюйм)</v>
          </cell>
          <cell r="P55" t="str">
            <v>Диам.
Шланга
(Дюйм)</v>
          </cell>
          <cell r="Q55" t="str">
            <v>Расход
воздуха
(л/мин)</v>
          </cell>
          <cell r="S55" t="str">
            <v>Опт</v>
          </cell>
          <cell r="T55" t="str">
            <v>Рек. Розница</v>
          </cell>
        </row>
        <row r="56">
          <cell r="B56">
            <v>8190000</v>
          </cell>
          <cell r="C56" t="str">
            <v>Sumake</v>
          </cell>
          <cell r="D56" t="str">
            <v>Пневматика</v>
          </cell>
          <cell r="E56" t="str">
            <v>Инструмент</v>
          </cell>
          <cell r="F56" t="str">
            <v>Дрель</v>
          </cell>
          <cell r="G56" t="str">
            <v>Дрель пневматическая ST-M5010C</v>
          </cell>
          <cell r="I56" t="str">
            <v>Быстрозажимной</v>
          </cell>
          <cell r="J56" t="str">
            <v>Реверс</v>
          </cell>
          <cell r="K56">
            <v>10</v>
          </cell>
          <cell r="L56">
            <v>2000</v>
          </cell>
          <cell r="N56">
            <v>1.17999999999999994</v>
          </cell>
          <cell r="O56" t="str">
            <v>1/4</v>
          </cell>
          <cell r="P56" t="str">
            <v>3/8</v>
          </cell>
          <cell r="Q56">
            <v>400</v>
          </cell>
          <cell r="S56">
            <v>7220</v>
          </cell>
          <cell r="T56">
            <v>9025</v>
          </cell>
          <cell r="U56" t="str">
            <v>+</v>
          </cell>
          <cell r="V56">
            <v>7220</v>
          </cell>
          <cell r="X56">
            <v>0</v>
          </cell>
        </row>
        <row r="57">
          <cell r="B57">
            <v>8096240</v>
          </cell>
          <cell r="C57" t="str">
            <v>Sumake</v>
          </cell>
          <cell r="D57" t="str">
            <v>Пневматика</v>
          </cell>
          <cell r="E57" t="str">
            <v>Инструмент</v>
          </cell>
          <cell r="F57" t="str">
            <v>Дрель</v>
          </cell>
          <cell r="G57" t="str">
            <v>Пневмодрель 13мм с ручкой ST-4243C</v>
          </cell>
          <cell r="H57" t="str">
            <v>PRO</v>
          </cell>
          <cell r="I57" t="str">
            <v>Быстрозажимной</v>
          </cell>
          <cell r="J57" t="str">
            <v>Реверс</v>
          </cell>
          <cell r="K57">
            <v>13</v>
          </cell>
          <cell r="L57">
            <v>600</v>
          </cell>
          <cell r="M57">
            <v>660</v>
          </cell>
          <cell r="N57">
            <v>1.85</v>
          </cell>
          <cell r="O57" t="str">
            <v>1/4</v>
          </cell>
          <cell r="P57" t="str">
            <v>3/8</v>
          </cell>
          <cell r="Q57">
            <v>400</v>
          </cell>
          <cell r="S57">
            <v>17679</v>
          </cell>
          <cell r="T57">
            <v>22097</v>
          </cell>
          <cell r="U57" t="str">
            <v>-</v>
          </cell>
          <cell r="V57">
            <v>17679</v>
          </cell>
          <cell r="X57">
            <v>0</v>
          </cell>
        </row>
        <row r="58">
          <cell r="B58">
            <v>8096260</v>
          </cell>
          <cell r="C58" t="str">
            <v>Sumake</v>
          </cell>
          <cell r="D58" t="str">
            <v>Пневматика</v>
          </cell>
          <cell r="E58" t="str">
            <v>Инструмент</v>
          </cell>
          <cell r="F58" t="str">
            <v>Дрель</v>
          </cell>
          <cell r="G58" t="str">
            <v>Пневмодрель 13мм с ручкой ST-P4441AC</v>
          </cell>
          <cell r="H58" t="str">
            <v>PRO</v>
          </cell>
          <cell r="I58" t="str">
            <v>Быстрозажимной</v>
          </cell>
          <cell r="J58" t="str">
            <v>Реверс</v>
          </cell>
          <cell r="K58">
            <v>13</v>
          </cell>
          <cell r="L58">
            <v>700</v>
          </cell>
          <cell r="M58">
            <v>370</v>
          </cell>
          <cell r="N58">
            <v>0</v>
          </cell>
          <cell r="O58" t="str">
            <v>1/4</v>
          </cell>
          <cell r="P58" t="str">
            <v>3/8</v>
          </cell>
          <cell r="Q58">
            <v>400</v>
          </cell>
          <cell r="S58">
            <v>7725</v>
          </cell>
          <cell r="T58">
            <v>9656</v>
          </cell>
          <cell r="U58" t="str">
            <v>-</v>
          </cell>
          <cell r="V58">
            <v>7725</v>
          </cell>
          <cell r="X58">
            <v>0</v>
          </cell>
        </row>
        <row r="59">
          <cell r="B59">
            <v>8096250</v>
          </cell>
          <cell r="C59" t="str">
            <v>Sumake</v>
          </cell>
          <cell r="D59" t="str">
            <v>Пневматика</v>
          </cell>
          <cell r="E59" t="str">
            <v>Инструмент</v>
          </cell>
          <cell r="F59" t="str">
            <v>Дрель</v>
          </cell>
          <cell r="G59" t="str">
            <v>Пневмодрель 13мм с ручкой ST-C112C реверс, 800об/мин, патрон 13мм, 330Вт</v>
          </cell>
          <cell r="H59" t="str">
            <v>PRO</v>
          </cell>
          <cell r="I59" t="str">
            <v>Быстрозажимной</v>
          </cell>
          <cell r="J59" t="str">
            <v>Реверс</v>
          </cell>
          <cell r="K59">
            <v>13</v>
          </cell>
          <cell r="L59">
            <v>800</v>
          </cell>
          <cell r="M59">
            <v>330</v>
          </cell>
          <cell r="N59">
            <v>0</v>
          </cell>
          <cell r="O59" t="str">
            <v>1/4</v>
          </cell>
          <cell r="P59" t="str">
            <v>3/8</v>
          </cell>
          <cell r="Q59">
            <v>400</v>
          </cell>
          <cell r="S59">
            <v>12869</v>
          </cell>
          <cell r="T59">
            <v>16086</v>
          </cell>
          <cell r="U59" t="str">
            <v>-</v>
          </cell>
          <cell r="V59">
            <v>12869</v>
          </cell>
          <cell r="X59">
            <v>0</v>
          </cell>
        </row>
        <row r="60">
          <cell r="B60">
            <v>7351</v>
          </cell>
          <cell r="C60" t="str">
            <v>Sumake</v>
          </cell>
          <cell r="D60" t="str">
            <v>Пневматика</v>
          </cell>
          <cell r="E60" t="str">
            <v>Инструмент</v>
          </cell>
          <cell r="F60" t="str">
            <v>Дрель</v>
          </cell>
          <cell r="G60" t="str">
            <v>Пневмодрель 10мм ST-4431, реверс, 1800об/мин, патрон 10мм, 480Вт</v>
          </cell>
          <cell r="H60" t="str">
            <v>PRO</v>
          </cell>
          <cell r="I60" t="str">
            <v>Кулачковый</v>
          </cell>
          <cell r="J60" t="str">
            <v>Реверс</v>
          </cell>
          <cell r="K60">
            <v>10</v>
          </cell>
          <cell r="L60">
            <v>1800</v>
          </cell>
          <cell r="M60">
            <v>480</v>
          </cell>
          <cell r="N60">
            <v>0.9</v>
          </cell>
          <cell r="O60" t="str">
            <v>1/4</v>
          </cell>
          <cell r="P60" t="str">
            <v>3/8</v>
          </cell>
          <cell r="Q60">
            <v>400</v>
          </cell>
          <cell r="S60">
            <v>5069</v>
          </cell>
          <cell r="T60">
            <v>6335</v>
          </cell>
          <cell r="U60" t="str">
            <v>-</v>
          </cell>
          <cell r="V60">
            <v>5069</v>
          </cell>
          <cell r="X60">
            <v>0</v>
          </cell>
        </row>
        <row r="61">
          <cell r="B61">
            <v>31882</v>
          </cell>
          <cell r="C61" t="str">
            <v>Sumake</v>
          </cell>
          <cell r="D61" t="str">
            <v>Пневматика</v>
          </cell>
          <cell r="E61" t="str">
            <v>Инструмент</v>
          </cell>
          <cell r="F61" t="str">
            <v>Дрель</v>
          </cell>
          <cell r="G61" t="str">
            <v>Пневмодрель 10мм ST-4431C реверс 10</v>
          </cell>
          <cell r="H61" t="str">
            <v>PRO</v>
          </cell>
          <cell r="I61" t="str">
            <v>Быстрозажимной</v>
          </cell>
          <cell r="J61" t="str">
            <v>Реверс</v>
          </cell>
          <cell r="K61">
            <v>10</v>
          </cell>
          <cell r="L61">
            <v>1800</v>
          </cell>
          <cell r="M61">
            <v>480</v>
          </cell>
          <cell r="N61">
            <v>0.9</v>
          </cell>
          <cell r="O61" t="str">
            <v>1/4</v>
          </cell>
          <cell r="P61" t="str">
            <v>3/8</v>
          </cell>
          <cell r="Q61">
            <v>400</v>
          </cell>
          <cell r="S61">
            <v>5320</v>
          </cell>
          <cell r="T61">
            <v>6650</v>
          </cell>
          <cell r="U61" t="str">
            <v>-</v>
          </cell>
          <cell r="V61">
            <v>5320</v>
          </cell>
          <cell r="X61">
            <v>0</v>
          </cell>
        </row>
        <row r="62">
          <cell r="B62">
            <v>4119160</v>
          </cell>
          <cell r="C62" t="str">
            <v>Sumake</v>
          </cell>
          <cell r="D62" t="str">
            <v>Пневматика</v>
          </cell>
          <cell r="E62" t="str">
            <v>Инструмент</v>
          </cell>
          <cell r="F62" t="str">
            <v>Дрель</v>
          </cell>
          <cell r="G62" t="str">
            <v>Пневмодрель 10мм ST-M3031</v>
          </cell>
          <cell r="H62" t="str">
            <v>PRO</v>
          </cell>
          <cell r="I62" t="str">
            <v>Кулачковый</v>
          </cell>
          <cell r="J62" t="str">
            <v>Реверс</v>
          </cell>
          <cell r="K62">
            <v>10</v>
          </cell>
          <cell r="L62">
            <v>2200</v>
          </cell>
          <cell r="M62">
            <v>370</v>
          </cell>
          <cell r="N62">
            <v>0</v>
          </cell>
          <cell r="O62" t="str">
            <v>1/4</v>
          </cell>
          <cell r="P62" t="str">
            <v>3/8</v>
          </cell>
          <cell r="Q62">
            <v>400</v>
          </cell>
          <cell r="S62">
            <v>5826</v>
          </cell>
          <cell r="T62">
            <v>7282</v>
          </cell>
          <cell r="U62" t="str">
            <v>-</v>
          </cell>
          <cell r="V62">
            <v>5826</v>
          </cell>
          <cell r="X62">
            <v>0</v>
          </cell>
        </row>
        <row r="63">
          <cell r="B63">
            <v>30389</v>
          </cell>
          <cell r="C63" t="str">
            <v>Sumake</v>
          </cell>
          <cell r="D63" t="str">
            <v>Пневматика</v>
          </cell>
          <cell r="E63" t="str">
            <v>Инструмент</v>
          </cell>
          <cell r="F63" t="str">
            <v>Дрель</v>
          </cell>
          <cell r="G63" t="str">
            <v>Пневмодрель 10мм ST-P4431C реверс 10</v>
          </cell>
          <cell r="H63" t="str">
            <v>REG</v>
          </cell>
          <cell r="I63" t="str">
            <v>Быстрозажимной</v>
          </cell>
          <cell r="J63" t="str">
            <v>Реверс</v>
          </cell>
          <cell r="K63">
            <v>10</v>
          </cell>
          <cell r="L63">
            <v>1700</v>
          </cell>
          <cell r="M63">
            <v>370</v>
          </cell>
          <cell r="N63">
            <v>0</v>
          </cell>
          <cell r="O63" t="str">
            <v>1/4</v>
          </cell>
          <cell r="P63" t="str">
            <v>3/8</v>
          </cell>
          <cell r="Q63">
            <v>400</v>
          </cell>
          <cell r="S63">
            <v>4742</v>
          </cell>
          <cell r="T63">
            <v>5928</v>
          </cell>
          <cell r="U63" t="str">
            <v>-</v>
          </cell>
          <cell r="V63">
            <v>4742</v>
          </cell>
          <cell r="X63">
            <v>0</v>
          </cell>
        </row>
        <row r="64">
          <cell r="B64" t="str">
            <v>Код</v>
          </cell>
          <cell r="C64" t="str">
            <v>Бренд</v>
          </cell>
          <cell r="G64" t="str">
            <v>Наименование</v>
          </cell>
          <cell r="I64" t="str">
            <v>Механизм</v>
          </cell>
          <cell r="J64" t="str">
            <v>Макс.крут.
момент
(Н·м)</v>
          </cell>
          <cell r="K64" t="str">
            <v>Макс.
диам.
Винта (мм)</v>
          </cell>
          <cell r="L64" t="str">
            <v>Скор. св.
 вращ.
(об/мин)</v>
          </cell>
          <cell r="N64" t="str">
            <v>Вес
(Кг)</v>
          </cell>
          <cell r="O64" t="str">
            <v>Входной
диаметр 
(Дюйм)</v>
          </cell>
          <cell r="P64" t="str">
            <v>Диам.
Шланга
(Дюйм)</v>
          </cell>
          <cell r="Q64" t="str">
            <v>Расход
воздуха
(л/мин)</v>
          </cell>
          <cell r="S64" t="str">
            <v>Опт</v>
          </cell>
          <cell r="T64" t="str">
            <v>Рек. Розница</v>
          </cell>
        </row>
        <row r="65">
          <cell r="B65">
            <v>4119090</v>
          </cell>
          <cell r="C65" t="str">
            <v>Sumake</v>
          </cell>
          <cell r="D65" t="str">
            <v>Пневматика</v>
          </cell>
          <cell r="E65" t="str">
            <v>Инструмент</v>
          </cell>
          <cell r="F65" t="str">
            <v>Шуруповёрт</v>
          </cell>
          <cell r="G65" t="str">
            <v>Пневмошуруповерт ударный ST-4463</v>
          </cell>
          <cell r="H65" t="str">
            <v>PRO</v>
          </cell>
          <cell r="I65" t="str">
            <v>Сдвоенный молот</v>
          </cell>
          <cell r="J65">
            <v>270</v>
          </cell>
          <cell r="K65" t="str">
            <v>9-10</v>
          </cell>
          <cell r="L65">
            <v>8500</v>
          </cell>
          <cell r="N65">
            <v>1.30000000000000004</v>
          </cell>
          <cell r="O65" t="str">
            <v>1/4</v>
          </cell>
          <cell r="P65" t="str">
            <v>3/8</v>
          </cell>
          <cell r="Q65">
            <v>254</v>
          </cell>
          <cell r="S65">
            <v>16676</v>
          </cell>
          <cell r="T65">
            <v>20844</v>
          </cell>
          <cell r="U65" t="str">
            <v>-</v>
          </cell>
          <cell r="V65">
            <v>16676</v>
          </cell>
          <cell r="X65">
            <v>0</v>
          </cell>
        </row>
        <row r="66">
          <cell r="B66">
            <v>11230</v>
          </cell>
          <cell r="C66" t="str">
            <v>Sumake</v>
          </cell>
          <cell r="D66" t="str">
            <v>Пневматика</v>
          </cell>
          <cell r="E66" t="str">
            <v>Инструмент</v>
          </cell>
          <cell r="F66" t="str">
            <v>Шуруповёрт</v>
          </cell>
          <cell r="G66" t="str">
            <v>Пневмошуруповерт ударный ST-4468 35Нм</v>
          </cell>
          <cell r="H66" t="str">
            <v>REG</v>
          </cell>
          <cell r="I66" t="str">
            <v>Двойной молот</v>
          </cell>
          <cell r="J66">
            <v>35</v>
          </cell>
          <cell r="K66" t="str">
            <v>4-5</v>
          </cell>
          <cell r="L66">
            <v>13000</v>
          </cell>
          <cell r="N66">
            <v>0.880000000000000071</v>
          </cell>
          <cell r="O66" t="str">
            <v>1/4</v>
          </cell>
          <cell r="P66" t="str">
            <v>3/8</v>
          </cell>
          <cell r="Q66">
            <v>270</v>
          </cell>
          <cell r="S66">
            <v>6733</v>
          </cell>
          <cell r="T66">
            <v>8418</v>
          </cell>
          <cell r="U66" t="str">
            <v>-</v>
          </cell>
          <cell r="V66">
            <v>6733</v>
          </cell>
          <cell r="X66">
            <v>0</v>
          </cell>
        </row>
        <row r="67">
          <cell r="B67">
            <v>9659</v>
          </cell>
          <cell r="C67" t="str">
            <v>Sumake</v>
          </cell>
          <cell r="D67" t="str">
            <v>Пневматика</v>
          </cell>
          <cell r="E67" t="str">
            <v>Набор</v>
          </cell>
          <cell r="F67" t="str">
            <v>Шуруповёрт</v>
          </cell>
          <cell r="G67" t="str">
            <v>Пневмошуруповерт ударный ST-4468К 35Нм с набором бит в кейсе</v>
          </cell>
          <cell r="H67" t="str">
            <v>REG</v>
          </cell>
          <cell r="I67" t="str">
            <v>Двойной молот</v>
          </cell>
          <cell r="J67">
            <v>35</v>
          </cell>
          <cell r="K67" t="str">
            <v>4-5</v>
          </cell>
          <cell r="L67">
            <v>13000</v>
          </cell>
          <cell r="O67" t="str">
            <v>1/4</v>
          </cell>
          <cell r="P67" t="str">
            <v>3/8</v>
          </cell>
          <cell r="Q67">
            <v>270</v>
          </cell>
          <cell r="S67">
            <v>8783</v>
          </cell>
          <cell r="T67">
            <v>10979</v>
          </cell>
          <cell r="U67" t="str">
            <v>+</v>
          </cell>
          <cell r="V67">
            <v>8783</v>
          </cell>
          <cell r="X67">
            <v>0</v>
          </cell>
        </row>
        <row r="68">
          <cell r="B68">
            <v>27401</v>
          </cell>
          <cell r="C68" t="str">
            <v>Sumake</v>
          </cell>
          <cell r="D68" t="str">
            <v>Пневматика</v>
          </cell>
          <cell r="E68" t="str">
            <v>Инструмент</v>
          </cell>
          <cell r="F68" t="str">
            <v>Шуруповёрт</v>
          </cell>
          <cell r="G68" t="str">
            <v>Пневмошуруповерт ударный ST-4460A 35Нм 10000об/мин</v>
          </cell>
          <cell r="H68" t="str">
            <v>PRO</v>
          </cell>
          <cell r="I68" t="str">
            <v>Двойной молот</v>
          </cell>
          <cell r="J68">
            <v>35</v>
          </cell>
          <cell r="K68" t="str">
            <v>4-5</v>
          </cell>
          <cell r="L68">
            <v>10000</v>
          </cell>
          <cell r="N68">
            <v>0.7</v>
          </cell>
          <cell r="O68" t="str">
            <v>1/4</v>
          </cell>
          <cell r="P68" t="str">
            <v>3/8</v>
          </cell>
          <cell r="Q68">
            <v>270</v>
          </cell>
          <cell r="S68">
            <v>6930</v>
          </cell>
          <cell r="T68">
            <v>8664</v>
          </cell>
          <cell r="U68" t="str">
            <v>+</v>
          </cell>
          <cell r="V68">
            <v>6930</v>
          </cell>
          <cell r="X68">
            <v>0</v>
          </cell>
        </row>
        <row r="69">
          <cell r="B69">
            <v>4118960</v>
          </cell>
          <cell r="C69" t="str">
            <v>Sumake</v>
          </cell>
          <cell r="D69" t="str">
            <v>Пневматика</v>
          </cell>
          <cell r="E69" t="str">
            <v>Инструмент</v>
          </cell>
          <cell r="F69" t="str">
            <v>Шуруповёрт</v>
          </cell>
          <cell r="G69" t="str">
            <v>Пневмошуруповерт ударный ST-4462</v>
          </cell>
          <cell r="H69" t="str">
            <v>PRO</v>
          </cell>
          <cell r="I69" t="str">
            <v>Twin Hammer</v>
          </cell>
          <cell r="J69">
            <v>230</v>
          </cell>
          <cell r="K69" t="str">
            <v>9-10мм</v>
          </cell>
          <cell r="L69">
            <v>8000</v>
          </cell>
          <cell r="N69">
            <v>1.30000000000000004</v>
          </cell>
          <cell r="O69" t="str">
            <v>1/4</v>
          </cell>
          <cell r="P69" t="str">
            <v>3/8</v>
          </cell>
          <cell r="Q69">
            <v>226</v>
          </cell>
          <cell r="S69">
            <v>12738</v>
          </cell>
          <cell r="T69">
            <v>15923</v>
          </cell>
          <cell r="U69" t="str">
            <v>-</v>
          </cell>
          <cell r="V69">
            <v>12738</v>
          </cell>
          <cell r="X69">
            <v>0</v>
          </cell>
        </row>
        <row r="70">
          <cell r="B70">
            <v>8094610</v>
          </cell>
          <cell r="C70" t="str">
            <v>Sumake</v>
          </cell>
          <cell r="D70" t="str">
            <v>Пневматика</v>
          </cell>
          <cell r="E70" t="str">
            <v>Инструмент</v>
          </cell>
          <cell r="F70" t="str">
            <v>Шуруповёрт</v>
          </cell>
          <cell r="G70" t="str">
            <v>Пневмошуруповёрт ST-4488 5,1-16,4Нм, 1800об/мин с внешней регулировкой</v>
          </cell>
          <cell r="H70" t="str">
            <v>PRO</v>
          </cell>
          <cell r="I70" t="str">
            <v>Внешняя регулировка крутящего момента</v>
          </cell>
          <cell r="J70" t="str">
            <v>5,1-16,4</v>
          </cell>
          <cell r="K70">
            <v>6</v>
          </cell>
          <cell r="L70">
            <v>1800</v>
          </cell>
          <cell r="N70">
            <v>1.3600000000000001</v>
          </cell>
          <cell r="O70" t="str">
            <v>1/4</v>
          </cell>
          <cell r="P70" t="str">
            <v>3/8</v>
          </cell>
          <cell r="Q70">
            <v>450</v>
          </cell>
          <cell r="S70">
            <v>21890</v>
          </cell>
          <cell r="T70">
            <v>27362</v>
          </cell>
          <cell r="U70" t="str">
            <v>-</v>
          </cell>
          <cell r="V70">
            <v>21890</v>
          </cell>
          <cell r="X70">
            <v>0</v>
          </cell>
        </row>
        <row r="71">
          <cell r="B71">
            <v>7322</v>
          </cell>
          <cell r="C71" t="str">
            <v>Sumake</v>
          </cell>
          <cell r="D71" t="str">
            <v>Пневматика</v>
          </cell>
          <cell r="E71" t="str">
            <v>Инструмент</v>
          </cell>
          <cell r="F71" t="str">
            <v>Шуруповёрт</v>
          </cell>
          <cell r="G71" t="str">
            <v>Пневмошуруповерт ST-4481 5-16Нм, 800об/мин</v>
          </cell>
          <cell r="H71" t="str">
            <v>PRO</v>
          </cell>
          <cell r="I71" t="str">
            <v>Внутренняя регулировка крутящего момента</v>
          </cell>
          <cell r="J71" t="str">
            <v>5 -16</v>
          </cell>
          <cell r="K71">
            <v>6</v>
          </cell>
          <cell r="L71">
            <v>800</v>
          </cell>
          <cell r="N71">
            <v>1.20999999999999996</v>
          </cell>
          <cell r="O71" t="str">
            <v>1/4</v>
          </cell>
          <cell r="P71" t="str">
            <v>3/8</v>
          </cell>
          <cell r="Q71">
            <v>450</v>
          </cell>
          <cell r="S71">
            <v>7454</v>
          </cell>
          <cell r="T71">
            <v>9320</v>
          </cell>
          <cell r="U71" t="str">
            <v>+</v>
          </cell>
          <cell r="V71">
            <v>7454</v>
          </cell>
          <cell r="X71">
            <v>0</v>
          </cell>
        </row>
        <row r="72">
          <cell r="B72">
            <v>27403</v>
          </cell>
          <cell r="C72" t="str">
            <v>Sumake</v>
          </cell>
          <cell r="D72" t="str">
            <v>Пневматика</v>
          </cell>
          <cell r="E72" t="str">
            <v>Инструмент</v>
          </cell>
          <cell r="F72" t="str">
            <v>Шуруповёрт</v>
          </cell>
          <cell r="G72" t="str">
            <v>Пневмошуруповерт ST-4480 5-13Нм, 1800об\мин</v>
          </cell>
          <cell r="H72" t="str">
            <v>PRO</v>
          </cell>
          <cell r="I72" t="str">
            <v>Внутренняя регулировка крутящего момента</v>
          </cell>
          <cell r="J72" t="str">
            <v>5-13</v>
          </cell>
          <cell r="K72">
            <v>6</v>
          </cell>
          <cell r="L72">
            <v>1800</v>
          </cell>
          <cell r="N72">
            <v>1.1399999999999999</v>
          </cell>
          <cell r="O72" t="str">
            <v>1/4</v>
          </cell>
          <cell r="P72" t="str">
            <v>3/8</v>
          </cell>
          <cell r="Q72">
            <v>450</v>
          </cell>
          <cell r="S72">
            <v>6899</v>
          </cell>
          <cell r="T72">
            <v>8623</v>
          </cell>
          <cell r="U72" t="str">
            <v>-</v>
          </cell>
          <cell r="V72">
            <v>6899</v>
          </cell>
          <cell r="X72">
            <v>0</v>
          </cell>
        </row>
        <row r="73">
          <cell r="B73">
            <v>31880</v>
          </cell>
          <cell r="C73" t="str">
            <v>Sumake</v>
          </cell>
          <cell r="D73" t="str">
            <v>Пневматика</v>
          </cell>
          <cell r="E73" t="str">
            <v>Инструмент</v>
          </cell>
          <cell r="F73" t="str">
            <v>Шуруповёрт</v>
          </cell>
          <cell r="G73" t="str">
            <v>Пневмошуруповерт ST-4450A (0,5-3Нм, 1700об/мин)</v>
          </cell>
          <cell r="H73" t="str">
            <v>PRO</v>
          </cell>
          <cell r="I73" t="str">
            <v>Внутренняя регулировка крутящего момента</v>
          </cell>
          <cell r="J73" t="str">
            <v>0,5-3</v>
          </cell>
          <cell r="K73">
            <v>4</v>
          </cell>
          <cell r="L73">
            <v>1700</v>
          </cell>
          <cell r="N73">
            <v>0.660000000000000053</v>
          </cell>
          <cell r="O73" t="str">
            <v>1/4</v>
          </cell>
          <cell r="P73" t="str">
            <v>3/8</v>
          </cell>
          <cell r="Q73">
            <v>270</v>
          </cell>
          <cell r="S73">
            <v>9302</v>
          </cell>
          <cell r="T73">
            <v>11627</v>
          </cell>
          <cell r="U73" t="str">
            <v>-</v>
          </cell>
          <cell r="V73">
            <v>9302</v>
          </cell>
          <cell r="X73">
            <v>0</v>
          </cell>
        </row>
        <row r="74">
          <cell r="B74" t="str">
            <v>Код</v>
          </cell>
          <cell r="C74" t="str">
            <v>Бренд</v>
          </cell>
          <cell r="G74" t="str">
            <v>Наименование</v>
          </cell>
          <cell r="I74" t="str">
            <v>Особенности</v>
          </cell>
          <cell r="J74" t="str">
            <v>Диам.шлиф
диска 
(мм)</v>
          </cell>
          <cell r="K74" t="str">
            <v>Диаметр
Орбиты
(мм)</v>
          </cell>
          <cell r="L74" t="str">
            <v>Скор. св.
 вращ.
(об/мин)</v>
          </cell>
          <cell r="N74" t="str">
            <v>Вес
(Кг)</v>
          </cell>
          <cell r="O74" t="str">
            <v>Входной
диаметр 
(Дюйм)</v>
          </cell>
          <cell r="P74" t="str">
            <v>Диам.
Шланга
(Дюйм)</v>
          </cell>
          <cell r="Q74" t="str">
            <v>Расход
воздуха
(л/мин)</v>
          </cell>
          <cell r="S74" t="str">
            <v>Опт</v>
          </cell>
          <cell r="T74" t="str">
            <v>Рек. Розница</v>
          </cell>
        </row>
        <row r="75">
          <cell r="B75">
            <v>35086</v>
          </cell>
          <cell r="C75" t="str">
            <v>Sumake</v>
          </cell>
          <cell r="D75" t="str">
            <v>Пневматика</v>
          </cell>
          <cell r="E75" t="str">
            <v>Инструмент</v>
          </cell>
          <cell r="F75" t="str">
            <v>Орб.шлиф.маш</v>
          </cell>
          <cell r="G75" t="str">
            <v>Пневмоорбит.шл.маш. ST-7107C (d150мм, 10000об/мин) с мешком для пыли</v>
          </cell>
          <cell r="H75" t="str">
            <v>PRO</v>
          </cell>
          <cell r="I75" t="str">
            <v>Липучка
Мешок для пыли</v>
          </cell>
          <cell r="J75">
            <v>152</v>
          </cell>
          <cell r="K75">
            <v>2.5</v>
          </cell>
          <cell r="L75">
            <v>10000</v>
          </cell>
          <cell r="N75">
            <v>0.770000000000000018</v>
          </cell>
          <cell r="O75" t="str">
            <v>1/4</v>
          </cell>
          <cell r="P75" t="str">
            <v>3/8</v>
          </cell>
          <cell r="Q75">
            <v>430</v>
          </cell>
          <cell r="S75">
            <v>23129</v>
          </cell>
          <cell r="T75">
            <v>28910</v>
          </cell>
          <cell r="U75" t="str">
            <v>-</v>
          </cell>
          <cell r="V75">
            <v>23129</v>
          </cell>
          <cell r="X75">
            <v>0</v>
          </cell>
        </row>
        <row r="76">
          <cell r="B76">
            <v>31874</v>
          </cell>
          <cell r="C76" t="str">
            <v>Sumake</v>
          </cell>
          <cell r="D76" t="str">
            <v>Пневматика</v>
          </cell>
          <cell r="E76" t="str">
            <v>Инструмент</v>
          </cell>
          <cell r="F76" t="str">
            <v>Орб.шлиф.маш</v>
          </cell>
          <cell r="G76" t="str">
            <v>Пневмоорбит.шл.маш. ST-7746 d150мм, 10000об/мин</v>
          </cell>
          <cell r="H76" t="str">
            <v>PRO</v>
          </cell>
          <cell r="I76" t="str">
            <v>Липучка</v>
          </cell>
          <cell r="J76">
            <v>152</v>
          </cell>
          <cell r="K76">
            <v>5</v>
          </cell>
          <cell r="L76">
            <v>9000</v>
          </cell>
          <cell r="N76">
            <v>1.10000000000000009</v>
          </cell>
          <cell r="O76" t="str">
            <v>1/4</v>
          </cell>
          <cell r="P76" t="str">
            <v>3/8</v>
          </cell>
          <cell r="Q76">
            <v>368</v>
          </cell>
          <cell r="S76">
            <v>12501</v>
          </cell>
          <cell r="T76">
            <v>15627</v>
          </cell>
          <cell r="U76" t="str">
            <v>-</v>
          </cell>
          <cell r="V76">
            <v>12501</v>
          </cell>
          <cell r="X76">
            <v>0</v>
          </cell>
        </row>
        <row r="77">
          <cell r="B77">
            <v>7360</v>
          </cell>
          <cell r="C77" t="str">
            <v>Sumake</v>
          </cell>
          <cell r="D77" t="str">
            <v>Пневматика</v>
          </cell>
          <cell r="E77" t="str">
            <v>Инструмент</v>
          </cell>
          <cell r="F77" t="str">
            <v>Орб.шлиф.маш</v>
          </cell>
          <cell r="G77" t="str">
            <v>Пневмоорбит.шл.маш. ST-7101 d150мм, 10000об/мин</v>
          </cell>
          <cell r="H77" t="str">
            <v>PRO</v>
          </cell>
          <cell r="I77" t="str">
            <v>Липучка</v>
          </cell>
          <cell r="J77">
            <v>152</v>
          </cell>
          <cell r="K77">
            <v>5</v>
          </cell>
          <cell r="L77">
            <v>10000</v>
          </cell>
          <cell r="N77">
            <v>1.10000000000000009</v>
          </cell>
          <cell r="O77" t="str">
            <v>1/4</v>
          </cell>
          <cell r="P77" t="str">
            <v>3/8</v>
          </cell>
          <cell r="Q77">
            <v>368</v>
          </cell>
          <cell r="S77">
            <v>12598</v>
          </cell>
          <cell r="T77">
            <v>15748</v>
          </cell>
          <cell r="U77" t="str">
            <v>+</v>
          </cell>
          <cell r="V77">
            <v>12598</v>
          </cell>
          <cell r="X77">
            <v>0</v>
          </cell>
        </row>
        <row r="78">
          <cell r="B78">
            <v>7361</v>
          </cell>
          <cell r="C78" t="str">
            <v>Sumake</v>
          </cell>
          <cell r="D78" t="str">
            <v>Пневматика</v>
          </cell>
          <cell r="E78" t="str">
            <v>Инструмент</v>
          </cell>
          <cell r="F78" t="str">
            <v>Орб.шлиф.маш</v>
          </cell>
          <cell r="G78" t="str">
            <v>Пневмоорбит.шл.маш. ST-7723 d150мм, 10000об/мин</v>
          </cell>
          <cell r="H78" t="str">
            <v>PRO</v>
          </cell>
          <cell r="I78" t="str">
            <v>Липучка</v>
          </cell>
          <cell r="J78">
            <v>152</v>
          </cell>
          <cell r="K78">
            <v>5</v>
          </cell>
          <cell r="L78">
            <v>10000</v>
          </cell>
          <cell r="N78">
            <v>1.8</v>
          </cell>
          <cell r="O78" t="str">
            <v>1/4</v>
          </cell>
          <cell r="P78" t="str">
            <v>3/8</v>
          </cell>
          <cell r="Q78">
            <v>450</v>
          </cell>
          <cell r="S78">
            <v>17765</v>
          </cell>
          <cell r="T78">
            <v>22207</v>
          </cell>
          <cell r="U78" t="str">
            <v>-</v>
          </cell>
          <cell r="V78">
            <v>17765</v>
          </cell>
          <cell r="X78">
            <v>0</v>
          </cell>
        </row>
        <row r="79">
          <cell r="B79">
            <v>27396</v>
          </cell>
          <cell r="C79" t="str">
            <v>Sumake</v>
          </cell>
          <cell r="D79" t="str">
            <v>Пневматика</v>
          </cell>
          <cell r="E79" t="str">
            <v>Инструмент</v>
          </cell>
          <cell r="F79" t="str">
            <v>Орб.шлиф.маш</v>
          </cell>
          <cell r="G79" t="str">
            <v>Пневмоорбит.шл.маш. ST-7715P d150мм, 10000об/мин</v>
          </cell>
          <cell r="H79" t="str">
            <v>REG</v>
          </cell>
          <cell r="I79" t="str">
            <v>Липучка</v>
          </cell>
          <cell r="J79">
            <v>152</v>
          </cell>
          <cell r="K79">
            <v>5</v>
          </cell>
          <cell r="L79">
            <v>10000</v>
          </cell>
          <cell r="N79">
            <v>2.10000000000000009</v>
          </cell>
          <cell r="O79" t="str">
            <v>1/4</v>
          </cell>
          <cell r="P79" t="str">
            <v>3/8</v>
          </cell>
          <cell r="Q79">
            <v>450</v>
          </cell>
          <cell r="S79">
            <v>6621</v>
          </cell>
          <cell r="T79">
            <v>8274</v>
          </cell>
          <cell r="U79" t="str">
            <v>+</v>
          </cell>
          <cell r="V79">
            <v>6621</v>
          </cell>
          <cell r="X79">
            <v>0</v>
          </cell>
        </row>
        <row r="80">
          <cell r="B80" t="str">
            <v>Код</v>
          </cell>
          <cell r="C80" t="str">
            <v>Бренд</v>
          </cell>
          <cell r="G80" t="str">
            <v>Наименование</v>
          </cell>
          <cell r="I80" t="str">
            <v>Особенности</v>
          </cell>
          <cell r="J80" t="str">
            <v>Шлиф.
 подошва
(мм)</v>
          </cell>
          <cell r="K80" t="str">
            <v>Диаметр
Орбиты
(мм)</v>
          </cell>
          <cell r="L80" t="str">
            <v>Скор. св.
 вращ.
(об/мин)</v>
          </cell>
          <cell r="N80" t="str">
            <v>Вес
(Кг)</v>
          </cell>
          <cell r="O80" t="str">
            <v>Входной
диаметр 
(Дюйм)</v>
          </cell>
          <cell r="P80" t="str">
            <v>Диам.
Шланга
(Дюйм)</v>
          </cell>
          <cell r="Q80" t="str">
            <v>Расход
воздуха
(л/мин)</v>
          </cell>
          <cell r="S80" t="str">
            <v>Опт</v>
          </cell>
          <cell r="T80" t="str">
            <v>Рек. Розница</v>
          </cell>
        </row>
        <row r="81">
          <cell r="B81">
            <v>38696</v>
          </cell>
          <cell r="C81" t="str">
            <v>Sumake</v>
          </cell>
          <cell r="D81" t="str">
            <v>Пневматика</v>
          </cell>
          <cell r="E81" t="str">
            <v>Инструмент</v>
          </cell>
          <cell r="F81" t="str">
            <v>Полоск.шлиф.маш</v>
          </cell>
          <cell r="G81" t="str">
            <v>Пневмоплоск.шл.маш. ST-7717 с прищепкой 100х110мм, 20000об/мин</v>
          </cell>
          <cell r="H81" t="str">
            <v>PRO</v>
          </cell>
          <cell r="I81" t="str">
            <v>Прищепка</v>
          </cell>
          <cell r="J81" t="str">
            <v>100х110</v>
          </cell>
          <cell r="K81">
            <v>5</v>
          </cell>
          <cell r="L81">
            <v>20000</v>
          </cell>
          <cell r="N81">
            <v>0.5</v>
          </cell>
          <cell r="O81" t="str">
            <v>1/4</v>
          </cell>
          <cell r="P81" t="str">
            <v>3/8</v>
          </cell>
          <cell r="Q81">
            <v>368</v>
          </cell>
          <cell r="S81">
            <v>9755</v>
          </cell>
          <cell r="T81">
            <v>12192</v>
          </cell>
          <cell r="U81" t="str">
            <v>+</v>
          </cell>
          <cell r="V81">
            <v>9755</v>
          </cell>
          <cell r="X81">
            <v>0</v>
          </cell>
        </row>
        <row r="82">
          <cell r="B82">
            <v>7367</v>
          </cell>
          <cell r="C82" t="str">
            <v>Sumake</v>
          </cell>
          <cell r="D82" t="str">
            <v>Пневматика</v>
          </cell>
          <cell r="E82" t="str">
            <v>Инструмент</v>
          </cell>
          <cell r="F82" t="str">
            <v>Полоск.шлиф.маш</v>
          </cell>
          <cell r="G82" t="str">
            <v>Пневмоплоск.шл.маш. ST-7718 с прищепкой 90х197мм, 8000об/мин</v>
          </cell>
          <cell r="H82" t="str">
            <v>PRO</v>
          </cell>
          <cell r="I82" t="str">
            <v>Прищепка</v>
          </cell>
          <cell r="J82" t="str">
            <v>90х197</v>
          </cell>
          <cell r="K82">
            <v>5</v>
          </cell>
          <cell r="L82">
            <v>8000</v>
          </cell>
          <cell r="N82">
            <v>1.96999999999999993</v>
          </cell>
          <cell r="O82" t="str">
            <v>1/4</v>
          </cell>
          <cell r="P82" t="str">
            <v>3/8</v>
          </cell>
          <cell r="Q82">
            <v>450</v>
          </cell>
          <cell r="S82">
            <v>5686</v>
          </cell>
          <cell r="T82">
            <v>7107</v>
          </cell>
          <cell r="U82" t="str">
            <v>+</v>
          </cell>
          <cell r="V82">
            <v>5686</v>
          </cell>
          <cell r="X82">
            <v>0</v>
          </cell>
        </row>
        <row r="83">
          <cell r="B83" t="str">
            <v>Код</v>
          </cell>
          <cell r="C83" t="str">
            <v>Бренд</v>
          </cell>
          <cell r="G83" t="str">
            <v>Наименование</v>
          </cell>
          <cell r="I83" t="str">
            <v>Диам.шлиф
диска 
(мм)</v>
          </cell>
          <cell r="J83" t="str">
            <v>Скор. св.
 вращ.
(об/мин)</v>
          </cell>
          <cell r="N83" t="str">
            <v>Вес
(Кг)</v>
          </cell>
          <cell r="O83" t="str">
            <v>Входной
диаметр 
(Дюйм)</v>
          </cell>
          <cell r="P83" t="str">
            <v>Диам.
Шланга
(Дюйм)</v>
          </cell>
          <cell r="Q83" t="str">
            <v>Расход
воздуха
(л/мин)</v>
          </cell>
          <cell r="S83" t="str">
            <v>Опт</v>
          </cell>
          <cell r="T83" t="str">
            <v>Рек. Розница</v>
          </cell>
        </row>
        <row r="84">
          <cell r="B84">
            <v>7365</v>
          </cell>
          <cell r="C84" t="str">
            <v>Sumake</v>
          </cell>
          <cell r="D84" t="str">
            <v>Пневматика</v>
          </cell>
          <cell r="E84" t="str">
            <v>Инструмент</v>
          </cell>
          <cell r="F84" t="str">
            <v>Полоск.шлиф.маш</v>
          </cell>
          <cell r="G84" t="str">
            <v>Пневматическая полировальная машина ST-7774 d180мм, 2500об/мин</v>
          </cell>
          <cell r="H84" t="str">
            <v>PRO</v>
          </cell>
          <cell r="I84">
            <v>180</v>
          </cell>
          <cell r="J84">
            <v>2500</v>
          </cell>
          <cell r="N84">
            <v>2.9</v>
          </cell>
          <cell r="O84" t="str">
            <v>1/4</v>
          </cell>
          <cell r="P84" t="str">
            <v>3/8</v>
          </cell>
          <cell r="Q84">
            <v>480</v>
          </cell>
          <cell r="S84">
            <v>11970</v>
          </cell>
          <cell r="T84">
            <v>14963</v>
          </cell>
          <cell r="U84" t="str">
            <v>+</v>
          </cell>
          <cell r="V84">
            <v>11970</v>
          </cell>
          <cell r="X84">
            <v>0</v>
          </cell>
        </row>
        <row r="85">
          <cell r="B85">
            <v>7364</v>
          </cell>
          <cell r="C85" t="str">
            <v>Sumake</v>
          </cell>
          <cell r="D85" t="str">
            <v>Пневматика</v>
          </cell>
          <cell r="E85" t="str">
            <v>Инструмент</v>
          </cell>
          <cell r="F85" t="str">
            <v>Полоск.шлиф.маш</v>
          </cell>
          <cell r="G85" t="str">
            <v>Пневматическая полировальная машина ST-7770 d180мм, 2000об/мин</v>
          </cell>
          <cell r="H85" t="str">
            <v>PRO</v>
          </cell>
          <cell r="I85">
            <v>180</v>
          </cell>
          <cell r="J85">
            <v>2000</v>
          </cell>
          <cell r="N85">
            <v>2.5</v>
          </cell>
          <cell r="O85" t="str">
            <v>1/4</v>
          </cell>
          <cell r="P85" t="str">
            <v>3/8</v>
          </cell>
          <cell r="Q85">
            <v>480</v>
          </cell>
          <cell r="S85">
            <v>12963</v>
          </cell>
          <cell r="T85">
            <v>16203</v>
          </cell>
          <cell r="U85" t="str">
            <v>-</v>
          </cell>
          <cell r="V85">
            <v>12963</v>
          </cell>
          <cell r="X85">
            <v>0</v>
          </cell>
        </row>
        <row r="86">
          <cell r="B86" t="str">
            <v>Код</v>
          </cell>
          <cell r="C86" t="str">
            <v>Бренд</v>
          </cell>
          <cell r="G86" t="str">
            <v>Наименование</v>
          </cell>
          <cell r="I86" t="str">
            <v>Механизм
включения</v>
          </cell>
          <cell r="J86" t="str">
            <v>Диам. диска 
(мм)</v>
          </cell>
          <cell r="K86" t="str">
            <v>Мощность
(Вт)</v>
          </cell>
          <cell r="L86" t="str">
            <v>Скор. св.
 вращ.
(об/мин)</v>
          </cell>
          <cell r="N86" t="str">
            <v>Вес
(Кг)</v>
          </cell>
          <cell r="O86" t="str">
            <v>Входной
диаметр 
(Дюйм)</v>
          </cell>
          <cell r="P86" t="str">
            <v>Диам.
Шланга
(Дюйм)</v>
          </cell>
          <cell r="Q86" t="str">
            <v>Расход
воздуха
(л/мин)</v>
          </cell>
          <cell r="S86" t="str">
            <v>Опт</v>
          </cell>
          <cell r="T86" t="str">
            <v>Рек. Розница</v>
          </cell>
        </row>
        <row r="87">
          <cell r="B87">
            <v>8094630</v>
          </cell>
          <cell r="C87" t="str">
            <v>Sumake</v>
          </cell>
          <cell r="D87" t="str">
            <v>Пневматика</v>
          </cell>
          <cell r="E87" t="str">
            <v>Инструмент</v>
          </cell>
          <cell r="F87" t="str">
            <v>УШМ</v>
          </cell>
          <cell r="G87" t="str">
            <v>ПневмоУШМ ST-7890L d230мм, 1840Вт</v>
          </cell>
          <cell r="H87" t="str">
            <v>IND</v>
          </cell>
          <cell r="I87" t="str">
            <v>Клавиша</v>
          </cell>
          <cell r="J87">
            <v>230</v>
          </cell>
          <cell r="K87">
            <v>1840</v>
          </cell>
          <cell r="L87">
            <v>5900</v>
          </cell>
          <cell r="N87">
            <v>4.40000000000000036</v>
          </cell>
          <cell r="O87" t="str">
            <v>1/2</v>
          </cell>
          <cell r="P87" t="str">
            <v>1/2</v>
          </cell>
          <cell r="Q87">
            <v>1130</v>
          </cell>
          <cell r="S87">
            <v>58676</v>
          </cell>
          <cell r="T87">
            <v>73344</v>
          </cell>
          <cell r="U87" t="str">
            <v>-</v>
          </cell>
          <cell r="V87">
            <v>58676</v>
          </cell>
          <cell r="X87">
            <v>0</v>
          </cell>
        </row>
        <row r="88">
          <cell r="B88">
            <v>27398</v>
          </cell>
          <cell r="C88" t="str">
            <v>Sumake</v>
          </cell>
          <cell r="D88" t="str">
            <v>Пневматика</v>
          </cell>
          <cell r="E88" t="str">
            <v>Инструмент</v>
          </cell>
          <cell r="F88" t="str">
            <v>УШМ</v>
          </cell>
          <cell r="G88" t="str">
            <v>ПневмоУШМ ST-7747L d180мм, 1180Вт</v>
          </cell>
          <cell r="H88" t="str">
            <v>PRO</v>
          </cell>
          <cell r="I88" t="str">
            <v>Клавиша</v>
          </cell>
          <cell r="J88">
            <v>180</v>
          </cell>
          <cell r="K88">
            <v>1180</v>
          </cell>
          <cell r="L88">
            <v>7600</v>
          </cell>
          <cell r="N88">
            <v>3.10000000000000009</v>
          </cell>
          <cell r="O88" t="str">
            <v>1/2</v>
          </cell>
          <cell r="P88" t="str">
            <v>1/2</v>
          </cell>
          <cell r="Q88">
            <v>820</v>
          </cell>
          <cell r="S88">
            <v>40441</v>
          </cell>
          <cell r="T88">
            <v>50551</v>
          </cell>
          <cell r="U88" t="str">
            <v>-</v>
          </cell>
          <cell r="V88">
            <v>40441</v>
          </cell>
          <cell r="X88">
            <v>0</v>
          </cell>
        </row>
        <row r="89">
          <cell r="B89">
            <v>7308</v>
          </cell>
          <cell r="C89" t="str">
            <v>Sumake</v>
          </cell>
          <cell r="D89" t="str">
            <v>Пневматика</v>
          </cell>
          <cell r="E89" t="str">
            <v>Инструмент</v>
          </cell>
          <cell r="F89" t="str">
            <v>УШМ</v>
          </cell>
          <cell r="G89" t="str">
            <v>ПневмоУШМ ST-7741 d180мм, 920Вт </v>
          </cell>
          <cell r="H89" t="str">
            <v>IND</v>
          </cell>
          <cell r="I89" t="str">
            <v>Клавиша</v>
          </cell>
          <cell r="J89">
            <v>180</v>
          </cell>
          <cell r="K89">
            <v>920</v>
          </cell>
          <cell r="L89">
            <v>7000</v>
          </cell>
          <cell r="N89">
            <v>3.20000000000000018</v>
          </cell>
          <cell r="O89" t="str">
            <v>1/2</v>
          </cell>
          <cell r="P89" t="str">
            <v>1/2</v>
          </cell>
          <cell r="Q89">
            <v>820</v>
          </cell>
          <cell r="S89">
            <v>22649</v>
          </cell>
          <cell r="T89">
            <v>28312</v>
          </cell>
          <cell r="U89" t="str">
            <v>+</v>
          </cell>
          <cell r="V89">
            <v>22649</v>
          </cell>
          <cell r="X89">
            <v>0</v>
          </cell>
        </row>
        <row r="90">
          <cell r="B90">
            <v>8094640</v>
          </cell>
          <cell r="C90" t="str">
            <v>Sumake</v>
          </cell>
          <cell r="D90" t="str">
            <v>Пневматика</v>
          </cell>
          <cell r="E90" t="str">
            <v>Инструмент</v>
          </cell>
          <cell r="F90" t="str">
            <v>УШМ</v>
          </cell>
          <cell r="G90" t="str">
            <v>ПневмоУШМ ST-7845L d125мм, 740Вт</v>
          </cell>
          <cell r="H90" t="str">
            <v>IND</v>
          </cell>
          <cell r="I90" t="str">
            <v>Клавиша</v>
          </cell>
          <cell r="J90">
            <v>125</v>
          </cell>
          <cell r="K90">
            <v>740</v>
          </cell>
          <cell r="L90">
            <v>13500</v>
          </cell>
          <cell r="N90">
            <v>2.02000000000000002</v>
          </cell>
          <cell r="O90" t="str">
            <v>3/8</v>
          </cell>
          <cell r="P90" t="str">
            <v>3/8</v>
          </cell>
          <cell r="Q90">
            <v>540</v>
          </cell>
          <cell r="S90">
            <v>31111</v>
          </cell>
          <cell r="T90">
            <v>38889</v>
          </cell>
          <cell r="U90" t="str">
            <v>-</v>
          </cell>
          <cell r="V90">
            <v>31111</v>
          </cell>
          <cell r="X90">
            <v>0</v>
          </cell>
        </row>
        <row r="91">
          <cell r="B91">
            <v>7307</v>
          </cell>
          <cell r="C91" t="str">
            <v>Sumake</v>
          </cell>
          <cell r="D91" t="str">
            <v>Пневматика</v>
          </cell>
          <cell r="E91" t="str">
            <v>Инструмент</v>
          </cell>
          <cell r="F91" t="str">
            <v>УШМ</v>
          </cell>
          <cell r="G91" t="str">
            <v>ПневмоУШМ ST-7737G d125мм, 440Вт</v>
          </cell>
          <cell r="H91" t="str">
            <v>PRO</v>
          </cell>
          <cell r="I91" t="str">
            <v>Шайба</v>
          </cell>
          <cell r="J91">
            <v>125</v>
          </cell>
          <cell r="K91">
            <v>440</v>
          </cell>
          <cell r="L91">
            <v>11000</v>
          </cell>
          <cell r="N91">
            <v>1.8</v>
          </cell>
          <cell r="O91" t="str">
            <v>3/8</v>
          </cell>
          <cell r="P91" t="str">
            <v>3/8</v>
          </cell>
          <cell r="Q91">
            <v>540</v>
          </cell>
          <cell r="S91">
            <v>11213</v>
          </cell>
          <cell r="T91">
            <v>14016</v>
          </cell>
          <cell r="U91" t="str">
            <v>+</v>
          </cell>
          <cell r="V91">
            <v>11213</v>
          </cell>
          <cell r="X91">
            <v>0</v>
          </cell>
        </row>
        <row r="92">
          <cell r="B92">
            <v>30394</v>
          </cell>
          <cell r="C92" t="str">
            <v>Sumake</v>
          </cell>
          <cell r="D92" t="str">
            <v>Пневматика</v>
          </cell>
          <cell r="E92" t="str">
            <v>Инструмент</v>
          </cell>
          <cell r="F92" t="str">
            <v>УШМ</v>
          </cell>
          <cell r="G92" t="str">
            <v>ПневмоУШМ ST-P7737 d125мм, 11000об/мин, 440Вт с регул. углом выхолпа</v>
          </cell>
          <cell r="H92" t="str">
            <v>PRO</v>
          </cell>
          <cell r="I92" t="str">
            <v>Клавиша</v>
          </cell>
          <cell r="J92">
            <v>125</v>
          </cell>
          <cell r="K92">
            <v>440</v>
          </cell>
          <cell r="L92">
            <v>10000</v>
          </cell>
          <cell r="N92">
            <v>1.75</v>
          </cell>
          <cell r="O92" t="str">
            <v>3/8</v>
          </cell>
          <cell r="P92" t="str">
            <v>3/8</v>
          </cell>
          <cell r="Q92">
            <v>540</v>
          </cell>
          <cell r="S92">
            <v>8727</v>
          </cell>
          <cell r="T92">
            <v>10909</v>
          </cell>
          <cell r="U92" t="str">
            <v>+</v>
          </cell>
          <cell r="V92">
            <v>8727</v>
          </cell>
          <cell r="X92">
            <v>0</v>
          </cell>
        </row>
        <row r="93">
          <cell r="B93">
            <v>27397</v>
          </cell>
          <cell r="C93" t="str">
            <v>Sumake</v>
          </cell>
          <cell r="D93" t="str">
            <v>Пневматика</v>
          </cell>
          <cell r="E93" t="str">
            <v>Инструмент</v>
          </cell>
          <cell r="F93" t="str">
            <v>УШМ</v>
          </cell>
          <cell r="G93" t="str">
            <v>ПневмоУШМ ST-7737 d125мм, 440Вт</v>
          </cell>
          <cell r="H93" t="str">
            <v>PRO</v>
          </cell>
          <cell r="I93" t="str">
            <v>Клавиша</v>
          </cell>
          <cell r="J93">
            <v>125</v>
          </cell>
          <cell r="K93">
            <v>440</v>
          </cell>
          <cell r="L93">
            <v>11000</v>
          </cell>
          <cell r="N93">
            <v>1.8</v>
          </cell>
          <cell r="O93" t="str">
            <v>3/8</v>
          </cell>
          <cell r="P93" t="str">
            <v>3/8</v>
          </cell>
          <cell r="Q93">
            <v>540</v>
          </cell>
          <cell r="S93">
            <v>10688</v>
          </cell>
          <cell r="T93">
            <v>13362</v>
          </cell>
          <cell r="U93" t="str">
            <v>+</v>
          </cell>
          <cell r="V93">
            <v>10688</v>
          </cell>
          <cell r="X93">
            <v>0</v>
          </cell>
        </row>
        <row r="94">
          <cell r="B94" t="str">
            <v>Код</v>
          </cell>
          <cell r="C94" t="str">
            <v>Бренд</v>
          </cell>
          <cell r="G94" t="str">
            <v>Наименование</v>
          </cell>
          <cell r="I94" t="str">
            <v>Просад.
Размер
(мм)</v>
          </cell>
          <cell r="J94" t="str">
            <v>Мощность
(Вт)</v>
          </cell>
          <cell r="K94" t="str">
            <v>Скор. св.
 вращ.
(об/мин)</v>
          </cell>
          <cell r="N94" t="str">
            <v>Вес
(Кг)</v>
          </cell>
          <cell r="O94" t="str">
            <v>Входной
диаметр 
(Дюйм)</v>
          </cell>
          <cell r="P94" t="str">
            <v>Диам.
Шланга
(Дюйм)</v>
          </cell>
          <cell r="Q94" t="str">
            <v>Расход
воздуха
(л/мин)</v>
          </cell>
          <cell r="S94" t="str">
            <v>Опт</v>
          </cell>
          <cell r="T94" t="str">
            <v>Рек. Розница</v>
          </cell>
        </row>
        <row r="95">
          <cell r="B95">
            <v>8087210</v>
          </cell>
          <cell r="C95" t="str">
            <v>Sumake</v>
          </cell>
          <cell r="D95" t="str">
            <v>Пневматика</v>
          </cell>
          <cell r="E95" t="str">
            <v>Инструмент</v>
          </cell>
          <cell r="F95" t="str">
            <v>Микрогриндер</v>
          </cell>
          <cell r="G95" t="str">
            <v>Пневмошлифмашина ST-66555</v>
          </cell>
          <cell r="H95" t="str">
            <v>PRO</v>
          </cell>
          <cell r="I95" t="str">
            <v>7/16 быстросъём
3/8 резьба</v>
          </cell>
          <cell r="J95">
            <v>370</v>
          </cell>
          <cell r="K95">
            <v>2500</v>
          </cell>
          <cell r="N95">
            <v>0.95</v>
          </cell>
          <cell r="O95" t="str">
            <v>3/8</v>
          </cell>
          <cell r="P95" t="str">
            <v>3/8</v>
          </cell>
          <cell r="Q95">
            <v>283</v>
          </cell>
          <cell r="S95">
            <v>5332</v>
          </cell>
          <cell r="T95">
            <v>6666</v>
          </cell>
          <cell r="U95" t="str">
            <v>-</v>
          </cell>
          <cell r="V95">
            <v>5332</v>
          </cell>
          <cell r="X95">
            <v>0</v>
          </cell>
        </row>
        <row r="96">
          <cell r="B96">
            <v>30395</v>
          </cell>
          <cell r="C96" t="str">
            <v>Sumake</v>
          </cell>
          <cell r="D96" t="str">
            <v>Пневматика</v>
          </cell>
          <cell r="E96" t="str">
            <v>Инструмент</v>
          </cell>
          <cell r="F96" t="str">
            <v>Микрогриндер</v>
          </cell>
          <cell r="G96" t="str">
            <v>Пневмошлифмашина ST-P7732M 6мм, 25000об/мин, 221Вт </v>
          </cell>
          <cell r="H96" t="str">
            <v>REG</v>
          </cell>
          <cell r="I96">
            <v>6</v>
          </cell>
          <cell r="J96">
            <v>221</v>
          </cell>
          <cell r="K96">
            <v>25000</v>
          </cell>
          <cell r="N96">
            <v>0.429999999999999982</v>
          </cell>
          <cell r="O96" t="str">
            <v>3/8</v>
          </cell>
          <cell r="P96" t="str">
            <v>3/8</v>
          </cell>
          <cell r="Q96">
            <v>85</v>
          </cell>
          <cell r="S96">
            <v>3526</v>
          </cell>
          <cell r="T96">
            <v>4407</v>
          </cell>
          <cell r="U96" t="str">
            <v>+</v>
          </cell>
          <cell r="V96">
            <v>3526</v>
          </cell>
          <cell r="X96">
            <v>0</v>
          </cell>
        </row>
        <row r="97">
          <cell r="B97">
            <v>4110730</v>
          </cell>
          <cell r="C97" t="str">
            <v>Sumake</v>
          </cell>
          <cell r="D97" t="str">
            <v>Пневматика</v>
          </cell>
          <cell r="E97" t="str">
            <v>Инструмент</v>
          </cell>
          <cell r="F97" t="str">
            <v>Микрогриндер</v>
          </cell>
          <cell r="G97" t="str">
            <v>Пневмошлифмашина ST-7733M</v>
          </cell>
          <cell r="H97" t="str">
            <v>REG</v>
          </cell>
          <cell r="I97">
            <v>6</v>
          </cell>
          <cell r="J97">
            <v>370</v>
          </cell>
          <cell r="K97">
            <v>22000</v>
          </cell>
          <cell r="N97" t="str">
            <v>-</v>
          </cell>
          <cell r="O97" t="str">
            <v>3/8</v>
          </cell>
          <cell r="P97" t="str">
            <v>3/8</v>
          </cell>
          <cell r="Q97">
            <v>368</v>
          </cell>
          <cell r="S97">
            <v>3308</v>
          </cell>
          <cell r="T97">
            <v>4136</v>
          </cell>
          <cell r="U97" t="str">
            <v>-</v>
          </cell>
          <cell r="V97">
            <v>3308</v>
          </cell>
          <cell r="X97">
            <v>0</v>
          </cell>
        </row>
        <row r="98">
          <cell r="B98">
            <v>682560</v>
          </cell>
          <cell r="C98" t="str">
            <v>Sumake</v>
          </cell>
          <cell r="D98" t="str">
            <v>Пневматика</v>
          </cell>
          <cell r="E98" t="str">
            <v>Инструмент</v>
          </cell>
          <cell r="F98" t="str">
            <v>Микрогриндер</v>
          </cell>
          <cell r="G98" t="str">
            <v>Пневмошлифмашина ST-7733LM (Цанга 6мм, 25000об/мин) удлинённая версия</v>
          </cell>
          <cell r="H98" t="str">
            <v>PRO</v>
          </cell>
          <cell r="I98">
            <v>6</v>
          </cell>
          <cell r="J98">
            <v>370</v>
          </cell>
          <cell r="K98">
            <v>25000</v>
          </cell>
          <cell r="N98">
            <v>0.640000000000000036</v>
          </cell>
          <cell r="O98" t="str">
            <v>3/8</v>
          </cell>
          <cell r="P98" t="str">
            <v>3/8</v>
          </cell>
          <cell r="Q98">
            <v>368</v>
          </cell>
          <cell r="S98">
            <v>6773</v>
          </cell>
          <cell r="T98">
            <v>8466</v>
          </cell>
          <cell r="U98" t="str">
            <v>-</v>
          </cell>
          <cell r="V98">
            <v>6773</v>
          </cell>
          <cell r="X98">
            <v>0</v>
          </cell>
        </row>
        <row r="99">
          <cell r="B99">
            <v>8141680</v>
          </cell>
          <cell r="G99" t="str">
            <v>Пневмошлифмашина ST-P7732МК с набором шарошек в пластиковом кейсе</v>
          </cell>
          <cell r="I99">
            <v>6</v>
          </cell>
          <cell r="J99">
            <v>221</v>
          </cell>
          <cell r="K99">
            <v>25000</v>
          </cell>
          <cell r="N99">
            <v>0.429999999999999982</v>
          </cell>
          <cell r="O99" t="str">
            <v>3/8</v>
          </cell>
          <cell r="P99" t="str">
            <v>3/8</v>
          </cell>
          <cell r="Q99">
            <v>85</v>
          </cell>
          <cell r="S99">
            <v>5304</v>
          </cell>
          <cell r="T99">
            <v>6630</v>
          </cell>
          <cell r="U99" t="str">
            <v>-</v>
          </cell>
          <cell r="V99">
            <v>5304</v>
          </cell>
          <cell r="X99">
            <v>0</v>
          </cell>
        </row>
        <row r="100">
          <cell r="B100">
            <v>7317</v>
          </cell>
          <cell r="C100" t="str">
            <v>Sumake</v>
          </cell>
          <cell r="D100" t="str">
            <v>Пневматика</v>
          </cell>
          <cell r="E100" t="str">
            <v>Набор</v>
          </cell>
          <cell r="F100" t="str">
            <v>Микрогриндер</v>
          </cell>
          <cell r="G100" t="str">
            <v>Пневмошлифмашина ST-7733MK с набором шарошек</v>
          </cell>
          <cell r="H100" t="str">
            <v>REG</v>
          </cell>
          <cell r="I100">
            <v>6</v>
          </cell>
          <cell r="J100">
            <v>370</v>
          </cell>
          <cell r="K100">
            <v>22000</v>
          </cell>
          <cell r="N100" t="str">
            <v>-</v>
          </cell>
          <cell r="O100" t="str">
            <v>3/8</v>
          </cell>
          <cell r="P100" t="str">
            <v>3/8</v>
          </cell>
          <cell r="Q100">
            <v>368</v>
          </cell>
          <cell r="S100">
            <v>4294</v>
          </cell>
          <cell r="T100">
            <v>5368</v>
          </cell>
          <cell r="U100" t="str">
            <v>+</v>
          </cell>
          <cell r="V100">
            <v>4294</v>
          </cell>
          <cell r="X100">
            <v>0</v>
          </cell>
        </row>
        <row r="101">
          <cell r="B101">
            <v>30366</v>
          </cell>
          <cell r="C101" t="str">
            <v>Sumake</v>
          </cell>
          <cell r="D101" t="str">
            <v>Пневматика</v>
          </cell>
          <cell r="E101" t="str">
            <v>Аксессуар</v>
          </cell>
          <cell r="F101" t="str">
            <v>Микрогриндер</v>
          </cell>
          <cell r="G101" t="str">
            <v>Набор шарошек GS-10 (5шт-хвостовик 3мм, 5шт-хвостовик 6мм)</v>
          </cell>
          <cell r="H101" t="str">
            <v>REG</v>
          </cell>
          <cell r="S101">
            <v>1209</v>
          </cell>
          <cell r="T101">
            <v>1451</v>
          </cell>
          <cell r="U101" t="str">
            <v>+</v>
          </cell>
          <cell r="V101">
            <v>1209</v>
          </cell>
          <cell r="X101">
            <v>0</v>
          </cell>
        </row>
        <row r="102">
          <cell r="B102">
            <v>8096300</v>
          </cell>
          <cell r="C102" t="str">
            <v>Sumake</v>
          </cell>
          <cell r="D102" t="str">
            <v>Пневматика</v>
          </cell>
          <cell r="E102" t="str">
            <v>Набор</v>
          </cell>
          <cell r="F102" t="str">
            <v>Микрогриндер</v>
          </cell>
          <cell r="G102" t="str">
            <v>Пневмошлифмашина ST-7732BMK с набором шарошек. Эко</v>
          </cell>
          <cell r="H102" t="str">
            <v>DIY</v>
          </cell>
          <cell r="I102">
            <v>6</v>
          </cell>
          <cell r="J102">
            <v>221</v>
          </cell>
          <cell r="K102">
            <v>25000</v>
          </cell>
          <cell r="N102">
            <v>0.429999999999999982</v>
          </cell>
          <cell r="O102" t="str">
            <v>3/8</v>
          </cell>
          <cell r="P102" t="str">
            <v>3/8</v>
          </cell>
          <cell r="Q102">
            <v>85</v>
          </cell>
          <cell r="S102">
            <v>4038</v>
          </cell>
          <cell r="T102">
            <v>5049</v>
          </cell>
          <cell r="U102" t="str">
            <v>-</v>
          </cell>
          <cell r="V102">
            <v>4038</v>
          </cell>
          <cell r="X102">
            <v>0</v>
          </cell>
        </row>
        <row r="103">
          <cell r="B103" t="str">
            <v>Код</v>
          </cell>
          <cell r="C103" t="str">
            <v>Бренд</v>
          </cell>
          <cell r="G103" t="str">
            <v>Наименование</v>
          </cell>
          <cell r="I103" t="str">
            <v>Тип хвостовика</v>
          </cell>
          <cell r="J103" t="str">
            <v>Размер 
хвостовика
(мм)</v>
          </cell>
          <cell r="K103" t="str">
            <v>Энергия
удара
(Дж)</v>
          </cell>
          <cell r="L103" t="str">
            <v>Частота
ударов
(уд/мин)</v>
          </cell>
          <cell r="N103" t="str">
            <v>Вес
(Кг)</v>
          </cell>
          <cell r="O103" t="str">
            <v>Входной
диаметр 
(Дюйм)</v>
          </cell>
          <cell r="P103" t="str">
            <v>Диам.
Шланга
(Дюйм)</v>
          </cell>
          <cell r="Q103" t="str">
            <v>Расход
воздуха
(л/мин)</v>
          </cell>
          <cell r="S103" t="str">
            <v>Опт</v>
          </cell>
          <cell r="T103" t="str">
            <v>Рек. Розница</v>
          </cell>
        </row>
        <row r="104">
          <cell r="B104">
            <v>8200000</v>
          </cell>
          <cell r="G104" t="str">
            <v>Пневмомолоток Sumake ST-M3008/H с набором зубил</v>
          </cell>
          <cell r="I104" t="str">
            <v>Шестигранный</v>
          </cell>
          <cell r="J104">
            <v>10.0999999999999996</v>
          </cell>
          <cell r="K104">
            <v>8.30000000000000071</v>
          </cell>
          <cell r="L104">
            <v>4300</v>
          </cell>
          <cell r="N104">
            <v>1.10000000000000009</v>
          </cell>
          <cell r="O104" t="str">
            <v>3/8</v>
          </cell>
          <cell r="P104" t="str">
            <v>1/2</v>
          </cell>
          <cell r="Q104">
            <v>134</v>
          </cell>
          <cell r="S104">
            <v>2821</v>
          </cell>
          <cell r="T104">
            <v>3525</v>
          </cell>
          <cell r="U104" t="str">
            <v>+</v>
          </cell>
          <cell r="V104">
            <v>2821</v>
          </cell>
          <cell r="X104">
            <v>0</v>
          </cell>
        </row>
        <row r="105">
          <cell r="B105">
            <v>8106160</v>
          </cell>
          <cell r="G105" t="str">
            <v>Пневмозубило ST-2003/HD лопатка 10,1</v>
          </cell>
          <cell r="S105">
            <v>229</v>
          </cell>
          <cell r="T105">
            <v>284</v>
          </cell>
          <cell r="U105" t="str">
            <v>-</v>
          </cell>
          <cell r="V105">
            <v>229</v>
          </cell>
          <cell r="X105">
            <v>0</v>
          </cell>
        </row>
        <row r="106">
          <cell r="B106">
            <v>8096310</v>
          </cell>
          <cell r="G106" t="str">
            <v>Пневмомолоток ST-2554F Хвостовик 15мм 27Дж</v>
          </cell>
          <cell r="I106" t="str">
            <v>Шестигранный</v>
          </cell>
          <cell r="J106">
            <v>15</v>
          </cell>
          <cell r="K106">
            <v>27</v>
          </cell>
          <cell r="L106">
            <v>2000</v>
          </cell>
          <cell r="N106">
            <v>4.5</v>
          </cell>
          <cell r="O106" t="str">
            <v>1/4</v>
          </cell>
          <cell r="P106" t="str">
            <v>3/8</v>
          </cell>
          <cell r="Q106">
            <v>400</v>
          </cell>
          <cell r="S106">
            <v>31676</v>
          </cell>
          <cell r="T106">
            <v>39595</v>
          </cell>
          <cell r="U106" t="str">
            <v>-</v>
          </cell>
          <cell r="V106">
            <v>31676</v>
          </cell>
          <cell r="X106">
            <v>0</v>
          </cell>
        </row>
        <row r="107">
          <cell r="B107">
            <v>11226</v>
          </cell>
          <cell r="C107" t="str">
            <v>Sumake</v>
          </cell>
          <cell r="D107" t="str">
            <v>Пневматика</v>
          </cell>
          <cell r="E107" t="str">
            <v>Инструмент</v>
          </cell>
          <cell r="F107" t="str">
            <v>Молоток</v>
          </cell>
          <cell r="G107" t="str">
            <v>Пневмомолоток ST-2202/H (хвост. 6-гран. 14,7мм 27,3Дж 2150уд/мин)</v>
          </cell>
          <cell r="H107" t="str">
            <v>IND</v>
          </cell>
          <cell r="I107" t="str">
            <v>Шестигранный</v>
          </cell>
          <cell r="J107">
            <v>14.6999999999999993</v>
          </cell>
          <cell r="K107">
            <v>27.3000000000000007</v>
          </cell>
          <cell r="L107">
            <v>2150</v>
          </cell>
          <cell r="N107">
            <v>5.90000000000000036</v>
          </cell>
          <cell r="O107" t="str">
            <v>3/8</v>
          </cell>
          <cell r="P107" t="str">
            <v>1/2</v>
          </cell>
          <cell r="Q107">
            <v>600</v>
          </cell>
          <cell r="S107">
            <v>26835</v>
          </cell>
          <cell r="T107">
            <v>33543</v>
          </cell>
          <cell r="U107" t="str">
            <v>-</v>
          </cell>
          <cell r="V107">
            <v>26835</v>
          </cell>
          <cell r="X107">
            <v>0</v>
          </cell>
        </row>
        <row r="108">
          <cell r="B108">
            <v>12275</v>
          </cell>
          <cell r="C108" t="str">
            <v>Sumake</v>
          </cell>
          <cell r="D108" t="str">
            <v>Пневматика</v>
          </cell>
          <cell r="E108" t="str">
            <v>Инструмент</v>
          </cell>
          <cell r="F108" t="str">
            <v>Молоток</v>
          </cell>
          <cell r="G108" t="str">
            <v>Пневмозубило ST 2304/Н плоское</v>
          </cell>
          <cell r="H108" t="str">
            <v>IND</v>
          </cell>
          <cell r="I108" t="str">
            <v>Лопатка</v>
          </cell>
          <cell r="J108">
            <v>14.6999999999999993</v>
          </cell>
          <cell r="S108">
            <v>1512</v>
          </cell>
          <cell r="T108">
            <v>1890</v>
          </cell>
          <cell r="U108" t="str">
            <v>+</v>
          </cell>
          <cell r="V108">
            <v>1512</v>
          </cell>
          <cell r="X108">
            <v>0</v>
          </cell>
        </row>
        <row r="109">
          <cell r="B109">
            <v>7357</v>
          </cell>
          <cell r="C109" t="str">
            <v>Sumake</v>
          </cell>
          <cell r="D109" t="str">
            <v>Пневматика</v>
          </cell>
          <cell r="E109" t="str">
            <v>Инструмент</v>
          </cell>
          <cell r="F109" t="str">
            <v>Молоток</v>
          </cell>
          <cell r="G109" t="str">
            <v>Пневмомолоток ST-2200A/H (хвост. 6-гран 11,8мм, 9,51Дж, 3000уд/мин)</v>
          </cell>
          <cell r="H109" t="str">
            <v>IND</v>
          </cell>
          <cell r="I109" t="str">
            <v>Шестигранный</v>
          </cell>
          <cell r="J109">
            <v>11.8000000000000007</v>
          </cell>
          <cell r="K109">
            <v>9.50999999999999979</v>
          </cell>
          <cell r="L109">
            <v>3000</v>
          </cell>
          <cell r="N109">
            <v>2.60000000000000009</v>
          </cell>
          <cell r="O109" t="str">
            <v>1/4</v>
          </cell>
          <cell r="P109" t="str">
            <v>3/8</v>
          </cell>
          <cell r="Q109">
            <v>400</v>
          </cell>
          <cell r="S109">
            <v>20545</v>
          </cell>
          <cell r="T109">
            <v>25681</v>
          </cell>
          <cell r="U109" t="str">
            <v>-</v>
          </cell>
          <cell r="V109">
            <v>20545</v>
          </cell>
          <cell r="X109">
            <v>0</v>
          </cell>
        </row>
        <row r="110">
          <cell r="B110">
            <v>12274</v>
          </cell>
          <cell r="C110" t="str">
            <v>Sumake</v>
          </cell>
          <cell r="D110" t="str">
            <v>Пневматика</v>
          </cell>
          <cell r="E110" t="str">
            <v>Инструмент</v>
          </cell>
          <cell r="F110" t="str">
            <v>Молоток</v>
          </cell>
          <cell r="G110" t="str">
            <v>Пневмозубило ST 2302/Н плоское для ST-2200A/H</v>
          </cell>
          <cell r="H110" t="str">
            <v>IND</v>
          </cell>
          <cell r="I110" t="str">
            <v>Лопатка</v>
          </cell>
          <cell r="J110">
            <v>11.8000000000000007</v>
          </cell>
          <cell r="S110">
            <v>1042</v>
          </cell>
          <cell r="T110">
            <v>1302</v>
          </cell>
          <cell r="U110" t="str">
            <v>-</v>
          </cell>
          <cell r="V110">
            <v>1042</v>
          </cell>
          <cell r="X110">
            <v>0</v>
          </cell>
        </row>
        <row r="111">
          <cell r="B111">
            <v>20019</v>
          </cell>
          <cell r="C111" t="str">
            <v>Sumake</v>
          </cell>
          <cell r="D111" t="str">
            <v>Пневматика</v>
          </cell>
          <cell r="E111" t="str">
            <v>Инструмент</v>
          </cell>
          <cell r="F111" t="str">
            <v>Молоток</v>
          </cell>
          <cell r="G111" t="str">
            <v>Пневмозубило ST 2301/H пика для ST-2200A/H</v>
          </cell>
          <cell r="H111" t="str">
            <v>IND</v>
          </cell>
          <cell r="I111" t="str">
            <v>Пика</v>
          </cell>
          <cell r="J111">
            <v>11.8000000000000007</v>
          </cell>
          <cell r="S111">
            <v>825</v>
          </cell>
          <cell r="T111">
            <v>1028</v>
          </cell>
          <cell r="U111" t="str">
            <v>-</v>
          </cell>
          <cell r="V111">
            <v>825</v>
          </cell>
          <cell r="X111">
            <v>0</v>
          </cell>
        </row>
        <row r="112">
          <cell r="B112">
            <v>7358</v>
          </cell>
          <cell r="C112" t="str">
            <v>Sumake</v>
          </cell>
          <cell r="D112" t="str">
            <v>Пневматика</v>
          </cell>
          <cell r="E112" t="str">
            <v>Инструмент</v>
          </cell>
          <cell r="F112" t="str">
            <v>Молоток</v>
          </cell>
          <cell r="G112" t="str">
            <v>Пневмомолоток ST-2210/H + 4 зубила 130мм</v>
          </cell>
          <cell r="H112" t="str">
            <v>DIY</v>
          </cell>
          <cell r="I112" t="str">
            <v>Шестигранный</v>
          </cell>
          <cell r="J112">
            <v>10.0999999999999996</v>
          </cell>
          <cell r="K112">
            <v>5.29999999999999982</v>
          </cell>
          <cell r="L112">
            <v>4500</v>
          </cell>
          <cell r="N112">
            <v>1.12000000000000011</v>
          </cell>
          <cell r="O112" t="str">
            <v>1/4</v>
          </cell>
          <cell r="P112" t="str">
            <v>3/8</v>
          </cell>
          <cell r="Q112">
            <v>150</v>
          </cell>
          <cell r="S112">
            <v>3669</v>
          </cell>
          <cell r="T112">
            <v>4587</v>
          </cell>
          <cell r="U112" t="str">
            <v>+</v>
          </cell>
          <cell r="V112">
            <v>3669</v>
          </cell>
          <cell r="X112">
            <v>0</v>
          </cell>
        </row>
        <row r="113">
          <cell r="B113">
            <v>7359</v>
          </cell>
          <cell r="C113" t="str">
            <v>Sumake</v>
          </cell>
          <cell r="D113" t="str">
            <v>Пневматика</v>
          </cell>
          <cell r="E113" t="str">
            <v>Инструмент</v>
          </cell>
          <cell r="F113" t="str">
            <v>Молоток</v>
          </cell>
          <cell r="G113" t="str">
            <v>Пневмомолоток ST-2310/H + 4зубила 130мм</v>
          </cell>
          <cell r="H113" t="str">
            <v>DIY</v>
          </cell>
          <cell r="I113" t="str">
            <v>Шестигранный</v>
          </cell>
          <cell r="J113">
            <v>10.0999999999999996</v>
          </cell>
          <cell r="K113">
            <v>4.79999999999999982</v>
          </cell>
          <cell r="L113">
            <v>4500</v>
          </cell>
          <cell r="N113">
            <v>1.12000000000000011</v>
          </cell>
          <cell r="O113" t="str">
            <v>1/4</v>
          </cell>
          <cell r="P113" t="str">
            <v>3/8</v>
          </cell>
          <cell r="Q113">
            <v>120</v>
          </cell>
          <cell r="S113">
            <v>2428</v>
          </cell>
          <cell r="T113">
            <v>3035</v>
          </cell>
          <cell r="U113" t="str">
            <v>-</v>
          </cell>
          <cell r="V113">
            <v>2428</v>
          </cell>
          <cell r="X113">
            <v>0</v>
          </cell>
        </row>
        <row r="114">
          <cell r="B114">
            <v>8096340</v>
          </cell>
          <cell r="C114" t="str">
            <v>Sumake</v>
          </cell>
          <cell r="D114" t="str">
            <v>Пневматика</v>
          </cell>
          <cell r="E114" t="str">
            <v>Инструмент</v>
          </cell>
          <cell r="F114" t="str">
            <v>Молоток</v>
          </cell>
          <cell r="G114" t="str">
            <v>Пневмомолоток ST-2237QC/H</v>
          </cell>
          <cell r="H114" t="str">
            <v>IND</v>
          </cell>
          <cell r="I114" t="str">
            <v>Шестигранный</v>
          </cell>
          <cell r="J114">
            <v>10.0999999999999996</v>
          </cell>
          <cell r="K114">
            <v>12</v>
          </cell>
          <cell r="L114">
            <v>3000</v>
          </cell>
          <cell r="N114">
            <v>2</v>
          </cell>
          <cell r="O114" t="str">
            <v>1/4</v>
          </cell>
          <cell r="P114" t="str">
            <v>3/8</v>
          </cell>
          <cell r="Q114">
            <v>400</v>
          </cell>
          <cell r="S114">
            <v>10293</v>
          </cell>
          <cell r="T114">
            <v>12864</v>
          </cell>
          <cell r="U114" t="str">
            <v>-</v>
          </cell>
          <cell r="V114">
            <v>10293</v>
          </cell>
          <cell r="X114">
            <v>0</v>
          </cell>
        </row>
        <row r="115">
          <cell r="B115">
            <v>8096320</v>
          </cell>
          <cell r="C115" t="str">
            <v>Sumake</v>
          </cell>
          <cell r="D115" t="str">
            <v>Пневматика</v>
          </cell>
          <cell r="E115" t="str">
            <v>Инструмент</v>
          </cell>
          <cell r="F115" t="str">
            <v>Молоток</v>
          </cell>
          <cell r="G115" t="str">
            <v>Пневмомолоток ST-M3009/H + 4 зубила 130мм</v>
          </cell>
          <cell r="H115" t="str">
            <v>REG</v>
          </cell>
          <cell r="I115" t="str">
            <v>Шестигранный</v>
          </cell>
          <cell r="J115">
            <v>10.0999999999999996</v>
          </cell>
          <cell r="K115">
            <v>7.09999999999999964</v>
          </cell>
          <cell r="L115">
            <v>3200</v>
          </cell>
          <cell r="N115">
            <v>1.60000000000000009</v>
          </cell>
          <cell r="O115" t="str">
            <v>1/4</v>
          </cell>
          <cell r="P115" t="str">
            <v>3/8</v>
          </cell>
          <cell r="Q115">
            <v>400</v>
          </cell>
          <cell r="S115">
            <v>3485</v>
          </cell>
          <cell r="T115">
            <v>4356</v>
          </cell>
          <cell r="U115" t="str">
            <v>+</v>
          </cell>
          <cell r="V115">
            <v>3485</v>
          </cell>
          <cell r="X115">
            <v>0</v>
          </cell>
        </row>
        <row r="116">
          <cell r="B116">
            <v>8096330</v>
          </cell>
          <cell r="C116" t="str">
            <v>Sumake</v>
          </cell>
          <cell r="D116" t="str">
            <v>Пневматика</v>
          </cell>
          <cell r="E116" t="str">
            <v>Инструмент</v>
          </cell>
          <cell r="F116" t="str">
            <v>Молоток</v>
          </cell>
          <cell r="G116" t="str">
            <v>Пневмомолоток ST-M3009K/H + 5 зубил 170мм в пластиковом кейсе</v>
          </cell>
          <cell r="H116" t="str">
            <v>REG</v>
          </cell>
          <cell r="I116" t="str">
            <v>Шестигранный</v>
          </cell>
          <cell r="J116">
            <v>10.0999999999999996</v>
          </cell>
          <cell r="K116">
            <v>7.09999999999999964</v>
          </cell>
          <cell r="L116">
            <v>3200</v>
          </cell>
          <cell r="N116">
            <v>1.60000000000000009</v>
          </cell>
          <cell r="O116" t="str">
            <v>1/4</v>
          </cell>
          <cell r="P116" t="str">
            <v>3/8</v>
          </cell>
          <cell r="Q116">
            <v>400</v>
          </cell>
          <cell r="S116">
            <v>5462</v>
          </cell>
          <cell r="T116">
            <v>6828</v>
          </cell>
          <cell r="U116" t="str">
            <v>-</v>
          </cell>
          <cell r="V116">
            <v>5462</v>
          </cell>
          <cell r="X116">
            <v>0</v>
          </cell>
        </row>
        <row r="117">
          <cell r="B117">
            <v>7366</v>
          </cell>
          <cell r="C117" t="str">
            <v>Sumake</v>
          </cell>
          <cell r="D117" t="str">
            <v>Пневматика</v>
          </cell>
          <cell r="E117" t="str">
            <v>Инструмент</v>
          </cell>
          <cell r="F117" t="str">
            <v>Молоток</v>
          </cell>
          <cell r="G117" t="str">
            <v>Пневмоскалер(Щетка пневматическая) ST-2555 (иголки: d3мм,L180мм,19шт) 8Дж</v>
          </cell>
          <cell r="H117" t="str">
            <v>IND</v>
          </cell>
          <cell r="I117" t="str">
            <v>ø3X180ммX19шт</v>
          </cell>
          <cell r="K117">
            <v>8</v>
          </cell>
          <cell r="L117">
            <v>3800</v>
          </cell>
          <cell r="N117">
            <v>2.70000000000000018</v>
          </cell>
          <cell r="O117" t="str">
            <v>1/4</v>
          </cell>
          <cell r="P117" t="str">
            <v>3/8</v>
          </cell>
          <cell r="Q117">
            <v>285</v>
          </cell>
          <cell r="S117">
            <v>16371</v>
          </cell>
          <cell r="T117">
            <v>22101</v>
          </cell>
          <cell r="U117" t="str">
            <v>-</v>
          </cell>
          <cell r="V117">
            <v>16371</v>
          </cell>
          <cell r="X117">
            <v>0</v>
          </cell>
        </row>
        <row r="118">
          <cell r="B118">
            <v>11224</v>
          </cell>
          <cell r="C118" t="str">
            <v>Sumake</v>
          </cell>
          <cell r="D118" t="str">
            <v>Пневматика</v>
          </cell>
          <cell r="E118" t="str">
            <v>Набор</v>
          </cell>
          <cell r="F118" t="str">
            <v>Молоток</v>
          </cell>
          <cell r="G118" t="str">
            <v>Пневмозубило ST-2003/H набор 4 шт 130мм</v>
          </cell>
          <cell r="H118" t="str">
            <v>REG</v>
          </cell>
          <cell r="I118" t="str">
            <v>Набор 4шт 10шт</v>
          </cell>
          <cell r="J118">
            <v>10.0999999999999996</v>
          </cell>
          <cell r="S118">
            <v>730</v>
          </cell>
          <cell r="T118">
            <v>912</v>
          </cell>
          <cell r="U118" t="str">
            <v>-</v>
          </cell>
          <cell r="V118">
            <v>730</v>
          </cell>
          <cell r="X118">
            <v>0</v>
          </cell>
        </row>
        <row r="119">
          <cell r="B119">
            <v>7354</v>
          </cell>
          <cell r="C119" t="str">
            <v>Sumake</v>
          </cell>
          <cell r="D119" t="str">
            <v>Пневматика</v>
          </cell>
          <cell r="E119" t="str">
            <v>Набор</v>
          </cell>
          <cell r="F119" t="str">
            <v>Молоток</v>
          </cell>
          <cell r="G119" t="str">
            <v>Пневмозубило ST-2004/H набор 5 шт 170мм</v>
          </cell>
          <cell r="H119" t="str">
            <v>REG</v>
          </cell>
          <cell r="I119" t="str">
            <v>Набор 5шт 170мм</v>
          </cell>
          <cell r="J119">
            <v>10.0999999999999996</v>
          </cell>
          <cell r="S119">
            <v>1650</v>
          </cell>
          <cell r="T119">
            <v>2228</v>
          </cell>
          <cell r="U119" t="str">
            <v>-</v>
          </cell>
          <cell r="V119">
            <v>1650</v>
          </cell>
          <cell r="X119">
            <v>0</v>
          </cell>
        </row>
        <row r="120">
          <cell r="B120">
            <v>30363</v>
          </cell>
          <cell r="C120" t="str">
            <v>Sumake</v>
          </cell>
          <cell r="D120" t="str">
            <v>Пневматика</v>
          </cell>
          <cell r="E120" t="str">
            <v>Аксессуар</v>
          </cell>
          <cell r="F120" t="str">
            <v>Молоток</v>
          </cell>
          <cell r="G120" t="str">
            <v>Пружина универсальная ST-2001 для пневмозубил 10,1мм</v>
          </cell>
          <cell r="H120" t="str">
            <v>REG</v>
          </cell>
          <cell r="I120" t="str">
            <v>Фиксирующая пружина</v>
          </cell>
          <cell r="S120">
            <v>139</v>
          </cell>
          <cell r="T120">
            <v>173</v>
          </cell>
          <cell r="U120" t="str">
            <v>+</v>
          </cell>
          <cell r="V120">
            <v>139</v>
          </cell>
          <cell r="X120">
            <v>0</v>
          </cell>
        </row>
        <row r="121">
          <cell r="B121" t="str">
            <v>Код</v>
          </cell>
          <cell r="C121" t="str">
            <v>Бренд</v>
          </cell>
          <cell r="G121" t="str">
            <v>Наименование</v>
          </cell>
          <cell r="I121" t="str">
            <v>Размеры заклёпок</v>
          </cell>
          <cell r="J121" t="str">
            <v>Ход
(мм)</v>
          </cell>
          <cell r="K121" t="str">
            <v>Тяговое
усилие
(Кгс)</v>
          </cell>
          <cell r="L121" t="str">
            <v>Кол-во
губ</v>
          </cell>
          <cell r="N121" t="str">
            <v>Вес
(Кг)</v>
          </cell>
          <cell r="O121" t="str">
            <v>Входной
диаметр 
(Дюйм)</v>
          </cell>
          <cell r="P121" t="str">
            <v>Диам.
Шланга
(мм)</v>
          </cell>
          <cell r="Q121" t="str">
            <v>Расход
воздуха
(л/мин)</v>
          </cell>
          <cell r="S121" t="str">
            <v>Опт</v>
          </cell>
          <cell r="T121" t="str">
            <v>Рек. Розница</v>
          </cell>
        </row>
        <row r="122">
          <cell r="B122">
            <v>547830</v>
          </cell>
          <cell r="C122" t="str">
            <v>Sumake</v>
          </cell>
          <cell r="D122" t="str">
            <v>Пневматика</v>
          </cell>
          <cell r="E122" t="str">
            <v>Инструмент</v>
          </cell>
          <cell r="F122" t="str">
            <v>Заклёпочник</v>
          </cell>
          <cell r="G122" t="str">
            <v>Пневмогидравлический заклепочник вакуумного типа ST-6677 (3,2-6,4мм) 1700Кгс</v>
          </cell>
          <cell r="H122" t="str">
            <v>PRO</v>
          </cell>
          <cell r="I122" t="str">
            <v>3,2мм 4,0мм 4,8мм 6,4мм</v>
          </cell>
          <cell r="J122">
            <v>23</v>
          </cell>
          <cell r="K122">
            <v>1700</v>
          </cell>
          <cell r="L122">
            <v>3</v>
          </cell>
          <cell r="N122">
            <v>1.7</v>
          </cell>
          <cell r="O122" t="str">
            <v>1/4</v>
          </cell>
          <cell r="P122" t="str">
            <v>3/8</v>
          </cell>
          <cell r="Q122">
            <v>255</v>
          </cell>
          <cell r="S122">
            <v>51953</v>
          </cell>
          <cell r="T122">
            <v>64942</v>
          </cell>
          <cell r="U122" t="str">
            <v>-</v>
          </cell>
          <cell r="V122">
            <v>51953</v>
          </cell>
          <cell r="X122">
            <v>0</v>
          </cell>
        </row>
        <row r="123">
          <cell r="B123">
            <v>496180</v>
          </cell>
          <cell r="C123" t="str">
            <v>Sumake</v>
          </cell>
          <cell r="D123" t="str">
            <v>Пневматика</v>
          </cell>
          <cell r="E123" t="str">
            <v>Инструмент</v>
          </cell>
          <cell r="F123" t="str">
            <v>Заклёпочник</v>
          </cell>
          <cell r="G123" t="str">
            <v>Пневмогидравлический заклепочник ST-6671 (2,4-4,8мм 1000Кгс)</v>
          </cell>
          <cell r="H123" t="str">
            <v>PRO</v>
          </cell>
          <cell r="I123" t="str">
            <v>2,4мм 3,2мм 4,0мм 4,8мм</v>
          </cell>
          <cell r="J123">
            <v>16</v>
          </cell>
          <cell r="K123">
            <v>1000</v>
          </cell>
          <cell r="L123">
            <v>3</v>
          </cell>
          <cell r="N123">
            <v>1.8</v>
          </cell>
          <cell r="O123" t="str">
            <v>1/4</v>
          </cell>
          <cell r="P123" t="str">
            <v>3/8</v>
          </cell>
          <cell r="Q123">
            <v>255</v>
          </cell>
          <cell r="S123">
            <v>22060</v>
          </cell>
          <cell r="T123">
            <v>27577</v>
          </cell>
          <cell r="U123" t="str">
            <v>+</v>
          </cell>
          <cell r="V123">
            <v>22060</v>
          </cell>
          <cell r="X123">
            <v>0</v>
          </cell>
        </row>
        <row r="124">
          <cell r="B124">
            <v>31877</v>
          </cell>
          <cell r="C124" t="str">
            <v>Sumake</v>
          </cell>
          <cell r="D124" t="str">
            <v>Пневматика</v>
          </cell>
          <cell r="E124" t="str">
            <v>Инструмент</v>
          </cell>
          <cell r="F124" t="str">
            <v>Заклёпочник</v>
          </cell>
          <cell r="G124" t="str">
            <v>Пневмогидравлический заклепочник ST-6616 (2,4-4,8мм 900Кгс)</v>
          </cell>
          <cell r="H124" t="str">
            <v>PRO</v>
          </cell>
          <cell r="I124" t="str">
            <v>2.4мм 3,2мм 4,0мм 4,8мм</v>
          </cell>
          <cell r="J124">
            <v>17</v>
          </cell>
          <cell r="K124">
            <v>900</v>
          </cell>
          <cell r="L124">
            <v>3</v>
          </cell>
          <cell r="N124">
            <v>1.5</v>
          </cell>
          <cell r="O124" t="str">
            <v>1/4</v>
          </cell>
          <cell r="P124" t="str">
            <v>3/8</v>
          </cell>
          <cell r="Q124">
            <v>255</v>
          </cell>
          <cell r="S124">
            <v>15841</v>
          </cell>
          <cell r="T124">
            <v>19801</v>
          </cell>
          <cell r="U124" t="str">
            <v>+</v>
          </cell>
          <cell r="V124">
            <v>15841</v>
          </cell>
          <cell r="X124">
            <v>0</v>
          </cell>
        </row>
        <row r="125">
          <cell r="B125">
            <v>4119130</v>
          </cell>
          <cell r="C125" t="str">
            <v>Sumake</v>
          </cell>
          <cell r="D125" t="str">
            <v>Пневматика</v>
          </cell>
          <cell r="E125" t="str">
            <v>Инструмент</v>
          </cell>
          <cell r="F125" t="str">
            <v>Заклёпочник</v>
          </cell>
          <cell r="G125" t="str">
            <v>Пневмогидравлический заклепочник ST-66159 (2,4-4,8мм 880Кгс)</v>
          </cell>
          <cell r="H125" t="str">
            <v>PRO</v>
          </cell>
          <cell r="I125" t="str">
            <v>2.4мм 3,2мм 4,0мм 4,8мм</v>
          </cell>
          <cell r="J125">
            <v>15.5</v>
          </cell>
          <cell r="K125">
            <v>880</v>
          </cell>
          <cell r="L125">
            <v>2</v>
          </cell>
          <cell r="N125">
            <v>1.5</v>
          </cell>
          <cell r="O125" t="str">
            <v>1/4</v>
          </cell>
          <cell r="P125" t="str">
            <v>3/8</v>
          </cell>
          <cell r="Q125">
            <v>255</v>
          </cell>
          <cell r="S125">
            <v>12082</v>
          </cell>
          <cell r="T125">
            <v>15103</v>
          </cell>
          <cell r="U125" t="str">
            <v>-</v>
          </cell>
          <cell r="V125">
            <v>12082</v>
          </cell>
          <cell r="X125">
            <v>0</v>
          </cell>
        </row>
        <row r="126">
          <cell r="B126">
            <v>35087</v>
          </cell>
          <cell r="C126" t="str">
            <v>Sumake</v>
          </cell>
          <cell r="D126" t="str">
            <v>Пневматика</v>
          </cell>
          <cell r="E126" t="str">
            <v>Инструмент</v>
          </cell>
          <cell r="F126" t="str">
            <v>Заклёпочник</v>
          </cell>
          <cell r="G126" t="str">
            <v>Пневмогидравлический заклепочник ST-6615 (2,4-4,8мм 720Кгс)</v>
          </cell>
          <cell r="H126" t="str">
            <v>REG</v>
          </cell>
          <cell r="I126" t="str">
            <v>2.4мм 3,2мм 4,0мм 4,8мм</v>
          </cell>
          <cell r="J126">
            <v>14</v>
          </cell>
          <cell r="K126">
            <v>720</v>
          </cell>
          <cell r="L126">
            <v>2</v>
          </cell>
          <cell r="N126">
            <v>1.5</v>
          </cell>
          <cell r="O126" t="str">
            <v>1/4</v>
          </cell>
          <cell r="P126" t="str">
            <v>3/8</v>
          </cell>
          <cell r="Q126">
            <v>255</v>
          </cell>
          <cell r="S126">
            <v>8489</v>
          </cell>
          <cell r="T126">
            <v>10610</v>
          </cell>
          <cell r="U126" t="str">
            <v>+</v>
          </cell>
          <cell r="V126">
            <v>8489</v>
          </cell>
          <cell r="X126">
            <v>0</v>
          </cell>
        </row>
        <row r="127">
          <cell r="B127" t="str">
            <v>Код</v>
          </cell>
          <cell r="C127" t="str">
            <v>Бренд</v>
          </cell>
          <cell r="G127" t="str">
            <v>Наименование</v>
          </cell>
          <cell r="I127" t="str">
            <v>Ёмкость
(мл)</v>
          </cell>
          <cell r="J127" t="str">
            <v>Давление
смазки
(bar)</v>
          </cell>
          <cell r="K127" t="str">
            <v>Давление
воздуха
(bar)</v>
          </cell>
          <cell r="N127" t="str">
            <v>Вес
(Кг)</v>
          </cell>
          <cell r="O127" t="str">
            <v>Входной
диаметр 
(Дюйм)</v>
          </cell>
          <cell r="P127" t="str">
            <v>Диам.
Шланга
(мм)</v>
          </cell>
          <cell r="S127" t="str">
            <v>Опт</v>
          </cell>
          <cell r="T127" t="str">
            <v>Рек. Розница</v>
          </cell>
        </row>
        <row r="128">
          <cell r="B128">
            <v>30184</v>
          </cell>
          <cell r="C128" t="str">
            <v>Sumake</v>
          </cell>
          <cell r="D128" t="str">
            <v>Пневматика</v>
          </cell>
          <cell r="E128" t="str">
            <v>Инструмент</v>
          </cell>
          <cell r="F128" t="str">
            <v>Шприц</v>
          </cell>
          <cell r="G128" t="str">
            <v>Пневмошприц (набор 6 предметов) ST 6636L-6</v>
          </cell>
          <cell r="H128" t="str">
            <v>PRO</v>
          </cell>
          <cell r="I128">
            <v>500</v>
          </cell>
          <cell r="J128" t="str">
            <v>110-276</v>
          </cell>
          <cell r="K128" t="str">
            <v>2,8-6,9</v>
          </cell>
          <cell r="N128">
            <v>1.8</v>
          </cell>
          <cell r="O128" t="str">
            <v>1/4</v>
          </cell>
          <cell r="P128" t="str">
            <v>1/4</v>
          </cell>
          <cell r="S128">
            <v>4876</v>
          </cell>
          <cell r="T128">
            <v>6096</v>
          </cell>
          <cell r="U128" t="str">
            <v>-</v>
          </cell>
          <cell r="V128">
            <v>4876</v>
          </cell>
          <cell r="X128">
            <v>0</v>
          </cell>
        </row>
        <row r="129">
          <cell r="B129">
            <v>30453</v>
          </cell>
          <cell r="C129" t="str">
            <v>Sumake</v>
          </cell>
          <cell r="D129" t="str">
            <v>Пневматика</v>
          </cell>
          <cell r="E129" t="str">
            <v>Инструмент</v>
          </cell>
          <cell r="F129" t="str">
            <v>Шприц</v>
          </cell>
          <cell r="G129" t="str">
            <v>Пневмошприц ST-6636</v>
          </cell>
          <cell r="H129" t="str">
            <v>PRO</v>
          </cell>
          <cell r="I129">
            <v>450</v>
          </cell>
          <cell r="J129" t="str">
            <v>110-276</v>
          </cell>
          <cell r="K129" t="str">
            <v>2,8-6,9</v>
          </cell>
          <cell r="N129">
            <v>1.8</v>
          </cell>
          <cell r="O129" t="str">
            <v>1/4</v>
          </cell>
          <cell r="P129" t="str">
            <v>1/4</v>
          </cell>
          <cell r="S129">
            <v>3131</v>
          </cell>
          <cell r="T129">
            <v>3913</v>
          </cell>
          <cell r="U129" t="str">
            <v>-</v>
          </cell>
          <cell r="V129">
            <v>3131</v>
          </cell>
          <cell r="X129">
            <v>0</v>
          </cell>
        </row>
        <row r="130">
          <cell r="B130">
            <v>30183</v>
          </cell>
          <cell r="C130" t="str">
            <v>Sumake</v>
          </cell>
          <cell r="D130" t="str">
            <v>Пневматика</v>
          </cell>
          <cell r="E130" t="str">
            <v>Инструмент</v>
          </cell>
          <cell r="F130" t="str">
            <v>Шприц</v>
          </cell>
          <cell r="G130" t="str">
            <v>Пневмошприц (набор 6 предметов) ST 6636-6</v>
          </cell>
          <cell r="H130" t="str">
            <v>PRO</v>
          </cell>
          <cell r="I130">
            <v>450</v>
          </cell>
          <cell r="J130" t="str">
            <v>110-276</v>
          </cell>
          <cell r="K130" t="str">
            <v>2,8-6,9</v>
          </cell>
          <cell r="N130">
            <v>1.8</v>
          </cell>
          <cell r="O130" t="str">
            <v>1/4</v>
          </cell>
          <cell r="P130" t="str">
            <v>1/4</v>
          </cell>
          <cell r="S130">
            <v>4857</v>
          </cell>
          <cell r="T130">
            <v>6072</v>
          </cell>
          <cell r="U130" t="str">
            <v>-</v>
          </cell>
          <cell r="V130">
            <v>4857</v>
          </cell>
          <cell r="X130">
            <v>0</v>
          </cell>
        </row>
        <row r="131">
          <cell r="B131" t="str">
            <v>Код</v>
          </cell>
          <cell r="C131" t="str">
            <v>Бренд</v>
          </cell>
          <cell r="G131" t="str">
            <v>Наименование</v>
          </cell>
          <cell r="I131" t="str">
            <v>Инстумент</v>
          </cell>
          <cell r="J131" t="str">
            <v>Характеристики</v>
          </cell>
          <cell r="N131" t="str">
            <v>Вес
(Кг)</v>
          </cell>
          <cell r="O131" t="str">
            <v>Входной
диаметр 
(Дюйм)</v>
          </cell>
          <cell r="P131" t="str">
            <v>Диам.
Шланга
(мм)</v>
          </cell>
          <cell r="Q131" t="str">
            <v>Расход
воздуха
(л/мин)</v>
          </cell>
          <cell r="S131" t="str">
            <v>Опт</v>
          </cell>
          <cell r="T131" t="str">
            <v>Рек. Розница</v>
          </cell>
        </row>
        <row r="132">
          <cell r="B132">
            <v>35084</v>
          </cell>
          <cell r="C132" t="str">
            <v>Sumake</v>
          </cell>
          <cell r="D132" t="str">
            <v>Пневматика</v>
          </cell>
          <cell r="E132" t="str">
            <v>Набор</v>
          </cell>
          <cell r="F132" t="str">
            <v>Спец</v>
          </cell>
          <cell r="G132" t="str">
            <v>Пневмонож ST-6614К с набором лезвий в пластиковом кейсе</v>
          </cell>
          <cell r="H132" t="str">
            <v>PRO</v>
          </cell>
          <cell r="I132" t="str">
            <v>Нож в кейсе</v>
          </cell>
          <cell r="J132" t="str">
            <v>20000 рез/мин</v>
          </cell>
          <cell r="N132">
            <v>2</v>
          </cell>
          <cell r="O132" t="str">
            <v>1/4</v>
          </cell>
          <cell r="P132" t="str">
            <v>3/8</v>
          </cell>
          <cell r="Q132">
            <v>170</v>
          </cell>
          <cell r="S132">
            <v>12075</v>
          </cell>
          <cell r="T132">
            <v>15092</v>
          </cell>
          <cell r="U132" t="str">
            <v>-</v>
          </cell>
          <cell r="V132">
            <v>12075</v>
          </cell>
          <cell r="X132">
            <v>0</v>
          </cell>
        </row>
        <row r="133">
          <cell r="B133">
            <v>30181</v>
          </cell>
          <cell r="C133" t="str">
            <v>Sumake</v>
          </cell>
          <cell r="D133" t="str">
            <v>Пневматика</v>
          </cell>
          <cell r="E133" t="str">
            <v>Инструмент</v>
          </cell>
          <cell r="F133" t="str">
            <v>Спец</v>
          </cell>
          <cell r="G133" t="str">
            <v>Пневмоножницы ST-P6620</v>
          </cell>
          <cell r="H133" t="str">
            <v>PRO</v>
          </cell>
          <cell r="I133" t="str">
            <v>Резак</v>
          </cell>
          <cell r="J133" t="str">
            <v>2600 рез/мин (сталь &lt;1,29мм, люм. &lt;1,63мм)</v>
          </cell>
          <cell r="N133">
            <v>1</v>
          </cell>
          <cell r="O133" t="str">
            <v>1/4</v>
          </cell>
          <cell r="P133" t="str">
            <v>3/8</v>
          </cell>
          <cell r="Q133">
            <v>85</v>
          </cell>
          <cell r="S133">
            <v>6623</v>
          </cell>
          <cell r="T133">
            <v>8281</v>
          </cell>
          <cell r="U133" t="str">
            <v>+</v>
          </cell>
          <cell r="V133">
            <v>6623</v>
          </cell>
          <cell r="X133">
            <v>0</v>
          </cell>
        </row>
        <row r="134">
          <cell r="B134">
            <v>31884</v>
          </cell>
          <cell r="C134" t="str">
            <v>Sumake</v>
          </cell>
          <cell r="D134" t="str">
            <v>Пневматика</v>
          </cell>
          <cell r="E134" t="str">
            <v>Набор</v>
          </cell>
          <cell r="F134" t="str">
            <v>Спец</v>
          </cell>
          <cell r="G134" t="str">
            <v>Пневмоножовка ST-6611K+ н-р</v>
          </cell>
          <cell r="H134" t="str">
            <v>PRO</v>
          </cell>
          <cell r="I134" t="str">
            <v>Ножовка</v>
          </cell>
          <cell r="J134" t="str">
            <v>10000 рез/мин сталь 3 мм</v>
          </cell>
          <cell r="N134">
            <v>1.5</v>
          </cell>
          <cell r="O134" t="str">
            <v>1/4</v>
          </cell>
          <cell r="P134" t="str">
            <v>3/8</v>
          </cell>
          <cell r="Q134">
            <v>170</v>
          </cell>
          <cell r="S134">
            <v>9179</v>
          </cell>
          <cell r="T134">
            <v>11475</v>
          </cell>
          <cell r="U134" t="str">
            <v>-</v>
          </cell>
          <cell r="V134">
            <v>9179</v>
          </cell>
          <cell r="X134">
            <v>0</v>
          </cell>
        </row>
        <row r="135">
          <cell r="B135">
            <v>8901100</v>
          </cell>
          <cell r="G135" t="str">
            <v>Дырокол пневматический Sumake ST-6652D</v>
          </cell>
          <cell r="H135" t="str">
            <v>PRO</v>
          </cell>
          <cell r="I135" t="str">
            <v>Дырокол</v>
          </cell>
          <cell r="J135" t="str">
            <v>толщина листа &lt;1,6мм отверстие 5 мм</v>
          </cell>
          <cell r="N135">
            <v>1.30000000000000004</v>
          </cell>
          <cell r="O135" t="str">
            <v>1/4</v>
          </cell>
          <cell r="P135" t="str">
            <v>3/8</v>
          </cell>
          <cell r="Q135">
            <v>60</v>
          </cell>
          <cell r="S135">
            <v>6907</v>
          </cell>
          <cell r="T135">
            <v>8636</v>
          </cell>
          <cell r="U135" t="str">
            <v>+</v>
          </cell>
          <cell r="V135">
            <v>6907</v>
          </cell>
          <cell r="X135">
            <v>0</v>
          </cell>
        </row>
        <row r="136">
          <cell r="B136">
            <v>35152</v>
          </cell>
          <cell r="C136" t="str">
            <v>Sumake</v>
          </cell>
          <cell r="D136" t="str">
            <v>Пневматика</v>
          </cell>
          <cell r="E136" t="str">
            <v>Инструмент</v>
          </cell>
          <cell r="F136" t="str">
            <v>Спец</v>
          </cell>
          <cell r="G136" t="str">
            <v>Пневмодырокол ST-6652   (5мм)</v>
          </cell>
          <cell r="H136" t="str">
            <v>PRO</v>
          </cell>
          <cell r="I136" t="str">
            <v>Дырокол</v>
          </cell>
          <cell r="J136" t="str">
            <v>толщина листа &lt;1,6мм отверстие 5 мм</v>
          </cell>
          <cell r="N136">
            <v>1.30000000000000004</v>
          </cell>
          <cell r="O136" t="str">
            <v>1/4</v>
          </cell>
          <cell r="P136" t="str">
            <v>3/8</v>
          </cell>
          <cell r="Q136">
            <v>60</v>
          </cell>
          <cell r="S136">
            <v>6907</v>
          </cell>
          <cell r="T136">
            <v>8636</v>
          </cell>
          <cell r="U136" t="str">
            <v>-</v>
          </cell>
          <cell r="V136">
            <v>6907</v>
          </cell>
          <cell r="X136">
            <v>0</v>
          </cell>
        </row>
        <row r="137">
          <cell r="B137" t="str">
            <v>Код</v>
          </cell>
          <cell r="C137" t="str">
            <v>Бренд</v>
          </cell>
          <cell r="G137" t="str">
            <v>Наименование</v>
          </cell>
          <cell r="I137" t="str">
            <v>Основное
применение</v>
          </cell>
          <cell r="J137" t="str">
            <v>Глубина
забивания
(мм)</v>
          </cell>
          <cell r="K137" t="str">
            <v>Тип
гвоздя</v>
          </cell>
          <cell r="L137" t="str">
            <v>Шляпка
 гвоздя
(мм)</v>
          </cell>
          <cell r="M137" t="str">
            <v>Диаметр
гвоздя
(мм)</v>
          </cell>
          <cell r="N137" t="str">
            <v>Ёмкость
магазина
(шт)</v>
          </cell>
          <cell r="O137" t="str">
            <v>Вес
(Кг)</v>
          </cell>
          <cell r="P137" t="str">
            <v>Входной
диаметр 
(Дюйм)</v>
          </cell>
          <cell r="Q137" t="str">
            <v>Диам.
Шланга
(Дюйм)</v>
          </cell>
          <cell r="R137" t="str">
            <v>Расход
воздуха
(л/мин)</v>
          </cell>
          <cell r="S137" t="str">
            <v>Опт</v>
          </cell>
          <cell r="T137" t="str">
            <v>Рек. Розница</v>
          </cell>
        </row>
        <row r="138">
          <cell r="B138">
            <v>8097550</v>
          </cell>
          <cell r="C138" t="str">
            <v>Sumake</v>
          </cell>
          <cell r="D138" t="str">
            <v>Пневматика</v>
          </cell>
          <cell r="G138" t="str">
            <v>Пневмозабивной пистолет барабанного типа R-45 Гвоздь кровельный 19-45мм</v>
          </cell>
          <cell r="H138" t="str">
            <v>IND</v>
          </cell>
          <cell r="I138" t="str">
            <v>Кровля,палеты</v>
          </cell>
          <cell r="J138" t="str">
            <v>19-45</v>
          </cell>
          <cell r="K138" t="str">
            <v>гладкий
винт./ерш.</v>
          </cell>
          <cell r="L138">
            <v>10</v>
          </cell>
          <cell r="M138">
            <v>3.10000000000000009</v>
          </cell>
          <cell r="N138">
            <v>100</v>
          </cell>
          <cell r="O138">
            <v>2.39999999999999991</v>
          </cell>
          <cell r="P138" t="str">
            <v>1/4</v>
          </cell>
          <cell r="Q138" t="str">
            <v>3/8</v>
          </cell>
          <cell r="R138">
            <v>400</v>
          </cell>
          <cell r="S138">
            <v>40672</v>
          </cell>
          <cell r="T138">
            <v>50839</v>
          </cell>
          <cell r="U138" t="str">
            <v>-</v>
          </cell>
          <cell r="V138">
            <v>40672</v>
          </cell>
          <cell r="X138">
            <v>0</v>
          </cell>
        </row>
        <row r="139">
          <cell r="B139">
            <v>8094540</v>
          </cell>
          <cell r="C139" t="str">
            <v>Sumake</v>
          </cell>
          <cell r="D139" t="str">
            <v>Пневматика</v>
          </cell>
          <cell r="G139" t="str">
            <v>Пневмозабивной пистолет барабанного типа R-55PA Гвоздь 25-57мм</v>
          </cell>
          <cell r="H139" t="str">
            <v>IND</v>
          </cell>
          <cell r="I139" t="str">
            <v>Палеты, Каркасы
Настилы</v>
          </cell>
          <cell r="J139" t="str">
            <v>25-57</v>
          </cell>
          <cell r="K139" t="str">
            <v>гладкий
винт./ерш.</v>
          </cell>
          <cell r="L139" t="str">
            <v>5,0-5,7</v>
          </cell>
          <cell r="M139" t="str">
            <v>2,1-2,3</v>
          </cell>
          <cell r="N139" t="str">
            <v>300-350</v>
          </cell>
          <cell r="O139">
            <v>2.79999999999999982</v>
          </cell>
          <cell r="P139" t="str">
            <v>1/4</v>
          </cell>
          <cell r="Q139" t="str">
            <v>3/8</v>
          </cell>
          <cell r="R139">
            <v>400</v>
          </cell>
          <cell r="S139">
            <v>45038</v>
          </cell>
          <cell r="T139">
            <v>56297</v>
          </cell>
          <cell r="U139" t="str">
            <v>-</v>
          </cell>
          <cell r="V139">
            <v>45038</v>
          </cell>
          <cell r="X139">
            <v>0</v>
          </cell>
        </row>
        <row r="140">
          <cell r="B140">
            <v>8094530</v>
          </cell>
          <cell r="C140" t="str">
            <v>Sumake</v>
          </cell>
          <cell r="D140" t="str">
            <v>Пневматика</v>
          </cell>
          <cell r="G140" t="str">
            <v>Пневмозабивной пистолет барабанного типа R-65PA Гвоздь 32-65мм</v>
          </cell>
          <cell r="H140" t="str">
            <v>IND</v>
          </cell>
          <cell r="I140" t="str">
            <v>Палеты, Каркасы
Настилы</v>
          </cell>
          <cell r="J140" t="str">
            <v>32-65
32-55</v>
          </cell>
          <cell r="K140" t="str">
            <v>гладкий
винт./ерш.</v>
          </cell>
          <cell r="L140" t="str">
            <v>5,0-6,0</v>
          </cell>
          <cell r="M140" t="str">
            <v>2,3-2,5</v>
          </cell>
          <cell r="N140" t="str">
            <v>200-300</v>
          </cell>
          <cell r="O140">
            <v>2.29999999999999982</v>
          </cell>
          <cell r="P140" t="str">
            <v>1/4</v>
          </cell>
          <cell r="Q140" t="str">
            <v>3/8</v>
          </cell>
          <cell r="R140">
            <v>400</v>
          </cell>
          <cell r="S140">
            <v>50145</v>
          </cell>
          <cell r="T140">
            <v>62682</v>
          </cell>
          <cell r="U140" t="str">
            <v>-</v>
          </cell>
          <cell r="V140">
            <v>50145</v>
          </cell>
          <cell r="X140">
            <v>0</v>
          </cell>
        </row>
        <row r="141">
          <cell r="B141">
            <v>4119310</v>
          </cell>
          <cell r="C141" t="str">
            <v>Sumake</v>
          </cell>
          <cell r="D141" t="str">
            <v>Пневматика</v>
          </cell>
          <cell r="G141" t="str">
            <v>Пневмозабивной пистолет барабанного типа R-90PA Гвоздь 50-90мм</v>
          </cell>
          <cell r="H141" t="str">
            <v>IND</v>
          </cell>
          <cell r="I141" t="str">
            <v>Палеты, Каркасы
Настилы</v>
          </cell>
          <cell r="J141" t="str">
            <v>50-90
50-83</v>
          </cell>
          <cell r="K141" t="str">
            <v>гладкий
винт./ерш.</v>
          </cell>
          <cell r="L141" t="str">
            <v>6,0-7,2</v>
          </cell>
          <cell r="M141" t="str">
            <v>2,5-3,3</v>
          </cell>
          <cell r="N141" t="str">
            <v>150-300</v>
          </cell>
          <cell r="O141">
            <v>3.70000000000000018</v>
          </cell>
          <cell r="P141" t="str">
            <v>1/4</v>
          </cell>
          <cell r="Q141" t="str">
            <v>3/8</v>
          </cell>
          <cell r="R141">
            <v>400</v>
          </cell>
          <cell r="S141">
            <v>59337</v>
          </cell>
          <cell r="T141">
            <v>74171</v>
          </cell>
          <cell r="U141" t="str">
            <v>-</v>
          </cell>
          <cell r="V141">
            <v>59337</v>
          </cell>
          <cell r="X141">
            <v>0</v>
          </cell>
        </row>
        <row r="142">
          <cell r="B142">
            <v>8097560</v>
          </cell>
          <cell r="C142" t="str">
            <v>Sumake</v>
          </cell>
          <cell r="D142" t="str">
            <v>Пневматика</v>
          </cell>
          <cell r="G142" t="str">
            <v>Пневмозабивной пистолет T-64LM Гвоздь18-64мм (2,2х2,2)/(2,5х2,5)</v>
          </cell>
          <cell r="H142" t="str">
            <v>IND</v>
          </cell>
          <cell r="I142" t="str">
            <v>Палеты, Каркасы
Настилы</v>
          </cell>
          <cell r="J142" t="str">
            <v>18-64</v>
          </cell>
          <cell r="K142" t="str">
            <v>гладкий</v>
          </cell>
          <cell r="L142">
            <v>7.5</v>
          </cell>
          <cell r="M142" t="str">
            <v>2,5-2,5</v>
          </cell>
          <cell r="N142">
            <v>120</v>
          </cell>
          <cell r="O142">
            <v>2.35000000000000009</v>
          </cell>
          <cell r="P142" t="str">
            <v>1/4</v>
          </cell>
          <cell r="Q142" t="str">
            <v>3/8</v>
          </cell>
          <cell r="R142">
            <v>400</v>
          </cell>
          <cell r="S142">
            <v>29224</v>
          </cell>
          <cell r="T142">
            <v>36531</v>
          </cell>
          <cell r="U142" t="str">
            <v>-</v>
          </cell>
          <cell r="V142">
            <v>29224</v>
          </cell>
          <cell r="X142">
            <v>0</v>
          </cell>
        </row>
        <row r="143">
          <cell r="B143">
            <v>8097590</v>
          </cell>
          <cell r="C143" t="str">
            <v>Sumake</v>
          </cell>
          <cell r="D143" t="str">
            <v>Пневматика</v>
          </cell>
          <cell r="G143" t="str">
            <v>Пневмозабивной пистолет F1.8/50 Гвоздь 15-50мм (1,8х1,8)</v>
          </cell>
          <cell r="H143" t="str">
            <v>IND</v>
          </cell>
          <cell r="I143" t="str">
            <v>Внутренняя и наружная отделка</v>
          </cell>
          <cell r="J143" t="str">
            <v>15-50</v>
          </cell>
          <cell r="K143" t="str">
            <v>гладкий</v>
          </cell>
          <cell r="L143">
            <v>3.20000000000000018</v>
          </cell>
          <cell r="M143" t="str">
            <v>1,8-1,8</v>
          </cell>
          <cell r="N143">
            <v>100</v>
          </cell>
          <cell r="O143">
            <v>2.20000000000000018</v>
          </cell>
          <cell r="P143" t="str">
            <v>1/4</v>
          </cell>
          <cell r="Q143" t="str">
            <v>3/8</v>
          </cell>
          <cell r="R143">
            <v>310</v>
          </cell>
          <cell r="S143">
            <v>16812</v>
          </cell>
          <cell r="T143">
            <v>21016</v>
          </cell>
          <cell r="U143" t="str">
            <v>-</v>
          </cell>
          <cell r="V143">
            <v>16812</v>
          </cell>
          <cell r="X143">
            <v>0</v>
          </cell>
        </row>
        <row r="144">
          <cell r="B144">
            <v>8097580</v>
          </cell>
          <cell r="C144" t="str">
            <v>Sumake</v>
          </cell>
          <cell r="D144" t="str">
            <v>Пневматика</v>
          </cell>
          <cell r="G144" t="str">
            <v>Пневмозабивной пистолет F16/64 Гвоздь 20-64мм (1,4х1,6)</v>
          </cell>
          <cell r="H144" t="str">
            <v>IND</v>
          </cell>
          <cell r="I144" t="str">
            <v>Внутренняя и наружная отделка</v>
          </cell>
          <cell r="J144" t="str">
            <v>20-64</v>
          </cell>
          <cell r="K144" t="str">
            <v>гладкий</v>
          </cell>
          <cell r="L144">
            <v>2.79999999999999982</v>
          </cell>
          <cell r="M144" t="str">
            <v>1,4х1,6</v>
          </cell>
          <cell r="N144">
            <v>100</v>
          </cell>
          <cell r="O144">
            <v>2.29999999999999982</v>
          </cell>
          <cell r="P144" t="str">
            <v>1/4</v>
          </cell>
          <cell r="Q144" t="str">
            <v>3/8</v>
          </cell>
          <cell r="R144">
            <v>350</v>
          </cell>
          <cell r="S144">
            <v>19054</v>
          </cell>
          <cell r="T144">
            <v>23818</v>
          </cell>
          <cell r="U144" t="str">
            <v>-</v>
          </cell>
          <cell r="V144">
            <v>19054</v>
          </cell>
          <cell r="X144">
            <v>0</v>
          </cell>
        </row>
        <row r="145">
          <cell r="B145" t="str">
            <v>Код</v>
          </cell>
          <cell r="C145" t="str">
            <v>Бренд</v>
          </cell>
          <cell r="G145" t="str">
            <v>Наименование</v>
          </cell>
          <cell r="I145" t="str">
            <v>Расходник</v>
          </cell>
          <cell r="J145" t="str">
            <v>Глубина
забивания
(мм)</v>
          </cell>
          <cell r="K145" t="str">
            <v>Калибр
пров.</v>
          </cell>
          <cell r="L145" t="str">
            <v>Ширина
шляпки
(мм)</v>
          </cell>
          <cell r="M145" t="str">
            <v>Сечение проволоки
(мм)</v>
          </cell>
          <cell r="N145" t="str">
            <v>Ёмкость
магазина
(шт)</v>
          </cell>
          <cell r="O145" t="str">
            <v>Вес
(Кг)</v>
          </cell>
          <cell r="P145" t="str">
            <v>Входной
диаметр 
(Дюйм)</v>
          </cell>
          <cell r="Q145" t="str">
            <v>Диам.
Шланга
(Дюйм)</v>
          </cell>
          <cell r="R145" t="str">
            <v>Расход
воздуха
(л/выстрел)</v>
          </cell>
          <cell r="S145" t="str">
            <v>Опт</v>
          </cell>
          <cell r="T145" t="str">
            <v>Рек. Розница</v>
          </cell>
        </row>
        <row r="146">
          <cell r="B146">
            <v>7383</v>
          </cell>
          <cell r="C146" t="str">
            <v>Sumake</v>
          </cell>
          <cell r="D146" t="str">
            <v>Пневматика</v>
          </cell>
          <cell r="G146" t="str">
            <v>Пневмозабивной пистолет F18/30 Гвоздь 10-30мм (1х1,25)</v>
          </cell>
          <cell r="H146" t="str">
            <v>PRO</v>
          </cell>
          <cell r="I146" t="str">
            <v>Гвоздь</v>
          </cell>
          <cell r="J146" t="str">
            <v>10-30</v>
          </cell>
          <cell r="K146">
            <v>18</v>
          </cell>
          <cell r="L146">
            <v>1.9</v>
          </cell>
          <cell r="M146" t="str">
            <v>1х1,25</v>
          </cell>
          <cell r="N146">
            <v>100</v>
          </cell>
          <cell r="O146">
            <v>1.10000000000000009</v>
          </cell>
          <cell r="P146" t="str">
            <v>3/8</v>
          </cell>
          <cell r="Q146" t="str">
            <v>3/8</v>
          </cell>
          <cell r="R146">
            <v>0.5</v>
          </cell>
          <cell r="S146">
            <v>6228</v>
          </cell>
          <cell r="T146">
            <v>7786</v>
          </cell>
          <cell r="U146" t="str">
            <v>+</v>
          </cell>
          <cell r="V146">
            <v>6228</v>
          </cell>
          <cell r="X146">
            <v>0</v>
          </cell>
        </row>
        <row r="147">
          <cell r="B147">
            <v>7297</v>
          </cell>
          <cell r="C147" t="str">
            <v>Sumake</v>
          </cell>
          <cell r="D147" t="str">
            <v>Пневматика</v>
          </cell>
          <cell r="G147" t="str">
            <v>Пневмозабивной пистолет F18/50 Гвоздь 20-50мм (1х1,25)</v>
          </cell>
          <cell r="H147" t="str">
            <v>PRO</v>
          </cell>
          <cell r="I147" t="str">
            <v>Гвоздь</v>
          </cell>
          <cell r="J147" t="str">
            <v>20-50</v>
          </cell>
          <cell r="K147">
            <v>18</v>
          </cell>
          <cell r="L147">
            <v>1.9</v>
          </cell>
          <cell r="M147" t="str">
            <v>1х1,25</v>
          </cell>
          <cell r="N147">
            <v>100</v>
          </cell>
          <cell r="O147">
            <v>1.39999999999999991</v>
          </cell>
          <cell r="P147" t="str">
            <v>3/8</v>
          </cell>
          <cell r="Q147" t="str">
            <v>3/8</v>
          </cell>
          <cell r="R147">
            <v>0.7</v>
          </cell>
          <cell r="S147">
            <v>11187</v>
          </cell>
          <cell r="T147">
            <v>13985</v>
          </cell>
          <cell r="U147" t="str">
            <v>+</v>
          </cell>
          <cell r="V147">
            <v>11187</v>
          </cell>
          <cell r="X147">
            <v>0</v>
          </cell>
        </row>
        <row r="148">
          <cell r="B148">
            <v>38697</v>
          </cell>
          <cell r="C148" t="str">
            <v>Sumake</v>
          </cell>
          <cell r="D148" t="str">
            <v>Пневматика</v>
          </cell>
          <cell r="G148" t="str">
            <v>Пневмозабивной пистолет P18/30 Шпилька 10-30мм (1х1,25)</v>
          </cell>
          <cell r="H148" t="str">
            <v>PRO</v>
          </cell>
          <cell r="I148" t="str">
            <v>Шпилька</v>
          </cell>
          <cell r="J148" t="str">
            <v>10-30</v>
          </cell>
          <cell r="K148">
            <v>18</v>
          </cell>
          <cell r="L148" t="str">
            <v>-</v>
          </cell>
          <cell r="M148" t="str">
            <v>1х1,25</v>
          </cell>
          <cell r="N148">
            <v>100</v>
          </cell>
          <cell r="O148">
            <v>1.19999999999999996</v>
          </cell>
          <cell r="P148" t="str">
            <v>3/8</v>
          </cell>
          <cell r="Q148" t="str">
            <v>3/8</v>
          </cell>
          <cell r="R148">
            <v>0.5</v>
          </cell>
          <cell r="S148">
            <v>12904</v>
          </cell>
          <cell r="T148">
            <v>16131</v>
          </cell>
          <cell r="U148" t="str">
            <v>-</v>
          </cell>
          <cell r="V148">
            <v>12904</v>
          </cell>
          <cell r="X148">
            <v>0</v>
          </cell>
        </row>
        <row r="149">
          <cell r="B149" t="str">
            <v>Код</v>
          </cell>
          <cell r="C149" t="str">
            <v>Бренд</v>
          </cell>
          <cell r="G149" t="str">
            <v>Наименование</v>
          </cell>
          <cell r="I149" t="str">
            <v>Расходник</v>
          </cell>
          <cell r="J149" t="str">
            <v>Глубина
забивания
(мм)</v>
          </cell>
          <cell r="K149" t="str">
            <v>Калибр
пров.</v>
          </cell>
          <cell r="L149" t="str">
            <v>Ширина
шляпки
(мм)</v>
          </cell>
          <cell r="M149" t="str">
            <v>Сечение проволоки
(мм)</v>
          </cell>
          <cell r="N149" t="str">
            <v>Ёмкость
магазина
(шт)</v>
          </cell>
          <cell r="O149" t="str">
            <v>Вес
(Кг)</v>
          </cell>
          <cell r="P149" t="str">
            <v>Входной
диаметр 
(Дюйм)</v>
          </cell>
          <cell r="Q149" t="str">
            <v>Диам.
Шланга
(Дюйм)</v>
          </cell>
          <cell r="R149" t="str">
            <v>Расход
воздуха
(л/выстрел)</v>
          </cell>
          <cell r="S149" t="str">
            <v>Опт</v>
          </cell>
          <cell r="T149" t="str">
            <v>Рек. Розница</v>
          </cell>
        </row>
        <row r="150">
          <cell r="B150">
            <v>8097570</v>
          </cell>
          <cell r="C150" t="str">
            <v>Sumake</v>
          </cell>
          <cell r="D150" t="str">
            <v>Пневматика</v>
          </cell>
          <cell r="G150" t="str">
            <v>Пневмозабивной пистолет F18/50C Гвоздь 15-50мм/Скоба_5,8 19-40мм (1х1,25)</v>
          </cell>
          <cell r="H150" t="str">
            <v>PRO</v>
          </cell>
          <cell r="I150" t="str">
            <v>Гвоздь,скоба</v>
          </cell>
          <cell r="J150" t="str">
            <v>15-50</v>
          </cell>
          <cell r="K150">
            <v>18</v>
          </cell>
          <cell r="L150">
            <v>1.9</v>
          </cell>
          <cell r="M150" t="str">
            <v>1х1,25</v>
          </cell>
          <cell r="N150">
            <v>100</v>
          </cell>
          <cell r="O150">
            <v>1.5</v>
          </cell>
          <cell r="P150" t="str">
            <v>3/8</v>
          </cell>
          <cell r="Q150" t="str">
            <v>3/8</v>
          </cell>
          <cell r="R150">
            <v>0.7</v>
          </cell>
          <cell r="S150">
            <v>12847</v>
          </cell>
          <cell r="T150">
            <v>16059</v>
          </cell>
          <cell r="U150" t="str">
            <v>-</v>
          </cell>
          <cell r="V150">
            <v>12847</v>
          </cell>
          <cell r="X150">
            <v>0</v>
          </cell>
        </row>
        <row r="151">
          <cell r="B151" t="str">
            <v>Код</v>
          </cell>
          <cell r="C151" t="str">
            <v>Бренд</v>
          </cell>
          <cell r="G151" t="str">
            <v>Наименование</v>
          </cell>
          <cell r="I151" t="str">
            <v>Расходник</v>
          </cell>
          <cell r="J151" t="str">
            <v>Глубина
забивания
(мм)</v>
          </cell>
          <cell r="K151" t="str">
            <v>Калибр
пров.</v>
          </cell>
          <cell r="L151" t="str">
            <v>Ширина
шляпки
(мм)</v>
          </cell>
          <cell r="M151" t="str">
            <v>Сечение
проволоки
(мм)</v>
          </cell>
          <cell r="N151" t="str">
            <v>Ёмкость
магазина
(шт)</v>
          </cell>
          <cell r="O151" t="str">
            <v>Вес
(Кг)</v>
          </cell>
          <cell r="P151" t="str">
            <v>Входной
диаметр 
(Дюйм)</v>
          </cell>
          <cell r="Q151" t="str">
            <v>Диам.
Шланга
(Дюйм)</v>
          </cell>
          <cell r="R151" t="str">
            <v>Расход
воздуха
(л/выстрел)</v>
          </cell>
          <cell r="S151" t="str">
            <v>Опт</v>
          </cell>
          <cell r="T151" t="str">
            <v>Рек. Розница</v>
          </cell>
        </row>
        <row r="152">
          <cell r="B152">
            <v>27388</v>
          </cell>
          <cell r="C152" t="str">
            <v>Sumake</v>
          </cell>
          <cell r="D152" t="str">
            <v>Пневматика</v>
          </cell>
          <cell r="G152" t="str">
            <v>Пневмозабивной пистолет P0.6/15 Шпилька 5-15мм (0,64х0,64)</v>
          </cell>
          <cell r="H152" t="str">
            <v>REG</v>
          </cell>
          <cell r="I152" t="str">
            <v>Шпилька</v>
          </cell>
          <cell r="J152" t="str">
            <v>5-15</v>
          </cell>
          <cell r="K152">
            <v>23</v>
          </cell>
          <cell r="L152" t="str">
            <v>-</v>
          </cell>
          <cell r="M152" t="str">
            <v>0,64х0,64</v>
          </cell>
          <cell r="N152">
            <v>200</v>
          </cell>
          <cell r="O152">
            <v>0.9</v>
          </cell>
          <cell r="P152" t="str">
            <v>3/8</v>
          </cell>
          <cell r="Q152" t="str">
            <v>3/8</v>
          </cell>
          <cell r="R152">
            <v>0.4</v>
          </cell>
          <cell r="S152">
            <v>11198</v>
          </cell>
          <cell r="T152">
            <v>13997</v>
          </cell>
          <cell r="U152" t="str">
            <v>-</v>
          </cell>
          <cell r="V152">
            <v>11198</v>
          </cell>
          <cell r="X152">
            <v>0</v>
          </cell>
        </row>
        <row r="153">
          <cell r="B153">
            <v>2142700</v>
          </cell>
          <cell r="C153" t="str">
            <v>Sumake</v>
          </cell>
          <cell r="D153" t="str">
            <v>Пневматика</v>
          </cell>
          <cell r="G153" t="str">
            <v>Пневмозабивной пистолет P0.6/22 Шпилька 12-22мм (0,64х0,64)</v>
          </cell>
          <cell r="H153" t="str">
            <v>REG</v>
          </cell>
          <cell r="I153" t="str">
            <v>Шпилька</v>
          </cell>
          <cell r="J153" t="str">
            <v>12-22</v>
          </cell>
          <cell r="K153">
            <v>23</v>
          </cell>
          <cell r="L153" t="str">
            <v>-</v>
          </cell>
          <cell r="M153" t="str">
            <v>0,64х0,64</v>
          </cell>
          <cell r="N153">
            <v>200</v>
          </cell>
          <cell r="O153">
            <v>1</v>
          </cell>
          <cell r="P153" t="str">
            <v>3/8</v>
          </cell>
          <cell r="Q153" t="str">
            <v>3/8</v>
          </cell>
          <cell r="R153">
            <v>0.4</v>
          </cell>
          <cell r="S153">
            <v>11182</v>
          </cell>
          <cell r="T153">
            <v>13978</v>
          </cell>
          <cell r="U153" t="str">
            <v>+</v>
          </cell>
          <cell r="V153">
            <v>11182</v>
          </cell>
          <cell r="X153">
            <v>0</v>
          </cell>
        </row>
        <row r="154">
          <cell r="B154">
            <v>7305</v>
          </cell>
          <cell r="C154" t="str">
            <v>Sumake</v>
          </cell>
          <cell r="D154" t="str">
            <v>Пневматика</v>
          </cell>
          <cell r="G154" t="str">
            <v>Пневмозабивной пистолет P0.6/30 Шпилька 12-30мм (0,64х0,64)</v>
          </cell>
          <cell r="H154" t="str">
            <v>REG</v>
          </cell>
          <cell r="I154" t="str">
            <v>Шпилька</v>
          </cell>
          <cell r="J154" t="str">
            <v>12-30</v>
          </cell>
          <cell r="K154">
            <v>23</v>
          </cell>
          <cell r="L154" t="str">
            <v>-</v>
          </cell>
          <cell r="M154" t="str">
            <v>0,64х0,64</v>
          </cell>
          <cell r="N154">
            <v>200</v>
          </cell>
          <cell r="O154">
            <v>0.9</v>
          </cell>
          <cell r="P154" t="str">
            <v>3/8</v>
          </cell>
          <cell r="Q154" t="str">
            <v>3/8</v>
          </cell>
          <cell r="R154">
            <v>0.45</v>
          </cell>
          <cell r="S154">
            <v>12126</v>
          </cell>
          <cell r="T154">
            <v>15156</v>
          </cell>
          <cell r="U154" t="str">
            <v>+</v>
          </cell>
          <cell r="V154">
            <v>12126</v>
          </cell>
          <cell r="X154">
            <v>0</v>
          </cell>
        </row>
        <row r="155">
          <cell r="B155">
            <v>8096230</v>
          </cell>
          <cell r="C155" t="str">
            <v>Sumake</v>
          </cell>
          <cell r="D155" t="str">
            <v>Пневматика</v>
          </cell>
          <cell r="G155" t="str">
            <v>Пневмозабивной пистолет P0.6/50 Шпилька 15-50мм (0,64х0,64)</v>
          </cell>
          <cell r="H155" t="str">
            <v>REG</v>
          </cell>
          <cell r="I155" t="str">
            <v>Шпилька</v>
          </cell>
          <cell r="J155" t="str">
            <v>15-50</v>
          </cell>
          <cell r="K155">
            <v>23</v>
          </cell>
          <cell r="M155" t="str">
            <v>0,64х0,64</v>
          </cell>
          <cell r="N155">
            <v>200</v>
          </cell>
          <cell r="O155">
            <v>1.19999999999999996</v>
          </cell>
          <cell r="P155" t="str">
            <v>3/8</v>
          </cell>
          <cell r="Q155" t="str">
            <v>3/8</v>
          </cell>
          <cell r="R155">
            <v>0.5</v>
          </cell>
          <cell r="S155">
            <v>18018</v>
          </cell>
          <cell r="T155">
            <v>22523</v>
          </cell>
          <cell r="U155" t="str">
            <v>+</v>
          </cell>
          <cell r="V155">
            <v>18018</v>
          </cell>
          <cell r="X155">
            <v>0</v>
          </cell>
        </row>
        <row r="156">
          <cell r="B156">
            <v>8094550</v>
          </cell>
          <cell r="C156" t="str">
            <v>Sumake</v>
          </cell>
          <cell r="D156" t="str">
            <v>Пневматика</v>
          </cell>
          <cell r="G156" t="str">
            <v>Пневмозабивной пистолет P0.6/30C Гвоздь/Шпилька 12-30мм (0,64х0,64)</v>
          </cell>
          <cell r="H156" t="str">
            <v>REG</v>
          </cell>
          <cell r="I156" t="str">
            <v>Гвоздь
Шпилька</v>
          </cell>
          <cell r="J156" t="str">
            <v>12-30</v>
          </cell>
          <cell r="K156">
            <v>23</v>
          </cell>
          <cell r="L156" t="str">
            <v>0,9
-</v>
          </cell>
          <cell r="M156" t="str">
            <v>0,64х0,64</v>
          </cell>
          <cell r="N156">
            <v>200</v>
          </cell>
          <cell r="O156">
            <v>1.05000000000000004</v>
          </cell>
          <cell r="P156" t="str">
            <v>3/8</v>
          </cell>
          <cell r="Q156" t="str">
            <v>3/8</v>
          </cell>
          <cell r="R156">
            <v>0.45</v>
          </cell>
          <cell r="S156">
            <v>13289</v>
          </cell>
          <cell r="T156">
            <v>16609</v>
          </cell>
          <cell r="U156" t="str">
            <v>+</v>
          </cell>
          <cell r="V156">
            <v>13289</v>
          </cell>
          <cell r="X156">
            <v>0</v>
          </cell>
        </row>
        <row r="157">
          <cell r="B157">
            <v>8094560</v>
          </cell>
          <cell r="C157" t="str">
            <v>Sumake</v>
          </cell>
          <cell r="D157" t="str">
            <v>Пневматика</v>
          </cell>
          <cell r="G157" t="str">
            <v>Пневмозабивной пистолет P0.6/50C Гвоздь/Шпилька 15-50мм (0,64х0,64)</v>
          </cell>
          <cell r="H157" t="str">
            <v>REG</v>
          </cell>
          <cell r="I157" t="str">
            <v>Гвоздь
Шпилька</v>
          </cell>
          <cell r="J157" t="str">
            <v>15-50</v>
          </cell>
          <cell r="K157">
            <v>23</v>
          </cell>
          <cell r="L157" t="str">
            <v>0,9
-</v>
          </cell>
          <cell r="M157" t="str">
            <v>0,64х0,64</v>
          </cell>
          <cell r="N157">
            <v>200</v>
          </cell>
          <cell r="O157">
            <v>1.14999999999999991</v>
          </cell>
          <cell r="P157" t="str">
            <v>3/8</v>
          </cell>
          <cell r="Q157" t="str">
            <v>3/8</v>
          </cell>
          <cell r="R157">
            <v>0.5</v>
          </cell>
          <cell r="S157">
            <v>18714</v>
          </cell>
          <cell r="T157">
            <v>23391</v>
          </cell>
          <cell r="U157" t="str">
            <v>-</v>
          </cell>
          <cell r="V157">
            <v>18714</v>
          </cell>
          <cell r="X157">
            <v>0</v>
          </cell>
        </row>
        <row r="158">
          <cell r="B158" t="str">
            <v>Код</v>
          </cell>
          <cell r="C158" t="str">
            <v>Бренд</v>
          </cell>
          <cell r="G158" t="str">
            <v>Наименование</v>
          </cell>
          <cell r="I158" t="str">
            <v>Расходник</v>
          </cell>
          <cell r="J158" t="str">
            <v>Глубина
забивания
(мм)</v>
          </cell>
          <cell r="K158" t="str">
            <v>Калибр
пров.</v>
          </cell>
          <cell r="L158" t="str">
            <v>Ширина
шляпки
(мм)</v>
          </cell>
          <cell r="M158" t="str">
            <v>Сечение проволоки
(мм)</v>
          </cell>
          <cell r="N158" t="str">
            <v>Ёмкость
магазина
(шт)</v>
          </cell>
          <cell r="O158" t="str">
            <v>Вес
(Кг)</v>
          </cell>
          <cell r="P158" t="str">
            <v>Входной
диаметр 
(Дюйм)</v>
          </cell>
          <cell r="Q158" t="str">
            <v>Диам.
Шланга
(мм)</v>
          </cell>
          <cell r="R158" t="str">
            <v>Расход
воздуха
(л/выстрел)</v>
          </cell>
          <cell r="S158" t="str">
            <v>Опт</v>
          </cell>
          <cell r="T158" t="str">
            <v>Рек. Розница</v>
          </cell>
        </row>
        <row r="159">
          <cell r="B159">
            <v>8097600</v>
          </cell>
          <cell r="C159" t="str">
            <v>Sumake</v>
          </cell>
          <cell r="D159" t="str">
            <v>Пневматика</v>
          </cell>
          <cell r="G159" t="str">
            <v>Пневмостеплер Q-64</v>
          </cell>
          <cell r="H159" t="str">
            <v>PRO</v>
          </cell>
          <cell r="I159" t="str">
            <v>Скоба</v>
          </cell>
          <cell r="J159" t="str">
            <v>32-64</v>
          </cell>
          <cell r="K159">
            <v>18</v>
          </cell>
          <cell r="L159">
            <v>11.4000000000000004</v>
          </cell>
          <cell r="M159" t="str">
            <v>1,7х1,9</v>
          </cell>
          <cell r="N159">
            <v>140</v>
          </cell>
          <cell r="O159">
            <v>2.39999999999999991</v>
          </cell>
          <cell r="P159" t="str">
            <v>3/4</v>
          </cell>
          <cell r="Q159" t="str">
            <v>3/4</v>
          </cell>
          <cell r="R159">
            <v>2.70000000000000018</v>
          </cell>
          <cell r="S159">
            <v>33150</v>
          </cell>
          <cell r="T159">
            <v>41438</v>
          </cell>
          <cell r="U159" t="str">
            <v>-</v>
          </cell>
          <cell r="V159">
            <v>33150</v>
          </cell>
          <cell r="X159">
            <v>0</v>
          </cell>
        </row>
        <row r="160">
          <cell r="B160">
            <v>7298</v>
          </cell>
          <cell r="C160" t="str">
            <v>Sumake</v>
          </cell>
          <cell r="D160" t="str">
            <v>Пневматика</v>
          </cell>
          <cell r="G160" t="str">
            <v>Пневмостеплер N-50</v>
          </cell>
          <cell r="H160" t="str">
            <v>PRO</v>
          </cell>
          <cell r="I160" t="str">
            <v>Скоба</v>
          </cell>
          <cell r="J160" t="str">
            <v>25-50</v>
          </cell>
          <cell r="K160">
            <v>16</v>
          </cell>
          <cell r="L160">
            <v>10.8000000000000007</v>
          </cell>
          <cell r="M160" t="str">
            <v>1,4х1,6</v>
          </cell>
          <cell r="N160">
            <v>100</v>
          </cell>
          <cell r="O160">
            <v>2.64999999999999991</v>
          </cell>
          <cell r="P160" t="str">
            <v>3/4</v>
          </cell>
          <cell r="Q160" t="str">
            <v>3/4</v>
          </cell>
          <cell r="R160">
            <v>2.70000000000000018</v>
          </cell>
          <cell r="S160">
            <v>26942</v>
          </cell>
          <cell r="T160">
            <v>33677</v>
          </cell>
          <cell r="U160" t="str">
            <v>+</v>
          </cell>
          <cell r="V160">
            <v>26942</v>
          </cell>
          <cell r="X160">
            <v>0</v>
          </cell>
        </row>
        <row r="161">
          <cell r="B161">
            <v>39980</v>
          </cell>
          <cell r="C161" t="str">
            <v>Sumake</v>
          </cell>
          <cell r="D161" t="str">
            <v>Пневматика</v>
          </cell>
          <cell r="G161" t="str">
            <v>Пневмостеплер Р-40</v>
          </cell>
          <cell r="H161" t="str">
            <v>PRO</v>
          </cell>
          <cell r="I161" t="str">
            <v>Скоба</v>
          </cell>
          <cell r="J161" t="str">
            <v>19-40</v>
          </cell>
          <cell r="K161">
            <v>16</v>
          </cell>
          <cell r="L161">
            <v>26.5</v>
          </cell>
          <cell r="M161" t="str">
            <v>1,4х1,6</v>
          </cell>
          <cell r="N161">
            <v>140</v>
          </cell>
          <cell r="O161">
            <v>2.5</v>
          </cell>
          <cell r="P161" t="str">
            <v>3/4</v>
          </cell>
          <cell r="Q161" t="str">
            <v>3/4</v>
          </cell>
          <cell r="R161">
            <v>2.70000000000000018</v>
          </cell>
          <cell r="S161">
            <v>21762</v>
          </cell>
          <cell r="T161">
            <v>27202</v>
          </cell>
          <cell r="U161" t="str">
            <v>-</v>
          </cell>
          <cell r="V161">
            <v>21762</v>
          </cell>
          <cell r="X161">
            <v>0</v>
          </cell>
        </row>
        <row r="162">
          <cell r="B162">
            <v>7377</v>
          </cell>
          <cell r="C162" t="str">
            <v>Sumake</v>
          </cell>
          <cell r="D162" t="str">
            <v>Пневматика</v>
          </cell>
          <cell r="G162" t="str">
            <v>Пневмостеплер 90/25</v>
          </cell>
          <cell r="H162" t="str">
            <v>PRO</v>
          </cell>
          <cell r="I162" t="str">
            <v>Скоба</v>
          </cell>
          <cell r="J162" t="str">
            <v>10-25</v>
          </cell>
          <cell r="K162">
            <v>18</v>
          </cell>
          <cell r="L162">
            <v>5.79999999999999982</v>
          </cell>
          <cell r="M162" t="str">
            <v>1х1,25</v>
          </cell>
          <cell r="N162">
            <v>100</v>
          </cell>
          <cell r="O162">
            <v>1.19999999999999996</v>
          </cell>
          <cell r="P162" t="str">
            <v>3/4</v>
          </cell>
          <cell r="Q162" t="str">
            <v>3/4</v>
          </cell>
          <cell r="R162">
            <v>1</v>
          </cell>
          <cell r="S162">
            <v>10053</v>
          </cell>
          <cell r="T162">
            <v>12568</v>
          </cell>
          <cell r="U162" t="str">
            <v>-</v>
          </cell>
          <cell r="V162">
            <v>10053</v>
          </cell>
          <cell r="X162">
            <v>0</v>
          </cell>
        </row>
        <row r="163">
          <cell r="B163">
            <v>7378</v>
          </cell>
          <cell r="C163" t="str">
            <v>Sumake</v>
          </cell>
          <cell r="D163" t="str">
            <v>Пневматика</v>
          </cell>
          <cell r="G163" t="str">
            <v>Пневмостеплер 90/40</v>
          </cell>
          <cell r="H163" t="str">
            <v>PRO</v>
          </cell>
          <cell r="I163" t="str">
            <v>Скоба</v>
          </cell>
          <cell r="J163" t="str">
            <v>19-40</v>
          </cell>
          <cell r="K163">
            <v>18</v>
          </cell>
          <cell r="L163">
            <v>5.79999999999999982</v>
          </cell>
          <cell r="M163" t="str">
            <v>1х1,25</v>
          </cell>
          <cell r="N163">
            <v>100</v>
          </cell>
          <cell r="O163">
            <v>2.20000000000000018</v>
          </cell>
          <cell r="P163" t="str">
            <v>3/4</v>
          </cell>
          <cell r="Q163" t="str">
            <v>3/4</v>
          </cell>
          <cell r="R163">
            <v>1.39999999999999991</v>
          </cell>
          <cell r="S163">
            <v>16604</v>
          </cell>
          <cell r="T163">
            <v>20755</v>
          </cell>
          <cell r="U163" t="str">
            <v>+</v>
          </cell>
          <cell r="V163">
            <v>16604</v>
          </cell>
          <cell r="X163">
            <v>0</v>
          </cell>
        </row>
        <row r="164">
          <cell r="B164" t="str">
            <v>Код</v>
          </cell>
          <cell r="C164" t="str">
            <v>Бренд</v>
          </cell>
          <cell r="G164" t="str">
            <v>Наименование</v>
          </cell>
          <cell r="I164" t="str">
            <v>Расходник</v>
          </cell>
          <cell r="J164" t="str">
            <v>Глубина
забивания
(мм)</v>
          </cell>
          <cell r="K164" t="str">
            <v>Калибр
пров.</v>
          </cell>
          <cell r="L164" t="str">
            <v>Ширина
шляпки
(мм)</v>
          </cell>
          <cell r="M164" t="str">
            <v>Сечение проволоки
(мм)</v>
          </cell>
          <cell r="N164" t="str">
            <v>Ёмкость
магазина
(шт)</v>
          </cell>
          <cell r="O164" t="str">
            <v>Вес
(Кг)</v>
          </cell>
          <cell r="P164" t="str">
            <v>Входной
диаметр 
(Дюйм)</v>
          </cell>
          <cell r="Q164" t="str">
            <v>Диам.
Шланга
(мм)</v>
          </cell>
          <cell r="R164" t="str">
            <v>Расход
воздуха
(л/мин)</v>
          </cell>
          <cell r="S164" t="str">
            <v>Опт</v>
          </cell>
          <cell r="T164" t="str">
            <v>Рек. Розница</v>
          </cell>
        </row>
        <row r="165">
          <cell r="B165">
            <v>7374</v>
          </cell>
          <cell r="C165" t="str">
            <v>Sumake</v>
          </cell>
          <cell r="D165" t="str">
            <v>Пневматика</v>
          </cell>
          <cell r="G165" t="str">
            <v>Пневмостеплер 80/16</v>
          </cell>
          <cell r="H165" t="str">
            <v>REG</v>
          </cell>
          <cell r="I165" t="str">
            <v>Скоба</v>
          </cell>
          <cell r="J165" t="str">
            <v>6-16</v>
          </cell>
          <cell r="K165">
            <v>21</v>
          </cell>
          <cell r="L165">
            <v>12.9000000000000004</v>
          </cell>
          <cell r="M165" t="str">
            <v>0,65х0,95</v>
          </cell>
          <cell r="N165">
            <v>160</v>
          </cell>
          <cell r="O165">
            <v>0.9</v>
          </cell>
          <cell r="P165" t="str">
            <v>3/4</v>
          </cell>
          <cell r="Q165" t="str">
            <v>3/4</v>
          </cell>
          <cell r="R165">
            <v>0.3</v>
          </cell>
          <cell r="S165">
            <v>8719</v>
          </cell>
          <cell r="T165">
            <v>10898</v>
          </cell>
          <cell r="U165" t="str">
            <v>+</v>
          </cell>
          <cell r="V165">
            <v>8719</v>
          </cell>
          <cell r="X165">
            <v>0</v>
          </cell>
        </row>
        <row r="166">
          <cell r="B166">
            <v>7376</v>
          </cell>
          <cell r="C166" t="str">
            <v>Sumake</v>
          </cell>
          <cell r="D166" t="str">
            <v>Пневматика</v>
          </cell>
          <cell r="G166" t="str">
            <v>Пневмостеплер 80/25</v>
          </cell>
          <cell r="H166" t="str">
            <v>REG</v>
          </cell>
          <cell r="I166" t="str">
            <v>Скоба</v>
          </cell>
          <cell r="J166" t="str">
            <v>10-25</v>
          </cell>
          <cell r="K166">
            <v>21</v>
          </cell>
          <cell r="L166">
            <v>12.9000000000000004</v>
          </cell>
          <cell r="M166" t="str">
            <v>0,65х0,95</v>
          </cell>
          <cell r="N166">
            <v>100</v>
          </cell>
          <cell r="O166">
            <v>1.19999999999999996</v>
          </cell>
          <cell r="P166" t="str">
            <v>3/4</v>
          </cell>
          <cell r="Q166" t="str">
            <v>3/4</v>
          </cell>
          <cell r="R166">
            <v>0.35</v>
          </cell>
          <cell r="S166">
            <v>9497</v>
          </cell>
          <cell r="T166">
            <v>11871</v>
          </cell>
          <cell r="U166" t="str">
            <v>+</v>
          </cell>
          <cell r="V166">
            <v>9497</v>
          </cell>
          <cell r="X166">
            <v>0</v>
          </cell>
        </row>
        <row r="167">
          <cell r="B167">
            <v>7379</v>
          </cell>
          <cell r="C167" t="str">
            <v>Sumake</v>
          </cell>
          <cell r="D167" t="str">
            <v>Пневматика</v>
          </cell>
          <cell r="G167" t="str">
            <v>Пневмостеплер 97/25</v>
          </cell>
          <cell r="H167" t="str">
            <v>PRO</v>
          </cell>
          <cell r="I167" t="str">
            <v>Скоба</v>
          </cell>
          <cell r="J167" t="str">
            <v>10-25</v>
          </cell>
          <cell r="K167">
            <v>21</v>
          </cell>
          <cell r="L167">
            <v>4.5</v>
          </cell>
          <cell r="M167" t="str">
            <v>0,65х0,95</v>
          </cell>
          <cell r="N167">
            <v>100</v>
          </cell>
          <cell r="O167">
            <v>1.19999999999999996</v>
          </cell>
          <cell r="P167" t="str">
            <v>3/4</v>
          </cell>
          <cell r="Q167" t="str">
            <v>3/4</v>
          </cell>
          <cell r="R167">
            <v>0.3</v>
          </cell>
          <cell r="S167">
            <v>7208</v>
          </cell>
          <cell r="T167">
            <v>9009</v>
          </cell>
          <cell r="U167" t="str">
            <v>-</v>
          </cell>
          <cell r="V167">
            <v>7208</v>
          </cell>
          <cell r="X167">
            <v>0</v>
          </cell>
        </row>
        <row r="168">
          <cell r="B168" t="str">
            <v>Код</v>
          </cell>
          <cell r="C168" t="str">
            <v>Бренд</v>
          </cell>
          <cell r="G168" t="str">
            <v>Наименование</v>
          </cell>
          <cell r="I168" t="str">
            <v>Расходник</v>
          </cell>
          <cell r="J168" t="str">
            <v>Глубина
забивания
(мм)</v>
          </cell>
          <cell r="K168" t="str">
            <v>Ширина
шляпки
(мм)</v>
          </cell>
          <cell r="M168" t="str">
            <v>Сечение
проволоки
(мм)</v>
          </cell>
          <cell r="N168" t="str">
            <v>Ёмкость
магазина
(шт)</v>
          </cell>
          <cell r="O168" t="str">
            <v>Вес
(Кг)</v>
          </cell>
          <cell r="P168" t="str">
            <v>Входной
диаметр 
(Дюйм)</v>
          </cell>
          <cell r="Q168" t="str">
            <v>Диам.
Шланга
(мм)</v>
          </cell>
          <cell r="R168" t="str">
            <v>Расход
воздуха
(л/мин)</v>
          </cell>
          <cell r="S168" t="str">
            <v>Опт</v>
          </cell>
          <cell r="T168" t="str">
            <v>Рек. Розница</v>
          </cell>
        </row>
        <row r="169">
          <cell r="B169">
            <v>7381</v>
          </cell>
          <cell r="C169" t="str">
            <v>Sumake</v>
          </cell>
          <cell r="D169" t="str">
            <v>Пневматика</v>
          </cell>
          <cell r="G169" t="str">
            <v>Пневмостеплер упаковочный CS-35A</v>
          </cell>
          <cell r="H169" t="str">
            <v>IND</v>
          </cell>
          <cell r="I169" t="str">
            <v>Скоба</v>
          </cell>
          <cell r="J169" t="str">
            <v>15 , 18</v>
          </cell>
          <cell r="K169">
            <v>35</v>
          </cell>
          <cell r="M169" t="str">
            <v>0,9x2,3</v>
          </cell>
          <cell r="N169">
            <v>100</v>
          </cell>
          <cell r="O169">
            <v>2.64999999999999991</v>
          </cell>
          <cell r="P169" t="str">
            <v>3/4</v>
          </cell>
          <cell r="Q169" t="str">
            <v>3/4</v>
          </cell>
          <cell r="S169">
            <v>30042</v>
          </cell>
          <cell r="T169">
            <v>37553</v>
          </cell>
          <cell r="U169" t="str">
            <v>-</v>
          </cell>
          <cell r="V169">
            <v>30042</v>
          </cell>
          <cell r="X169">
            <v>0</v>
          </cell>
        </row>
        <row r="170">
          <cell r="B170">
            <v>8094570</v>
          </cell>
          <cell r="C170" t="str">
            <v>Sumake</v>
          </cell>
          <cell r="D170" t="str">
            <v>Пневматика</v>
          </cell>
          <cell r="G170" t="str">
            <v>Пневмостеплер для картона и георешётки 777/16 BJ</v>
          </cell>
          <cell r="H170" t="str">
            <v>IND</v>
          </cell>
          <cell r="I170" t="str">
            <v>Скоба</v>
          </cell>
          <cell r="J170" t="str">
            <v>10-16</v>
          </cell>
          <cell r="K170">
            <v>12.5999999999999996</v>
          </cell>
          <cell r="M170" t="str">
            <v>0,7x2,3</v>
          </cell>
          <cell r="N170">
            <v>100</v>
          </cell>
          <cell r="O170">
            <v>2.5</v>
          </cell>
          <cell r="P170" t="str">
            <v>3/4</v>
          </cell>
          <cell r="Q170" t="str">
            <v>3/4</v>
          </cell>
          <cell r="R170">
            <v>2.70000000000000018</v>
          </cell>
          <cell r="S170">
            <v>71219</v>
          </cell>
          <cell r="T170">
            <v>96144</v>
          </cell>
          <cell r="U170" t="str">
            <v>+</v>
          </cell>
          <cell r="V170">
            <v>71219</v>
          </cell>
          <cell r="X170">
            <v>0</v>
          </cell>
        </row>
        <row r="171">
          <cell r="B171">
            <v>8202050</v>
          </cell>
          <cell r="C171" t="str">
            <v>Sumake</v>
          </cell>
          <cell r="D171" t="str">
            <v>Пневматика</v>
          </cell>
          <cell r="G171" t="str">
            <v>Скоба 16мм для 777/16BJ 12,6х0,7x2,3 упак 2400шт</v>
          </cell>
          <cell r="H171" t="str">
            <v>IND</v>
          </cell>
          <cell r="I171" t="str">
            <v>Скоба</v>
          </cell>
          <cell r="S171">
            <v>1578</v>
          </cell>
          <cell r="T171">
            <v>2111</v>
          </cell>
          <cell r="U171" t="str">
            <v>+</v>
          </cell>
          <cell r="V171">
            <v>1578</v>
          </cell>
          <cell r="X171">
            <v>0</v>
          </cell>
        </row>
        <row r="172">
          <cell r="I172" t="str">
            <v>Мин. Нагрузка,кг</v>
          </cell>
          <cell r="J172" t="str">
            <v>Мин. Нагрузка,кг</v>
          </cell>
          <cell r="S172">
            <v>0</v>
          </cell>
          <cell r="T172">
            <v>0</v>
          </cell>
        </row>
        <row r="173">
          <cell r="B173">
            <v>35147</v>
          </cell>
          <cell r="G173" t="str">
            <v>Пневмоподдержка SA-2204 (1,5-3кг)</v>
          </cell>
          <cell r="I173">
            <v>1.5</v>
          </cell>
          <cell r="J173">
            <v>3</v>
          </cell>
          <cell r="S173">
            <v>2179</v>
          </cell>
          <cell r="T173">
            <v>2725</v>
          </cell>
          <cell r="U173" t="str">
            <v>-</v>
          </cell>
          <cell r="V173">
            <v>2179</v>
          </cell>
        </row>
        <row r="174">
          <cell r="I174" t="str">
            <v>Диаметр,мм</v>
          </cell>
          <cell r="J174" t="str">
            <v>Длина,мм</v>
          </cell>
          <cell r="K174" t="str">
            <v>Штук в упаковке</v>
          </cell>
          <cell r="L174" t="str">
            <v>Форма гвоздя</v>
          </cell>
        </row>
        <row r="175">
          <cell r="B175">
            <v>8102490</v>
          </cell>
          <cell r="C175" t="str">
            <v>Sumake/Ru</v>
          </cell>
          <cell r="D175" t="str">
            <v>Пневматика</v>
          </cell>
          <cell r="E175" t="str">
            <v>Расходник</v>
          </cell>
          <cell r="G175" t="str">
            <v>Гвоздь TN22/32. 32мм(2,2х2,2) Бетон для T-64LN. 10000шт.</v>
          </cell>
          <cell r="I175">
            <v>2.20000000000000018</v>
          </cell>
          <cell r="J175">
            <v>32</v>
          </cell>
          <cell r="K175">
            <v>10000</v>
          </cell>
          <cell r="L175" t="str">
            <v>гладкий</v>
          </cell>
          <cell r="S175">
            <v>2486</v>
          </cell>
          <cell r="T175">
            <v>2880</v>
          </cell>
          <cell r="U175" t="str">
            <v>+</v>
          </cell>
          <cell r="V175">
            <v>2486</v>
          </cell>
          <cell r="X175">
            <v>0</v>
          </cell>
        </row>
        <row r="176">
          <cell r="B176">
            <v>8106290</v>
          </cell>
          <cell r="C176" t="str">
            <v>Sumake</v>
          </cell>
          <cell r="D176" t="str">
            <v>Пневматика</v>
          </cell>
          <cell r="E176" t="str">
            <v>Расходник</v>
          </cell>
          <cell r="G176" t="str">
            <v>Гвоздь FST-18 для F1.8/50 18х1,8x1,8 3000шт/уп</v>
          </cell>
          <cell r="I176" t="str">
            <v>1,8x1,8</v>
          </cell>
          <cell r="J176">
            <v>18</v>
          </cell>
          <cell r="K176">
            <v>3000</v>
          </cell>
          <cell r="L176" t="str">
            <v>гладкий</v>
          </cell>
          <cell r="S176">
            <v>1951</v>
          </cell>
          <cell r="T176">
            <v>2441</v>
          </cell>
          <cell r="U176" t="str">
            <v>-</v>
          </cell>
          <cell r="V176">
            <v>1951</v>
          </cell>
          <cell r="X176">
            <v>0</v>
          </cell>
        </row>
        <row r="177">
          <cell r="B177">
            <v>8106300</v>
          </cell>
          <cell r="C177" t="str">
            <v>Sumake</v>
          </cell>
          <cell r="D177" t="str">
            <v>Пневматика</v>
          </cell>
          <cell r="E177" t="str">
            <v>Расходник</v>
          </cell>
          <cell r="G177" t="str">
            <v>Гвоздь FST-20 для F1.8/50 20х1,8x1,8 3000шт/уп</v>
          </cell>
          <cell r="I177" t="str">
            <v>1,8x1,8</v>
          </cell>
          <cell r="J177">
            <v>20</v>
          </cell>
          <cell r="K177">
            <v>3000</v>
          </cell>
          <cell r="L177" t="str">
            <v>гладкий</v>
          </cell>
          <cell r="S177">
            <v>1951</v>
          </cell>
          <cell r="T177">
            <v>2441</v>
          </cell>
          <cell r="U177" t="str">
            <v>-</v>
          </cell>
          <cell r="V177">
            <v>1951</v>
          </cell>
          <cell r="X177">
            <v>0</v>
          </cell>
        </row>
        <row r="178">
          <cell r="B178">
            <v>8106310</v>
          </cell>
          <cell r="C178" t="str">
            <v>Sumake</v>
          </cell>
          <cell r="D178" t="str">
            <v>Пневматика</v>
          </cell>
          <cell r="E178" t="str">
            <v>Расходник</v>
          </cell>
          <cell r="G178" t="str">
            <v>Гвоздь FST-25 для F1.8/50 25х1,8x1,8 3000шт/уп</v>
          </cell>
          <cell r="I178" t="str">
            <v>1,8x1,8</v>
          </cell>
          <cell r="J178">
            <v>25</v>
          </cell>
          <cell r="K178">
            <v>3000</v>
          </cell>
          <cell r="L178" t="str">
            <v>гладкий</v>
          </cell>
          <cell r="S178">
            <v>2074</v>
          </cell>
          <cell r="T178">
            <v>2593</v>
          </cell>
          <cell r="U178" t="str">
            <v>-</v>
          </cell>
          <cell r="V178">
            <v>2074</v>
          </cell>
          <cell r="X178">
            <v>0</v>
          </cell>
        </row>
        <row r="179">
          <cell r="B179">
            <v>8106360</v>
          </cell>
          <cell r="C179" t="str">
            <v>Sumake</v>
          </cell>
          <cell r="D179" t="str">
            <v>Пневматика</v>
          </cell>
          <cell r="E179" t="str">
            <v>Расходник</v>
          </cell>
          <cell r="G179" t="str">
            <v>Гвоздь FST-50 для F1.8/50 50х1,5x1,8 1500шт/уп</v>
          </cell>
          <cell r="I179" t="str">
            <v>1,5x1,8</v>
          </cell>
          <cell r="J179">
            <v>50</v>
          </cell>
          <cell r="K179">
            <v>1500</v>
          </cell>
          <cell r="L179" t="str">
            <v>гладкий</v>
          </cell>
          <cell r="S179">
            <v>2178</v>
          </cell>
          <cell r="T179">
            <v>2722</v>
          </cell>
          <cell r="U179" t="str">
            <v>-</v>
          </cell>
          <cell r="V179">
            <v>2178</v>
          </cell>
          <cell r="X179">
            <v>0</v>
          </cell>
        </row>
        <row r="180">
          <cell r="B180">
            <v>31899</v>
          </cell>
          <cell r="C180" t="str">
            <v>Sumake</v>
          </cell>
          <cell r="D180" t="str">
            <v>Пневматика</v>
          </cell>
          <cell r="E180" t="str">
            <v>Расходник</v>
          </cell>
          <cell r="G180" t="str">
            <v>Гвоздь T-20 для F16/50;F16/64 20х1.4х1.6MM , 2500 шт/уп</v>
          </cell>
          <cell r="I180" t="str">
            <v>1,4x1,8</v>
          </cell>
          <cell r="J180">
            <v>20</v>
          </cell>
          <cell r="K180">
            <v>2500</v>
          </cell>
          <cell r="L180" t="str">
            <v>гладкий</v>
          </cell>
          <cell r="S180">
            <v>582</v>
          </cell>
          <cell r="T180">
            <v>728</v>
          </cell>
          <cell r="U180" t="str">
            <v>-</v>
          </cell>
          <cell r="V180">
            <v>582</v>
          </cell>
          <cell r="X180">
            <v>0</v>
          </cell>
        </row>
        <row r="181">
          <cell r="B181">
            <v>31904</v>
          </cell>
          <cell r="C181" t="str">
            <v>Sumake</v>
          </cell>
          <cell r="D181" t="str">
            <v>Пневматика</v>
          </cell>
          <cell r="E181" t="str">
            <v>Расходник</v>
          </cell>
          <cell r="G181" t="str">
            <v>Гвоздь T-38 для F16/50;F16/64 38х1.4х1.6MM , 2500 шт/уп</v>
          </cell>
          <cell r="I181" t="str">
            <v>1,4x1,8</v>
          </cell>
          <cell r="J181">
            <v>38</v>
          </cell>
          <cell r="K181">
            <v>2500</v>
          </cell>
          <cell r="L181" t="str">
            <v>гладкий</v>
          </cell>
          <cell r="S181">
            <v>896</v>
          </cell>
          <cell r="T181">
            <v>1120</v>
          </cell>
          <cell r="U181" t="str">
            <v>-</v>
          </cell>
          <cell r="V181">
            <v>896</v>
          </cell>
          <cell r="X181">
            <v>0</v>
          </cell>
        </row>
        <row r="182">
          <cell r="B182">
            <v>31906</v>
          </cell>
          <cell r="C182" t="str">
            <v>Sumake</v>
          </cell>
          <cell r="D182" t="str">
            <v>Пневматика</v>
          </cell>
          <cell r="E182" t="str">
            <v>Расходник</v>
          </cell>
          <cell r="G182" t="str">
            <v>Гвоздь T-44 для F16/50;F16/64 44х1.4х1.6MM , 2500 шт/уп</v>
          </cell>
          <cell r="I182" t="str">
            <v>1,4х1,6</v>
          </cell>
          <cell r="J182">
            <v>44</v>
          </cell>
          <cell r="K182">
            <v>2500</v>
          </cell>
          <cell r="L182" t="str">
            <v>гладкий</v>
          </cell>
          <cell r="S182">
            <v>1117</v>
          </cell>
          <cell r="T182">
            <v>1396</v>
          </cell>
          <cell r="U182" t="str">
            <v>-</v>
          </cell>
          <cell r="V182">
            <v>1117</v>
          </cell>
          <cell r="X182">
            <v>0</v>
          </cell>
        </row>
        <row r="183">
          <cell r="B183">
            <v>31908</v>
          </cell>
          <cell r="C183" t="str">
            <v>Sumake</v>
          </cell>
          <cell r="D183" t="str">
            <v>Пневматика</v>
          </cell>
          <cell r="E183" t="str">
            <v>Расходник</v>
          </cell>
          <cell r="G183" t="str">
            <v>Гвоздь T-50 для F16/50;F16/64 50х1.4х1.6MM , 2500 шт/уп</v>
          </cell>
          <cell r="I183" t="str">
            <v>1,4х1,6</v>
          </cell>
          <cell r="J183">
            <v>50</v>
          </cell>
          <cell r="K183">
            <v>2500</v>
          </cell>
          <cell r="L183" t="str">
            <v>гладкий</v>
          </cell>
          <cell r="S183">
            <v>1183</v>
          </cell>
          <cell r="T183">
            <v>1477</v>
          </cell>
          <cell r="U183" t="str">
            <v>-</v>
          </cell>
          <cell r="V183">
            <v>1183</v>
          </cell>
          <cell r="X183">
            <v>0</v>
          </cell>
        </row>
        <row r="184">
          <cell r="B184">
            <v>31909</v>
          </cell>
          <cell r="C184" t="str">
            <v>Sumake</v>
          </cell>
          <cell r="D184" t="str">
            <v>Пневматика</v>
          </cell>
          <cell r="E184" t="str">
            <v>Расходник</v>
          </cell>
          <cell r="G184" t="str">
            <v>Гвоздь T-57 для F16/64 57х1.4х1.6MM , 2500 шт/уп</v>
          </cell>
          <cell r="I184" t="str">
            <v>1,4х1,6</v>
          </cell>
          <cell r="J184">
            <v>57</v>
          </cell>
          <cell r="K184">
            <v>2500</v>
          </cell>
          <cell r="L184" t="str">
            <v>гладкий</v>
          </cell>
          <cell r="S184">
            <v>1514</v>
          </cell>
          <cell r="T184">
            <v>1893</v>
          </cell>
          <cell r="U184" t="str">
            <v>-</v>
          </cell>
          <cell r="V184">
            <v>1514</v>
          </cell>
          <cell r="X184">
            <v>0</v>
          </cell>
        </row>
        <row r="185">
          <cell r="B185">
            <v>1380550</v>
          </cell>
          <cell r="C185" t="str">
            <v>Sumake</v>
          </cell>
          <cell r="D185" t="str">
            <v>Пневматика</v>
          </cell>
          <cell r="E185" t="str">
            <v>Расходник</v>
          </cell>
          <cell r="G185" t="str">
            <v>Гвоздь T-64N для F16/64 64x1.4x1.6MM , 2500 шт/уп</v>
          </cell>
          <cell r="I185" t="str">
            <v>1,4х1,6</v>
          </cell>
          <cell r="J185">
            <v>64</v>
          </cell>
          <cell r="K185">
            <v>2500</v>
          </cell>
          <cell r="L185" t="str">
            <v>гладкий</v>
          </cell>
          <cell r="S185">
            <v>1433</v>
          </cell>
          <cell r="T185">
            <v>1793</v>
          </cell>
          <cell r="U185" t="str">
            <v>-</v>
          </cell>
          <cell r="V185">
            <v>1433</v>
          </cell>
          <cell r="X185">
            <v>0</v>
          </cell>
        </row>
        <row r="186">
          <cell r="B186">
            <v>8106370</v>
          </cell>
          <cell r="C186" t="str">
            <v>Sumake</v>
          </cell>
          <cell r="D186" t="str">
            <v>Пневматика</v>
          </cell>
          <cell r="E186" t="str">
            <v>Расходник</v>
          </cell>
          <cell r="G186" t="str">
            <v>Шпилька P18-20 для P18/30 1x1,25 5000шт</v>
          </cell>
          <cell r="I186" t="str">
            <v>1х1,125</v>
          </cell>
          <cell r="J186">
            <v>20</v>
          </cell>
          <cell r="K186">
            <v>5000</v>
          </cell>
          <cell r="L186" t="str">
            <v>гладкий</v>
          </cell>
          <cell r="S186">
            <v>703</v>
          </cell>
          <cell r="T186">
            <v>948</v>
          </cell>
          <cell r="U186" t="str">
            <v>-</v>
          </cell>
          <cell r="V186">
            <v>703</v>
          </cell>
          <cell r="X186">
            <v>0</v>
          </cell>
        </row>
        <row r="187">
          <cell r="B187">
            <v>8106380</v>
          </cell>
          <cell r="C187" t="str">
            <v>Sumake</v>
          </cell>
          <cell r="D187" t="str">
            <v>Пневматика</v>
          </cell>
          <cell r="E187" t="str">
            <v>Расходник</v>
          </cell>
          <cell r="G187" t="str">
            <v>Шпилька P18-25 для P18/30 1x1,25 5000шт</v>
          </cell>
          <cell r="I187" t="str">
            <v>1х1,125</v>
          </cell>
          <cell r="J187">
            <v>25</v>
          </cell>
          <cell r="K187">
            <v>5000</v>
          </cell>
          <cell r="L187" t="str">
            <v>гладкий</v>
          </cell>
          <cell r="S187">
            <v>815</v>
          </cell>
          <cell r="T187">
            <v>1100</v>
          </cell>
          <cell r="U187" t="str">
            <v>-</v>
          </cell>
          <cell r="V187">
            <v>815</v>
          </cell>
          <cell r="X187">
            <v>0</v>
          </cell>
        </row>
        <row r="188">
          <cell r="B188">
            <v>8106390</v>
          </cell>
          <cell r="C188" t="str">
            <v>Sumake</v>
          </cell>
          <cell r="D188" t="str">
            <v>Пневматика</v>
          </cell>
          <cell r="E188" t="str">
            <v>Расходник</v>
          </cell>
          <cell r="G188" t="str">
            <v>Шпилька P18-30 для P18/30 1x1,25 5000шт</v>
          </cell>
          <cell r="I188" t="str">
            <v>1х1,125</v>
          </cell>
          <cell r="J188">
            <v>30</v>
          </cell>
          <cell r="K188">
            <v>5000</v>
          </cell>
          <cell r="L188" t="str">
            <v>гладкий</v>
          </cell>
          <cell r="S188">
            <v>917</v>
          </cell>
          <cell r="T188">
            <v>1238</v>
          </cell>
          <cell r="U188" t="str">
            <v>-</v>
          </cell>
          <cell r="V188">
            <v>917</v>
          </cell>
          <cell r="X188" t="e">
            <v>#REF!</v>
          </cell>
        </row>
        <row r="189">
          <cell r="B189">
            <v>31379</v>
          </cell>
          <cell r="C189" t="str">
            <v>Sumake</v>
          </cell>
          <cell r="D189" t="str">
            <v>Пневматика</v>
          </cell>
          <cell r="E189" t="str">
            <v>Расходник</v>
          </cell>
          <cell r="G189" t="str">
            <v>Гвоздь F-20 для F18/30 и F18/50 5000шт.1х1,25х20мм</v>
          </cell>
          <cell r="I189" t="str">
            <v>1х1,125</v>
          </cell>
          <cell r="J189">
            <v>20</v>
          </cell>
          <cell r="K189">
            <v>5000</v>
          </cell>
          <cell r="L189" t="str">
            <v>гладкий</v>
          </cell>
          <cell r="S189">
            <v>644</v>
          </cell>
          <cell r="T189">
            <v>805</v>
          </cell>
          <cell r="U189" t="str">
            <v>+</v>
          </cell>
          <cell r="V189">
            <v>644</v>
          </cell>
          <cell r="X189">
            <v>0</v>
          </cell>
        </row>
        <row r="190">
          <cell r="B190">
            <v>31380</v>
          </cell>
          <cell r="C190" t="str">
            <v>Sumake</v>
          </cell>
          <cell r="D190" t="str">
            <v>Пневматика</v>
          </cell>
          <cell r="E190" t="str">
            <v>Расходник</v>
          </cell>
          <cell r="G190" t="str">
            <v>Гвоздь F-25 для F18/30 и F18/50 5000шт.1х1,25х25мм</v>
          </cell>
          <cell r="I190" t="str">
            <v>1х1,125</v>
          </cell>
          <cell r="J190">
            <v>25</v>
          </cell>
          <cell r="K190">
            <v>5000</v>
          </cell>
          <cell r="L190" t="str">
            <v>гладкий</v>
          </cell>
          <cell r="S190">
            <v>761</v>
          </cell>
          <cell r="T190">
            <v>944</v>
          </cell>
          <cell r="U190" t="str">
            <v>+</v>
          </cell>
          <cell r="V190">
            <v>761</v>
          </cell>
          <cell r="X190">
            <v>0</v>
          </cell>
        </row>
        <row r="191">
          <cell r="B191">
            <v>31381</v>
          </cell>
          <cell r="C191" t="str">
            <v>Sumake</v>
          </cell>
          <cell r="D191" t="str">
            <v>Пневматика</v>
          </cell>
          <cell r="E191" t="str">
            <v>Расходник</v>
          </cell>
          <cell r="G191" t="str">
            <v>Гвоздь F-30 для F18/30 и F18/50 5000шт.1х1,25х30мм</v>
          </cell>
          <cell r="I191" t="str">
            <v>1х1,125</v>
          </cell>
          <cell r="J191">
            <v>30</v>
          </cell>
          <cell r="K191">
            <v>5000</v>
          </cell>
          <cell r="L191" t="str">
            <v>гладкий</v>
          </cell>
          <cell r="S191">
            <v>885</v>
          </cell>
          <cell r="T191">
            <v>1106</v>
          </cell>
          <cell r="U191" t="str">
            <v>+</v>
          </cell>
          <cell r="V191">
            <v>885</v>
          </cell>
          <cell r="X191">
            <v>0</v>
          </cell>
        </row>
        <row r="192">
          <cell r="B192">
            <v>31382</v>
          </cell>
          <cell r="C192" t="str">
            <v>Sumake</v>
          </cell>
          <cell r="D192" t="str">
            <v>Пневматика</v>
          </cell>
          <cell r="E192" t="str">
            <v>Расходник</v>
          </cell>
          <cell r="G192" t="str">
            <v>Гвоздь F-35 для F18/50 5000шт.1х1,25х35мм</v>
          </cell>
          <cell r="I192" t="str">
            <v>1х1,125</v>
          </cell>
          <cell r="J192">
            <v>35</v>
          </cell>
          <cell r="K192">
            <v>5000</v>
          </cell>
          <cell r="L192" t="str">
            <v>гладкий</v>
          </cell>
          <cell r="S192">
            <v>1000</v>
          </cell>
          <cell r="T192">
            <v>1251</v>
          </cell>
          <cell r="U192" t="str">
            <v>+</v>
          </cell>
          <cell r="V192">
            <v>1000</v>
          </cell>
          <cell r="X192">
            <v>0</v>
          </cell>
        </row>
        <row r="193">
          <cell r="B193">
            <v>31383</v>
          </cell>
          <cell r="C193" t="str">
            <v>Sumake</v>
          </cell>
          <cell r="D193" t="str">
            <v>Пневматика</v>
          </cell>
          <cell r="E193" t="str">
            <v>Расходник</v>
          </cell>
          <cell r="G193" t="str">
            <v>Гвоздь F-40 для F18/50 5000шт.1х1,25х40мм</v>
          </cell>
          <cell r="I193" t="str">
            <v>1х1,125</v>
          </cell>
          <cell r="J193">
            <v>40</v>
          </cell>
          <cell r="K193">
            <v>5000</v>
          </cell>
          <cell r="L193" t="str">
            <v>гладкий</v>
          </cell>
          <cell r="S193">
            <v>1113</v>
          </cell>
          <cell r="T193">
            <v>1392</v>
          </cell>
          <cell r="U193" t="str">
            <v>+</v>
          </cell>
          <cell r="V193">
            <v>1113</v>
          </cell>
          <cell r="X193">
            <v>0</v>
          </cell>
        </row>
        <row r="194">
          <cell r="B194">
            <v>30369</v>
          </cell>
          <cell r="C194" t="str">
            <v>Sumake</v>
          </cell>
          <cell r="D194" t="str">
            <v>Пневматика</v>
          </cell>
          <cell r="E194" t="str">
            <v>Расходник</v>
          </cell>
          <cell r="G194" t="str">
            <v>Гвоздь F-45 для F18/50 5000шт. 1х1.25х45мм</v>
          </cell>
          <cell r="I194" t="str">
            <v>1х1,125</v>
          </cell>
          <cell r="J194">
            <v>45</v>
          </cell>
          <cell r="K194">
            <v>5000</v>
          </cell>
          <cell r="L194" t="str">
            <v>гладкий</v>
          </cell>
          <cell r="S194">
            <v>1232</v>
          </cell>
          <cell r="T194">
            <v>1540</v>
          </cell>
          <cell r="U194" t="str">
            <v>-</v>
          </cell>
          <cell r="V194">
            <v>1232</v>
          </cell>
          <cell r="X194">
            <v>0</v>
          </cell>
        </row>
        <row r="195">
          <cell r="B195">
            <v>30370</v>
          </cell>
          <cell r="C195" t="str">
            <v>Sumake</v>
          </cell>
          <cell r="D195" t="str">
            <v>Пневматика</v>
          </cell>
          <cell r="E195" t="str">
            <v>Расходник</v>
          </cell>
          <cell r="G195" t="str">
            <v>Гвоздь F-50 для F18/50 5000шт. 1х1.25х50мм</v>
          </cell>
          <cell r="I195" t="str">
            <v>1х1,125</v>
          </cell>
          <cell r="J195">
            <v>50</v>
          </cell>
          <cell r="K195">
            <v>5000</v>
          </cell>
          <cell r="L195" t="str">
            <v>гладкий</v>
          </cell>
          <cell r="S195">
            <v>1360</v>
          </cell>
          <cell r="T195">
            <v>1700</v>
          </cell>
          <cell r="U195" t="str">
            <v>-</v>
          </cell>
          <cell r="V195">
            <v>1360</v>
          </cell>
          <cell r="X195">
            <v>0</v>
          </cell>
        </row>
        <row r="196">
          <cell r="B196">
            <v>30404</v>
          </cell>
          <cell r="C196" t="str">
            <v>Sumake</v>
          </cell>
          <cell r="D196" t="str">
            <v>Пневматика</v>
          </cell>
          <cell r="E196" t="str">
            <v>Расходник</v>
          </cell>
          <cell r="G196" t="str">
            <v>Шпилька Р0,6-10 10мм для Р0,6/15-30  10000шт. 0,64х0,64х10</v>
          </cell>
          <cell r="I196" t="str">
            <v>0,64х0,64</v>
          </cell>
          <cell r="J196">
            <v>10</v>
          </cell>
          <cell r="K196">
            <v>10000</v>
          </cell>
          <cell r="L196" t="str">
            <v>гладкий</v>
          </cell>
          <cell r="S196">
            <v>504</v>
          </cell>
          <cell r="T196">
            <v>630</v>
          </cell>
          <cell r="U196" t="str">
            <v>+</v>
          </cell>
          <cell r="V196">
            <v>504</v>
          </cell>
          <cell r="X196">
            <v>0</v>
          </cell>
        </row>
        <row r="197">
          <cell r="B197">
            <v>30414</v>
          </cell>
          <cell r="C197" t="str">
            <v>Sumake</v>
          </cell>
          <cell r="D197" t="str">
            <v>Пневматика</v>
          </cell>
          <cell r="E197" t="str">
            <v>Расходник</v>
          </cell>
          <cell r="G197" t="str">
            <v>Шпилька Р0,6-12 12мм для Р0,6/15-30  10000шт. 0,64х0,64х12</v>
          </cell>
          <cell r="I197" t="str">
            <v>0,64х0,64</v>
          </cell>
          <cell r="J197">
            <v>12</v>
          </cell>
          <cell r="K197">
            <v>10000</v>
          </cell>
          <cell r="L197" t="str">
            <v>гладкий</v>
          </cell>
          <cell r="S197">
            <v>528</v>
          </cell>
          <cell r="T197">
            <v>658</v>
          </cell>
          <cell r="U197" t="str">
            <v>+</v>
          </cell>
          <cell r="V197">
            <v>528</v>
          </cell>
          <cell r="X197">
            <v>0</v>
          </cell>
        </row>
        <row r="198">
          <cell r="B198">
            <v>30415</v>
          </cell>
          <cell r="C198" t="str">
            <v>Sumake</v>
          </cell>
          <cell r="D198" t="str">
            <v>Пневматика</v>
          </cell>
          <cell r="E198" t="str">
            <v>Расходник</v>
          </cell>
          <cell r="G198" t="str">
            <v>Шпилька Р0,6-15 15мм для Р0,6/15-30  10000шт. 0,64х0,64х15</v>
          </cell>
          <cell r="I198" t="str">
            <v>0,64х0,64</v>
          </cell>
          <cell r="J198">
            <v>15</v>
          </cell>
          <cell r="K198">
            <v>10000</v>
          </cell>
          <cell r="L198" t="str">
            <v>гладкий</v>
          </cell>
          <cell r="S198">
            <v>576</v>
          </cell>
          <cell r="T198">
            <v>720</v>
          </cell>
          <cell r="U198" t="str">
            <v>+</v>
          </cell>
          <cell r="V198">
            <v>576</v>
          </cell>
          <cell r="X198">
            <v>0</v>
          </cell>
        </row>
        <row r="199">
          <cell r="B199">
            <v>30416</v>
          </cell>
          <cell r="C199" t="str">
            <v>Sumake</v>
          </cell>
          <cell r="D199" t="str">
            <v>Пневматика</v>
          </cell>
          <cell r="E199" t="str">
            <v>Расходник</v>
          </cell>
          <cell r="G199" t="str">
            <v>Шпилька Р0,6-18 18мм для Р0,6/20-30  10000шт. 0,64х0,64х18</v>
          </cell>
          <cell r="I199" t="str">
            <v>0,64х0,64</v>
          </cell>
          <cell r="J199">
            <v>18</v>
          </cell>
          <cell r="K199">
            <v>10000</v>
          </cell>
          <cell r="L199" t="str">
            <v>гладкий</v>
          </cell>
          <cell r="S199">
            <v>616</v>
          </cell>
          <cell r="T199">
            <v>770</v>
          </cell>
          <cell r="U199" t="str">
            <v>+</v>
          </cell>
          <cell r="V199">
            <v>616</v>
          </cell>
          <cell r="X199">
            <v>0</v>
          </cell>
        </row>
        <row r="200">
          <cell r="B200">
            <v>30417</v>
          </cell>
          <cell r="C200" t="str">
            <v>Sumake</v>
          </cell>
          <cell r="D200" t="str">
            <v>Пневматика</v>
          </cell>
          <cell r="E200" t="str">
            <v>Расходник</v>
          </cell>
          <cell r="G200" t="str">
            <v>Шпилька Р0,6-20 20мм для Р0,6/20-30  10000шт. 0,64х0,64х20</v>
          </cell>
          <cell r="I200" t="str">
            <v>0,64х0,64</v>
          </cell>
          <cell r="J200">
            <v>20</v>
          </cell>
          <cell r="K200">
            <v>10000</v>
          </cell>
          <cell r="L200" t="str">
            <v>гладкий</v>
          </cell>
          <cell r="S200">
            <v>670</v>
          </cell>
          <cell r="T200">
            <v>838</v>
          </cell>
          <cell r="U200" t="str">
            <v>+</v>
          </cell>
          <cell r="V200">
            <v>670</v>
          </cell>
          <cell r="X200">
            <v>0</v>
          </cell>
        </row>
        <row r="201">
          <cell r="B201">
            <v>8105220</v>
          </cell>
          <cell r="C201" t="str">
            <v>Sumake/Ru</v>
          </cell>
          <cell r="D201" t="str">
            <v>Пневматика</v>
          </cell>
          <cell r="E201" t="str">
            <v>Расходник</v>
          </cell>
          <cell r="G201" t="str">
            <v>Шпилька Р0,6-21 21мм для Р0,6/22-30  10000шт. 0,64х0,64х21</v>
          </cell>
          <cell r="I201" t="str">
            <v>0,64х0,64</v>
          </cell>
          <cell r="J201">
            <v>21</v>
          </cell>
          <cell r="K201">
            <v>10000</v>
          </cell>
          <cell r="L201" t="str">
            <v>гладкий</v>
          </cell>
          <cell r="S201">
            <v>653</v>
          </cell>
          <cell r="T201">
            <v>815</v>
          </cell>
          <cell r="U201" t="str">
            <v>-</v>
          </cell>
          <cell r="V201">
            <v>653</v>
          </cell>
          <cell r="X201">
            <v>0</v>
          </cell>
        </row>
        <row r="202">
          <cell r="B202">
            <v>30418</v>
          </cell>
          <cell r="C202" t="str">
            <v>Sumake</v>
          </cell>
          <cell r="D202" t="str">
            <v>Пневматика</v>
          </cell>
          <cell r="E202" t="str">
            <v>Расходник</v>
          </cell>
          <cell r="G202" t="str">
            <v>Шпилька Р0,6-22 22мм для Р0,6/22-30  10000шт. 0,64х0,64х22</v>
          </cell>
          <cell r="I202" t="str">
            <v>0,64х0,64</v>
          </cell>
          <cell r="J202">
            <v>22</v>
          </cell>
          <cell r="K202">
            <v>10000</v>
          </cell>
          <cell r="L202" t="str">
            <v>гладкий</v>
          </cell>
          <cell r="S202">
            <v>739</v>
          </cell>
          <cell r="T202">
            <v>924</v>
          </cell>
          <cell r="U202" t="str">
            <v>-</v>
          </cell>
          <cell r="V202">
            <v>739</v>
          </cell>
          <cell r="X202">
            <v>0</v>
          </cell>
        </row>
        <row r="203">
          <cell r="B203">
            <v>30420</v>
          </cell>
          <cell r="C203" t="str">
            <v>Sumake</v>
          </cell>
          <cell r="D203" t="str">
            <v>Пневматика</v>
          </cell>
          <cell r="E203" t="str">
            <v>Расходник</v>
          </cell>
          <cell r="G203" t="str">
            <v>Шпилька Р0,6-25 25мм для Р0,6/25-30  10000шт. 0,64х0,64х25</v>
          </cell>
          <cell r="I203" t="str">
            <v>0,64х0,64</v>
          </cell>
          <cell r="J203">
            <v>25</v>
          </cell>
          <cell r="K203">
            <v>10000</v>
          </cell>
          <cell r="L203" t="str">
            <v>гладкий</v>
          </cell>
          <cell r="S203">
            <v>800</v>
          </cell>
          <cell r="T203">
            <v>998</v>
          </cell>
          <cell r="U203" t="str">
            <v>+</v>
          </cell>
          <cell r="V203">
            <v>800</v>
          </cell>
          <cell r="X203">
            <v>0</v>
          </cell>
        </row>
        <row r="204">
          <cell r="B204">
            <v>30421</v>
          </cell>
          <cell r="C204" t="str">
            <v>Sumake</v>
          </cell>
          <cell r="D204" t="str">
            <v>Пневматика</v>
          </cell>
          <cell r="E204" t="str">
            <v>Расходник</v>
          </cell>
          <cell r="G204" t="str">
            <v>Шпилька Р0,6-30 30мм для Р0,6/30 10000шт. 0,64х0,64х30</v>
          </cell>
          <cell r="I204" t="str">
            <v>0,64х0,64</v>
          </cell>
          <cell r="J204">
            <v>30</v>
          </cell>
          <cell r="K204">
            <v>10000</v>
          </cell>
          <cell r="L204" t="str">
            <v>гладкгладкийий</v>
          </cell>
          <cell r="S204">
            <v>955</v>
          </cell>
          <cell r="T204">
            <v>1194</v>
          </cell>
          <cell r="U204" t="str">
            <v>+</v>
          </cell>
          <cell r="V204">
            <v>955</v>
          </cell>
          <cell r="X204">
            <v>0</v>
          </cell>
        </row>
        <row r="205">
          <cell r="B205">
            <v>8106490</v>
          </cell>
          <cell r="C205" t="str">
            <v>Sumake</v>
          </cell>
          <cell r="D205" t="str">
            <v>Пневматика</v>
          </cell>
          <cell r="E205" t="str">
            <v>Расходник</v>
          </cell>
          <cell r="G205" t="str">
            <v>Шпилька P0.6-35 для P0.6/50,P0.6/50C  0,64x0,64 10000шт</v>
          </cell>
          <cell r="I205" t="str">
            <v>0,64х0,64</v>
          </cell>
          <cell r="J205">
            <v>35</v>
          </cell>
          <cell r="K205">
            <v>10000</v>
          </cell>
          <cell r="L205" t="str">
            <v>гладкий</v>
          </cell>
          <cell r="S205">
            <v>950</v>
          </cell>
          <cell r="T205">
            <v>1186</v>
          </cell>
          <cell r="U205" t="str">
            <v>+</v>
          </cell>
          <cell r="V205">
            <v>950</v>
          </cell>
          <cell r="X205">
            <v>0</v>
          </cell>
        </row>
        <row r="206">
          <cell r="B206">
            <v>8106430</v>
          </cell>
          <cell r="C206" t="str">
            <v>Sumake</v>
          </cell>
          <cell r="D206" t="str">
            <v>Пневматика</v>
          </cell>
          <cell r="E206" t="str">
            <v>Расходник</v>
          </cell>
          <cell r="G206" t="str">
            <v>Гвоздь P0.6-25-H для P0.6/30C,P0.6/50C  0,64x0,64 9600шт/уп</v>
          </cell>
          <cell r="I206" t="str">
            <v>0,64х0,64</v>
          </cell>
          <cell r="J206">
            <v>25</v>
          </cell>
          <cell r="K206">
            <v>9600</v>
          </cell>
          <cell r="L206" t="str">
            <v>гладкий</v>
          </cell>
          <cell r="S206">
            <v>865</v>
          </cell>
          <cell r="T206">
            <v>1080</v>
          </cell>
          <cell r="U206" t="str">
            <v>-</v>
          </cell>
          <cell r="V206">
            <v>865</v>
          </cell>
          <cell r="X206">
            <v>0</v>
          </cell>
        </row>
        <row r="207">
          <cell r="B207">
            <v>8106440</v>
          </cell>
          <cell r="C207" t="str">
            <v>Sumake</v>
          </cell>
          <cell r="D207" t="str">
            <v>Пневматика</v>
          </cell>
          <cell r="E207" t="str">
            <v>Расходник</v>
          </cell>
          <cell r="G207" t="str">
            <v>Гвоздь P0.6-30-H для P0.6/30C,P0.6/50C  0,64x0,64 9600шт/уп</v>
          </cell>
          <cell r="I207" t="str">
            <v>0,64х0,64</v>
          </cell>
          <cell r="J207">
            <v>30</v>
          </cell>
          <cell r="K207">
            <v>9600</v>
          </cell>
          <cell r="L207" t="str">
            <v>гладкий</v>
          </cell>
          <cell r="S207">
            <v>965</v>
          </cell>
          <cell r="T207">
            <v>1207</v>
          </cell>
          <cell r="U207" t="str">
            <v>-</v>
          </cell>
          <cell r="V207">
            <v>965</v>
          </cell>
          <cell r="X207" t="e">
            <v>#REF!</v>
          </cell>
        </row>
        <row r="208">
          <cell r="B208">
            <v>881140</v>
          </cell>
          <cell r="C208" t="str">
            <v>Sumake</v>
          </cell>
          <cell r="D208" t="str">
            <v>Пневматика</v>
          </cell>
          <cell r="E208" t="str">
            <v>Расходник</v>
          </cell>
          <cell r="G208" t="str">
            <v>Скоба SN-25 для N-50, 20000шт. (25мм 11,1х1,4х1,6)</v>
          </cell>
          <cell r="I208" t="str">
            <v>1х1,4</v>
          </cell>
          <cell r="J208">
            <v>25</v>
          </cell>
          <cell r="K208">
            <v>20000</v>
          </cell>
          <cell r="S208">
            <v>10028</v>
          </cell>
          <cell r="T208">
            <v>12535</v>
          </cell>
          <cell r="U208" t="str">
            <v>-</v>
          </cell>
          <cell r="V208">
            <v>10028</v>
          </cell>
          <cell r="X208">
            <v>0</v>
          </cell>
        </row>
        <row r="209">
          <cell r="B209">
            <v>881160</v>
          </cell>
          <cell r="C209" t="str">
            <v>Sumake</v>
          </cell>
          <cell r="D209" t="str">
            <v>Пневматика</v>
          </cell>
          <cell r="E209" t="str">
            <v>Расходник</v>
          </cell>
          <cell r="G209" t="str">
            <v>Скоба SN-38 для N-50, 20000шт. (38мм 11,1х1,4х1,6)</v>
          </cell>
          <cell r="I209" t="str">
            <v>1х1,4</v>
          </cell>
          <cell r="J209">
            <v>38</v>
          </cell>
          <cell r="K209">
            <v>20000</v>
          </cell>
          <cell r="S209">
            <v>13810</v>
          </cell>
          <cell r="T209">
            <v>17264</v>
          </cell>
          <cell r="U209" t="str">
            <v>-</v>
          </cell>
          <cell r="V209">
            <v>13810</v>
          </cell>
          <cell r="X209">
            <v>0</v>
          </cell>
        </row>
        <row r="210">
          <cell r="B210">
            <v>3634450</v>
          </cell>
          <cell r="C210" t="str">
            <v>Sumake</v>
          </cell>
          <cell r="D210" t="str">
            <v>Пневматика</v>
          </cell>
          <cell r="E210" t="str">
            <v>Расходник</v>
          </cell>
          <cell r="G210" t="str">
            <v>Скоба P-38 38мм для P-40 10000шт. 1,4х1,6х26,5</v>
          </cell>
          <cell r="I210" t="str">
            <v>1,4х1,6</v>
          </cell>
          <cell r="J210">
            <v>40</v>
          </cell>
          <cell r="K210">
            <v>10000</v>
          </cell>
          <cell r="S210">
            <v>9268</v>
          </cell>
          <cell r="T210">
            <v>11584</v>
          </cell>
          <cell r="U210" t="str">
            <v>-</v>
          </cell>
          <cell r="V210">
            <v>9268</v>
          </cell>
          <cell r="X210">
            <v>0</v>
          </cell>
        </row>
        <row r="211">
          <cell r="B211">
            <v>31888</v>
          </cell>
          <cell r="C211" t="str">
            <v>Sumake</v>
          </cell>
          <cell r="D211" t="str">
            <v>Пневматика</v>
          </cell>
          <cell r="E211" t="str">
            <v>Расходник</v>
          </cell>
          <cell r="G211" t="str">
            <v>Скоба K-413 для 90/25 13mm 5.8х1х1.25мм ,5000 шт/уп</v>
          </cell>
          <cell r="I211" t="str">
            <v>1х1,25</v>
          </cell>
          <cell r="J211">
            <v>13</v>
          </cell>
          <cell r="K211">
            <v>5000</v>
          </cell>
          <cell r="S211">
            <v>865</v>
          </cell>
          <cell r="T211">
            <v>1080</v>
          </cell>
          <cell r="U211" t="str">
            <v>-</v>
          </cell>
          <cell r="V211">
            <v>865</v>
          </cell>
          <cell r="X211">
            <v>0</v>
          </cell>
        </row>
        <row r="212">
          <cell r="B212">
            <v>31890</v>
          </cell>
          <cell r="C212" t="str">
            <v>Sumake</v>
          </cell>
          <cell r="D212" t="str">
            <v>Пневматика</v>
          </cell>
          <cell r="E212" t="str">
            <v>Расходник</v>
          </cell>
          <cell r="G212" t="str">
            <v>Скоба K-419 для 90/25;90/40 19mm 5.8х1х1.25мм ,5000 шт/уп</v>
          </cell>
          <cell r="I212" t="str">
            <v>1х1,25</v>
          </cell>
          <cell r="J212">
            <v>19</v>
          </cell>
          <cell r="K212">
            <v>5000</v>
          </cell>
          <cell r="S212">
            <v>1140</v>
          </cell>
          <cell r="T212">
            <v>1425</v>
          </cell>
          <cell r="U212" t="str">
            <v>-</v>
          </cell>
          <cell r="V212">
            <v>1140</v>
          </cell>
          <cell r="X212">
            <v>0</v>
          </cell>
        </row>
        <row r="213">
          <cell r="B213">
            <v>31891</v>
          </cell>
          <cell r="C213" t="str">
            <v>Sumake</v>
          </cell>
          <cell r="D213" t="str">
            <v>Пневматика</v>
          </cell>
          <cell r="E213" t="str">
            <v>Расходник</v>
          </cell>
          <cell r="G213" t="str">
            <v>Скоба K-422 для 90/25;90/40 22mm 5.8х1х1.25мм ,5000 шт/уп</v>
          </cell>
          <cell r="I213" t="str">
            <v>1х1,25</v>
          </cell>
          <cell r="J213">
            <v>22</v>
          </cell>
          <cell r="K213">
            <v>5000</v>
          </cell>
          <cell r="S213">
            <v>1217</v>
          </cell>
          <cell r="T213">
            <v>1521</v>
          </cell>
          <cell r="U213" t="str">
            <v>+</v>
          </cell>
          <cell r="V213">
            <v>1217</v>
          </cell>
          <cell r="X213">
            <v>0</v>
          </cell>
        </row>
        <row r="214">
          <cell r="B214">
            <v>31892</v>
          </cell>
          <cell r="C214" t="str">
            <v>Sumake</v>
          </cell>
          <cell r="D214" t="str">
            <v>Пневматика</v>
          </cell>
          <cell r="E214" t="str">
            <v>Расходник</v>
          </cell>
          <cell r="G214" t="str">
            <v>Скоба K-425 для 90/25;90/40 25mm 5.8х1х1.25мм ,5000 шт/уп</v>
          </cell>
          <cell r="I214" t="str">
            <v>1х1,25</v>
          </cell>
          <cell r="J214">
            <v>25</v>
          </cell>
          <cell r="K214">
            <v>5000</v>
          </cell>
          <cell r="S214">
            <v>1529</v>
          </cell>
          <cell r="T214">
            <v>1911</v>
          </cell>
          <cell r="U214" t="str">
            <v>+</v>
          </cell>
          <cell r="V214">
            <v>1529</v>
          </cell>
          <cell r="X214">
            <v>0</v>
          </cell>
        </row>
        <row r="215">
          <cell r="B215">
            <v>31894</v>
          </cell>
          <cell r="C215" t="str">
            <v>Sumake</v>
          </cell>
          <cell r="D215" t="str">
            <v>Пневматика</v>
          </cell>
          <cell r="E215" t="str">
            <v>Расходник</v>
          </cell>
          <cell r="G215" t="str">
            <v>Скоба K-428 для 90/40 28mm 5.8х1х1.25мм ,5000 шт/уп</v>
          </cell>
          <cell r="I215" t="str">
            <v>1х1,25</v>
          </cell>
          <cell r="J215">
            <v>28</v>
          </cell>
          <cell r="K215">
            <v>5000</v>
          </cell>
          <cell r="S215">
            <v>1548</v>
          </cell>
          <cell r="T215">
            <v>1936</v>
          </cell>
          <cell r="U215" t="str">
            <v>+</v>
          </cell>
          <cell r="V215">
            <v>1548</v>
          </cell>
          <cell r="X215">
            <v>0</v>
          </cell>
        </row>
        <row r="216">
          <cell r="B216">
            <v>31895</v>
          </cell>
          <cell r="C216" t="str">
            <v>Sumake</v>
          </cell>
          <cell r="D216" t="str">
            <v>Пневматика</v>
          </cell>
          <cell r="E216" t="str">
            <v>Расходник</v>
          </cell>
          <cell r="G216" t="str">
            <v>Скоба K-432 для 90/40 32mm 5.8х1х1.25мм ,5000 шт/уп</v>
          </cell>
          <cell r="I216" t="str">
            <v>1х1,25</v>
          </cell>
          <cell r="J216">
            <v>32</v>
          </cell>
          <cell r="K216">
            <v>5000</v>
          </cell>
          <cell r="S216">
            <v>1835</v>
          </cell>
          <cell r="T216">
            <v>2294</v>
          </cell>
          <cell r="U216" t="str">
            <v>+</v>
          </cell>
          <cell r="V216">
            <v>1835</v>
          </cell>
          <cell r="X216">
            <v>0</v>
          </cell>
        </row>
        <row r="217">
          <cell r="B217">
            <v>30423</v>
          </cell>
          <cell r="C217" t="str">
            <v>Sumake</v>
          </cell>
          <cell r="D217" t="str">
            <v>Пневматика</v>
          </cell>
          <cell r="E217" t="str">
            <v>Расходник</v>
          </cell>
          <cell r="G217" t="str">
            <v>Скоба 80-10 для 80/16 и 80/25  5000шт. 10мм 12,9х0,65х0,95</v>
          </cell>
          <cell r="I217" t="str">
            <v>1х1,25</v>
          </cell>
          <cell r="J217">
            <v>10</v>
          </cell>
          <cell r="K217">
            <v>5000</v>
          </cell>
          <cell r="S217">
            <v>534</v>
          </cell>
          <cell r="T217">
            <v>665</v>
          </cell>
          <cell r="U217" t="str">
            <v>+</v>
          </cell>
          <cell r="V217">
            <v>534</v>
          </cell>
          <cell r="X217">
            <v>0</v>
          </cell>
        </row>
        <row r="218">
          <cell r="B218">
            <v>30424</v>
          </cell>
          <cell r="C218" t="str">
            <v>Sumake</v>
          </cell>
          <cell r="D218" t="str">
            <v>Пневматика</v>
          </cell>
          <cell r="E218" t="str">
            <v>Расходник</v>
          </cell>
          <cell r="G218" t="str">
            <v>Скоба 80-12 для 80/16 и 80/25  5000шт. 12мм 12,9х0,65х0,95</v>
          </cell>
          <cell r="I218" t="str">
            <v>0,65х0,95</v>
          </cell>
          <cell r="J218">
            <v>12</v>
          </cell>
          <cell r="K218">
            <v>5000</v>
          </cell>
          <cell r="S218">
            <v>606</v>
          </cell>
          <cell r="T218">
            <v>758</v>
          </cell>
          <cell r="U218" t="str">
            <v>+</v>
          </cell>
          <cell r="V218">
            <v>606</v>
          </cell>
          <cell r="X218">
            <v>0</v>
          </cell>
        </row>
        <row r="219">
          <cell r="B219">
            <v>30426</v>
          </cell>
          <cell r="C219" t="str">
            <v>Sumake</v>
          </cell>
          <cell r="D219" t="str">
            <v>Пневматика</v>
          </cell>
          <cell r="E219" t="str">
            <v>Расходник</v>
          </cell>
          <cell r="G219" t="str">
            <v>Скоба 80-14 для 80/16 и 80/25  5000шт. 14мм 12,9х0,65х0,95</v>
          </cell>
          <cell r="I219" t="str">
            <v>0,65х0,95</v>
          </cell>
          <cell r="J219">
            <v>14</v>
          </cell>
          <cell r="K219">
            <v>5000</v>
          </cell>
          <cell r="S219">
            <v>650</v>
          </cell>
          <cell r="T219">
            <v>812</v>
          </cell>
          <cell r="U219" t="str">
            <v>+</v>
          </cell>
          <cell r="V219">
            <v>650</v>
          </cell>
          <cell r="X219">
            <v>0</v>
          </cell>
        </row>
        <row r="220">
          <cell r="B220">
            <v>30427</v>
          </cell>
          <cell r="C220" t="str">
            <v>Sumake</v>
          </cell>
          <cell r="D220" t="str">
            <v>Пневматика</v>
          </cell>
          <cell r="E220" t="str">
            <v>Расходник</v>
          </cell>
          <cell r="G220" t="str">
            <v>Скоба 80-16 для 80/16 и 80/25  5000шт. 16мм 12,9х0,65х0,95</v>
          </cell>
          <cell r="I220" t="str">
            <v>0,65х0,95</v>
          </cell>
          <cell r="J220">
            <v>16</v>
          </cell>
          <cell r="K220">
            <v>5000</v>
          </cell>
          <cell r="S220">
            <v>721</v>
          </cell>
          <cell r="T220">
            <v>899</v>
          </cell>
          <cell r="U220" t="str">
            <v>+</v>
          </cell>
          <cell r="V220">
            <v>721</v>
          </cell>
          <cell r="X220">
            <v>0</v>
          </cell>
        </row>
        <row r="221">
          <cell r="B221">
            <v>30428</v>
          </cell>
          <cell r="C221" t="str">
            <v>Sumake</v>
          </cell>
          <cell r="D221" t="str">
            <v>Пневматика</v>
          </cell>
          <cell r="E221" t="str">
            <v>Расходник</v>
          </cell>
          <cell r="G221" t="str">
            <v>Скоба 80-19 для 80/25  5000шт. 19мм 12,9х0,65х0,95</v>
          </cell>
          <cell r="I221" t="str">
            <v>0,65х0,95</v>
          </cell>
          <cell r="J221">
            <v>19</v>
          </cell>
          <cell r="K221">
            <v>5000</v>
          </cell>
          <cell r="S221">
            <v>846</v>
          </cell>
          <cell r="T221">
            <v>1057</v>
          </cell>
          <cell r="U221" t="str">
            <v>-</v>
          </cell>
          <cell r="V221">
            <v>846</v>
          </cell>
          <cell r="X221">
            <v>0</v>
          </cell>
        </row>
        <row r="222">
          <cell r="B222">
            <v>31385</v>
          </cell>
          <cell r="C222" t="str">
            <v>Sumake</v>
          </cell>
          <cell r="D222" t="str">
            <v>Пневматика</v>
          </cell>
          <cell r="E222" t="str">
            <v>Расходник</v>
          </cell>
          <cell r="G222" t="str">
            <v>Скоба 80-22 для 80/25  5000шт. 22мм 12,9х0,65х0,95</v>
          </cell>
          <cell r="I222" t="str">
            <v>0,65х0,95</v>
          </cell>
          <cell r="J222">
            <v>22</v>
          </cell>
          <cell r="K222">
            <v>5000</v>
          </cell>
          <cell r="S222">
            <v>933</v>
          </cell>
          <cell r="T222">
            <v>1166</v>
          </cell>
          <cell r="U222" t="str">
            <v>-</v>
          </cell>
          <cell r="V222">
            <v>933</v>
          </cell>
          <cell r="X222">
            <v>0</v>
          </cell>
        </row>
        <row r="223">
          <cell r="B223">
            <v>7024630</v>
          </cell>
          <cell r="C223" t="str">
            <v>Sumake</v>
          </cell>
          <cell r="D223" t="str">
            <v>Пневматика</v>
          </cell>
          <cell r="E223" t="str">
            <v>Расходник</v>
          </cell>
          <cell r="G223" t="str">
            <v>Скоба 80-25 для 80/25  2500шт. 25мм 12,9х0,65х0,95</v>
          </cell>
          <cell r="I223" t="str">
            <v>0,65х0,95</v>
          </cell>
          <cell r="J223">
            <v>25</v>
          </cell>
          <cell r="K223">
            <v>2500</v>
          </cell>
          <cell r="S223">
            <v>569</v>
          </cell>
          <cell r="T223">
            <v>709</v>
          </cell>
          <cell r="U223" t="str">
            <v>+</v>
          </cell>
          <cell r="V223">
            <v>569</v>
          </cell>
          <cell r="X223">
            <v>0</v>
          </cell>
        </row>
        <row r="224">
          <cell r="B224">
            <v>30448</v>
          </cell>
          <cell r="C224" t="str">
            <v>Sumake</v>
          </cell>
          <cell r="D224" t="str">
            <v>Пневматика</v>
          </cell>
          <cell r="E224" t="str">
            <v>Расходник</v>
          </cell>
          <cell r="G224" t="str">
            <v>Скоба 3515 для CS-35A и HCS-35A 2000шт/уп  35х15мм .</v>
          </cell>
          <cell r="I224" t="str">
            <v>0,65х0,95</v>
          </cell>
          <cell r="J224">
            <v>15</v>
          </cell>
          <cell r="K224">
            <v>2000</v>
          </cell>
          <cell r="S224">
            <v>766</v>
          </cell>
          <cell r="T224">
            <v>956</v>
          </cell>
          <cell r="U224" t="str">
            <v>-</v>
          </cell>
          <cell r="V224">
            <v>766</v>
          </cell>
          <cell r="X224">
            <v>0</v>
          </cell>
        </row>
        <row r="225">
          <cell r="B225">
            <v>30449</v>
          </cell>
          <cell r="C225" t="str">
            <v>Sumake</v>
          </cell>
          <cell r="D225" t="str">
            <v>Пневматика</v>
          </cell>
          <cell r="E225" t="str">
            <v>Расходник</v>
          </cell>
          <cell r="G225" t="str">
            <v>Скоба 3518 для CS-35A и HCS-35A 1600шт/уп. 35х18мм</v>
          </cell>
          <cell r="I225" t="str">
            <v>0,65х0,95</v>
          </cell>
          <cell r="J225">
            <v>18</v>
          </cell>
          <cell r="K225">
            <v>1600</v>
          </cell>
          <cell r="S225">
            <v>766</v>
          </cell>
          <cell r="T225">
            <v>956</v>
          </cell>
          <cell r="U225" t="str">
            <v>-</v>
          </cell>
          <cell r="V225">
            <v>766</v>
          </cell>
        </row>
        <row r="226">
          <cell r="B226" t="str">
            <v>Код</v>
          </cell>
          <cell r="C226" t="str">
            <v>Бренд</v>
          </cell>
          <cell r="D226" t="str">
            <v>Пневматика</v>
          </cell>
          <cell r="E226" t="str">
            <v>Группа</v>
          </cell>
          <cell r="G226" t="str">
            <v>Наименование</v>
          </cell>
          <cell r="I226" t="str">
            <v>Материал</v>
          </cell>
          <cell r="P226" t="str">
            <v>Входной
диаметр 
(Дюйм)</v>
          </cell>
          <cell r="S226" t="str">
            <v>Опт</v>
          </cell>
          <cell r="T226" t="str">
            <v>Рек. Розница</v>
          </cell>
        </row>
        <row r="227">
          <cell r="B227">
            <v>35155</v>
          </cell>
          <cell r="C227" t="str">
            <v>Sumake</v>
          </cell>
          <cell r="D227" t="str">
            <v>Пневматика</v>
          </cell>
          <cell r="E227" t="str">
            <v>Аксессуар</v>
          </cell>
          <cell r="F227" t="str">
            <v>Лубрикатор</v>
          </cell>
          <cell r="G227" t="str">
            <v>Пневмолубрикатор SA-3330 3/8 Латунь</v>
          </cell>
          <cell r="H227" t="str">
            <v>REG</v>
          </cell>
          <cell r="I227" t="str">
            <v>Латунь</v>
          </cell>
          <cell r="P227" t="str">
            <v>3/4</v>
          </cell>
          <cell r="S227">
            <v>758</v>
          </cell>
          <cell r="T227">
            <v>947</v>
          </cell>
          <cell r="U227" t="str">
            <v>-</v>
          </cell>
          <cell r="V227">
            <v>758</v>
          </cell>
          <cell r="X227">
            <v>0</v>
          </cell>
        </row>
        <row r="228">
          <cell r="B228">
            <v>30367</v>
          </cell>
          <cell r="C228" t="str">
            <v>Sumake</v>
          </cell>
          <cell r="D228" t="str">
            <v>Пневматика</v>
          </cell>
          <cell r="E228" t="str">
            <v>Аксессуар</v>
          </cell>
          <cell r="F228" t="str">
            <v>Лубрикатор</v>
          </cell>
          <cell r="G228" t="str">
            <v>Пневмолубрикатор SA-3340 1/4 Латунь</v>
          </cell>
          <cell r="H228" t="str">
            <v>REG</v>
          </cell>
          <cell r="I228" t="str">
            <v>Латунь</v>
          </cell>
          <cell r="P228" t="str">
            <v>1/4</v>
          </cell>
          <cell r="S228">
            <v>457</v>
          </cell>
          <cell r="T228">
            <v>572</v>
          </cell>
          <cell r="U228" t="str">
            <v>+</v>
          </cell>
          <cell r="V228">
            <v>457</v>
          </cell>
          <cell r="X228">
            <v>0</v>
          </cell>
        </row>
        <row r="229">
          <cell r="B229">
            <v>30368</v>
          </cell>
          <cell r="C229" t="str">
            <v>Sumake</v>
          </cell>
          <cell r="D229" t="str">
            <v>Пневматика</v>
          </cell>
          <cell r="E229" t="str">
            <v>Аксессуар</v>
          </cell>
          <cell r="F229" t="str">
            <v>Лубрикатор</v>
          </cell>
          <cell r="G229" t="str">
            <v>Пневмолубрикатор SA-3340A 1/4 Алюминий</v>
          </cell>
          <cell r="H229" t="str">
            <v>REG</v>
          </cell>
          <cell r="I229" t="str">
            <v>Алюминий</v>
          </cell>
          <cell r="P229" t="str">
            <v>1/4</v>
          </cell>
          <cell r="S229">
            <v>739</v>
          </cell>
          <cell r="T229">
            <v>924</v>
          </cell>
          <cell r="U229" t="str">
            <v>+</v>
          </cell>
          <cell r="V229">
            <v>739</v>
          </cell>
        </row>
        <row r="230">
          <cell r="B230" t="str">
            <v>Код</v>
          </cell>
          <cell r="C230" t="str">
            <v>Бренд</v>
          </cell>
          <cell r="G230" t="str">
            <v>Наименование</v>
          </cell>
          <cell r="I230" t="str">
            <v>Длина</v>
          </cell>
          <cell r="J230" t="str">
            <v>Сечение
проволки</v>
          </cell>
          <cell r="K230" t="str">
            <v>Штук в упаковке</v>
          </cell>
          <cell r="O230" t="str">
            <v>другие тех описания</v>
          </cell>
          <cell r="S230" t="str">
            <v>Опт</v>
          </cell>
          <cell r="T230" t="str">
            <v>Рек. Розница</v>
          </cell>
        </row>
        <row r="231">
          <cell r="B231">
            <v>8142640</v>
          </cell>
          <cell r="C231" t="str">
            <v>Garage</v>
          </cell>
          <cell r="G231" t="str">
            <v>Гвоздь Garage F-15(1х1,25х15мм) 5000шт/упак.</v>
          </cell>
          <cell r="I231">
            <v>15</v>
          </cell>
          <cell r="J231" t="str">
            <v>1х1,25</v>
          </cell>
          <cell r="K231">
            <v>5000</v>
          </cell>
          <cell r="S231">
            <v>211</v>
          </cell>
          <cell r="T231">
            <v>264</v>
          </cell>
          <cell r="U231" t="str">
            <v>+</v>
          </cell>
          <cell r="V231">
            <v>211</v>
          </cell>
          <cell r="X231">
            <v>0</v>
          </cell>
        </row>
        <row r="232">
          <cell r="B232">
            <v>8142650</v>
          </cell>
          <cell r="C232" t="str">
            <v>Garage</v>
          </cell>
          <cell r="G232" t="str">
            <v>Гвоздь Garage F-20(1х1,25х20мм) 5000шт/упак.</v>
          </cell>
          <cell r="I232">
            <v>20</v>
          </cell>
          <cell r="J232" t="str">
            <v>1х1,25</v>
          </cell>
          <cell r="K232">
            <v>5000</v>
          </cell>
          <cell r="S232">
            <v>273</v>
          </cell>
          <cell r="T232">
            <v>341</v>
          </cell>
          <cell r="U232" t="str">
            <v>+</v>
          </cell>
          <cell r="V232">
            <v>273</v>
          </cell>
          <cell r="X232">
            <v>0</v>
          </cell>
        </row>
        <row r="233">
          <cell r="B233">
            <v>8142660</v>
          </cell>
          <cell r="C233" t="str">
            <v>Garage</v>
          </cell>
          <cell r="G233" t="str">
            <v>Гвоздь Garage F-25(1х1,25х25мм) 5000шт/упак.</v>
          </cell>
          <cell r="I233">
            <v>25</v>
          </cell>
          <cell r="J233" t="str">
            <v>1х1,25</v>
          </cell>
          <cell r="K233">
            <v>5000</v>
          </cell>
          <cell r="S233">
            <v>333</v>
          </cell>
          <cell r="T233">
            <v>416</v>
          </cell>
          <cell r="U233" t="str">
            <v>+</v>
          </cell>
          <cell r="V233">
            <v>333</v>
          </cell>
          <cell r="X233">
            <v>0</v>
          </cell>
        </row>
        <row r="234">
          <cell r="B234">
            <v>8142670</v>
          </cell>
          <cell r="C234" t="str">
            <v>Garage</v>
          </cell>
          <cell r="G234" t="str">
            <v>Гвоздь Garage F-30(1х1,25х30мм) 5000шт/упак.</v>
          </cell>
          <cell r="I234">
            <v>30</v>
          </cell>
          <cell r="J234" t="str">
            <v>1х1,25</v>
          </cell>
          <cell r="K234">
            <v>5000</v>
          </cell>
          <cell r="S234">
            <v>395</v>
          </cell>
          <cell r="T234">
            <v>493</v>
          </cell>
          <cell r="U234" t="str">
            <v>+</v>
          </cell>
          <cell r="V234">
            <v>395</v>
          </cell>
          <cell r="X234">
            <v>0</v>
          </cell>
        </row>
        <row r="235">
          <cell r="B235">
            <v>8142680</v>
          </cell>
          <cell r="C235" t="str">
            <v>Garage</v>
          </cell>
          <cell r="G235" t="str">
            <v>Гвоздь Garage F-35(1х1,25х35мм) 5000шт/упак.</v>
          </cell>
          <cell r="I235">
            <v>35</v>
          </cell>
          <cell r="J235" t="str">
            <v>1х1,25</v>
          </cell>
          <cell r="K235">
            <v>5000</v>
          </cell>
          <cell r="S235">
            <v>471</v>
          </cell>
          <cell r="T235">
            <v>588</v>
          </cell>
          <cell r="U235" t="str">
            <v>+</v>
          </cell>
          <cell r="V235">
            <v>471</v>
          </cell>
          <cell r="X235">
            <v>0</v>
          </cell>
        </row>
        <row r="236">
          <cell r="B236">
            <v>8142690</v>
          </cell>
          <cell r="C236" t="str">
            <v>Garage</v>
          </cell>
          <cell r="G236" t="str">
            <v>Гвоздь Garage F-40(1х1,25х40мм) 5000шт/упак.</v>
          </cell>
          <cell r="I236">
            <v>40</v>
          </cell>
          <cell r="J236" t="str">
            <v>1х1,25</v>
          </cell>
          <cell r="K236">
            <v>5000</v>
          </cell>
          <cell r="S236">
            <v>540</v>
          </cell>
          <cell r="T236">
            <v>675</v>
          </cell>
          <cell r="U236" t="str">
            <v>+</v>
          </cell>
          <cell r="V236">
            <v>540</v>
          </cell>
          <cell r="X236">
            <v>0</v>
          </cell>
        </row>
        <row r="237">
          <cell r="B237">
            <v>8142700</v>
          </cell>
          <cell r="C237" t="str">
            <v>Garage</v>
          </cell>
          <cell r="G237" t="str">
            <v>Гвоздь Garage F-45(1х1,25х45мм) 5000шт/упак.</v>
          </cell>
          <cell r="I237">
            <v>45</v>
          </cell>
          <cell r="J237" t="str">
            <v>1х1,25</v>
          </cell>
          <cell r="K237">
            <v>5000</v>
          </cell>
          <cell r="S237">
            <v>586</v>
          </cell>
          <cell r="T237">
            <v>732</v>
          </cell>
          <cell r="U237" t="str">
            <v>+</v>
          </cell>
          <cell r="V237">
            <v>586</v>
          </cell>
          <cell r="X237">
            <v>0</v>
          </cell>
        </row>
        <row r="238">
          <cell r="B238">
            <v>8142710</v>
          </cell>
          <cell r="C238" t="str">
            <v>Garage</v>
          </cell>
          <cell r="G238" t="str">
            <v>Гвоздь Garage F-50(1х1,25х50мм) 5000шт/упак.</v>
          </cell>
          <cell r="I238">
            <v>50</v>
          </cell>
          <cell r="J238" t="str">
            <v>1х1,25</v>
          </cell>
          <cell r="K238">
            <v>5000</v>
          </cell>
          <cell r="S238">
            <v>658</v>
          </cell>
          <cell r="T238">
            <v>823</v>
          </cell>
          <cell r="U238" t="str">
            <v>+</v>
          </cell>
          <cell r="V238">
            <v>658</v>
          </cell>
          <cell r="X238">
            <v>0</v>
          </cell>
        </row>
        <row r="239">
          <cell r="B239">
            <v>8142720</v>
          </cell>
          <cell r="C239" t="str">
            <v>Garage</v>
          </cell>
          <cell r="G239" t="str">
            <v>Скоба Garage 80-06(1х1,25х6мм) 10000шт/упак.</v>
          </cell>
          <cell r="I239">
            <v>6</v>
          </cell>
          <cell r="J239" t="str">
            <v>1х1,25</v>
          </cell>
          <cell r="K239">
            <v>10000</v>
          </cell>
          <cell r="S239">
            <v>288</v>
          </cell>
          <cell r="T239">
            <v>360</v>
          </cell>
          <cell r="U239" t="str">
            <v>+</v>
          </cell>
          <cell r="V239">
            <v>288</v>
          </cell>
          <cell r="X239">
            <v>0</v>
          </cell>
        </row>
        <row r="240">
          <cell r="B240">
            <v>8142730</v>
          </cell>
          <cell r="C240" t="str">
            <v>Garage</v>
          </cell>
          <cell r="G240" t="str">
            <v>Скоба Garage 80-08(1х1,25х8мм) 10000шт/упак.</v>
          </cell>
          <cell r="I240">
            <v>8</v>
          </cell>
          <cell r="J240" t="str">
            <v>1х1,25</v>
          </cell>
          <cell r="K240">
            <v>10000</v>
          </cell>
          <cell r="S240">
            <v>344</v>
          </cell>
          <cell r="T240">
            <v>430</v>
          </cell>
          <cell r="U240" t="str">
            <v>-</v>
          </cell>
          <cell r="V240">
            <v>344</v>
          </cell>
          <cell r="X240">
            <v>0</v>
          </cell>
        </row>
        <row r="241">
          <cell r="B241">
            <v>8142740</v>
          </cell>
          <cell r="C241" t="str">
            <v>Garage</v>
          </cell>
          <cell r="G241" t="str">
            <v>Скоба Garage 80-10(1х1,25х10мм) 10000шт/упак.</v>
          </cell>
          <cell r="I241">
            <v>10</v>
          </cell>
          <cell r="J241" t="str">
            <v>1х1,25</v>
          </cell>
          <cell r="K241">
            <v>10000</v>
          </cell>
          <cell r="S241">
            <v>374</v>
          </cell>
          <cell r="T241">
            <v>467</v>
          </cell>
          <cell r="U241" t="str">
            <v>+</v>
          </cell>
          <cell r="V241">
            <v>374</v>
          </cell>
          <cell r="X241">
            <v>0</v>
          </cell>
        </row>
        <row r="242">
          <cell r="B242">
            <v>8142750</v>
          </cell>
          <cell r="C242" t="str">
            <v>Garage</v>
          </cell>
          <cell r="G242" t="str">
            <v>Скоба Garage 80-12(1х1,25х12мм) 10000шт/упак.</v>
          </cell>
          <cell r="I242">
            <v>12</v>
          </cell>
          <cell r="J242" t="str">
            <v>1х1,25</v>
          </cell>
          <cell r="K242">
            <v>10000</v>
          </cell>
          <cell r="S242">
            <v>438</v>
          </cell>
          <cell r="T242">
            <v>548</v>
          </cell>
          <cell r="U242" t="str">
            <v>-</v>
          </cell>
          <cell r="V242">
            <v>438</v>
          </cell>
          <cell r="X242">
            <v>0</v>
          </cell>
        </row>
        <row r="243">
          <cell r="B243">
            <v>8142760</v>
          </cell>
          <cell r="C243" t="str">
            <v>Garage</v>
          </cell>
          <cell r="G243" t="str">
            <v>Скоба Garage 80-14(1х1,25х14мм) 10000шт/упак.</v>
          </cell>
          <cell r="I243">
            <v>14</v>
          </cell>
          <cell r="J243" t="str">
            <v>1х1,25</v>
          </cell>
          <cell r="K243">
            <v>10000</v>
          </cell>
          <cell r="S243">
            <v>484</v>
          </cell>
          <cell r="T243">
            <v>605</v>
          </cell>
          <cell r="U243" t="str">
            <v>+</v>
          </cell>
          <cell r="V243">
            <v>484</v>
          </cell>
          <cell r="X243">
            <v>0</v>
          </cell>
        </row>
        <row r="244">
          <cell r="B244">
            <v>8142770</v>
          </cell>
          <cell r="C244" t="str">
            <v>Garage</v>
          </cell>
          <cell r="G244" t="str">
            <v>Скоба Garage 90-15(1х1,25х5,8х15мм) 5000шт/упак.</v>
          </cell>
          <cell r="I244">
            <v>15</v>
          </cell>
          <cell r="J244" t="str">
            <v>1х1,25</v>
          </cell>
          <cell r="K244">
            <v>5000</v>
          </cell>
          <cell r="S244">
            <v>408</v>
          </cell>
          <cell r="T244">
            <v>511</v>
          </cell>
          <cell r="U244" t="str">
            <v>+</v>
          </cell>
          <cell r="V244">
            <v>408</v>
          </cell>
          <cell r="X244">
            <v>0</v>
          </cell>
        </row>
        <row r="245">
          <cell r="B245">
            <v>8142780</v>
          </cell>
          <cell r="C245" t="str">
            <v>Garage</v>
          </cell>
          <cell r="G245" t="str">
            <v>Скоба Garage 90-20(1х1,25х5,8х20мм) 5000шт/упак.</v>
          </cell>
          <cell r="I245">
            <v>20</v>
          </cell>
          <cell r="J245" t="str">
            <v>1х1,25</v>
          </cell>
          <cell r="K245">
            <v>5000</v>
          </cell>
          <cell r="S245">
            <v>519</v>
          </cell>
          <cell r="T245">
            <v>649</v>
          </cell>
          <cell r="U245" t="str">
            <v>+</v>
          </cell>
          <cell r="V245">
            <v>519</v>
          </cell>
          <cell r="X245">
            <v>0</v>
          </cell>
        </row>
        <row r="246">
          <cell r="B246">
            <v>8142790</v>
          </cell>
          <cell r="C246" t="str">
            <v>Garage</v>
          </cell>
          <cell r="G246" t="str">
            <v>Скоба Garage 90-25(1х1,25х5,8х25мм) 5000шт/упак.</v>
          </cell>
          <cell r="I246">
            <v>25</v>
          </cell>
          <cell r="J246" t="str">
            <v>1х1,25</v>
          </cell>
          <cell r="K246">
            <v>5000</v>
          </cell>
          <cell r="S246">
            <v>628</v>
          </cell>
          <cell r="T246">
            <v>785</v>
          </cell>
          <cell r="U246" t="str">
            <v>+</v>
          </cell>
          <cell r="V246">
            <v>628</v>
          </cell>
          <cell r="X246">
            <v>0</v>
          </cell>
        </row>
        <row r="247">
          <cell r="B247">
            <v>8142800</v>
          </cell>
          <cell r="C247" t="str">
            <v>Garage</v>
          </cell>
          <cell r="G247" t="str">
            <v>Скоба Garage 90-30(1х1,25х5,8х30мм) 5000шт/упак.</v>
          </cell>
          <cell r="I247">
            <v>30</v>
          </cell>
          <cell r="J247" t="str">
            <v>1х1,25</v>
          </cell>
          <cell r="K247">
            <v>5000</v>
          </cell>
          <cell r="S247">
            <v>780</v>
          </cell>
          <cell r="T247">
            <v>975</v>
          </cell>
          <cell r="U247" t="str">
            <v>+</v>
          </cell>
          <cell r="V247">
            <v>780</v>
          </cell>
          <cell r="X247">
            <v>0</v>
          </cell>
        </row>
        <row r="248">
          <cell r="B248">
            <v>8142810</v>
          </cell>
          <cell r="C248" t="str">
            <v>Garage</v>
          </cell>
          <cell r="G248" t="str">
            <v>Скоба Garage 90-40(1х1,25х5,8х40мм) 5000шт/упак.</v>
          </cell>
          <cell r="I248">
            <v>40</v>
          </cell>
          <cell r="J248" t="str">
            <v>1х1,25</v>
          </cell>
          <cell r="K248">
            <v>5000</v>
          </cell>
          <cell r="S248">
            <v>1017</v>
          </cell>
          <cell r="T248">
            <v>1272</v>
          </cell>
          <cell r="U248" t="str">
            <v>+</v>
          </cell>
          <cell r="V248">
            <v>1017</v>
          </cell>
          <cell r="X248">
            <v>0</v>
          </cell>
        </row>
        <row r="249">
          <cell r="B249">
            <v>8142830</v>
          </cell>
          <cell r="C249" t="str">
            <v>Garage</v>
          </cell>
          <cell r="G249" t="str">
            <v>Шпилька Garage P0,6-10(0,64x0,64x10мм) 10000шт/упак.</v>
          </cell>
          <cell r="I249">
            <v>10</v>
          </cell>
          <cell r="J249" t="str">
            <v>0,64x0,64</v>
          </cell>
          <cell r="K249">
            <v>10000</v>
          </cell>
          <cell r="S249">
            <v>204</v>
          </cell>
          <cell r="T249">
            <v>255</v>
          </cell>
          <cell r="U249" t="str">
            <v>-</v>
          </cell>
          <cell r="V249">
            <v>204</v>
          </cell>
          <cell r="X249">
            <v>0</v>
          </cell>
        </row>
        <row r="250">
          <cell r="B250">
            <v>8142840</v>
          </cell>
          <cell r="C250" t="str">
            <v>Garage</v>
          </cell>
          <cell r="G250" t="str">
            <v>Шпилька Garage P0,6-12(0,64x0,64x12мм) 10000шт/упак.</v>
          </cell>
          <cell r="I250">
            <v>12</v>
          </cell>
          <cell r="J250" t="str">
            <v>0,64x0,64</v>
          </cell>
          <cell r="K250">
            <v>10000</v>
          </cell>
          <cell r="S250">
            <v>206</v>
          </cell>
          <cell r="T250">
            <v>257</v>
          </cell>
          <cell r="U250" t="str">
            <v>+</v>
          </cell>
          <cell r="V250">
            <v>206</v>
          </cell>
          <cell r="X250">
            <v>0</v>
          </cell>
        </row>
        <row r="251">
          <cell r="B251">
            <v>8142850</v>
          </cell>
          <cell r="C251" t="str">
            <v>Garage</v>
          </cell>
          <cell r="G251" t="str">
            <v>Шпилька Garage P0,6-15(0,64x0,64x15мм) 10000шт/упак.</v>
          </cell>
          <cell r="I251">
            <v>15</v>
          </cell>
          <cell r="J251" t="str">
            <v>0,64x0,64</v>
          </cell>
          <cell r="K251">
            <v>10000</v>
          </cell>
          <cell r="S251">
            <v>238</v>
          </cell>
          <cell r="T251">
            <v>298</v>
          </cell>
          <cell r="U251" t="str">
            <v>+</v>
          </cell>
          <cell r="V251">
            <v>238</v>
          </cell>
          <cell r="X251">
            <v>0</v>
          </cell>
        </row>
        <row r="252">
          <cell r="B252">
            <v>8142860</v>
          </cell>
          <cell r="C252" t="str">
            <v>Garage</v>
          </cell>
          <cell r="G252" t="str">
            <v>Шпилька Garage P0,6-18(0,64x0,64x18мм) 10000шт/упак.</v>
          </cell>
          <cell r="I252">
            <v>18</v>
          </cell>
          <cell r="J252" t="str">
            <v>0,64x0,64</v>
          </cell>
          <cell r="K252">
            <v>10000</v>
          </cell>
          <cell r="S252">
            <v>287</v>
          </cell>
          <cell r="T252">
            <v>359</v>
          </cell>
          <cell r="U252" t="str">
            <v>+</v>
          </cell>
          <cell r="V252">
            <v>287</v>
          </cell>
          <cell r="X252">
            <v>0</v>
          </cell>
        </row>
        <row r="253">
          <cell r="B253">
            <v>8142870</v>
          </cell>
          <cell r="C253" t="str">
            <v>Garage</v>
          </cell>
          <cell r="G253" t="str">
            <v>Шпилька Garage P0,6-20(0,64x0,64x20мм) 10000шт/упак.</v>
          </cell>
          <cell r="I253">
            <v>20</v>
          </cell>
          <cell r="J253" t="str">
            <v>0,64x0,64</v>
          </cell>
          <cell r="K253">
            <v>10000</v>
          </cell>
          <cell r="S253">
            <v>324</v>
          </cell>
          <cell r="T253">
            <v>405</v>
          </cell>
          <cell r="U253" t="str">
            <v>+</v>
          </cell>
          <cell r="V253">
            <v>324</v>
          </cell>
          <cell r="X253">
            <v>0</v>
          </cell>
        </row>
        <row r="254">
          <cell r="B254">
            <v>8142880</v>
          </cell>
          <cell r="C254" t="str">
            <v>Garage</v>
          </cell>
          <cell r="G254" t="str">
            <v>Шпилька Garage P0,6-22(0,64x0,64x22мм) 10000шт/упак.</v>
          </cell>
          <cell r="I254">
            <v>22</v>
          </cell>
          <cell r="J254" t="str">
            <v>0,64x0,64</v>
          </cell>
          <cell r="K254">
            <v>10000</v>
          </cell>
          <cell r="S254">
            <v>356</v>
          </cell>
          <cell r="T254">
            <v>445</v>
          </cell>
          <cell r="U254" t="str">
            <v>+</v>
          </cell>
          <cell r="V254">
            <v>356</v>
          </cell>
          <cell r="X254">
            <v>0</v>
          </cell>
        </row>
        <row r="255">
          <cell r="B255">
            <v>8142890</v>
          </cell>
          <cell r="C255" t="str">
            <v>Garage</v>
          </cell>
          <cell r="G255" t="str">
            <v>Шпилька Garage P0,6-25(0,64x0,64x25мм) 10000шт/упак.</v>
          </cell>
          <cell r="I255">
            <v>25</v>
          </cell>
          <cell r="J255" t="str">
            <v>0,64x0,64</v>
          </cell>
          <cell r="K255">
            <v>10000</v>
          </cell>
          <cell r="S255">
            <v>395</v>
          </cell>
          <cell r="T255">
            <v>494</v>
          </cell>
          <cell r="U255" t="str">
            <v>+</v>
          </cell>
          <cell r="V255">
            <v>395</v>
          </cell>
          <cell r="X255">
            <v>0</v>
          </cell>
        </row>
        <row r="256">
          <cell r="B256">
            <v>8142900</v>
          </cell>
          <cell r="C256" t="str">
            <v>Garage</v>
          </cell>
          <cell r="G256" t="str">
            <v>Шпилька Garage P0,6-30(0,64x0,64x30мм) 10000шт/упак.</v>
          </cell>
          <cell r="I256">
            <v>30</v>
          </cell>
          <cell r="J256" t="str">
            <v>0,64x0,64</v>
          </cell>
          <cell r="K256">
            <v>10000</v>
          </cell>
          <cell r="S256">
            <v>474</v>
          </cell>
          <cell r="T256">
            <v>592</v>
          </cell>
          <cell r="U256" t="str">
            <v>+</v>
          </cell>
          <cell r="V256">
            <v>474</v>
          </cell>
          <cell r="X256">
            <v>0</v>
          </cell>
        </row>
        <row r="257">
          <cell r="B257">
            <v>8142820</v>
          </cell>
          <cell r="C257" t="str">
            <v>Garage</v>
          </cell>
          <cell r="G257" t="str">
            <v>Шпилька Garage P0,6-8(0,64x0,64x8мм) 10000шт/упак.</v>
          </cell>
          <cell r="I257">
            <v>8</v>
          </cell>
          <cell r="J257" t="str">
            <v>0,64x0,64</v>
          </cell>
          <cell r="K257">
            <v>10000</v>
          </cell>
          <cell r="S257">
            <v>201</v>
          </cell>
          <cell r="T257">
            <v>251</v>
          </cell>
          <cell r="U257" t="str">
            <v>-</v>
          </cell>
          <cell r="V257">
            <v>201</v>
          </cell>
          <cell r="X257">
            <v>0</v>
          </cell>
        </row>
        <row r="258">
          <cell r="B258" t="str">
            <v>УТ-00000632</v>
          </cell>
          <cell r="G258" t="str">
            <v>Скоба Garage 35-15 15мм (35х2,27х15) 2000шт/упак.</v>
          </cell>
          <cell r="I258">
            <v>15</v>
          </cell>
          <cell r="J258" t="str">
            <v>1х1,25</v>
          </cell>
          <cell r="K258">
            <v>2000</v>
          </cell>
          <cell r="S258">
            <v>143</v>
          </cell>
          <cell r="T258">
            <v>178</v>
          </cell>
          <cell r="U258" t="str">
            <v>-</v>
          </cell>
          <cell r="V258">
            <v>143</v>
          </cell>
          <cell r="X258">
            <v>0</v>
          </cell>
        </row>
        <row r="259">
          <cell r="B259" t="str">
            <v>УТ-00000633</v>
          </cell>
          <cell r="G259" t="str">
            <v>Скоба Garage 35-18 18мм (35х2,27х18) 2000шт/упак.</v>
          </cell>
          <cell r="I259">
            <v>18</v>
          </cell>
          <cell r="J259" t="str">
            <v>1х1,25</v>
          </cell>
          <cell r="K259">
            <v>2000</v>
          </cell>
          <cell r="S259">
            <v>155</v>
          </cell>
          <cell r="T259">
            <v>194</v>
          </cell>
          <cell r="U259" t="str">
            <v>-</v>
          </cell>
          <cell r="V259">
            <v>155</v>
          </cell>
        </row>
        <row r="260">
          <cell r="B260" t="str">
            <v>Код</v>
          </cell>
          <cell r="C260" t="str">
            <v>Бренд</v>
          </cell>
          <cell r="G260" t="str">
            <v>Наименование</v>
          </cell>
          <cell r="I260" t="str">
            <v>Ударный
механизм</v>
          </cell>
          <cell r="J260" t="str">
            <v>Просад.
квадрат
(Дюйм)</v>
          </cell>
          <cell r="K260" t="str">
            <v>Макс.крут.
момент
(Н·м)</v>
          </cell>
          <cell r="L260" t="str">
            <v>Макс.
Резьба
(мм)</v>
          </cell>
          <cell r="M260" t="str">
            <v>Скор. св.
вращ.
(об/мин)</v>
          </cell>
          <cell r="N260" t="str">
            <v>Вес
(Кг)</v>
          </cell>
          <cell r="O260" t="str">
            <v>Входной
диаметр 
(Дюйм)</v>
          </cell>
          <cell r="P260" t="str">
            <v>Диам.
Шланга
(мм)</v>
          </cell>
          <cell r="Q260" t="str">
            <v>Расход
воздуха
(л/мин)</v>
          </cell>
        </row>
        <row r="261">
          <cell r="B261" t="str">
            <v>УТ-00000045</v>
          </cell>
          <cell r="G261" t="str">
            <v>Пневматический гайковёрт 1/2 Garage GR-IW-315 315Нм</v>
          </cell>
          <cell r="I261" t="str">
            <v>Rocking dog</v>
          </cell>
          <cell r="J261" t="str">
            <v>1/2</v>
          </cell>
          <cell r="K261">
            <v>315</v>
          </cell>
          <cell r="L261">
            <v>16</v>
          </cell>
          <cell r="M261">
            <v>7000</v>
          </cell>
          <cell r="N261">
            <v>2.10000000000000009</v>
          </cell>
          <cell r="O261" t="str">
            <v>1/4</v>
          </cell>
          <cell r="P261" t="str">
            <v>3/8</v>
          </cell>
          <cell r="Q261">
            <v>120</v>
          </cell>
          <cell r="S261">
            <v>2183</v>
          </cell>
          <cell r="T261">
            <v>2727</v>
          </cell>
          <cell r="U261" t="str">
            <v>-</v>
          </cell>
          <cell r="V261">
            <v>2183</v>
          </cell>
          <cell r="X261">
            <v>0</v>
          </cell>
        </row>
        <row r="262">
          <cell r="B262" t="str">
            <v>УТ-00000047</v>
          </cell>
          <cell r="G262" t="str">
            <v>Пневматический гайковёрт 1/2 Garage GR-IW 315 315Нм с набором головок</v>
          </cell>
          <cell r="I262" t="str">
            <v>Rocking dog</v>
          </cell>
          <cell r="J262" t="str">
            <v>1/2</v>
          </cell>
          <cell r="K262">
            <v>315</v>
          </cell>
          <cell r="L262">
            <v>16</v>
          </cell>
          <cell r="M262">
            <v>7000</v>
          </cell>
          <cell r="N262">
            <v>2.10000000000000009</v>
          </cell>
          <cell r="O262" t="str">
            <v>1/4</v>
          </cell>
          <cell r="P262" t="str">
            <v>3/8</v>
          </cell>
          <cell r="Q262">
            <v>120</v>
          </cell>
          <cell r="S262">
            <v>3408</v>
          </cell>
          <cell r="T262">
            <v>4089</v>
          </cell>
          <cell r="U262" t="str">
            <v>-</v>
          </cell>
          <cell r="V262">
            <v>3408</v>
          </cell>
          <cell r="X262">
            <v>0</v>
          </cell>
        </row>
        <row r="263">
          <cell r="B263" t="str">
            <v>УТ-00000049</v>
          </cell>
          <cell r="G263" t="str">
            <v>Пневматический гайковёрт 1/2 Garage GR-IW-687 687Нм</v>
          </cell>
          <cell r="I263" t="str">
            <v>Twin Hammer</v>
          </cell>
          <cell r="J263" t="str">
            <v>1/2</v>
          </cell>
          <cell r="K263">
            <v>687</v>
          </cell>
          <cell r="L263">
            <v>19</v>
          </cell>
          <cell r="M263">
            <v>8000</v>
          </cell>
          <cell r="N263">
            <v>2.60000000000000009</v>
          </cell>
          <cell r="O263" t="str">
            <v>1/4</v>
          </cell>
          <cell r="P263" t="str">
            <v>3/8</v>
          </cell>
          <cell r="Q263">
            <v>480</v>
          </cell>
          <cell r="S263">
            <v>3960</v>
          </cell>
          <cell r="T263">
            <v>4928</v>
          </cell>
          <cell r="U263" t="str">
            <v>-</v>
          </cell>
          <cell r="V263">
            <v>3960</v>
          </cell>
          <cell r="X263">
            <v>0</v>
          </cell>
        </row>
        <row r="264">
          <cell r="B264" t="str">
            <v>УТ-00000048</v>
          </cell>
          <cell r="G264" t="str">
            <v>Пневматический гайковёрт 1/2 Garage GR-IW-615 615Нм</v>
          </cell>
          <cell r="I264" t="str">
            <v>Twin Hammer</v>
          </cell>
          <cell r="J264" t="str">
            <v>1/2</v>
          </cell>
          <cell r="K264">
            <v>615</v>
          </cell>
          <cell r="S264">
            <v>4580</v>
          </cell>
          <cell r="T264">
            <v>5724</v>
          </cell>
          <cell r="U264" t="str">
            <v>+</v>
          </cell>
          <cell r="V264">
            <v>4580</v>
          </cell>
          <cell r="X264">
            <v>0</v>
          </cell>
        </row>
        <row r="265">
          <cell r="B265" t="str">
            <v>Код</v>
          </cell>
          <cell r="C265" t="str">
            <v>Бренд</v>
          </cell>
          <cell r="G265" t="str">
            <v>Наименование</v>
          </cell>
          <cell r="I265" t="str">
            <v>Расходник</v>
          </cell>
          <cell r="J265" t="str">
            <v>Глубина
забивания
(мм)</v>
          </cell>
          <cell r="K265" t="str">
            <v>Калибр
пров.</v>
          </cell>
          <cell r="L265" t="str">
            <v>Ширина
шляпки
(мм)</v>
          </cell>
          <cell r="M265" t="str">
            <v>Сечение
проволоки
(мм)</v>
          </cell>
          <cell r="N265" t="str">
            <v>Ёмкость
магазина
(шт)</v>
          </cell>
          <cell r="O265" t="str">
            <v>Вес
(Кг)</v>
          </cell>
          <cell r="P265" t="str">
            <v>Входной
диаметр 
(Дюйм)</v>
          </cell>
          <cell r="Q265" t="str">
            <v>Диам.
Шланга
(Дюйм)</v>
          </cell>
          <cell r="R265" t="str">
            <v>Расход
воздуха
(л/выстрел)</v>
          </cell>
          <cell r="S265" t="str">
            <v>Опт</v>
          </cell>
          <cell r="T265" t="str">
            <v>Рек. Розница</v>
          </cell>
        </row>
        <row r="266">
          <cell r="B266" t="str">
            <v>УТ-00000042</v>
          </cell>
          <cell r="G266" t="str">
            <v>Пневматический cтеплер Garage 80-16</v>
          </cell>
          <cell r="I266" t="str">
            <v>скоба</v>
          </cell>
          <cell r="J266" t="str">
            <v>6-16</v>
          </cell>
          <cell r="K266">
            <v>21</v>
          </cell>
          <cell r="L266">
            <v>12.9000000000000004</v>
          </cell>
          <cell r="M266" t="str">
            <v>0,65х0,65</v>
          </cell>
          <cell r="N266">
            <v>160</v>
          </cell>
          <cell r="O266">
            <v>0.9</v>
          </cell>
          <cell r="P266" t="str">
            <v>1/4</v>
          </cell>
          <cell r="Q266" t="str">
            <v>3/8</v>
          </cell>
          <cell r="R266">
            <v>0.3</v>
          </cell>
          <cell r="S266">
            <v>2383</v>
          </cell>
          <cell r="T266">
            <v>2859</v>
          </cell>
          <cell r="U266" t="str">
            <v>+</v>
          </cell>
          <cell r="V266">
            <v>2383</v>
          </cell>
          <cell r="X266">
            <v>0</v>
          </cell>
        </row>
        <row r="267">
          <cell r="B267" t="str">
            <v>УТ-00000043</v>
          </cell>
          <cell r="G267" t="str">
            <v>Пневматический cтеплер Garage 90-40 Plus</v>
          </cell>
          <cell r="I267" t="str">
            <v>скоба</v>
          </cell>
          <cell r="J267" t="str">
            <v>19-40</v>
          </cell>
          <cell r="K267">
            <v>18</v>
          </cell>
          <cell r="L267">
            <v>5.79999999999999982</v>
          </cell>
          <cell r="M267" t="str">
            <v>1х1,25</v>
          </cell>
          <cell r="N267">
            <v>100</v>
          </cell>
          <cell r="O267">
            <v>2.20000000000000018</v>
          </cell>
          <cell r="P267" t="str">
            <v>1/4</v>
          </cell>
          <cell r="Q267" t="str">
            <v>3/8</v>
          </cell>
          <cell r="R267">
            <v>1.39999999999999991</v>
          </cell>
          <cell r="S267">
            <v>3140</v>
          </cell>
          <cell r="T267">
            <v>3891</v>
          </cell>
          <cell r="U267" t="str">
            <v>+</v>
          </cell>
          <cell r="V267">
            <v>3140</v>
          </cell>
          <cell r="X267">
            <v>0</v>
          </cell>
        </row>
        <row r="268">
          <cell r="B268" t="str">
            <v>УТ-00000050</v>
          </cell>
          <cell r="G268" t="str">
            <v>Пневмозабивной пистолет Garage 18-50 Plus</v>
          </cell>
          <cell r="I268" t="str">
            <v>Гвоздь</v>
          </cell>
          <cell r="J268" t="str">
            <v>20-50</v>
          </cell>
          <cell r="K268">
            <v>18</v>
          </cell>
          <cell r="L268">
            <v>1.9</v>
          </cell>
          <cell r="M268" t="str">
            <v>1х1,25</v>
          </cell>
          <cell r="N268">
            <v>100</v>
          </cell>
          <cell r="O268">
            <v>1.39999999999999991</v>
          </cell>
          <cell r="P268" t="str">
            <v>1/4</v>
          </cell>
          <cell r="Q268" t="str">
            <v>3/8</v>
          </cell>
          <cell r="R268">
            <v>0.7</v>
          </cell>
          <cell r="S268">
            <v>2968</v>
          </cell>
          <cell r="T268">
            <v>3562</v>
          </cell>
          <cell r="U268" t="str">
            <v>+</v>
          </cell>
          <cell r="V268">
            <v>2968</v>
          </cell>
          <cell r="X268">
            <v>0</v>
          </cell>
        </row>
        <row r="269">
          <cell r="B269" t="str">
            <v>УТ-00000051</v>
          </cell>
          <cell r="G269" t="str">
            <v>Пневмозабивной пистолет Garage P630</v>
          </cell>
          <cell r="I269" t="str">
            <v>шпилька</v>
          </cell>
          <cell r="J269" t="str">
            <v>12-30</v>
          </cell>
          <cell r="K269">
            <v>23</v>
          </cell>
          <cell r="M269" t="str">
            <v>0,64х0,64</v>
          </cell>
          <cell r="N269">
            <v>200</v>
          </cell>
          <cell r="O269">
            <v>0.6</v>
          </cell>
          <cell r="P269" t="str">
            <v>1/4</v>
          </cell>
          <cell r="Q269" t="str">
            <v>3/8</v>
          </cell>
          <cell r="R269">
            <v>0.45</v>
          </cell>
          <cell r="S269">
            <v>2356</v>
          </cell>
          <cell r="T269">
            <v>2953</v>
          </cell>
          <cell r="U269" t="str">
            <v>+</v>
          </cell>
          <cell r="V269">
            <v>2356</v>
          </cell>
          <cell r="X269">
            <v>0</v>
          </cell>
        </row>
        <row r="270">
          <cell r="B270">
            <v>8509040</v>
          </cell>
          <cell r="G270" t="str">
            <v>Пневматический гвоздескобозабивной пистолет Garage F50/9040																														</v>
          </cell>
          <cell r="I270" t="str">
            <v>Гвоздь,скоба</v>
          </cell>
          <cell r="J270" t="str">
            <v>10-50,16-40</v>
          </cell>
          <cell r="K270">
            <v>18</v>
          </cell>
          <cell r="L270" t="str">
            <v>2,5,8</v>
          </cell>
          <cell r="M270" t="str">
            <v>1х1,25,1х1,25</v>
          </cell>
          <cell r="N270">
            <v>100.200000000000003</v>
          </cell>
          <cell r="O270">
            <v>1.47999999999999998</v>
          </cell>
          <cell r="P270" t="str">
            <v>1/4</v>
          </cell>
          <cell r="Q270" t="str">
            <v>3/8</v>
          </cell>
          <cell r="R270">
            <v>0.8</v>
          </cell>
          <cell r="S270">
            <v>3245</v>
          </cell>
          <cell r="T270">
            <v>4057</v>
          </cell>
          <cell r="U270" t="str">
            <v>+</v>
          </cell>
          <cell r="V270">
            <v>3245</v>
          </cell>
          <cell r="X270">
            <v>0</v>
          </cell>
        </row>
        <row r="271">
          <cell r="B271">
            <v>8509050</v>
          </cell>
          <cell r="G271" t="str">
            <v>Пневматический гвоздезабивной пистолет Garage GR-CN-90</v>
          </cell>
          <cell r="K271">
            <v>19</v>
          </cell>
          <cell r="L271" t="str">
            <v>2,5,9</v>
          </cell>
          <cell r="M271" t="str">
            <v>1х1,25,1х1,26</v>
          </cell>
          <cell r="N271">
            <v>100.200000000000003</v>
          </cell>
          <cell r="O271">
            <v>1.47999999999999998</v>
          </cell>
          <cell r="P271" t="str">
            <v>1/5</v>
          </cell>
          <cell r="Q271" t="str">
            <v>3/9</v>
          </cell>
          <cell r="R271">
            <v>1.8</v>
          </cell>
          <cell r="S271">
            <v>21145</v>
          </cell>
          <cell r="T271">
            <v>26431</v>
          </cell>
          <cell r="U271" t="str">
            <v>+</v>
          </cell>
          <cell r="V271">
            <v>21145</v>
          </cell>
          <cell r="X271">
            <v>0</v>
          </cell>
        </row>
      </sheetData>
      <sheetData sheetId="4"/>
      <sheetData sheetId="5">
        <row r="7">
          <cell r="A7" t="str">
            <v>Код</v>
          </cell>
          <cell r="B7" t="str">
            <v>Наименование продукции</v>
          </cell>
          <cell r="C7" t="str">
            <v>Ед. изм.</v>
          </cell>
          <cell r="D7" t="str">
            <v>Характеристики</v>
          </cell>
          <cell r="E7" t="str">
            <v>Опт</v>
          </cell>
          <cell r="F7" t="str">
            <v>Рек. Розница</v>
          </cell>
          <cell r="G7" t="str">
            <v>Наличие на складе</v>
          </cell>
          <cell r="H7" t="str">
            <v>Ваша скидка по теме</v>
          </cell>
          <cell r="I7" t="str">
            <v>Заказ</v>
          </cell>
          <cell r="J7" t="str">
            <v>Сумма</v>
          </cell>
        </row>
        <row r="8">
          <cell r="H8">
            <v>0</v>
          </cell>
        </row>
        <row r="9">
          <cell r="A9" t="str">
            <v>Масло компрессорное</v>
          </cell>
        </row>
        <row r="10">
          <cell r="A10">
            <v>7061960</v>
          </cell>
          <cell r="B10" t="str">
            <v>Масло для компрессоров, мин. MANNOL  ISO  100 (1л), Германия</v>
          </cell>
          <cell r="C10" t="str">
            <v>шт</v>
          </cell>
          <cell r="E10">
            <v>773</v>
          </cell>
          <cell r="F10">
            <v>1005</v>
          </cell>
          <cell r="G10" t="str">
            <v>+</v>
          </cell>
          <cell r="H10">
            <v>773</v>
          </cell>
          <cell r="I10">
            <v>0</v>
          </cell>
          <cell r="J10">
            <v>0</v>
          </cell>
        </row>
        <row r="11">
          <cell r="A11">
            <v>7061970</v>
          </cell>
          <cell r="B11" t="str">
            <v>Масло для пневмоинструмента, мин. MANNOL  ISO  46 (1л), Германия</v>
          </cell>
          <cell r="C11" t="str">
            <v>шт</v>
          </cell>
          <cell r="E11">
            <v>828</v>
          </cell>
          <cell r="F11">
            <v>1077</v>
          </cell>
          <cell r="G11" t="str">
            <v>+</v>
          </cell>
          <cell r="H11">
            <v>828</v>
          </cell>
          <cell r="I11">
            <v>0</v>
          </cell>
          <cell r="J11">
            <v>0</v>
          </cell>
        </row>
        <row r="12">
          <cell r="A12">
            <v>8101240</v>
          </cell>
          <cell r="B12" t="str">
            <v>Масло компрессорное REMEZA VG 100 (1л)</v>
          </cell>
          <cell r="C12" t="str">
            <v>шт</v>
          </cell>
          <cell r="E12">
            <v>556</v>
          </cell>
          <cell r="F12">
            <v>769</v>
          </cell>
          <cell r="G12" t="str">
            <v>+</v>
          </cell>
          <cell r="H12">
            <v>556</v>
          </cell>
          <cell r="I12">
            <v>0</v>
          </cell>
          <cell r="J12">
            <v>0</v>
          </cell>
        </row>
        <row r="13">
          <cell r="A13" t="str">
            <v>00-00000034</v>
          </cell>
          <cell r="B13" t="str">
            <v>Масло для пневмоинструмента REMEZA WH 45 (100 мл)</v>
          </cell>
          <cell r="C13" t="str">
            <v>шт</v>
          </cell>
          <cell r="E13">
            <v>179</v>
          </cell>
          <cell r="F13">
            <v>240</v>
          </cell>
          <cell r="G13" t="str">
            <v>+</v>
          </cell>
          <cell r="H13">
            <v>179</v>
          </cell>
          <cell r="I13">
            <v>0</v>
          </cell>
          <cell r="J13">
            <v>0</v>
          </cell>
        </row>
        <row r="14">
          <cell r="A14">
            <v>8101241</v>
          </cell>
          <cell r="B14" t="str">
            <v>Масло компрессорное REMEZA VG 100 (2л)</v>
          </cell>
          <cell r="C14" t="str">
            <v>шт</v>
          </cell>
          <cell r="E14">
            <v>886</v>
          </cell>
          <cell r="F14">
            <v>1232</v>
          </cell>
          <cell r="G14" t="str">
            <v>+</v>
          </cell>
          <cell r="H14">
            <v>886</v>
          </cell>
          <cell r="I14">
            <v>0</v>
          </cell>
          <cell r="J14">
            <v>0</v>
          </cell>
        </row>
        <row r="15">
          <cell r="A15">
            <v>8101770</v>
          </cell>
          <cell r="B15" t="str">
            <v>Масло для пневмоинструмента REMEZA WH 45 (1л)</v>
          </cell>
          <cell r="C15" t="str">
            <v>шт</v>
          </cell>
          <cell r="E15">
            <v>443</v>
          </cell>
          <cell r="F15">
            <v>611</v>
          </cell>
          <cell r="G15" t="str">
            <v>+</v>
          </cell>
          <cell r="H15">
            <v>443</v>
          </cell>
          <cell r="I15">
            <v>0</v>
          </cell>
          <cell r="J15">
            <v>0</v>
          </cell>
        </row>
        <row r="16">
          <cell r="I16" t="str">
            <v>СУММА</v>
          </cell>
          <cell r="J16">
            <v>0</v>
          </cell>
        </row>
      </sheetData>
      <sheetData sheetId="6"/>
      <sheetData sheetId="7"/>
      <sheetData sheetId="8">
        <row r="7">
          <cell r="A7" t="str">
            <v>Код</v>
          </cell>
          <cell r="B7" t="str">
            <v>Наименование продукции</v>
          </cell>
          <cell r="C7" t="str">
            <v>Ед. изм.</v>
          </cell>
          <cell r="D7" t="str">
            <v>Кратность продажи</v>
          </cell>
          <cell r="E7" t="str">
            <v>Характеристики</v>
          </cell>
          <cell r="F7" t="str">
            <v>Опт</v>
          </cell>
          <cell r="G7" t="str">
            <v>Рек. Розница</v>
          </cell>
          <cell r="H7" t="str">
            <v>Наличие на складе</v>
          </cell>
          <cell r="I7" t="str">
            <v>Ваша скидка по теме</v>
          </cell>
          <cell r="J7" t="str">
            <v>Заказ</v>
          </cell>
          <cell r="K7" t="str">
            <v>Сумма</v>
          </cell>
        </row>
        <row r="8">
          <cell r="I8">
            <v>0</v>
          </cell>
        </row>
        <row r="9">
          <cell r="A9" t="str">
            <v>Расходный инструмент АТАКА</v>
          </cell>
        </row>
        <row r="10">
          <cell r="A10" t="str">
            <v>Абразив мягкий</v>
          </cell>
        </row>
        <row r="11">
          <cell r="A11">
            <v>613810</v>
          </cell>
          <cell r="B11" t="str">
            <v>Лента шлифовальная 75*457 Атака Р60 (3шт)</v>
          </cell>
          <cell r="C11" t="str">
            <v>упак</v>
          </cell>
          <cell r="D11">
            <v>1</v>
          </cell>
          <cell r="E11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613810
Абразив - электрокорунд
Размер 75*457
Количество в упаковке - 3 шт
Зернистость Р60 (грубая обработка)</v>
          </cell>
          <cell r="F11">
            <v>194</v>
          </cell>
          <cell r="G11">
            <v>258</v>
          </cell>
          <cell r="H11" t="str">
            <v>+</v>
          </cell>
          <cell r="I11">
            <v>194</v>
          </cell>
          <cell r="J11">
            <v>0</v>
          </cell>
          <cell r="K11">
            <v>0</v>
          </cell>
        </row>
        <row r="12">
          <cell r="A12">
            <v>677350</v>
          </cell>
          <cell r="B12" t="str">
            <v>Лента шлифовальная 75*457 Атака Р40 (3шт)</v>
          </cell>
          <cell r="C12" t="str">
            <v>упак</v>
          </cell>
          <cell r="D12">
            <v>1</v>
          </cell>
          <cell r="E12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677350
Абразив - электрокорунд
Размер 75*457
Количество в упаковке - 3 шт
Зернистость Р40 (грубая обработка)</v>
          </cell>
          <cell r="F12">
            <v>202</v>
          </cell>
          <cell r="G12">
            <v>268</v>
          </cell>
          <cell r="H12" t="str">
            <v>+</v>
          </cell>
          <cell r="I12">
            <v>202</v>
          </cell>
          <cell r="J12">
            <v>0</v>
          </cell>
          <cell r="K12">
            <v>0</v>
          </cell>
        </row>
        <row r="13">
          <cell r="A13">
            <v>677410</v>
          </cell>
          <cell r="B13" t="str">
            <v>Лента шлифовальная 75*457 Атака Р80 (3шт)</v>
          </cell>
          <cell r="C13" t="str">
            <v>упак</v>
          </cell>
          <cell r="D13">
            <v>1</v>
          </cell>
          <cell r="E13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677410
Абразив - электрокорунд
Размер 75*457
Количество в упаковке - 3 шт
Зернистость Р80 (грубая обработка)</v>
          </cell>
          <cell r="F13">
            <v>188</v>
          </cell>
          <cell r="G13">
            <v>249</v>
          </cell>
          <cell r="H13" t="str">
            <v>+</v>
          </cell>
          <cell r="I13">
            <v>188</v>
          </cell>
          <cell r="J13">
            <v>0</v>
          </cell>
          <cell r="K13">
            <v>0</v>
          </cell>
        </row>
        <row r="14">
          <cell r="A14">
            <v>677430</v>
          </cell>
          <cell r="B14" t="str">
            <v>Лента шлифовальная 75*457 Атака Р100 (3шт)</v>
          </cell>
          <cell r="C14" t="str">
            <v>упак</v>
          </cell>
          <cell r="D14">
            <v>1</v>
          </cell>
          <cell r="E14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677430
Абразив - электрокорунд
Размер 75*457
Количество в упаковке - 3 шт
Зернистость Р100 (финишная обработка)</v>
          </cell>
          <cell r="F14">
            <v>204</v>
          </cell>
          <cell r="G14">
            <v>272</v>
          </cell>
          <cell r="H14" t="str">
            <v>+</v>
          </cell>
          <cell r="I14">
            <v>204</v>
          </cell>
          <cell r="J14">
            <v>0</v>
          </cell>
          <cell r="K14">
            <v>0</v>
          </cell>
        </row>
        <row r="15">
          <cell r="A15">
            <v>677470</v>
          </cell>
          <cell r="B15" t="str">
            <v>Лента шлифовальная 75*533 Атака Р40 (3шт)</v>
          </cell>
          <cell r="C15" t="str">
            <v>упак</v>
          </cell>
          <cell r="D15">
            <v>1</v>
          </cell>
          <cell r="E15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677470
Абразив - электрокорунд
Размер 75*533
Количество в упаковке - 3 шт
Зернистость Р40 (грубая обработка)</v>
          </cell>
          <cell r="F15">
            <v>223</v>
          </cell>
          <cell r="G15">
            <v>293</v>
          </cell>
          <cell r="H15" t="str">
            <v>+</v>
          </cell>
          <cell r="I15">
            <v>223</v>
          </cell>
          <cell r="J15">
            <v>0</v>
          </cell>
          <cell r="K15">
            <v>0</v>
          </cell>
        </row>
        <row r="16">
          <cell r="A16">
            <v>677490</v>
          </cell>
          <cell r="B16" t="str">
            <v>Лента шлифовальная 75*533 Атака Р60 (3шт)</v>
          </cell>
          <cell r="C16" t="str">
            <v>упак</v>
          </cell>
          <cell r="D16">
            <v>1</v>
          </cell>
          <cell r="E16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677490
Абразив - электрокорунд
Размер 75*533
Количество в упаковке - 3 шт
Зернистость Р60 (грубая обработка)</v>
          </cell>
          <cell r="F16">
            <v>204</v>
          </cell>
          <cell r="G16">
            <v>272</v>
          </cell>
          <cell r="H16" t="str">
            <v>+</v>
          </cell>
          <cell r="I16">
            <v>204</v>
          </cell>
          <cell r="J16">
            <v>0</v>
          </cell>
          <cell r="K16">
            <v>0</v>
          </cell>
        </row>
        <row r="17">
          <cell r="A17">
            <v>677540</v>
          </cell>
          <cell r="B17" t="str">
            <v>Лента шлифовальная 75*533 Атака Р80 (3шт)</v>
          </cell>
          <cell r="C17" t="str">
            <v>упак</v>
          </cell>
          <cell r="D17">
            <v>1</v>
          </cell>
          <cell r="E17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677540
Абразив - электрокорунд
Размер 75*533
Количество в упаковке - 3 шт
Зернистость Р80 (грубая обработка)</v>
          </cell>
          <cell r="F17">
            <v>204</v>
          </cell>
          <cell r="G17">
            <v>272</v>
          </cell>
          <cell r="H17" t="str">
            <v>-</v>
          </cell>
          <cell r="I17">
            <v>204</v>
          </cell>
          <cell r="J17">
            <v>0</v>
          </cell>
          <cell r="K17">
            <v>0</v>
          </cell>
        </row>
        <row r="18">
          <cell r="A18">
            <v>677560</v>
          </cell>
          <cell r="B18" t="str">
            <v>Лента шлифовальная 75*533 Атака Р100 (3шт)</v>
          </cell>
          <cell r="C18" t="str">
            <v>упак</v>
          </cell>
          <cell r="D18">
            <v>1</v>
          </cell>
          <cell r="E18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677560
Абразив - электрокорунд
Размер 75*533
Количество в упаковке - 3 шт
Зернистость Р100 (финишная обработка)</v>
          </cell>
          <cell r="F18">
            <v>204</v>
          </cell>
          <cell r="G18">
            <v>272</v>
          </cell>
          <cell r="H18" t="str">
            <v>-</v>
          </cell>
          <cell r="I18">
            <v>204</v>
          </cell>
          <cell r="J18">
            <v>0</v>
          </cell>
          <cell r="K18">
            <v>0</v>
          </cell>
        </row>
        <row r="19">
          <cell r="A19">
            <v>678550</v>
          </cell>
          <cell r="B19" t="str">
            <v>Лента шлифовальная 100*610 Атака Р40 (3шт)</v>
          </cell>
          <cell r="C19" t="str">
            <v>упак</v>
          </cell>
          <cell r="D19">
            <v>1</v>
          </cell>
          <cell r="E19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678550
Абразив - электрокорунд
Размер 100*610
Количество в упаковке - 3 шт
Зернистость Р40 (грубая обработка)</v>
          </cell>
          <cell r="F19">
            <v>342</v>
          </cell>
          <cell r="G19">
            <v>453</v>
          </cell>
          <cell r="H19" t="str">
            <v>+</v>
          </cell>
          <cell r="I19">
            <v>342</v>
          </cell>
          <cell r="J19">
            <v>0</v>
          </cell>
          <cell r="K19">
            <v>0</v>
          </cell>
        </row>
        <row r="20">
          <cell r="A20">
            <v>678570</v>
          </cell>
          <cell r="B20" t="str">
            <v>Лента шлифовальная 100*610 Атака Р60 (3шт)</v>
          </cell>
          <cell r="C20" t="str">
            <v>упак</v>
          </cell>
          <cell r="D20">
            <v>1</v>
          </cell>
          <cell r="E20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678570
Абразив - электрокорунд
Размер 100*610
Количество в упаковке - 3 шт
Зернистость Р60 (грубая обработка)</v>
          </cell>
          <cell r="F20">
            <v>369</v>
          </cell>
          <cell r="G20">
            <v>490</v>
          </cell>
          <cell r="H20" t="str">
            <v>+</v>
          </cell>
          <cell r="I20">
            <v>369</v>
          </cell>
          <cell r="J20">
            <v>0</v>
          </cell>
          <cell r="K20">
            <v>0</v>
          </cell>
        </row>
        <row r="21">
          <cell r="A21">
            <v>678590</v>
          </cell>
          <cell r="B21" t="str">
            <v>Лента шлифовальная 100*610 Атака Р80 (3шт)</v>
          </cell>
          <cell r="C21" t="str">
            <v>упак</v>
          </cell>
          <cell r="D21">
            <v>1</v>
          </cell>
          <cell r="E21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678590
Абразив - электрокорунд
Размер 100*610
Количество в упаковке - 3 шт
Зернистость Р80 (грубая обработка)</v>
          </cell>
          <cell r="F21">
            <v>317</v>
          </cell>
          <cell r="G21">
            <v>420</v>
          </cell>
          <cell r="H21" t="str">
            <v>-</v>
          </cell>
          <cell r="I21">
            <v>317</v>
          </cell>
          <cell r="J21">
            <v>0</v>
          </cell>
          <cell r="K21">
            <v>0</v>
          </cell>
        </row>
        <row r="22">
          <cell r="A22">
            <v>678610</v>
          </cell>
          <cell r="B22" t="str">
            <v>Лента шлифовальная 100*610 Атака Р100 (3шт)</v>
          </cell>
          <cell r="C22" t="str">
            <v>упак</v>
          </cell>
          <cell r="D22">
            <v>1</v>
          </cell>
          <cell r="E22" t="str">
            <v>Шлифовальные ленты - самый популярный шлифовальный материал, который применяется для обработки древесины, металла, стен, поверхностей  других материалов. 
Ленты "Атака" включают в себя ассортимент наиболее часто применяемых типоразмеров и параметров зернистости с абразивом из оксида аллюминия, отличающиеся повышенными абразивными и ресурсными характеристиками. 
Лента шлифовальная Атака на тканевой основе. Код 678610
Абразив - электрокорунд
Размер 100*610
Количество в упаковке - 3 шт
Зернистость Р100 (финишная обработка)</v>
          </cell>
          <cell r="F22">
            <v>317</v>
          </cell>
          <cell r="G22">
            <v>420</v>
          </cell>
          <cell r="H22" t="str">
            <v>-</v>
          </cell>
          <cell r="I22">
            <v>317</v>
          </cell>
          <cell r="J22">
            <v>0</v>
          </cell>
          <cell r="K22">
            <v>0</v>
          </cell>
        </row>
        <row r="23">
          <cell r="A23">
            <v>680750</v>
          </cell>
          <cell r="B23" t="str">
            <v>КЛТ 125 Р40 Атака (коричневый)</v>
          </cell>
          <cell r="C23" t="str">
            <v>шт</v>
          </cell>
          <cell r="D23">
            <v>1</v>
          </cell>
          <cell r="E23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680750. 
Диаметр D=125мм
Абразив - оксид алюминия (коричневый)
Зернистость Р=40 (грубая обработка)</v>
          </cell>
          <cell r="F23">
            <v>160</v>
          </cell>
          <cell r="G23">
            <v>214</v>
          </cell>
          <cell r="H23" t="str">
            <v>-</v>
          </cell>
          <cell r="I23">
            <v>160</v>
          </cell>
          <cell r="J23">
            <v>0</v>
          </cell>
          <cell r="K23">
            <v>0</v>
          </cell>
        </row>
        <row r="24">
          <cell r="A24">
            <v>680780</v>
          </cell>
          <cell r="B24" t="str">
            <v>КЛТ 125 Р60 Атака (коричневый)</v>
          </cell>
          <cell r="C24" t="str">
            <v>шт</v>
          </cell>
          <cell r="D24">
            <v>1</v>
          </cell>
          <cell r="E24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680780. 
Диаметр D=125мм
Абразив - оксид алюминия (коричневый)
Зернистость Р=60 (грубая обработка)</v>
          </cell>
          <cell r="F24">
            <v>160</v>
          </cell>
          <cell r="G24">
            <v>214</v>
          </cell>
          <cell r="H24" t="str">
            <v>-</v>
          </cell>
          <cell r="I24">
            <v>160</v>
          </cell>
          <cell r="J24">
            <v>0</v>
          </cell>
          <cell r="K24">
            <v>0</v>
          </cell>
        </row>
        <row r="25">
          <cell r="A25">
            <v>680790</v>
          </cell>
          <cell r="B25" t="str">
            <v>КЛТ 125 Р80 Атака (коричневый)</v>
          </cell>
          <cell r="C25" t="str">
            <v>шт</v>
          </cell>
          <cell r="D25">
            <v>1</v>
          </cell>
          <cell r="E25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680790. 
Диаметр D=125мм
Абразив - оксид алюминия (коричневый)
Зернистость Р=80 (грубая обработка)</v>
          </cell>
          <cell r="F25">
            <v>160</v>
          </cell>
          <cell r="G25">
            <v>214</v>
          </cell>
          <cell r="H25" t="str">
            <v>-</v>
          </cell>
          <cell r="I25">
            <v>160</v>
          </cell>
          <cell r="J25">
            <v>0</v>
          </cell>
          <cell r="K25">
            <v>0</v>
          </cell>
        </row>
        <row r="26">
          <cell r="A26">
            <v>680800</v>
          </cell>
          <cell r="B26" t="str">
            <v>КЛТ 125 Р100 Атака (коричневый)</v>
          </cell>
          <cell r="C26" t="str">
            <v>шт</v>
          </cell>
          <cell r="D26">
            <v>1</v>
          </cell>
          <cell r="E26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680800. 
Диаметр D=125мм
Абразив - оксид алюминия (коричневый)
Зернистость Р=100 (финишная обработка)</v>
          </cell>
          <cell r="F26">
            <v>160</v>
          </cell>
          <cell r="G26">
            <v>214</v>
          </cell>
          <cell r="H26" t="str">
            <v>+</v>
          </cell>
          <cell r="I26">
            <v>160</v>
          </cell>
          <cell r="J26">
            <v>0</v>
          </cell>
          <cell r="K26">
            <v>0</v>
          </cell>
        </row>
        <row r="27">
          <cell r="A27">
            <v>680840</v>
          </cell>
          <cell r="B27" t="str">
            <v>КЛТ 180 Р40 Атака (коричневый)</v>
          </cell>
          <cell r="C27" t="str">
            <v>шт</v>
          </cell>
          <cell r="D27">
            <v>1</v>
          </cell>
          <cell r="E27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680840. 
Диаметр D=185мм
Абразив - оксид алюминия (коричневый)
Зернистость Р=40 (грубая обработка)</v>
          </cell>
          <cell r="F27">
            <v>376</v>
          </cell>
          <cell r="G27">
            <v>502</v>
          </cell>
          <cell r="H27" t="str">
            <v>+</v>
          </cell>
          <cell r="I27">
            <v>376</v>
          </cell>
          <cell r="J27">
            <v>0</v>
          </cell>
          <cell r="K27">
            <v>0</v>
          </cell>
        </row>
        <row r="28">
          <cell r="A28">
            <v>680870</v>
          </cell>
          <cell r="B28" t="str">
            <v>КЛТ 180 Р60 Атака (коричневый)</v>
          </cell>
          <cell r="C28" t="str">
            <v>шт</v>
          </cell>
          <cell r="D28">
            <v>1</v>
          </cell>
          <cell r="E28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680870. 
Диаметр D=180мм
Абразив - оксид алюминия (коричневый)
Зернистость Р=60 (грубая обработка)</v>
          </cell>
          <cell r="F28">
            <v>376</v>
          </cell>
          <cell r="G28">
            <v>502</v>
          </cell>
          <cell r="H28" t="str">
            <v>+</v>
          </cell>
          <cell r="I28">
            <v>376</v>
          </cell>
          <cell r="J28">
            <v>0</v>
          </cell>
          <cell r="K28">
            <v>0</v>
          </cell>
        </row>
        <row r="29">
          <cell r="A29">
            <v>680880</v>
          </cell>
          <cell r="B29" t="str">
            <v>КЛТ 180 Р80 Атака (коричневый)</v>
          </cell>
          <cell r="C29" t="str">
            <v>шт</v>
          </cell>
          <cell r="D29">
            <v>1</v>
          </cell>
          <cell r="E29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680880. 
Диаметр D=180мм
Абразив - оксид алюминия (коричневый)
Зернистость Р=80 (грубая обработка)</v>
          </cell>
          <cell r="F29">
            <v>376</v>
          </cell>
          <cell r="G29">
            <v>502</v>
          </cell>
          <cell r="H29" t="str">
            <v>-</v>
          </cell>
          <cell r="I29">
            <v>376</v>
          </cell>
          <cell r="J29">
            <v>0</v>
          </cell>
          <cell r="K29">
            <v>0</v>
          </cell>
        </row>
        <row r="30">
          <cell r="A30">
            <v>680890</v>
          </cell>
          <cell r="B30" t="str">
            <v>КЛТ 180 Р100 Атака (коричневый)</v>
          </cell>
          <cell r="C30" t="str">
            <v>шт</v>
          </cell>
          <cell r="D30">
            <v>1</v>
          </cell>
          <cell r="E30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680890. 
Диаметр D=180мм
Абразив - оксид алюминия (коричневый)
Зернистость Р=100 (финишная обработка)</v>
          </cell>
          <cell r="F30">
            <v>376</v>
          </cell>
          <cell r="G30">
            <v>502</v>
          </cell>
          <cell r="H30" t="str">
            <v>-</v>
          </cell>
          <cell r="I30">
            <v>376</v>
          </cell>
          <cell r="J30">
            <v>0</v>
          </cell>
          <cell r="K30">
            <v>0</v>
          </cell>
        </row>
        <row r="31">
          <cell r="A31">
            <v>993420</v>
          </cell>
          <cell r="B31" t="str">
            <v>КЛТ 125 Р100 Атака цирконий (синий)</v>
          </cell>
          <cell r="C31" t="str">
            <v>шт</v>
          </cell>
          <cell r="D31">
            <v>1</v>
          </cell>
          <cell r="E31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993420. 
Диаметр D=125мм
Абразив - цирконий (синий)
Зернистость Р=100 (финишная обработка)</v>
          </cell>
          <cell r="F31">
            <v>182</v>
          </cell>
          <cell r="G31">
            <v>242</v>
          </cell>
          <cell r="H31" t="str">
            <v>-</v>
          </cell>
          <cell r="I31">
            <v>182</v>
          </cell>
          <cell r="J31">
            <v>0</v>
          </cell>
          <cell r="K31">
            <v>0</v>
          </cell>
        </row>
        <row r="32">
          <cell r="A32">
            <v>993450</v>
          </cell>
          <cell r="B32" t="str">
            <v>КЛТ 125 Р40 Атака цирконий (синий)</v>
          </cell>
          <cell r="C32" t="str">
            <v>шт</v>
          </cell>
          <cell r="D32">
            <v>1</v>
          </cell>
          <cell r="E32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993450. 
Диаметр D=125мм
Абразив - цирконий (синий)
Зернистость Р=40 (грубая обработка)</v>
          </cell>
          <cell r="F32">
            <v>131</v>
          </cell>
          <cell r="G32">
            <v>173</v>
          </cell>
          <cell r="H32" t="str">
            <v>-</v>
          </cell>
          <cell r="I32">
            <v>131</v>
          </cell>
          <cell r="J32">
            <v>0</v>
          </cell>
          <cell r="K32">
            <v>0</v>
          </cell>
        </row>
        <row r="33">
          <cell r="A33">
            <v>993480</v>
          </cell>
          <cell r="B33" t="str">
            <v>КЛТ 125 Р60 Атака цирконий (синий)</v>
          </cell>
          <cell r="C33" t="str">
            <v>шт</v>
          </cell>
          <cell r="D33">
            <v>1</v>
          </cell>
          <cell r="E33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993480. 
Диаметр D=125мм
Абразив - цирконий (синий)
Зернистость Р=60 (грубая обработка)</v>
          </cell>
          <cell r="F33">
            <v>122</v>
          </cell>
          <cell r="G33">
            <v>162</v>
          </cell>
          <cell r="H33" t="str">
            <v>+</v>
          </cell>
          <cell r="I33">
            <v>122</v>
          </cell>
          <cell r="J33">
            <v>0</v>
          </cell>
          <cell r="K33">
            <v>0</v>
          </cell>
        </row>
        <row r="34">
          <cell r="A34">
            <v>993490</v>
          </cell>
          <cell r="B34" t="str">
            <v>КЛТ 125 Р80 Атака цирконий (синий)</v>
          </cell>
          <cell r="C34" t="str">
            <v>шт</v>
          </cell>
          <cell r="D34">
            <v>1</v>
          </cell>
          <cell r="E34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993490. 
Диаметр D=125мм
Абразив - цирконий (синий)
Зернистость Р=80 (грубая обработка)</v>
          </cell>
          <cell r="F34">
            <v>133</v>
          </cell>
          <cell r="G34">
            <v>176</v>
          </cell>
          <cell r="H34" t="str">
            <v>+</v>
          </cell>
          <cell r="I34">
            <v>133</v>
          </cell>
          <cell r="J34">
            <v>0</v>
          </cell>
          <cell r="K34">
            <v>0</v>
          </cell>
        </row>
        <row r="35">
          <cell r="A35">
            <v>993500</v>
          </cell>
          <cell r="B35" t="str">
            <v>КЛТ 180 Р100 Атака цирконий (синий)</v>
          </cell>
          <cell r="C35" t="str">
            <v>шт</v>
          </cell>
          <cell r="D35">
            <v>1</v>
          </cell>
          <cell r="E35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993500. 
Диаметр D=180мм
Абразив - цирконий (синий)
Зернистость Р=100 (финишная обработка)</v>
          </cell>
          <cell r="F35">
            <v>296</v>
          </cell>
          <cell r="G35">
            <v>393</v>
          </cell>
          <cell r="H35" t="str">
            <v>-</v>
          </cell>
          <cell r="I35">
            <v>296</v>
          </cell>
          <cell r="J35">
            <v>0</v>
          </cell>
          <cell r="K35">
            <v>0</v>
          </cell>
        </row>
        <row r="36">
          <cell r="A36">
            <v>993530</v>
          </cell>
          <cell r="B36" t="str">
            <v>КЛТ 180 Р40 Атака цирконий (синий)</v>
          </cell>
          <cell r="C36" t="str">
            <v>шт</v>
          </cell>
          <cell r="D36">
            <v>1</v>
          </cell>
          <cell r="E36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993530. 
Диаметр D=180мм
Абразив - цирконий (синий)
Зернистость Р=40 (грубая обработка)</v>
          </cell>
          <cell r="F36">
            <v>281</v>
          </cell>
          <cell r="G36">
            <v>374</v>
          </cell>
          <cell r="H36" t="str">
            <v>+</v>
          </cell>
          <cell r="I36">
            <v>281</v>
          </cell>
          <cell r="J36">
            <v>0</v>
          </cell>
          <cell r="K36">
            <v>0</v>
          </cell>
        </row>
        <row r="37">
          <cell r="A37">
            <v>993560</v>
          </cell>
          <cell r="B37" t="str">
            <v>КЛТ 180 Р60 Атака цирконий (синий)</v>
          </cell>
          <cell r="C37" t="str">
            <v>шт</v>
          </cell>
          <cell r="D37">
            <v>1</v>
          </cell>
          <cell r="E37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993560. 
Диаметр D=180мм
Абразив - цирконий (синий)
Зернистость Р=60 (грубая обработка)</v>
          </cell>
          <cell r="F37">
            <v>281</v>
          </cell>
          <cell r="G37">
            <v>374</v>
          </cell>
          <cell r="H37" t="str">
            <v>+</v>
          </cell>
          <cell r="I37">
            <v>281</v>
          </cell>
          <cell r="J37">
            <v>0</v>
          </cell>
          <cell r="K37">
            <v>0</v>
          </cell>
        </row>
        <row r="38">
          <cell r="A38">
            <v>993570</v>
          </cell>
          <cell r="B38" t="str">
            <v>КЛТ 180 Р80 Атака цирконий (синий)</v>
          </cell>
          <cell r="C38" t="str">
            <v>шт</v>
          </cell>
          <cell r="D38">
            <v>1</v>
          </cell>
          <cell r="E38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993570. 
Диаметр D=180мм
Абразив - цирконий (синий)
Зернистость Р=80 (грубая обработка)</v>
          </cell>
          <cell r="F38">
            <v>281</v>
          </cell>
          <cell r="G38">
            <v>374</v>
          </cell>
          <cell r="H38" t="str">
            <v>+</v>
          </cell>
          <cell r="I38">
            <v>281</v>
          </cell>
          <cell r="J38">
            <v>0</v>
          </cell>
          <cell r="K38">
            <v>0</v>
          </cell>
        </row>
        <row r="39">
          <cell r="A39">
            <v>1109090</v>
          </cell>
          <cell r="B39" t="str">
            <v>КЛТ 150 Р40 Атака (коричневый)</v>
          </cell>
          <cell r="C39" t="str">
            <v>шт</v>
          </cell>
          <cell r="D39">
            <v>1</v>
          </cell>
          <cell r="E39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1109090. 
Диаметр D=150мм
Абразив - оксид алюминия (коричневый)
Зернистость Р=40 (грубая обработка)</v>
          </cell>
          <cell r="F39">
            <v>339</v>
          </cell>
          <cell r="G39">
            <v>449</v>
          </cell>
          <cell r="H39" t="str">
            <v>+</v>
          </cell>
          <cell r="I39">
            <v>339</v>
          </cell>
          <cell r="J39">
            <v>0</v>
          </cell>
          <cell r="K39">
            <v>0</v>
          </cell>
        </row>
        <row r="40">
          <cell r="A40">
            <v>1109110</v>
          </cell>
          <cell r="B40" t="str">
            <v>КЛТ 150 Р60 Атака (коричневый)</v>
          </cell>
          <cell r="C40" t="str">
            <v>шт</v>
          </cell>
          <cell r="D40">
            <v>1</v>
          </cell>
          <cell r="E40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1109110. 
Диаметр D=150мм
Абразив - оксид алюминия (коричневый)
Зернистость Р=60 (грубая обработка)</v>
          </cell>
          <cell r="F40">
            <v>339</v>
          </cell>
          <cell r="G40">
            <v>449</v>
          </cell>
          <cell r="H40" t="str">
            <v>+</v>
          </cell>
          <cell r="I40">
            <v>339</v>
          </cell>
          <cell r="J40">
            <v>0</v>
          </cell>
          <cell r="K40">
            <v>0</v>
          </cell>
        </row>
        <row r="41">
          <cell r="A41">
            <v>1109120</v>
          </cell>
          <cell r="B41" t="str">
            <v>КЛТ 150 Р80 Атака (коричневый)</v>
          </cell>
          <cell r="C41" t="str">
            <v>шт</v>
          </cell>
          <cell r="D41">
            <v>1</v>
          </cell>
          <cell r="E41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1109120. 
Диаметр D=150мм
Абразив - оксид алюминия (коричневый)
Зернистость Р=80 (грубая обработка)</v>
          </cell>
          <cell r="F41">
            <v>339</v>
          </cell>
          <cell r="G41">
            <v>449</v>
          </cell>
          <cell r="H41" t="str">
            <v>+</v>
          </cell>
          <cell r="I41">
            <v>339</v>
          </cell>
          <cell r="J41">
            <v>0</v>
          </cell>
          <cell r="K41">
            <v>0</v>
          </cell>
        </row>
        <row r="42">
          <cell r="A42">
            <v>1109130</v>
          </cell>
          <cell r="B42" t="str">
            <v>КЛТ 150 Р100 Атака (коричневый)</v>
          </cell>
          <cell r="C42" t="str">
            <v>шт</v>
          </cell>
          <cell r="D42">
            <v>1</v>
          </cell>
          <cell r="E42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1109130. 
Диаметр D=150мм
Абразив - оксид алюминия (коричневый)
Зернистость Р=100 (финишная обработка)</v>
          </cell>
          <cell r="F42">
            <v>339</v>
          </cell>
          <cell r="G42">
            <v>449</v>
          </cell>
          <cell r="H42" t="str">
            <v>+</v>
          </cell>
          <cell r="I42">
            <v>339</v>
          </cell>
          <cell r="J42">
            <v>0</v>
          </cell>
          <cell r="K42">
            <v>0</v>
          </cell>
        </row>
        <row r="43">
          <cell r="A43">
            <v>1109160</v>
          </cell>
          <cell r="B43" t="str">
            <v>КЛТ 150 Р40 Атака цирконий (синий)</v>
          </cell>
          <cell r="C43" t="str">
            <v>шт</v>
          </cell>
          <cell r="D43">
            <v>1</v>
          </cell>
          <cell r="E43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1109160. 
Диаметр D=150мм
Абразив - цирконий (синий)
Зернистость Р=40 (грубая обработка)</v>
          </cell>
          <cell r="F43">
            <v>224</v>
          </cell>
          <cell r="G43">
            <v>297</v>
          </cell>
          <cell r="H43" t="str">
            <v>-</v>
          </cell>
          <cell r="I43">
            <v>224</v>
          </cell>
          <cell r="J43">
            <v>0</v>
          </cell>
          <cell r="K43">
            <v>0</v>
          </cell>
        </row>
        <row r="44">
          <cell r="A44">
            <v>1109190</v>
          </cell>
          <cell r="B44" t="str">
            <v>КЛТ 150 Р60 Атака цирконий (синий)</v>
          </cell>
          <cell r="C44" t="str">
            <v>шт</v>
          </cell>
          <cell r="D44">
            <v>1</v>
          </cell>
          <cell r="E44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1109190. 
Диаметр D=150мм
Абразив - цирконий (синий)
Зернистость Р=60 (грубая обработка)</v>
          </cell>
          <cell r="F44">
            <v>224</v>
          </cell>
          <cell r="G44">
            <v>297</v>
          </cell>
          <cell r="H44" t="str">
            <v>-</v>
          </cell>
          <cell r="I44">
            <v>224</v>
          </cell>
          <cell r="J44">
            <v>0</v>
          </cell>
          <cell r="K44">
            <v>0</v>
          </cell>
        </row>
        <row r="45">
          <cell r="A45">
            <v>1109200</v>
          </cell>
          <cell r="B45" t="str">
            <v>КЛТ 150 Р80 Атака цирконий (синий)</v>
          </cell>
          <cell r="C45" t="str">
            <v>шт</v>
          </cell>
          <cell r="D45">
            <v>1</v>
          </cell>
          <cell r="E45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1109200. 
Диаметр D=150мм
Абразив - цирконий (синий)
Зернистость Р=80 (грубая обработка)</v>
          </cell>
          <cell r="F45">
            <v>224</v>
          </cell>
          <cell r="G45">
            <v>297</v>
          </cell>
          <cell r="H45" t="str">
            <v>-</v>
          </cell>
          <cell r="I45">
            <v>224</v>
          </cell>
          <cell r="J45">
            <v>0</v>
          </cell>
          <cell r="K45">
            <v>0</v>
          </cell>
        </row>
        <row r="46">
          <cell r="A46">
            <v>1109210</v>
          </cell>
          <cell r="B46" t="str">
            <v>КЛТ 150 Р100 Атака цирконий (синий)</v>
          </cell>
          <cell r="C46" t="str">
            <v>шт</v>
          </cell>
          <cell r="D46">
            <v>1</v>
          </cell>
          <cell r="E46" t="str">
            <v>Шлифовальные круги КЛТ (круги лепестковые торцовые), используемые в качестве насадок для угловых шлифмашин, могут применяться для любых типов шлифовочных работ на любых поверхностях. В ассортименте КЛТ "Атака" представлены шлифовальные круги самых разнообразных типоразмеров и степени зернистости. В качестве абразива применяется оксид аллюминия (коричневые круги), либо цирконий (синие круги), отличающийся высокой твердостью, а соответственно, повышенными абразивными и ресурсными характеристиками.
Круг шлифовальный лепестковый торцевой для УШМ Код 1109210. 
Диаметр D=150мм
Абразив - цирконий (синий)
Зернистость Р=100 (финишная обработка)</v>
          </cell>
          <cell r="F46">
            <v>237</v>
          </cell>
          <cell r="G46">
            <v>312</v>
          </cell>
          <cell r="H46" t="str">
            <v>-</v>
          </cell>
          <cell r="I46">
            <v>237</v>
          </cell>
          <cell r="J46">
            <v>0</v>
          </cell>
          <cell r="K46">
            <v>0</v>
          </cell>
        </row>
        <row r="47">
          <cell r="A47" t="str">
            <v>Абразив твёрдый</v>
          </cell>
        </row>
        <row r="48">
          <cell r="A48">
            <v>1458860</v>
          </cell>
          <cell r="B48" t="str">
            <v>Круг отрезной Атака по металлу 115*1.2*22</v>
          </cell>
          <cell r="C48" t="str">
            <v>шт</v>
          </cell>
          <cell r="D48">
            <v>25</v>
          </cell>
          <cell r="E48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1458860
Применение: металл
Размер (D * h * d): 115*1.2*22мм
Абразивный материал - оксид алюминия
Упрочняющий элемент - армированная сетка</v>
          </cell>
          <cell r="F48">
            <v>49</v>
          </cell>
          <cell r="G48">
            <v>67</v>
          </cell>
          <cell r="H48" t="str">
            <v>-</v>
          </cell>
          <cell r="I48">
            <v>49</v>
          </cell>
          <cell r="J48">
            <v>0</v>
          </cell>
          <cell r="K48">
            <v>0</v>
          </cell>
        </row>
        <row r="49">
          <cell r="A49">
            <v>1458880</v>
          </cell>
          <cell r="B49" t="str">
            <v>Круг отрезной Атака по металлу 115*1.6*22</v>
          </cell>
          <cell r="C49" t="str">
            <v>шт</v>
          </cell>
          <cell r="D49">
            <v>25</v>
          </cell>
          <cell r="E49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1458880
Применение: металл
Размер (D * h * d): 115*1.6*22мм
Абразивный материал - оксид алюминия
Упрочняющий элемент - армированная сетка</v>
          </cell>
          <cell r="F49">
            <v>52</v>
          </cell>
          <cell r="G49">
            <v>68</v>
          </cell>
          <cell r="H49" t="str">
            <v>+</v>
          </cell>
          <cell r="I49">
            <v>52</v>
          </cell>
          <cell r="J49">
            <v>0</v>
          </cell>
          <cell r="K49">
            <v>0</v>
          </cell>
        </row>
        <row r="50">
          <cell r="A50">
            <v>1458890</v>
          </cell>
          <cell r="B50" t="str">
            <v>Круг отрезной Атака по металлу 115*2.5*22</v>
          </cell>
          <cell r="C50" t="str">
            <v>шт</v>
          </cell>
          <cell r="D50">
            <v>25</v>
          </cell>
          <cell r="E50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1458890
Применение: металл
Размер (D * h * d): 115*2.5*22мм
Абразивный материал - оксид алюминия
Упрочняющий элемент - армированная сетка</v>
          </cell>
          <cell r="F50">
            <v>50</v>
          </cell>
          <cell r="G50">
            <v>67</v>
          </cell>
          <cell r="H50" t="str">
            <v>+</v>
          </cell>
          <cell r="I50">
            <v>50</v>
          </cell>
          <cell r="J50">
            <v>0</v>
          </cell>
          <cell r="K50">
            <v>0</v>
          </cell>
        </row>
        <row r="51">
          <cell r="A51">
            <v>1458910</v>
          </cell>
          <cell r="B51" t="str">
            <v>Круг отрезной Атака по металлу 125*1.2*22</v>
          </cell>
          <cell r="C51" t="str">
            <v>шт</v>
          </cell>
          <cell r="D51">
            <v>25</v>
          </cell>
          <cell r="E51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1458910
Применение: металл
Размер (D * h * d): 125*1.2*22мм
Абразивный материал - оксид алюминия
Упрочняющий элемент - армированная сетка</v>
          </cell>
          <cell r="F51">
            <v>54</v>
          </cell>
          <cell r="G51">
            <v>69</v>
          </cell>
          <cell r="H51" t="str">
            <v>-</v>
          </cell>
          <cell r="I51">
            <v>54</v>
          </cell>
          <cell r="J51">
            <v>0</v>
          </cell>
          <cell r="K51">
            <v>0</v>
          </cell>
        </row>
        <row r="52">
          <cell r="A52">
            <v>1458920</v>
          </cell>
          <cell r="B52" t="str">
            <v>Круг отрезной Атака по металлу 125*2*22</v>
          </cell>
          <cell r="C52" t="str">
            <v>шт</v>
          </cell>
          <cell r="D52">
            <v>25</v>
          </cell>
          <cell r="E52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1458920
Применение: металл
Размер (D * h * d): 125*2*22мм
Абразивный материал - оксид алюминия
Упрочняющий элемент - армированная сетка</v>
          </cell>
          <cell r="F52">
            <v>58</v>
          </cell>
          <cell r="G52">
            <v>76</v>
          </cell>
          <cell r="H52" t="str">
            <v>-</v>
          </cell>
          <cell r="I52">
            <v>58</v>
          </cell>
          <cell r="J52">
            <v>0</v>
          </cell>
          <cell r="K52">
            <v>0</v>
          </cell>
        </row>
        <row r="53">
          <cell r="A53">
            <v>1458930</v>
          </cell>
          <cell r="B53" t="str">
            <v>Круг отрезной Атака по металлу 125*2.5*22</v>
          </cell>
          <cell r="C53" t="str">
            <v>шт</v>
          </cell>
          <cell r="D53">
            <v>25</v>
          </cell>
          <cell r="E53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1458930
Применение: металл
Размер (D * h * d): 125*2.5*22мм
Абразивный материал - оксид алюминия
Упрочняющий элемент - армированная сетка</v>
          </cell>
          <cell r="F53">
            <v>55</v>
          </cell>
          <cell r="G53">
            <v>73</v>
          </cell>
          <cell r="H53" t="str">
            <v>-</v>
          </cell>
          <cell r="I53">
            <v>55</v>
          </cell>
          <cell r="J53">
            <v>0</v>
          </cell>
          <cell r="K53">
            <v>0</v>
          </cell>
        </row>
        <row r="54">
          <cell r="A54">
            <v>1458940</v>
          </cell>
          <cell r="B54" t="str">
            <v>Круг отрезной Атака по металлу 150*2.5*22</v>
          </cell>
          <cell r="C54" t="str">
            <v>шт</v>
          </cell>
          <cell r="D54">
            <v>25</v>
          </cell>
          <cell r="E54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1458940
Применение: металл
Размер (D * h * d): 150*2.5*22мм
Абразивный материал - оксид алюминия
Упрочняющий элемент - армированная сетка</v>
          </cell>
          <cell r="F54">
            <v>75</v>
          </cell>
          <cell r="G54">
            <v>99</v>
          </cell>
          <cell r="H54" t="str">
            <v>+</v>
          </cell>
          <cell r="I54">
            <v>75</v>
          </cell>
          <cell r="J54">
            <v>0</v>
          </cell>
          <cell r="K54">
            <v>0</v>
          </cell>
        </row>
        <row r="55">
          <cell r="A55">
            <v>1458950</v>
          </cell>
          <cell r="B55" t="str">
            <v>Круг отрезной Атака по металлу 180*2.5*22</v>
          </cell>
          <cell r="C55" t="str">
            <v>шт</v>
          </cell>
          <cell r="D55">
            <v>25</v>
          </cell>
          <cell r="E55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1458950
Применение: металл
Размер (D * h * d): 180*2.5*22мм
Абразивный материал - оксид алюминия
Упрочняющий элемент - армированная сетка</v>
          </cell>
          <cell r="F55">
            <v>96</v>
          </cell>
          <cell r="G55">
            <v>126</v>
          </cell>
          <cell r="H55" t="str">
            <v>+</v>
          </cell>
          <cell r="I55">
            <v>96</v>
          </cell>
          <cell r="J55">
            <v>0</v>
          </cell>
          <cell r="K55">
            <v>0</v>
          </cell>
        </row>
        <row r="56">
          <cell r="A56">
            <v>1458980</v>
          </cell>
          <cell r="B56" t="str">
            <v>Круг отрезной Атака по металлу 230*2*22</v>
          </cell>
          <cell r="C56" t="str">
            <v>шт</v>
          </cell>
          <cell r="D56">
            <v>25</v>
          </cell>
          <cell r="E56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1458980
Применение: металл
Размер (D * h * d): 230*2*22мм
Абразивный материал - оксид алюминия
Упрочняющий элемент - армированная сетка</v>
          </cell>
          <cell r="F56">
            <v>128</v>
          </cell>
          <cell r="G56">
            <v>171</v>
          </cell>
          <cell r="H56" t="str">
            <v>-</v>
          </cell>
          <cell r="I56">
            <v>128</v>
          </cell>
          <cell r="J56">
            <v>0</v>
          </cell>
          <cell r="K56">
            <v>0</v>
          </cell>
        </row>
        <row r="57">
          <cell r="A57">
            <v>1458990</v>
          </cell>
          <cell r="B57" t="str">
            <v>Круг отрезной Атака по металлу 230*2.5*22</v>
          </cell>
          <cell r="C57" t="str">
            <v>шт</v>
          </cell>
          <cell r="D57">
            <v>25</v>
          </cell>
          <cell r="E57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1458990
Применение: металл
Размер (D * h * d): 230*2.5*22мм
Абразивный материал - оксид алюминия
Упрочняющий элемент - армированная сетка</v>
          </cell>
          <cell r="F57">
            <v>128</v>
          </cell>
          <cell r="G57">
            <v>171</v>
          </cell>
          <cell r="H57" t="str">
            <v>-</v>
          </cell>
          <cell r="I57">
            <v>128</v>
          </cell>
          <cell r="J57">
            <v>0</v>
          </cell>
          <cell r="K57">
            <v>0</v>
          </cell>
        </row>
        <row r="58">
          <cell r="A58">
            <v>1459000</v>
          </cell>
          <cell r="B58" t="str">
            <v>Круг отрезной Атака по металлу 350*3.5*25.4</v>
          </cell>
          <cell r="C58" t="str">
            <v>шт</v>
          </cell>
          <cell r="D58">
            <v>5</v>
          </cell>
          <cell r="E58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1459000
Применение: металл
Размер (D * h * d): 350*3.5*25.4мм
Абразивный материал - оксид алюминия
Упрочняющий элемент - армированная сетка</v>
          </cell>
          <cell r="F58">
            <v>320</v>
          </cell>
          <cell r="G58">
            <v>425</v>
          </cell>
          <cell r="H58" t="str">
            <v>-</v>
          </cell>
          <cell r="I58">
            <v>320</v>
          </cell>
          <cell r="J58">
            <v>0</v>
          </cell>
          <cell r="K58">
            <v>0</v>
          </cell>
        </row>
        <row r="59">
          <cell r="A59">
            <v>1459010</v>
          </cell>
          <cell r="B59" t="str">
            <v>Круг отрезной Атака по металлу 125*1.6*22</v>
          </cell>
          <cell r="C59" t="str">
            <v>шт</v>
          </cell>
          <cell r="D59">
            <v>25</v>
          </cell>
          <cell r="E59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1459010
Применение: металл
Размер (D * h * d): 125*1.6*22мм
Абразивный материал - оксид алюминия
Упрочняющий элемент - армированная сетка</v>
          </cell>
          <cell r="F59">
            <v>55</v>
          </cell>
          <cell r="G59">
            <v>73</v>
          </cell>
          <cell r="H59" t="str">
            <v>-</v>
          </cell>
          <cell r="I59">
            <v>55</v>
          </cell>
          <cell r="J59">
            <v>0</v>
          </cell>
          <cell r="K59">
            <v>0</v>
          </cell>
        </row>
        <row r="60">
          <cell r="A60">
            <v>1459020</v>
          </cell>
          <cell r="B60" t="str">
            <v>Круг отрезной Атака по металлу 300*3.5*32</v>
          </cell>
          <cell r="C60" t="str">
            <v>шт</v>
          </cell>
          <cell r="D60">
            <v>5</v>
          </cell>
          <cell r="E60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1459020
Применение: металл
Размер (D * h * d): 300*3.5*32мм
Абразивный материал - оксид алюминия
Упрочняющий элемент - армированная сетка</v>
          </cell>
          <cell r="F60">
            <v>246</v>
          </cell>
          <cell r="G60">
            <v>323</v>
          </cell>
          <cell r="H60" t="str">
            <v>+</v>
          </cell>
          <cell r="I60">
            <v>246</v>
          </cell>
          <cell r="J60">
            <v>0</v>
          </cell>
          <cell r="K60">
            <v>0</v>
          </cell>
        </row>
        <row r="61">
          <cell r="A61">
            <v>1459030</v>
          </cell>
          <cell r="B61" t="str">
            <v>Круг отрезной Атака по металлу 400*4*32</v>
          </cell>
          <cell r="C61" t="str">
            <v>шт</v>
          </cell>
          <cell r="D61">
            <v>5</v>
          </cell>
          <cell r="E61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1459030
Применение: металл
Размер (D * h * d): 400*4*32мм
Абразив - карбид кремния
Упрочняющий элемент - армированная сетка</v>
          </cell>
          <cell r="F61">
            <v>423</v>
          </cell>
          <cell r="G61">
            <v>561</v>
          </cell>
          <cell r="H61" t="str">
            <v>-</v>
          </cell>
          <cell r="I61">
            <v>423</v>
          </cell>
          <cell r="J61">
            <v>0</v>
          </cell>
          <cell r="K61">
            <v>0</v>
          </cell>
        </row>
        <row r="62">
          <cell r="A62">
            <v>2901370</v>
          </cell>
          <cell r="B62" t="str">
            <v>Круг отрезной Атака по металлу 150*2*22</v>
          </cell>
          <cell r="C62" t="str">
            <v>шт</v>
          </cell>
          <cell r="D62">
            <v>25</v>
          </cell>
          <cell r="E62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2901370
Применение: металл
Размер (D * h * d): 150*2*22мм
Абразивный материал - оксид алюминия
Упрочняющий элемент - армированная сетка</v>
          </cell>
          <cell r="F62">
            <v>87</v>
          </cell>
          <cell r="G62">
            <v>111</v>
          </cell>
          <cell r="H62" t="str">
            <v>+</v>
          </cell>
          <cell r="I62">
            <v>87</v>
          </cell>
          <cell r="J62">
            <v>0</v>
          </cell>
          <cell r="K62">
            <v>0</v>
          </cell>
        </row>
        <row r="63">
          <cell r="A63">
            <v>2901460</v>
          </cell>
          <cell r="B63" t="str">
            <v>Круг отрезной Атака по металлу 350*3*25</v>
          </cell>
          <cell r="C63" t="str">
            <v>шт</v>
          </cell>
          <cell r="D63">
            <v>5</v>
          </cell>
          <cell r="E63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2901460
Применение: металл
Размер (D * h * d): 350*3*25.4мм
Абразивный материал - оксид алюминия
Упрочняющий элемент - армированная сетка</v>
          </cell>
          <cell r="F63">
            <v>301</v>
          </cell>
          <cell r="G63">
            <v>398</v>
          </cell>
          <cell r="H63" t="str">
            <v>-</v>
          </cell>
          <cell r="I63">
            <v>301</v>
          </cell>
          <cell r="J63">
            <v>0</v>
          </cell>
          <cell r="K63">
            <v>0</v>
          </cell>
        </row>
        <row r="64">
          <cell r="A64">
            <v>2901470</v>
          </cell>
          <cell r="B64" t="str">
            <v>Круг отрезной Атака по металлу 350*4*25</v>
          </cell>
          <cell r="C64" t="str">
            <v>шт</v>
          </cell>
          <cell r="D64">
            <v>5</v>
          </cell>
          <cell r="E64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Атака, код 2901470
Применение: металл
Размер (D * h * d): 350*4*25.4мм
Абразивный материал - оксид алюминия
Упрочняющий элемент - армированная сетка</v>
          </cell>
          <cell r="F64">
            <v>339</v>
          </cell>
          <cell r="G64">
            <v>448</v>
          </cell>
          <cell r="H64" t="str">
            <v>+</v>
          </cell>
          <cell r="I64">
            <v>339</v>
          </cell>
          <cell r="J64">
            <v>0</v>
          </cell>
          <cell r="K64">
            <v>0</v>
          </cell>
        </row>
        <row r="65">
          <cell r="A65" t="str">
            <v>Абразив твёрдый (Серия OPTILINE)</v>
          </cell>
        </row>
        <row r="66">
          <cell r="A66" t="str">
            <v>Абразив твёрдый (Серия Профи+)</v>
          </cell>
        </row>
        <row r="67">
          <cell r="A67">
            <v>8094160</v>
          </cell>
          <cell r="B67" t="str">
            <v>Круг отрезной 180*2,5*22,2 по металлу Профи+ Атака</v>
          </cell>
          <cell r="C67" t="str">
            <v>шт</v>
          </cell>
          <cell r="D67">
            <v>25</v>
          </cell>
          <cell r="E67" t="str">
            <v>Отрезные круги являются одним из самых популярных и незаменимых расходных инструментах на строительных площадках и при ремонте. Круги "Атака" отличаются большим ресурсом работы, точностью реза и широким диапазоном применимости.
Круг отрезной Атака Профи+, код 8094160
Применение: металл
Размер (D * h * d): 180*2,5*22,2мм
Абразивный материал - оксид алюминия
Упрочняющий элемент - армированная сетка</v>
          </cell>
          <cell r="F67">
            <v>100</v>
          </cell>
          <cell r="G67">
            <v>121</v>
          </cell>
          <cell r="H67" t="str">
            <v>+</v>
          </cell>
          <cell r="I67">
            <v>100</v>
          </cell>
          <cell r="J67">
            <v>0</v>
          </cell>
          <cell r="K67">
            <v>0</v>
          </cell>
        </row>
        <row r="68">
          <cell r="A68" t="str">
            <v>Адаптеры</v>
          </cell>
        </row>
        <row r="69">
          <cell r="A69">
            <v>8087410</v>
          </cell>
          <cell r="B69" t="str">
            <v>Адаптер SDS+ 1/2" профи Атака</v>
          </cell>
          <cell r="C69" t="str">
            <v>шт</v>
          </cell>
          <cell r="D69">
            <v>10</v>
          </cell>
          <cell r="F69">
            <v>73</v>
          </cell>
          <cell r="G69">
            <v>95</v>
          </cell>
          <cell r="H69" t="str">
            <v>+</v>
          </cell>
          <cell r="I69">
            <v>73</v>
          </cell>
          <cell r="J69">
            <v>0</v>
          </cell>
          <cell r="K69">
            <v>0</v>
          </cell>
        </row>
        <row r="70">
          <cell r="A70">
            <v>8087420</v>
          </cell>
          <cell r="B70" t="str">
            <v>Адаптер SDS+ М12 профи Атака</v>
          </cell>
          <cell r="C70" t="str">
            <v>шт</v>
          </cell>
          <cell r="D70">
            <v>10</v>
          </cell>
          <cell r="F70">
            <v>73</v>
          </cell>
          <cell r="G70">
            <v>95</v>
          </cell>
          <cell r="H70" t="str">
            <v>+</v>
          </cell>
          <cell r="I70">
            <v>73</v>
          </cell>
          <cell r="J70">
            <v>0</v>
          </cell>
          <cell r="K70">
            <v>0</v>
          </cell>
        </row>
        <row r="71">
          <cell r="A71" t="str">
            <v>Буры</v>
          </cell>
        </row>
        <row r="72">
          <cell r="A72">
            <v>8079940</v>
          </cell>
          <cell r="B72" t="str">
            <v>Бур SDS+ 6*160 Профи Атака</v>
          </cell>
          <cell r="C72" t="str">
            <v>шт</v>
          </cell>
          <cell r="D72">
            <v>1</v>
          </cell>
          <cell r="E7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6*160 профи Атака.
Хвостовик – SDS plus
Инструментальная сталь, наконечник из твердого сплава с алмазной шлифовкой.</v>
          </cell>
          <cell r="F72">
            <v>86</v>
          </cell>
          <cell r="G72">
            <v>110</v>
          </cell>
          <cell r="H72" t="str">
            <v>+</v>
          </cell>
          <cell r="I72">
            <v>86</v>
          </cell>
          <cell r="J72">
            <v>0</v>
          </cell>
          <cell r="K72">
            <v>0</v>
          </cell>
        </row>
        <row r="73">
          <cell r="A73">
            <v>8079950</v>
          </cell>
          <cell r="B73" t="str">
            <v>Бур SDS+ 16*450 Профи Атака</v>
          </cell>
          <cell r="C73" t="str">
            <v>шт</v>
          </cell>
          <cell r="D73">
            <v>1</v>
          </cell>
          <cell r="E7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16*450 профи Атака.
Хвостовик – SDS plus
Инструментальная сталь, наконечник из твердого сплава с алмазной шлифовкой.</v>
          </cell>
          <cell r="F73">
            <v>453</v>
          </cell>
          <cell r="G73">
            <v>597</v>
          </cell>
          <cell r="H73" t="str">
            <v>+</v>
          </cell>
          <cell r="I73">
            <v>453</v>
          </cell>
          <cell r="J73">
            <v>0</v>
          </cell>
          <cell r="K73">
            <v>0</v>
          </cell>
        </row>
        <row r="74">
          <cell r="A74">
            <v>8079960</v>
          </cell>
          <cell r="B74" t="str">
            <v>Бур SDS+ 16*310 Профи Атака</v>
          </cell>
          <cell r="C74" t="str">
            <v>шт</v>
          </cell>
          <cell r="D74">
            <v>1</v>
          </cell>
          <cell r="E7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16*310 профи Атака.
Хвостовик – SDS plus
Инструментальная сталь, наконечник из твердого сплава с алмазной шлифовкой.</v>
          </cell>
          <cell r="F74">
            <v>340</v>
          </cell>
          <cell r="G74">
            <v>448</v>
          </cell>
          <cell r="H74" t="str">
            <v>-</v>
          </cell>
          <cell r="I74">
            <v>340</v>
          </cell>
          <cell r="J74">
            <v>0</v>
          </cell>
          <cell r="K74">
            <v>0</v>
          </cell>
        </row>
        <row r="75">
          <cell r="A75">
            <v>8079970</v>
          </cell>
          <cell r="B75" t="str">
            <v>Бур SDS+ 16*260 Профи Атака</v>
          </cell>
          <cell r="C75" t="str">
            <v>шт</v>
          </cell>
          <cell r="D75">
            <v>1</v>
          </cell>
          <cell r="E7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16*260 профи Атака.
Хвостовик – SDS plus
Инструментальная сталь, наконечник из твердого сплава с алмазной шлифовкой.</v>
          </cell>
          <cell r="F75">
            <v>286</v>
          </cell>
          <cell r="G75">
            <v>380</v>
          </cell>
          <cell r="H75" t="str">
            <v>+</v>
          </cell>
          <cell r="I75">
            <v>286</v>
          </cell>
          <cell r="J75">
            <v>0</v>
          </cell>
          <cell r="K75">
            <v>0</v>
          </cell>
        </row>
        <row r="76">
          <cell r="A76">
            <v>8079980</v>
          </cell>
          <cell r="B76" t="str">
            <v>Бур SDS+ 16*210 Профи Атака</v>
          </cell>
          <cell r="C76" t="str">
            <v>шт</v>
          </cell>
          <cell r="D76">
            <v>1</v>
          </cell>
          <cell r="E7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16*210 профи Атака.
Хвостовик – SDS plus
Инструментальная сталь, наконечник из твердого сплава с алмазной шлифовкой.</v>
          </cell>
          <cell r="F76">
            <v>251</v>
          </cell>
          <cell r="G76">
            <v>335</v>
          </cell>
          <cell r="H76" t="str">
            <v>+</v>
          </cell>
          <cell r="I76">
            <v>251</v>
          </cell>
          <cell r="J76">
            <v>0</v>
          </cell>
          <cell r="K76">
            <v>0</v>
          </cell>
        </row>
        <row r="77">
          <cell r="A77">
            <v>8079990</v>
          </cell>
          <cell r="B77" t="str">
            <v>Бур SDS+ 14*450 Профи Атака</v>
          </cell>
          <cell r="C77" t="str">
            <v>шт</v>
          </cell>
          <cell r="D77">
            <v>1</v>
          </cell>
          <cell r="E7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14*450 профи Атака.
Хвостовик – SDS plus
Инструментальная сталь, наконечник из твердого сплава с алмазной шлифовкой.</v>
          </cell>
          <cell r="F77">
            <v>363</v>
          </cell>
          <cell r="G77">
            <v>480</v>
          </cell>
          <cell r="H77" t="str">
            <v>+</v>
          </cell>
          <cell r="I77">
            <v>363</v>
          </cell>
          <cell r="J77">
            <v>0</v>
          </cell>
          <cell r="K77">
            <v>0</v>
          </cell>
        </row>
        <row r="78">
          <cell r="A78">
            <v>8080000</v>
          </cell>
          <cell r="B78" t="str">
            <v>Бур SDS+ 14*310 Профи Атака</v>
          </cell>
          <cell r="C78" t="str">
            <v>шт</v>
          </cell>
          <cell r="D78">
            <v>1</v>
          </cell>
          <cell r="E7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14*310 профи Атака.
Хвостовик – SDS plus
Инструментальная сталь, наконечник из твердого сплава с алмазной шлифовкой.</v>
          </cell>
          <cell r="F78">
            <v>270</v>
          </cell>
          <cell r="G78">
            <v>355</v>
          </cell>
          <cell r="H78" t="str">
            <v>+</v>
          </cell>
          <cell r="I78">
            <v>270</v>
          </cell>
          <cell r="J78">
            <v>0</v>
          </cell>
          <cell r="K78">
            <v>0</v>
          </cell>
        </row>
        <row r="79">
          <cell r="A79">
            <v>8080010</v>
          </cell>
          <cell r="B79" t="str">
            <v>Бур SDS+ 14*260 Профи Атака</v>
          </cell>
          <cell r="C79" t="str">
            <v>шт</v>
          </cell>
          <cell r="D79">
            <v>1</v>
          </cell>
          <cell r="E7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14*260 профи Атака.
Хвостовик – SDS plus
Инструментальная сталь, наконечник из твердого сплава с алмазной шлифовкой.</v>
          </cell>
          <cell r="F79">
            <v>224</v>
          </cell>
          <cell r="G79">
            <v>296</v>
          </cell>
          <cell r="H79" t="str">
            <v>+</v>
          </cell>
          <cell r="I79">
            <v>224</v>
          </cell>
          <cell r="J79">
            <v>0</v>
          </cell>
          <cell r="K79">
            <v>0</v>
          </cell>
        </row>
        <row r="80">
          <cell r="A80">
            <v>8080020</v>
          </cell>
          <cell r="B80" t="str">
            <v>Бур SDS+ 14*210 Профи Атака</v>
          </cell>
          <cell r="C80" t="str">
            <v>шт</v>
          </cell>
          <cell r="D80">
            <v>1</v>
          </cell>
          <cell r="E8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14*210 профи Атака.
Хвостовик – SDS plus
Инструментальная сталь, наконечник из твердого сплава с алмазной шлифовкой.</v>
          </cell>
          <cell r="F80">
            <v>200</v>
          </cell>
          <cell r="G80">
            <v>263</v>
          </cell>
          <cell r="H80" t="str">
            <v>+</v>
          </cell>
          <cell r="I80">
            <v>200</v>
          </cell>
          <cell r="J80">
            <v>0</v>
          </cell>
          <cell r="K80">
            <v>0</v>
          </cell>
        </row>
        <row r="81">
          <cell r="A81">
            <v>8080030</v>
          </cell>
          <cell r="B81" t="str">
            <v>Бур SDS+ 14*160 Профи Атака</v>
          </cell>
          <cell r="C81" t="str">
            <v>шт</v>
          </cell>
          <cell r="D81">
            <v>1</v>
          </cell>
          <cell r="E8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14*160 профи Атака.
Хвостовик – SDS plus
Инструментальная сталь, наконечник из твердого сплава с алмазной шлифовкой.</v>
          </cell>
          <cell r="F81">
            <v>157</v>
          </cell>
          <cell r="G81">
            <v>214</v>
          </cell>
          <cell r="H81" t="str">
            <v>+</v>
          </cell>
          <cell r="I81">
            <v>157</v>
          </cell>
          <cell r="J81">
            <v>0</v>
          </cell>
          <cell r="K81">
            <v>0</v>
          </cell>
        </row>
        <row r="82">
          <cell r="A82">
            <v>8080040</v>
          </cell>
          <cell r="B82" t="str">
            <v>Бур SDS+ 12*450 Профи Атака</v>
          </cell>
          <cell r="C82" t="str">
            <v>шт</v>
          </cell>
          <cell r="D82">
            <v>1</v>
          </cell>
          <cell r="E8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12*450 профи Атака.
Хвостовик – SDS plus
Инструментальная сталь, наконечник из твердого сплава с алмазной шлифовкой.</v>
          </cell>
          <cell r="F82">
            <v>323</v>
          </cell>
          <cell r="G82">
            <v>427</v>
          </cell>
          <cell r="H82" t="str">
            <v>+</v>
          </cell>
          <cell r="I82">
            <v>323</v>
          </cell>
          <cell r="J82">
            <v>0</v>
          </cell>
          <cell r="K82">
            <v>0</v>
          </cell>
        </row>
        <row r="83">
          <cell r="A83">
            <v>8080050</v>
          </cell>
          <cell r="B83" t="str">
            <v>Бур SDS+ 12*350 Профи Атака</v>
          </cell>
          <cell r="C83" t="str">
            <v>шт</v>
          </cell>
          <cell r="D83">
            <v>1</v>
          </cell>
          <cell r="E8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12*350 профи Атака.
Хвостовик – SDS plus
Инструментальная сталь, наконечник из твердого сплава с алмазной шлифовкой.</v>
          </cell>
          <cell r="F83">
            <v>237</v>
          </cell>
          <cell r="G83">
            <v>311</v>
          </cell>
          <cell r="H83" t="str">
            <v>+</v>
          </cell>
          <cell r="I83">
            <v>237</v>
          </cell>
          <cell r="J83">
            <v>0</v>
          </cell>
          <cell r="K83">
            <v>0</v>
          </cell>
        </row>
        <row r="84">
          <cell r="A84">
            <v>8080060</v>
          </cell>
          <cell r="B84" t="str">
            <v>Бур SDS+ 12*310 Профи Атака</v>
          </cell>
          <cell r="C84" t="str">
            <v>шт</v>
          </cell>
          <cell r="D84">
            <v>1</v>
          </cell>
          <cell r="E8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12*310 профи Атака.
Хвостовик – SDS plus
Инструментальная сталь, наконечник из твердого сплава с алмазной шлифовкой.</v>
          </cell>
          <cell r="F84">
            <v>210</v>
          </cell>
          <cell r="G84">
            <v>277</v>
          </cell>
          <cell r="H84" t="str">
            <v>+</v>
          </cell>
          <cell r="I84">
            <v>210</v>
          </cell>
          <cell r="J84">
            <v>0</v>
          </cell>
          <cell r="K84">
            <v>0</v>
          </cell>
        </row>
        <row r="85">
          <cell r="A85">
            <v>8080070</v>
          </cell>
          <cell r="B85" t="str">
            <v>Бур SDS+ 12*260 Профи Атака</v>
          </cell>
          <cell r="C85" t="str">
            <v>шт</v>
          </cell>
          <cell r="D85">
            <v>1</v>
          </cell>
          <cell r="E8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12*260 профи Атака.
Хвостовик – SDS plus
Инструментальная сталь, наконечник из твердого сплава с алмазной шлифовкой.</v>
          </cell>
          <cell r="F85">
            <v>165</v>
          </cell>
          <cell r="G85">
            <v>215</v>
          </cell>
          <cell r="H85" t="str">
            <v>-</v>
          </cell>
          <cell r="I85">
            <v>165</v>
          </cell>
          <cell r="J85">
            <v>0</v>
          </cell>
          <cell r="K85">
            <v>0</v>
          </cell>
        </row>
        <row r="86">
          <cell r="A86">
            <v>8080080</v>
          </cell>
          <cell r="B86" t="str">
            <v>Бур SDS+ 12*210 Профи Атака</v>
          </cell>
          <cell r="C86" t="str">
            <v>шт</v>
          </cell>
          <cell r="D86">
            <v>1</v>
          </cell>
          <cell r="E8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12*210 профи Атака.
Хвостовик – SDS plus
Инструментальная сталь, наконечник из твердого сплава с алмазной шлифовкой.</v>
          </cell>
          <cell r="F86">
            <v>138</v>
          </cell>
          <cell r="G86">
            <v>177</v>
          </cell>
          <cell r="H86" t="str">
            <v>+</v>
          </cell>
          <cell r="I86">
            <v>138</v>
          </cell>
          <cell r="J86">
            <v>0</v>
          </cell>
          <cell r="K86">
            <v>0</v>
          </cell>
        </row>
        <row r="87">
          <cell r="A87">
            <v>8080090</v>
          </cell>
          <cell r="B87" t="str">
            <v>Бур SDS+ 12*160 Профи Атака</v>
          </cell>
          <cell r="C87" t="str">
            <v>шт</v>
          </cell>
          <cell r="D87">
            <v>1</v>
          </cell>
          <cell r="E8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12*160 профи Атака.
Хвостовик – SDS plus
Инструментальная сталь, наконечник из твердого сплава с алмазной шлифовкой.</v>
          </cell>
          <cell r="F87">
            <v>113</v>
          </cell>
          <cell r="G87">
            <v>141</v>
          </cell>
          <cell r="H87" t="str">
            <v>+</v>
          </cell>
          <cell r="I87">
            <v>113</v>
          </cell>
          <cell r="J87">
            <v>0</v>
          </cell>
          <cell r="K87">
            <v>0</v>
          </cell>
        </row>
        <row r="88">
          <cell r="A88">
            <v>8080100</v>
          </cell>
          <cell r="B88" t="str">
            <v>Бур SDS+ 10*600 Профи Атака</v>
          </cell>
          <cell r="C88" t="str">
            <v>шт</v>
          </cell>
          <cell r="D88">
            <v>1</v>
          </cell>
          <cell r="E8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10*600 профи Атака.
Хвостовик – SDS plus
Инструментальная сталь, наконечник из твердого сплава с алмазной шлифовкой.</v>
          </cell>
          <cell r="F88">
            <v>397</v>
          </cell>
          <cell r="G88">
            <v>524</v>
          </cell>
          <cell r="H88" t="str">
            <v>+</v>
          </cell>
          <cell r="I88">
            <v>397</v>
          </cell>
          <cell r="J88">
            <v>0</v>
          </cell>
          <cell r="K88">
            <v>0</v>
          </cell>
        </row>
        <row r="89">
          <cell r="A89">
            <v>8080110</v>
          </cell>
          <cell r="B89" t="str">
            <v>Бур SDS+ 10*450 Профи Атака</v>
          </cell>
          <cell r="C89" t="str">
            <v>шт</v>
          </cell>
          <cell r="D89">
            <v>1</v>
          </cell>
          <cell r="E8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10*450 профи Атака.
Хвостовик – SDS plus
Инструментальная сталь, наконечник из твердого сплава с алмазной шлифовкой.</v>
          </cell>
          <cell r="F89">
            <v>300</v>
          </cell>
          <cell r="G89">
            <v>399</v>
          </cell>
          <cell r="H89" t="str">
            <v>+</v>
          </cell>
          <cell r="I89">
            <v>300</v>
          </cell>
          <cell r="J89">
            <v>0</v>
          </cell>
          <cell r="K89">
            <v>0</v>
          </cell>
        </row>
        <row r="90">
          <cell r="A90">
            <v>8080120</v>
          </cell>
          <cell r="B90" t="str">
            <v>Бур SDS+ 10*350 Профи Атака</v>
          </cell>
          <cell r="C90" t="str">
            <v>шт</v>
          </cell>
          <cell r="D90">
            <v>1</v>
          </cell>
          <cell r="E9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10*350 профи Атака.
Хвостовик – SDS plus
Инструментальная сталь, наконечник из твердого сплава с алмазной шлифовкой.</v>
          </cell>
          <cell r="F90">
            <v>227</v>
          </cell>
          <cell r="G90">
            <v>301</v>
          </cell>
          <cell r="H90" t="str">
            <v>+</v>
          </cell>
          <cell r="I90">
            <v>227</v>
          </cell>
          <cell r="J90">
            <v>0</v>
          </cell>
          <cell r="K90">
            <v>0</v>
          </cell>
        </row>
        <row r="91">
          <cell r="A91">
            <v>8080130</v>
          </cell>
          <cell r="B91" t="str">
            <v>Бур SDS+ 10*310 Профи Атака</v>
          </cell>
          <cell r="C91" t="str">
            <v>шт</v>
          </cell>
          <cell r="D91">
            <v>1</v>
          </cell>
          <cell r="E9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10*310 профи Атака.
Хвостовик – SDS plus
Инструментальная сталь, наконечник из твердого сплава с алмазной шлифовкой.</v>
          </cell>
          <cell r="F91">
            <v>182</v>
          </cell>
          <cell r="G91">
            <v>226</v>
          </cell>
          <cell r="H91" t="str">
            <v>+</v>
          </cell>
          <cell r="I91">
            <v>182</v>
          </cell>
          <cell r="J91">
            <v>0</v>
          </cell>
          <cell r="K91">
            <v>0</v>
          </cell>
        </row>
        <row r="92">
          <cell r="A92">
            <v>8080140</v>
          </cell>
          <cell r="B92" t="str">
            <v>Бур SDS+ 10*260 Профи Атака</v>
          </cell>
          <cell r="C92" t="str">
            <v>шт</v>
          </cell>
          <cell r="D92">
            <v>1</v>
          </cell>
          <cell r="E9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10*260 профи Атака.
Хвостовик – SDS plus
Инструментальная сталь, наконечник из твердого сплава с алмазной шлифовкой.</v>
          </cell>
          <cell r="F92">
            <v>141</v>
          </cell>
          <cell r="G92">
            <v>183</v>
          </cell>
          <cell r="H92" t="str">
            <v>+</v>
          </cell>
          <cell r="I92">
            <v>141</v>
          </cell>
          <cell r="J92">
            <v>0</v>
          </cell>
          <cell r="K92">
            <v>0</v>
          </cell>
        </row>
        <row r="93">
          <cell r="A93">
            <v>8080150</v>
          </cell>
          <cell r="B93" t="str">
            <v>Бур SDS+ 10*210 Профи Атака</v>
          </cell>
          <cell r="C93" t="str">
            <v>шт</v>
          </cell>
          <cell r="D93">
            <v>1</v>
          </cell>
          <cell r="E9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10*210 профи Атака.
Хвостовик – SDS plus
Инструментальная сталь, наконечник из твердого сплава с алмазной шлифовкой.</v>
          </cell>
          <cell r="F93">
            <v>124</v>
          </cell>
          <cell r="G93">
            <v>157</v>
          </cell>
          <cell r="H93" t="str">
            <v>+</v>
          </cell>
          <cell r="I93">
            <v>124</v>
          </cell>
          <cell r="J93">
            <v>0</v>
          </cell>
          <cell r="K93">
            <v>0</v>
          </cell>
        </row>
        <row r="94">
          <cell r="A94">
            <v>8080160</v>
          </cell>
          <cell r="B94" t="str">
            <v>Бур SDS+ 10*160 Профи Атака</v>
          </cell>
          <cell r="C94" t="str">
            <v>шт</v>
          </cell>
          <cell r="D94">
            <v>1</v>
          </cell>
          <cell r="E9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10*160 профи Атака.
Хвостовик – SDS plus
Инструментальная сталь, наконечник из твердого сплава с алмазной шлифовкой.</v>
          </cell>
          <cell r="F94">
            <v>108</v>
          </cell>
          <cell r="G94">
            <v>141</v>
          </cell>
          <cell r="H94" t="str">
            <v>+</v>
          </cell>
          <cell r="I94">
            <v>108</v>
          </cell>
          <cell r="J94">
            <v>0</v>
          </cell>
          <cell r="K94">
            <v>0</v>
          </cell>
        </row>
        <row r="95">
          <cell r="A95">
            <v>8080170</v>
          </cell>
          <cell r="B95" t="str">
            <v>Бур SDS+ 8*310 Профи Атака</v>
          </cell>
          <cell r="C95" t="str">
            <v>шт</v>
          </cell>
          <cell r="D95">
            <v>1</v>
          </cell>
          <cell r="E9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8*310 профи Атака.
Хвостовик – SDS plus
Инструментальная сталь, наконечник из твердого сплава с алмазной шлифовкой.</v>
          </cell>
          <cell r="F95">
            <v>182</v>
          </cell>
          <cell r="G95">
            <v>240</v>
          </cell>
          <cell r="H95" t="str">
            <v>+</v>
          </cell>
          <cell r="I95">
            <v>182</v>
          </cell>
          <cell r="J95">
            <v>0</v>
          </cell>
          <cell r="K95">
            <v>0</v>
          </cell>
        </row>
        <row r="96">
          <cell r="A96">
            <v>8080180</v>
          </cell>
          <cell r="B96" t="str">
            <v>Бур SDS+ 8*260 Профи Атака</v>
          </cell>
          <cell r="C96" t="str">
            <v>шт</v>
          </cell>
          <cell r="D96">
            <v>1</v>
          </cell>
          <cell r="E9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8*260 профи Атака.
Хвостовик – SDS plus
Инструментальная сталь, наконечник из твердого сплава с алмазной шлифовкой.</v>
          </cell>
          <cell r="F96">
            <v>147</v>
          </cell>
          <cell r="G96">
            <v>196</v>
          </cell>
          <cell r="H96" t="str">
            <v>+</v>
          </cell>
          <cell r="I96">
            <v>147</v>
          </cell>
          <cell r="J96">
            <v>0</v>
          </cell>
          <cell r="K96">
            <v>0</v>
          </cell>
        </row>
        <row r="97">
          <cell r="A97">
            <v>8080190</v>
          </cell>
          <cell r="B97" t="str">
            <v>Бур SDS+ 6*260 Профи Атака</v>
          </cell>
          <cell r="C97" t="str">
            <v>шт</v>
          </cell>
          <cell r="D97">
            <v>1</v>
          </cell>
          <cell r="E9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6*260 профи Атака.
Хвостовик – SDS plus
Инструментальная сталь, наконечник из твердого сплава с алмазной шлифовкой.</v>
          </cell>
          <cell r="F97">
            <v>120</v>
          </cell>
          <cell r="G97">
            <v>160</v>
          </cell>
          <cell r="H97" t="str">
            <v>+</v>
          </cell>
          <cell r="I97">
            <v>120</v>
          </cell>
          <cell r="J97">
            <v>0</v>
          </cell>
          <cell r="K97">
            <v>0</v>
          </cell>
        </row>
        <row r="98">
          <cell r="A98">
            <v>8080200</v>
          </cell>
          <cell r="B98" t="str">
            <v>Бур SDS+ 8*210 Профи Атака</v>
          </cell>
          <cell r="C98" t="str">
            <v>шт</v>
          </cell>
          <cell r="D98">
            <v>1</v>
          </cell>
          <cell r="E9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8*210 профи Атака.
Хвостовик – SDS plus
Инструментальная сталь, наконечник из твердого сплава с алмазной шлифовкой.</v>
          </cell>
          <cell r="F98">
            <v>115</v>
          </cell>
          <cell r="G98">
            <v>150</v>
          </cell>
          <cell r="H98" t="str">
            <v>+</v>
          </cell>
          <cell r="I98">
            <v>115</v>
          </cell>
          <cell r="J98">
            <v>0</v>
          </cell>
          <cell r="K98">
            <v>0</v>
          </cell>
        </row>
        <row r="99">
          <cell r="A99">
            <v>8080210</v>
          </cell>
          <cell r="B99" t="str">
            <v>Бур SDS+ 8*160 Профи Атака</v>
          </cell>
          <cell r="C99" t="str">
            <v>шт</v>
          </cell>
          <cell r="D99">
            <v>1</v>
          </cell>
          <cell r="E9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8*160 профи Атака.
Хвостовик – SDS plus
Инструментальная сталь, наконечник из твердого сплава с алмазной шлифовкой.</v>
          </cell>
          <cell r="F99">
            <v>95</v>
          </cell>
          <cell r="G99">
            <v>120</v>
          </cell>
          <cell r="H99" t="str">
            <v>+</v>
          </cell>
          <cell r="I99">
            <v>95</v>
          </cell>
          <cell r="J99">
            <v>0</v>
          </cell>
          <cell r="K99">
            <v>0</v>
          </cell>
        </row>
        <row r="100">
          <cell r="A100">
            <v>8080220</v>
          </cell>
          <cell r="B100" t="str">
            <v>Бур SDS+ 8*110 Профи Атака</v>
          </cell>
          <cell r="C100" t="str">
            <v>шт</v>
          </cell>
          <cell r="D100">
            <v>1</v>
          </cell>
          <cell r="E10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8*110 профи Атака.
Хвостовик – SDS plus
Инструментальная сталь, наконечник из твердого сплава с алмазной шлифовкой.</v>
          </cell>
          <cell r="F100">
            <v>84</v>
          </cell>
          <cell r="G100">
            <v>108</v>
          </cell>
          <cell r="H100" t="str">
            <v>+</v>
          </cell>
          <cell r="I100">
            <v>84</v>
          </cell>
          <cell r="J100">
            <v>0</v>
          </cell>
          <cell r="K100">
            <v>0</v>
          </cell>
        </row>
        <row r="101">
          <cell r="A101">
            <v>8080230</v>
          </cell>
          <cell r="B101" t="str">
            <v>Бур SDS+ 7*160 Профи Атака</v>
          </cell>
          <cell r="C101" t="str">
            <v>шт</v>
          </cell>
          <cell r="D101">
            <v>1</v>
          </cell>
          <cell r="E10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7*160 профи Атака.
Хвостовик – SDS plus
Инструментальная сталь, наконечник из твердого сплава с алмазной шлифовкой.</v>
          </cell>
          <cell r="F101">
            <v>102</v>
          </cell>
          <cell r="G101">
            <v>138</v>
          </cell>
          <cell r="H101" t="str">
            <v>+</v>
          </cell>
          <cell r="I101">
            <v>102</v>
          </cell>
          <cell r="J101">
            <v>0</v>
          </cell>
          <cell r="K101">
            <v>0</v>
          </cell>
        </row>
        <row r="102">
          <cell r="A102">
            <v>8080240</v>
          </cell>
          <cell r="B102" t="str">
            <v>Бур SDS+ 6*210 Профи Атака</v>
          </cell>
          <cell r="C102" t="str">
            <v>шт</v>
          </cell>
          <cell r="D102">
            <v>1</v>
          </cell>
          <cell r="E10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6*210 профи Атака.
Хвостовик – SDS plus
Инструментальная сталь, наконечник из твердого сплава с алмазной шлифовкой.</v>
          </cell>
          <cell r="F102">
            <v>111</v>
          </cell>
          <cell r="G102">
            <v>146</v>
          </cell>
          <cell r="H102" t="str">
            <v>+</v>
          </cell>
          <cell r="I102">
            <v>111</v>
          </cell>
          <cell r="J102">
            <v>0</v>
          </cell>
          <cell r="K102">
            <v>0</v>
          </cell>
        </row>
        <row r="103">
          <cell r="A103">
            <v>8080250</v>
          </cell>
          <cell r="B103" t="str">
            <v>Бур SDS+ 6*110 Профи Атака</v>
          </cell>
          <cell r="C103" t="str">
            <v>шт</v>
          </cell>
          <cell r="D103">
            <v>1</v>
          </cell>
          <cell r="E10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6*110 профи Атака.
Хвостовик – SDS plus
Инструментальная сталь, наконечник из твердого сплава с алмазной шлифовкой.</v>
          </cell>
          <cell r="F103">
            <v>80</v>
          </cell>
          <cell r="G103">
            <v>104</v>
          </cell>
          <cell r="H103" t="str">
            <v>+</v>
          </cell>
          <cell r="I103">
            <v>80</v>
          </cell>
          <cell r="J103">
            <v>0</v>
          </cell>
          <cell r="K103">
            <v>0</v>
          </cell>
        </row>
        <row r="104">
          <cell r="A104">
            <v>8080260</v>
          </cell>
          <cell r="B104" t="str">
            <v>Бур SDS+ 5*160 Профи Атака</v>
          </cell>
          <cell r="C104" t="str">
            <v>шт</v>
          </cell>
          <cell r="D104">
            <v>1</v>
          </cell>
          <cell r="E10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5*160 профи Атака.
Хвостовик – SDS plus
Инструментальная сталь, наконечник из твердого сплава с алмазной шлифовкой.</v>
          </cell>
          <cell r="F104">
            <v>89</v>
          </cell>
          <cell r="G104">
            <v>114</v>
          </cell>
          <cell r="H104" t="str">
            <v>+</v>
          </cell>
          <cell r="I104">
            <v>89</v>
          </cell>
          <cell r="J104">
            <v>0</v>
          </cell>
          <cell r="K104">
            <v>0</v>
          </cell>
        </row>
        <row r="105">
          <cell r="A105">
            <v>8080270</v>
          </cell>
          <cell r="B105" t="str">
            <v>Бур SDS+ 5*110 Профи Атака</v>
          </cell>
          <cell r="C105" t="str">
            <v>шт</v>
          </cell>
          <cell r="D105">
            <v>1</v>
          </cell>
          <cell r="E10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5*110 профи Атака.
Хвостовик – SDS plus
Инструментальная сталь, наконечник из твердого сплава с алмазной шлифовкой.</v>
          </cell>
          <cell r="F105">
            <v>83</v>
          </cell>
          <cell r="G105">
            <v>107</v>
          </cell>
          <cell r="H105" t="str">
            <v>+</v>
          </cell>
          <cell r="I105">
            <v>83</v>
          </cell>
          <cell r="J105">
            <v>0</v>
          </cell>
          <cell r="K105">
            <v>0</v>
          </cell>
        </row>
        <row r="106">
          <cell r="A106">
            <v>8080280</v>
          </cell>
          <cell r="B106" t="str">
            <v>Бур SDS+ 6*160 кросс Профи Атака</v>
          </cell>
          <cell r="C106" t="str">
            <v>шт</v>
          </cell>
          <cell r="D106">
            <v>1</v>
          </cell>
          <cell r="E10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6*160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06">
            <v>99</v>
          </cell>
          <cell r="G106">
            <v>128</v>
          </cell>
          <cell r="H106" t="str">
            <v>+</v>
          </cell>
          <cell r="I106">
            <v>99</v>
          </cell>
          <cell r="J106">
            <v>0</v>
          </cell>
          <cell r="K106">
            <v>0</v>
          </cell>
        </row>
        <row r="107">
          <cell r="A107">
            <v>8080290</v>
          </cell>
          <cell r="B107" t="str">
            <v>Бур SDS+ 8*160 кросс Профи Атака</v>
          </cell>
          <cell r="C107" t="str">
            <v>шт</v>
          </cell>
          <cell r="D107">
            <v>1</v>
          </cell>
          <cell r="E10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8*160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07">
            <v>120</v>
          </cell>
          <cell r="G107">
            <v>158</v>
          </cell>
          <cell r="H107" t="str">
            <v>+</v>
          </cell>
          <cell r="I107">
            <v>120</v>
          </cell>
          <cell r="J107">
            <v>0</v>
          </cell>
          <cell r="K107">
            <v>0</v>
          </cell>
        </row>
        <row r="108">
          <cell r="A108">
            <v>8080300</v>
          </cell>
          <cell r="B108" t="str">
            <v>Бур SDS+ 8*260 кросс Профи Атака</v>
          </cell>
          <cell r="C108" t="str">
            <v>шт</v>
          </cell>
          <cell r="D108">
            <v>1</v>
          </cell>
          <cell r="E10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8*260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08">
            <v>151</v>
          </cell>
          <cell r="G108">
            <v>201</v>
          </cell>
          <cell r="H108" t="str">
            <v>+</v>
          </cell>
          <cell r="I108">
            <v>151</v>
          </cell>
          <cell r="J108">
            <v>0</v>
          </cell>
          <cell r="K108">
            <v>0</v>
          </cell>
        </row>
        <row r="109">
          <cell r="A109">
            <v>8080310</v>
          </cell>
          <cell r="B109" t="str">
            <v>Бур SDS+ 10*210 кросс Профи Атака</v>
          </cell>
          <cell r="C109" t="str">
            <v>шт</v>
          </cell>
          <cell r="D109">
            <v>1</v>
          </cell>
          <cell r="E10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10*210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09">
            <v>162</v>
          </cell>
          <cell r="G109">
            <v>214</v>
          </cell>
          <cell r="H109" t="str">
            <v>-</v>
          </cell>
          <cell r="I109">
            <v>162</v>
          </cell>
          <cell r="J109">
            <v>0</v>
          </cell>
          <cell r="K109">
            <v>0</v>
          </cell>
        </row>
        <row r="110">
          <cell r="A110">
            <v>8080320</v>
          </cell>
          <cell r="B110" t="str">
            <v>Бур SDS+ 10*260 кросс Профи Атака</v>
          </cell>
          <cell r="C110" t="str">
            <v>шт</v>
          </cell>
          <cell r="D110">
            <v>1</v>
          </cell>
          <cell r="E11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10*260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10">
            <v>179</v>
          </cell>
          <cell r="G110">
            <v>235</v>
          </cell>
          <cell r="H110" t="str">
            <v>+</v>
          </cell>
          <cell r="I110">
            <v>179</v>
          </cell>
          <cell r="J110">
            <v>0</v>
          </cell>
          <cell r="K110">
            <v>0</v>
          </cell>
        </row>
        <row r="111">
          <cell r="A111">
            <v>8080330</v>
          </cell>
          <cell r="B111" t="str">
            <v>Бур SDS+ 12*210 кросс Профи Атака</v>
          </cell>
          <cell r="C111" t="str">
            <v>шт</v>
          </cell>
          <cell r="D111">
            <v>1</v>
          </cell>
          <cell r="E11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12*210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11">
            <v>194</v>
          </cell>
          <cell r="G111">
            <v>255</v>
          </cell>
          <cell r="H111" t="str">
            <v>+</v>
          </cell>
          <cell r="I111">
            <v>194</v>
          </cell>
          <cell r="J111">
            <v>0</v>
          </cell>
          <cell r="K111">
            <v>0</v>
          </cell>
        </row>
        <row r="112">
          <cell r="A112">
            <v>8084340</v>
          </cell>
          <cell r="B112" t="str">
            <v>Бур SDS+ 32*450 Профи Атака</v>
          </cell>
          <cell r="C112" t="str">
            <v>шт</v>
          </cell>
          <cell r="D112">
            <v>1</v>
          </cell>
          <cell r="E11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32*450 профи Атака.
Хвостовик – SDS plus
Инструментальная сталь, наконечник из твердого сплава с алмазной шлифовкой.</v>
          </cell>
          <cell r="F112">
            <v>2052</v>
          </cell>
          <cell r="G112">
            <v>2728</v>
          </cell>
          <cell r="H112" t="str">
            <v>-</v>
          </cell>
          <cell r="I112">
            <v>2052</v>
          </cell>
          <cell r="J112">
            <v>0</v>
          </cell>
          <cell r="K112">
            <v>0</v>
          </cell>
        </row>
        <row r="113">
          <cell r="A113">
            <v>8084350</v>
          </cell>
          <cell r="B113" t="str">
            <v>Бур SDS+ 30*1000 Профи Атака</v>
          </cell>
          <cell r="C113" t="str">
            <v>шт</v>
          </cell>
          <cell r="D113">
            <v>1</v>
          </cell>
          <cell r="E11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30*1000 профи Атака.
Хвостовик – SDS plus
Инструментальная сталь, наконечник из твердого сплава с алмазной шлифовкой.</v>
          </cell>
          <cell r="F113">
            <v>3523</v>
          </cell>
          <cell r="G113">
            <v>4682</v>
          </cell>
          <cell r="H113" t="str">
            <v>+</v>
          </cell>
          <cell r="I113">
            <v>3523</v>
          </cell>
          <cell r="J113">
            <v>0</v>
          </cell>
          <cell r="K113">
            <v>0</v>
          </cell>
        </row>
        <row r="114">
          <cell r="A114">
            <v>8084360</v>
          </cell>
          <cell r="B114" t="str">
            <v>Бур SDS+ 30*600 Профи Атака</v>
          </cell>
          <cell r="C114" t="str">
            <v>шт</v>
          </cell>
          <cell r="D114">
            <v>1</v>
          </cell>
          <cell r="E11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30*600 профи Атака.
Хвостовик – SDS plus
Инструментальная сталь, наконечник из твердого сплава с алмазной шлифовкой.</v>
          </cell>
          <cell r="F114">
            <v>2156</v>
          </cell>
          <cell r="G114">
            <v>2871</v>
          </cell>
          <cell r="H114" t="str">
            <v>-</v>
          </cell>
          <cell r="I114">
            <v>2156</v>
          </cell>
          <cell r="J114">
            <v>0</v>
          </cell>
          <cell r="K114">
            <v>0</v>
          </cell>
        </row>
        <row r="115">
          <cell r="A115">
            <v>8084370</v>
          </cell>
          <cell r="B115" t="str">
            <v>Бур SDS+ 30*450 Профи Атака</v>
          </cell>
          <cell r="C115" t="str">
            <v>шт</v>
          </cell>
          <cell r="D115">
            <v>1</v>
          </cell>
          <cell r="E11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30*450 профи Атака.
Хвостовик – SDS plus
Инструментальная сталь, наконечник из твердого сплава с алмазной шлифовкой.</v>
          </cell>
          <cell r="F115">
            <v>1608</v>
          </cell>
          <cell r="G115">
            <v>2132</v>
          </cell>
          <cell r="H115" t="str">
            <v>-</v>
          </cell>
          <cell r="I115">
            <v>1608</v>
          </cell>
          <cell r="J115">
            <v>0</v>
          </cell>
          <cell r="K115">
            <v>0</v>
          </cell>
        </row>
        <row r="116">
          <cell r="A116">
            <v>8084380</v>
          </cell>
          <cell r="B116" t="str">
            <v>Бур SDS+ 28*600 Профи Атака</v>
          </cell>
          <cell r="C116" t="str">
            <v>шт</v>
          </cell>
          <cell r="D116">
            <v>1</v>
          </cell>
          <cell r="E11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28*600 профи Атака.
Хвостовик – SDS plus
Инструментальная сталь, наконечник из твердого сплава с алмазной шлифовкой.</v>
          </cell>
          <cell r="F116">
            <v>1878</v>
          </cell>
          <cell r="G116">
            <v>2498</v>
          </cell>
          <cell r="H116" t="str">
            <v>+</v>
          </cell>
          <cell r="I116">
            <v>1878</v>
          </cell>
          <cell r="J116">
            <v>0</v>
          </cell>
          <cell r="K116">
            <v>0</v>
          </cell>
        </row>
        <row r="117">
          <cell r="A117">
            <v>8084390</v>
          </cell>
          <cell r="B117" t="str">
            <v>Бур SDS+ 28*450 Профи Атака</v>
          </cell>
          <cell r="C117" t="str">
            <v>шт</v>
          </cell>
          <cell r="D117">
            <v>1</v>
          </cell>
          <cell r="E11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28*450 профи Атака.
Хвостовик – SDS plus
Инструментальная сталь, наконечник из твердого сплава с алмазной шлифовкой.</v>
          </cell>
          <cell r="F117">
            <v>1403</v>
          </cell>
          <cell r="G117">
            <v>1866</v>
          </cell>
          <cell r="H117" t="str">
            <v>+</v>
          </cell>
          <cell r="I117">
            <v>1403</v>
          </cell>
          <cell r="J117">
            <v>0</v>
          </cell>
          <cell r="K117">
            <v>0</v>
          </cell>
        </row>
        <row r="118">
          <cell r="A118">
            <v>8084400</v>
          </cell>
          <cell r="B118" t="str">
            <v>Бур SDS+ 28*310 Профи Атака</v>
          </cell>
          <cell r="C118" t="str">
            <v>шт</v>
          </cell>
          <cell r="D118">
            <v>1</v>
          </cell>
          <cell r="E11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28*310 профи Атака.
Хвостовик – SDS plus
Инструментальная сталь, наконечник из твердого сплава с алмазной шлифовкой.</v>
          </cell>
          <cell r="F118">
            <v>1065</v>
          </cell>
          <cell r="G118">
            <v>1416</v>
          </cell>
          <cell r="H118" t="str">
            <v>-</v>
          </cell>
          <cell r="I118">
            <v>1065</v>
          </cell>
          <cell r="J118">
            <v>0</v>
          </cell>
          <cell r="K118">
            <v>0</v>
          </cell>
        </row>
        <row r="119">
          <cell r="A119">
            <v>8084410</v>
          </cell>
          <cell r="B119" t="str">
            <v>Бур SDS+ 26*1000 Профи Атака</v>
          </cell>
          <cell r="C119" t="str">
            <v>шт</v>
          </cell>
          <cell r="D119">
            <v>1</v>
          </cell>
          <cell r="E11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26*1000 профи Атака.
Хвостовик – SDS plus
Инструментальная сталь, наконечник из твердого сплава с алмазной шлифовкой.</v>
          </cell>
          <cell r="F119">
            <v>2758</v>
          </cell>
          <cell r="G119">
            <v>3669</v>
          </cell>
          <cell r="H119" t="str">
            <v>+</v>
          </cell>
          <cell r="I119">
            <v>2758</v>
          </cell>
          <cell r="J119">
            <v>0</v>
          </cell>
          <cell r="K119">
            <v>0</v>
          </cell>
        </row>
        <row r="120">
          <cell r="A120">
            <v>8084420</v>
          </cell>
          <cell r="B120" t="str">
            <v>Бур SDS+ 26*600 Профи Атака</v>
          </cell>
          <cell r="C120" t="str">
            <v>шт</v>
          </cell>
          <cell r="D120">
            <v>1</v>
          </cell>
          <cell r="E12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26*600 профи Атака.
Хвостовик – SDS plus
Инструментальная сталь, наконечник из твердого сплава с алмазной шлифовкой.</v>
          </cell>
          <cell r="F120">
            <v>1588</v>
          </cell>
          <cell r="G120">
            <v>2112</v>
          </cell>
          <cell r="H120" t="str">
            <v>+</v>
          </cell>
          <cell r="I120">
            <v>1588</v>
          </cell>
          <cell r="J120">
            <v>0</v>
          </cell>
          <cell r="K120">
            <v>0</v>
          </cell>
        </row>
        <row r="121">
          <cell r="A121">
            <v>8084430</v>
          </cell>
          <cell r="B121" t="str">
            <v>Бур SDS+ 26*450 Профи Атака</v>
          </cell>
          <cell r="C121" t="str">
            <v>шт</v>
          </cell>
          <cell r="D121">
            <v>1</v>
          </cell>
          <cell r="E12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26*450 профи Атака.
Хвостовик – SDS plus
Инструментальная сталь, наконечник из твердого сплава с алмазной шлифовкой.</v>
          </cell>
          <cell r="F121">
            <v>1160</v>
          </cell>
          <cell r="G121">
            <v>1536</v>
          </cell>
          <cell r="H121" t="str">
            <v>-</v>
          </cell>
          <cell r="I121">
            <v>1160</v>
          </cell>
          <cell r="J121">
            <v>0</v>
          </cell>
          <cell r="K121">
            <v>0</v>
          </cell>
        </row>
        <row r="122">
          <cell r="A122">
            <v>8084440</v>
          </cell>
          <cell r="B122" t="str">
            <v>Бур SDS+ 26*310 Профи Атака</v>
          </cell>
          <cell r="C122" t="str">
            <v>шт</v>
          </cell>
          <cell r="D122">
            <v>1</v>
          </cell>
          <cell r="E12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26*310 профи Атака.
Хвостовик – SDS plus
Инструментальная сталь, наконечник из твердого сплава с алмазной шлифовкой.</v>
          </cell>
          <cell r="F122">
            <v>875</v>
          </cell>
          <cell r="G122">
            <v>1162</v>
          </cell>
          <cell r="H122" t="str">
            <v>+</v>
          </cell>
          <cell r="I122">
            <v>875</v>
          </cell>
          <cell r="J122">
            <v>0</v>
          </cell>
          <cell r="K122">
            <v>0</v>
          </cell>
        </row>
        <row r="123">
          <cell r="A123">
            <v>8084450</v>
          </cell>
          <cell r="B123" t="str">
            <v>Бур SDS+ 25*1000 Профи Атака</v>
          </cell>
          <cell r="C123" t="str">
            <v>шт</v>
          </cell>
          <cell r="D123">
            <v>1</v>
          </cell>
          <cell r="E12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25*1000 профи Атака.
Хвостовик – SDS plus
Инструментальная сталь, наконечник из твердого сплава с алмазной шлифовкой.</v>
          </cell>
          <cell r="F123">
            <v>1858</v>
          </cell>
          <cell r="G123">
            <v>2469</v>
          </cell>
          <cell r="H123" t="str">
            <v>-</v>
          </cell>
          <cell r="I123">
            <v>1858</v>
          </cell>
          <cell r="J123">
            <v>0</v>
          </cell>
          <cell r="K123">
            <v>0</v>
          </cell>
        </row>
        <row r="124">
          <cell r="A124">
            <v>8084460</v>
          </cell>
          <cell r="B124" t="str">
            <v>Бур SDS+ 25*800 Профи Атака</v>
          </cell>
          <cell r="C124" t="str">
            <v>шт</v>
          </cell>
          <cell r="D124">
            <v>1</v>
          </cell>
          <cell r="E12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25*800 профи Атака.
Хвостовик – SDS plus
Инструментальная сталь, наконечник из твердого сплава с алмазной шлифовкой.</v>
          </cell>
          <cell r="F124">
            <v>1545</v>
          </cell>
          <cell r="G124">
            <v>2055</v>
          </cell>
          <cell r="H124" t="str">
            <v>+</v>
          </cell>
          <cell r="I124">
            <v>1545</v>
          </cell>
          <cell r="J124">
            <v>0</v>
          </cell>
          <cell r="K124">
            <v>0</v>
          </cell>
        </row>
        <row r="125">
          <cell r="A125">
            <v>8084470</v>
          </cell>
          <cell r="B125" t="str">
            <v>Бур SDS+ 25*600 Профи Атака</v>
          </cell>
          <cell r="C125" t="str">
            <v>шт</v>
          </cell>
          <cell r="D125">
            <v>1</v>
          </cell>
          <cell r="E12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25*600 профи Атака.
Хвостовик – SDS plus
Инструментальная сталь, наконечник из твердого сплава с алмазной шлифовкой.</v>
          </cell>
          <cell r="F125">
            <v>1243</v>
          </cell>
          <cell r="G125">
            <v>1651</v>
          </cell>
          <cell r="H125" t="str">
            <v>+</v>
          </cell>
          <cell r="I125">
            <v>1243</v>
          </cell>
          <cell r="J125">
            <v>0</v>
          </cell>
          <cell r="K125">
            <v>0</v>
          </cell>
        </row>
        <row r="126">
          <cell r="A126">
            <v>8084480</v>
          </cell>
          <cell r="B126" t="str">
            <v>Бур SDS+ 25*450 Профи Атака</v>
          </cell>
          <cell r="C126" t="str">
            <v>шт</v>
          </cell>
          <cell r="D126">
            <v>1</v>
          </cell>
          <cell r="E12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25*450 профи Атака.
Хвостовик – SDS plus
Инструментальная сталь, наконечник из твердого сплава с алмазной шлифовкой.</v>
          </cell>
          <cell r="F126">
            <v>882</v>
          </cell>
          <cell r="G126">
            <v>1170</v>
          </cell>
          <cell r="H126" t="str">
            <v>-</v>
          </cell>
          <cell r="I126">
            <v>882</v>
          </cell>
          <cell r="J126">
            <v>0</v>
          </cell>
          <cell r="K126">
            <v>0</v>
          </cell>
        </row>
        <row r="127">
          <cell r="A127">
            <v>8084490</v>
          </cell>
          <cell r="B127" t="str">
            <v>Бур SDS+ 25*310 Профи Атака</v>
          </cell>
          <cell r="C127" t="str">
            <v>шт</v>
          </cell>
          <cell r="D127">
            <v>1</v>
          </cell>
          <cell r="E12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25*310 профи Атака.
Хвостовик – SDS plus
Инструментальная сталь, наконечник из твердого сплава с алмазной шлифовкой.</v>
          </cell>
          <cell r="F127">
            <v>686</v>
          </cell>
          <cell r="G127">
            <v>912</v>
          </cell>
          <cell r="H127" t="str">
            <v>+</v>
          </cell>
          <cell r="I127">
            <v>686</v>
          </cell>
          <cell r="J127">
            <v>0</v>
          </cell>
          <cell r="K127">
            <v>0</v>
          </cell>
        </row>
        <row r="128">
          <cell r="A128">
            <v>8084500</v>
          </cell>
          <cell r="B128" t="str">
            <v>Бур SDS+ 24*600 Профи Атака</v>
          </cell>
          <cell r="C128" t="str">
            <v>шт</v>
          </cell>
          <cell r="D128">
            <v>1</v>
          </cell>
          <cell r="E12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24*600 профи Атака.
Хвостовик – SDS plus
Инструментальная сталь, наконечник из твердого сплава с алмазной шлифовкой.</v>
          </cell>
          <cell r="F128">
            <v>1164</v>
          </cell>
          <cell r="G128">
            <v>1545</v>
          </cell>
          <cell r="H128" t="str">
            <v>+</v>
          </cell>
          <cell r="I128">
            <v>1164</v>
          </cell>
          <cell r="J128">
            <v>0</v>
          </cell>
          <cell r="K128">
            <v>0</v>
          </cell>
        </row>
        <row r="129">
          <cell r="A129">
            <v>8084510</v>
          </cell>
          <cell r="B129" t="str">
            <v>Бур SDS+ 24*450 Профи Атака</v>
          </cell>
          <cell r="C129" t="str">
            <v>шт</v>
          </cell>
          <cell r="D129">
            <v>1</v>
          </cell>
          <cell r="E12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24*450 профи Атака.
Хвостовик – SDS plus
Инструментальная сталь, наконечник из твердого сплава с алмазной шлифовкой.</v>
          </cell>
          <cell r="F129">
            <v>882</v>
          </cell>
          <cell r="G129">
            <v>1170</v>
          </cell>
          <cell r="H129" t="str">
            <v>+</v>
          </cell>
          <cell r="I129">
            <v>882</v>
          </cell>
          <cell r="J129">
            <v>0</v>
          </cell>
          <cell r="K129">
            <v>0</v>
          </cell>
        </row>
        <row r="130">
          <cell r="A130">
            <v>8084520</v>
          </cell>
          <cell r="B130" t="str">
            <v>Бур SDS+ 24*310 Профи Атака</v>
          </cell>
          <cell r="C130" t="str">
            <v>шт</v>
          </cell>
          <cell r="D130">
            <v>1</v>
          </cell>
          <cell r="E13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24*310 профи Атака.
Хвостовик – SDS plus
Инструментальная сталь, наконечник из твердого сплава с алмазной шлифовкой.</v>
          </cell>
          <cell r="F130">
            <v>686</v>
          </cell>
          <cell r="G130">
            <v>912</v>
          </cell>
          <cell r="H130" t="str">
            <v>+</v>
          </cell>
          <cell r="I130">
            <v>686</v>
          </cell>
          <cell r="J130">
            <v>0</v>
          </cell>
          <cell r="K130">
            <v>0</v>
          </cell>
        </row>
        <row r="131">
          <cell r="A131">
            <v>8084540</v>
          </cell>
          <cell r="B131" t="str">
            <v>Бур SDS+ 22*1000 Профи Атака</v>
          </cell>
          <cell r="C131" t="str">
            <v>шт</v>
          </cell>
          <cell r="D131">
            <v>1</v>
          </cell>
          <cell r="E13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22*1000 профи Атака.
Хвостовик – SDS plus
Инструментальная сталь, наконечник из твердого сплава с алмазной шлифовкой.</v>
          </cell>
          <cell r="F131">
            <v>1563</v>
          </cell>
          <cell r="G131">
            <v>1972</v>
          </cell>
          <cell r="H131" t="str">
            <v>+</v>
          </cell>
          <cell r="I131">
            <v>1563</v>
          </cell>
          <cell r="J131">
            <v>0</v>
          </cell>
          <cell r="K131">
            <v>0</v>
          </cell>
        </row>
        <row r="132">
          <cell r="A132">
            <v>8084550</v>
          </cell>
          <cell r="B132" t="str">
            <v>Бур SDS+ 22*800 Профи Атака</v>
          </cell>
          <cell r="C132" t="str">
            <v>шт</v>
          </cell>
          <cell r="D132">
            <v>1</v>
          </cell>
          <cell r="E13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22*800 профи Атака.
Хвостовик – SDS plus
Инструментальная сталь, наконечник из твердого сплава с алмазной шлифовкой.</v>
          </cell>
          <cell r="F132">
            <v>1288</v>
          </cell>
          <cell r="G132">
            <v>1708</v>
          </cell>
          <cell r="H132" t="str">
            <v>+</v>
          </cell>
          <cell r="I132">
            <v>1288</v>
          </cell>
          <cell r="J132">
            <v>0</v>
          </cell>
          <cell r="K132">
            <v>0</v>
          </cell>
        </row>
        <row r="133">
          <cell r="A133">
            <v>8084570</v>
          </cell>
          <cell r="B133" t="str">
            <v>Бур SDS+ 22*600 Профи Атака</v>
          </cell>
          <cell r="C133" t="str">
            <v>шт</v>
          </cell>
          <cell r="D133">
            <v>1</v>
          </cell>
          <cell r="E13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22*600 профи Атака.
Хвостовик – SDS plus
Инструментальная сталь, наконечник из твердого сплава с алмазной шлифовкой.</v>
          </cell>
          <cell r="F133">
            <v>1037</v>
          </cell>
          <cell r="G133">
            <v>1378</v>
          </cell>
          <cell r="H133" t="str">
            <v>-</v>
          </cell>
          <cell r="I133">
            <v>1037</v>
          </cell>
          <cell r="J133">
            <v>0</v>
          </cell>
          <cell r="K133">
            <v>0</v>
          </cell>
        </row>
        <row r="134">
          <cell r="A134">
            <v>8084580</v>
          </cell>
          <cell r="B134" t="str">
            <v>Бур SDS+ 22*450 Профи Атака</v>
          </cell>
          <cell r="C134" t="str">
            <v>шт</v>
          </cell>
          <cell r="D134">
            <v>1</v>
          </cell>
          <cell r="E13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22*450 профи Атака.
Хвостовик – SDS plus
Инструментальная сталь, наконечник из твердого сплава с алмазной шлифовкой.</v>
          </cell>
          <cell r="F134">
            <v>731</v>
          </cell>
          <cell r="G134">
            <v>970</v>
          </cell>
          <cell r="H134" t="str">
            <v>+</v>
          </cell>
          <cell r="I134">
            <v>731</v>
          </cell>
          <cell r="J134">
            <v>0</v>
          </cell>
          <cell r="K134">
            <v>0</v>
          </cell>
        </row>
        <row r="135">
          <cell r="A135">
            <v>8084590</v>
          </cell>
          <cell r="B135" t="str">
            <v>Бур SDS+ 22*310 Профи Атака</v>
          </cell>
          <cell r="C135" t="str">
            <v>шт</v>
          </cell>
          <cell r="D135">
            <v>1</v>
          </cell>
          <cell r="E13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22*310 профи Атака.
Хвостовик – SDS plus
Инструментальная сталь, наконечник из твердого сплава с алмазной шлифовкой.</v>
          </cell>
          <cell r="F135">
            <v>563</v>
          </cell>
          <cell r="G135">
            <v>748</v>
          </cell>
          <cell r="H135" t="str">
            <v>+</v>
          </cell>
          <cell r="I135">
            <v>563</v>
          </cell>
          <cell r="J135">
            <v>0</v>
          </cell>
          <cell r="K135">
            <v>0</v>
          </cell>
        </row>
        <row r="136">
          <cell r="A136">
            <v>8084600</v>
          </cell>
          <cell r="B136" t="str">
            <v>Бур SDS+ 22*260 Профи Атака</v>
          </cell>
          <cell r="C136" t="str">
            <v>шт</v>
          </cell>
          <cell r="D136">
            <v>1</v>
          </cell>
          <cell r="E13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22*260 профи Атака.
Хвостовик – SDS plus
Инструментальная сталь, наконечник из твердого сплава с алмазной шлифовкой.</v>
          </cell>
          <cell r="F136">
            <v>477</v>
          </cell>
          <cell r="G136">
            <v>633</v>
          </cell>
          <cell r="H136" t="str">
            <v>+</v>
          </cell>
          <cell r="I136">
            <v>477</v>
          </cell>
          <cell r="J136">
            <v>0</v>
          </cell>
          <cell r="K136">
            <v>0</v>
          </cell>
        </row>
        <row r="137">
          <cell r="A137">
            <v>8084610</v>
          </cell>
          <cell r="B137" t="str">
            <v>Бур SDS+ 20*1000 Профи Атака</v>
          </cell>
          <cell r="C137" t="str">
            <v>шт</v>
          </cell>
          <cell r="D137">
            <v>1</v>
          </cell>
          <cell r="E13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20*1000 профи Атака.
Хвостовик – SDS plus
Инструментальная сталь, наконечник из твердого сплава с алмазной шлифовкой.</v>
          </cell>
          <cell r="F137">
            <v>1305</v>
          </cell>
          <cell r="G137">
            <v>1733</v>
          </cell>
          <cell r="H137" t="str">
            <v>+</v>
          </cell>
          <cell r="I137">
            <v>1305</v>
          </cell>
          <cell r="J137">
            <v>0</v>
          </cell>
          <cell r="K137">
            <v>0</v>
          </cell>
        </row>
        <row r="138">
          <cell r="A138">
            <v>8084620</v>
          </cell>
          <cell r="B138" t="str">
            <v>Бур SDS+ 20*800 Профи Атака</v>
          </cell>
          <cell r="C138" t="str">
            <v>шт</v>
          </cell>
          <cell r="D138">
            <v>1</v>
          </cell>
          <cell r="E13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20*800 профи Атака.
Хвостовик – SDS plus
Инструментальная сталь, наконечник из твердого сплава с алмазной шлифовкой.</v>
          </cell>
          <cell r="F138">
            <v>1162</v>
          </cell>
          <cell r="G138">
            <v>1544</v>
          </cell>
          <cell r="H138" t="str">
            <v>-</v>
          </cell>
          <cell r="I138">
            <v>1162</v>
          </cell>
          <cell r="J138">
            <v>0</v>
          </cell>
          <cell r="K138">
            <v>0</v>
          </cell>
        </row>
        <row r="139">
          <cell r="A139">
            <v>8084630</v>
          </cell>
          <cell r="B139" t="str">
            <v>Бур SDS+ 20*600 Профи Атака</v>
          </cell>
          <cell r="C139" t="str">
            <v>шт</v>
          </cell>
          <cell r="D139">
            <v>1</v>
          </cell>
          <cell r="E13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20*600 профи Атака.
Хвостовик – SDS plus
Инструментальная сталь, наконечник из твердого сплава с алмазной шлифовкой.</v>
          </cell>
          <cell r="F139">
            <v>880</v>
          </cell>
          <cell r="G139">
            <v>1165</v>
          </cell>
          <cell r="H139" t="str">
            <v>+</v>
          </cell>
          <cell r="I139">
            <v>880</v>
          </cell>
          <cell r="J139">
            <v>0</v>
          </cell>
          <cell r="K139">
            <v>0</v>
          </cell>
        </row>
        <row r="140">
          <cell r="A140">
            <v>8084640</v>
          </cell>
          <cell r="B140" t="str">
            <v>Бур SDS+ 20*450 Профи Атака</v>
          </cell>
          <cell r="C140" t="str">
            <v>шт</v>
          </cell>
          <cell r="D140">
            <v>1</v>
          </cell>
          <cell r="E14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20*450 профи Атака.
Хвостовик – SDS plus
Инструментальная сталь, наконечник из твердого сплава с алмазной шлифовкой.</v>
          </cell>
          <cell r="F140">
            <v>649</v>
          </cell>
          <cell r="G140">
            <v>860</v>
          </cell>
          <cell r="H140" t="str">
            <v>+</v>
          </cell>
          <cell r="I140">
            <v>649</v>
          </cell>
          <cell r="J140">
            <v>0</v>
          </cell>
          <cell r="K140">
            <v>0</v>
          </cell>
        </row>
        <row r="141">
          <cell r="A141">
            <v>8084650</v>
          </cell>
          <cell r="B141" t="str">
            <v>Бур SDS+ 20*310 Профи Атака</v>
          </cell>
          <cell r="C141" t="str">
            <v>шт</v>
          </cell>
          <cell r="D141">
            <v>1</v>
          </cell>
          <cell r="E14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20*310 профи Атака.
Хвостовик – SDS plus
Инструментальная сталь, наконечник из твердого сплава с алмазной шлифовкой.</v>
          </cell>
          <cell r="F141">
            <v>461</v>
          </cell>
          <cell r="G141">
            <v>609</v>
          </cell>
          <cell r="H141" t="str">
            <v>+</v>
          </cell>
          <cell r="I141">
            <v>461</v>
          </cell>
          <cell r="J141">
            <v>0</v>
          </cell>
          <cell r="K141">
            <v>0</v>
          </cell>
        </row>
        <row r="142">
          <cell r="A142">
            <v>8084660</v>
          </cell>
          <cell r="B142" t="str">
            <v>Бур SDS+ 20*260 Профи Атака</v>
          </cell>
          <cell r="C142" t="str">
            <v>шт</v>
          </cell>
          <cell r="D142">
            <v>1</v>
          </cell>
          <cell r="E14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20*260 профи Атака.
Хвостовик – SDS plus
Инструментальная сталь, наконечник из твердого сплава с алмазной шлифовкой.</v>
          </cell>
          <cell r="F142">
            <v>388</v>
          </cell>
          <cell r="G142">
            <v>516</v>
          </cell>
          <cell r="H142" t="str">
            <v>+</v>
          </cell>
          <cell r="I142">
            <v>388</v>
          </cell>
          <cell r="J142">
            <v>0</v>
          </cell>
          <cell r="K142">
            <v>0</v>
          </cell>
        </row>
        <row r="143">
          <cell r="A143">
            <v>8084670</v>
          </cell>
          <cell r="B143" t="str">
            <v>Бур SDS+ 20*210 Профи Атака</v>
          </cell>
          <cell r="C143" t="str">
            <v>шт</v>
          </cell>
          <cell r="D143">
            <v>1</v>
          </cell>
          <cell r="E14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20*210 профи Атака.
Хвостовик – SDS plus
Инструментальная сталь, наконечник из твердого сплава с алмазной шлифовкой.</v>
          </cell>
          <cell r="F143">
            <v>342</v>
          </cell>
          <cell r="G143">
            <v>455</v>
          </cell>
          <cell r="H143" t="str">
            <v>+</v>
          </cell>
          <cell r="I143">
            <v>342</v>
          </cell>
          <cell r="J143">
            <v>0</v>
          </cell>
          <cell r="K143">
            <v>0</v>
          </cell>
        </row>
        <row r="144">
          <cell r="A144">
            <v>8084680</v>
          </cell>
          <cell r="B144" t="str">
            <v>Бур SDS+ 18*1000 Профи Атака</v>
          </cell>
          <cell r="C144" t="str">
            <v>шт</v>
          </cell>
          <cell r="D144">
            <v>1</v>
          </cell>
          <cell r="E14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18*1000 профи Атака.
Хвостовик – SDS plus
Инструментальная сталь, наконечник из твердого сплава с алмазной шлифовкой.</v>
          </cell>
          <cell r="F144">
            <v>1136</v>
          </cell>
          <cell r="G144">
            <v>1506</v>
          </cell>
          <cell r="H144" t="str">
            <v>-</v>
          </cell>
          <cell r="I144">
            <v>1136</v>
          </cell>
          <cell r="J144">
            <v>0</v>
          </cell>
          <cell r="K144">
            <v>0</v>
          </cell>
        </row>
        <row r="145">
          <cell r="A145">
            <v>8084690</v>
          </cell>
          <cell r="B145" t="str">
            <v>Бур SDS+ 18*600 Профи Атака</v>
          </cell>
          <cell r="C145" t="str">
            <v>шт</v>
          </cell>
          <cell r="D145">
            <v>1</v>
          </cell>
          <cell r="E14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18*600 профи Атака.
Хвостовик – SDS plus
Инструментальная сталь, наконечник из твердого сплава с алмазной шлифовкой.</v>
          </cell>
          <cell r="F145">
            <v>667</v>
          </cell>
          <cell r="G145">
            <v>887</v>
          </cell>
          <cell r="H145" t="str">
            <v>+</v>
          </cell>
          <cell r="I145">
            <v>667</v>
          </cell>
          <cell r="J145">
            <v>0</v>
          </cell>
          <cell r="K145">
            <v>0</v>
          </cell>
        </row>
        <row r="146">
          <cell r="A146">
            <v>8084700</v>
          </cell>
          <cell r="B146" t="str">
            <v>Бур SDS+ 18*450 Профи Атака</v>
          </cell>
          <cell r="C146" t="str">
            <v>шт</v>
          </cell>
          <cell r="D146">
            <v>1</v>
          </cell>
          <cell r="E14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18*450 профи Атака.
Хвостовик – SDS plus
Инструментальная сталь, наконечник из твердого сплава с алмазной шлифовкой.</v>
          </cell>
          <cell r="F146">
            <v>528</v>
          </cell>
          <cell r="G146">
            <v>700</v>
          </cell>
          <cell r="H146" t="str">
            <v>+</v>
          </cell>
          <cell r="I146">
            <v>528</v>
          </cell>
          <cell r="J146">
            <v>0</v>
          </cell>
          <cell r="K146">
            <v>0</v>
          </cell>
        </row>
        <row r="147">
          <cell r="A147">
            <v>8084710</v>
          </cell>
          <cell r="B147" t="str">
            <v>Бур SDS+ 18*310 Профи Атака</v>
          </cell>
          <cell r="C147" t="str">
            <v>шт</v>
          </cell>
          <cell r="D147">
            <v>1</v>
          </cell>
          <cell r="E14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18*310 профи Атака.
Хвостовик – SDS plus
Инструментальная сталь, наконечник из твердого сплава с алмазной шлифовкой.</v>
          </cell>
          <cell r="F147">
            <v>399</v>
          </cell>
          <cell r="G147">
            <v>528</v>
          </cell>
          <cell r="H147" t="str">
            <v>+</v>
          </cell>
          <cell r="I147">
            <v>399</v>
          </cell>
          <cell r="J147">
            <v>0</v>
          </cell>
          <cell r="K147">
            <v>0</v>
          </cell>
        </row>
        <row r="148">
          <cell r="A148">
            <v>8084730</v>
          </cell>
          <cell r="B148" t="str">
            <v>Бур SDS+ 18*210 Профи Атака</v>
          </cell>
          <cell r="C148" t="str">
            <v>шт</v>
          </cell>
          <cell r="D148">
            <v>1</v>
          </cell>
          <cell r="E14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18*210 профи Атака.
Хвостовик – SDS plus
Инструментальная сталь, наконечник из твердого сплава с алмазной шлифовкой.</v>
          </cell>
          <cell r="F148">
            <v>278</v>
          </cell>
          <cell r="G148">
            <v>369</v>
          </cell>
          <cell r="H148" t="str">
            <v>+</v>
          </cell>
          <cell r="I148">
            <v>278</v>
          </cell>
          <cell r="J148">
            <v>0</v>
          </cell>
          <cell r="K148">
            <v>0</v>
          </cell>
        </row>
        <row r="149">
          <cell r="A149">
            <v>8084740</v>
          </cell>
          <cell r="B149" t="str">
            <v>Бур SDS+ 16*1000 Профи Атака</v>
          </cell>
          <cell r="C149" t="str">
            <v>шт</v>
          </cell>
          <cell r="D149">
            <v>1</v>
          </cell>
          <cell r="E14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16*1000 профи Атака.
Хвостовик – SDS plus
Инструментальная сталь, наконечник из твердого сплава с алмазной шлифовкой.</v>
          </cell>
          <cell r="F149">
            <v>1033</v>
          </cell>
          <cell r="G149">
            <v>1371</v>
          </cell>
          <cell r="H149" t="str">
            <v>+</v>
          </cell>
          <cell r="I149">
            <v>1033</v>
          </cell>
          <cell r="J149">
            <v>0</v>
          </cell>
          <cell r="K149">
            <v>0</v>
          </cell>
        </row>
        <row r="150">
          <cell r="A150">
            <v>8084750</v>
          </cell>
          <cell r="B150" t="str">
            <v>Бур SDS+ 16*800 Профи Атака</v>
          </cell>
          <cell r="C150" t="str">
            <v>шт</v>
          </cell>
          <cell r="D150">
            <v>1</v>
          </cell>
          <cell r="E15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16*800 профи Атака.
Хвостовик – SDS plus
Инструментальная сталь, наконечник из твердого сплава с алмазной шлифовкой.</v>
          </cell>
          <cell r="F150">
            <v>800</v>
          </cell>
          <cell r="G150">
            <v>1062</v>
          </cell>
          <cell r="H150" t="str">
            <v>+</v>
          </cell>
          <cell r="I150">
            <v>800</v>
          </cell>
          <cell r="J150">
            <v>0</v>
          </cell>
          <cell r="K150">
            <v>0</v>
          </cell>
        </row>
        <row r="151">
          <cell r="A151">
            <v>8084760</v>
          </cell>
          <cell r="B151" t="str">
            <v>Бур SDS+ 16*600 Профи Атака</v>
          </cell>
          <cell r="C151" t="str">
            <v>шт</v>
          </cell>
          <cell r="D151">
            <v>1</v>
          </cell>
          <cell r="E15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16*600 профи Атака.
Хвостовик – SDS plus
Инструментальная сталь, наконечник из твердого сплава с алмазной шлифовкой.</v>
          </cell>
          <cell r="F151">
            <v>618</v>
          </cell>
          <cell r="G151">
            <v>819</v>
          </cell>
          <cell r="H151" t="str">
            <v>+</v>
          </cell>
          <cell r="I151">
            <v>618</v>
          </cell>
          <cell r="J151">
            <v>0</v>
          </cell>
          <cell r="K151">
            <v>0</v>
          </cell>
        </row>
        <row r="152">
          <cell r="A152">
            <v>8084770</v>
          </cell>
          <cell r="B152" t="str">
            <v>Бур SDS+ 16*160 Профи Атака</v>
          </cell>
          <cell r="C152" t="str">
            <v>шт</v>
          </cell>
          <cell r="D152">
            <v>1</v>
          </cell>
          <cell r="E15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16*160 профи Атака.
Хвостовик – SDS plus
Инструментальная сталь, наконечник из твердого сплава с алмазной шлифовкой.</v>
          </cell>
          <cell r="F152">
            <v>220</v>
          </cell>
          <cell r="G152">
            <v>288</v>
          </cell>
          <cell r="H152" t="str">
            <v>+</v>
          </cell>
          <cell r="I152">
            <v>220</v>
          </cell>
          <cell r="J152">
            <v>0</v>
          </cell>
          <cell r="K152">
            <v>0</v>
          </cell>
        </row>
        <row r="153">
          <cell r="A153">
            <v>8084780</v>
          </cell>
          <cell r="B153" t="str">
            <v>Бур SDS+ 14*1000 Профи Атака</v>
          </cell>
          <cell r="C153" t="str">
            <v>шт</v>
          </cell>
          <cell r="D153">
            <v>1</v>
          </cell>
          <cell r="E15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14*1000 профи Атака.
Хвостовик – SDS plus
Инструментальная сталь, наконечник из твердого сплава с алмазной шлифовкой.</v>
          </cell>
          <cell r="F153">
            <v>793</v>
          </cell>
          <cell r="G153">
            <v>1054</v>
          </cell>
          <cell r="H153" t="str">
            <v>+</v>
          </cell>
          <cell r="I153">
            <v>793</v>
          </cell>
          <cell r="J153">
            <v>0</v>
          </cell>
          <cell r="K153">
            <v>0</v>
          </cell>
        </row>
        <row r="154">
          <cell r="A154">
            <v>8084790</v>
          </cell>
          <cell r="B154" t="str">
            <v>Бур SDS+ 14*600 Профи Атака</v>
          </cell>
          <cell r="C154" t="str">
            <v>шт</v>
          </cell>
          <cell r="D154">
            <v>1</v>
          </cell>
          <cell r="E15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14*600 профи Атака.
Хвостовик – SDS plus
Инструментальная сталь, наконечник из твердого сплава с алмазной шлифовкой.</v>
          </cell>
          <cell r="F154">
            <v>503</v>
          </cell>
          <cell r="G154">
            <v>669</v>
          </cell>
          <cell r="H154" t="str">
            <v>+</v>
          </cell>
          <cell r="I154">
            <v>503</v>
          </cell>
          <cell r="J154">
            <v>0</v>
          </cell>
          <cell r="K154">
            <v>0</v>
          </cell>
        </row>
        <row r="155">
          <cell r="A155">
            <v>8084800</v>
          </cell>
          <cell r="B155" t="str">
            <v>Бур SDS+ 12*1000 Профи Атака</v>
          </cell>
          <cell r="C155" t="str">
            <v>шт</v>
          </cell>
          <cell r="D155">
            <v>1</v>
          </cell>
          <cell r="E15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12*1000 профи Атака.
Хвостовик – SDS plus
Инструментальная сталь, наконечник из твердого сплава с алмазной шлифовкой.</v>
          </cell>
          <cell r="F155">
            <v>842</v>
          </cell>
          <cell r="G155">
            <v>1071</v>
          </cell>
          <cell r="H155" t="str">
            <v>+</v>
          </cell>
          <cell r="I155">
            <v>842</v>
          </cell>
          <cell r="J155">
            <v>0</v>
          </cell>
          <cell r="K155">
            <v>0</v>
          </cell>
        </row>
        <row r="156">
          <cell r="A156">
            <v>8084810</v>
          </cell>
          <cell r="B156" t="str">
            <v>Бур SDS+ 12*600 Профи Атака</v>
          </cell>
          <cell r="C156" t="str">
            <v>шт</v>
          </cell>
          <cell r="D156">
            <v>1</v>
          </cell>
          <cell r="E156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12*600 профи Атака.
Хвостовик – SDS plus
Инструментальная сталь, наконечник из твердого сплава с алмазной шлифовкой.</v>
          </cell>
          <cell r="F156">
            <v>419</v>
          </cell>
          <cell r="G156">
            <v>528</v>
          </cell>
          <cell r="H156" t="str">
            <v>+</v>
          </cell>
          <cell r="I156">
            <v>419</v>
          </cell>
          <cell r="J156">
            <v>0</v>
          </cell>
          <cell r="K156">
            <v>0</v>
          </cell>
        </row>
        <row r="157">
          <cell r="A157">
            <v>8084820</v>
          </cell>
          <cell r="B157" t="str">
            <v>Бур SDS+ 10*110 Профи Атака</v>
          </cell>
          <cell r="C157" t="str">
            <v>шт</v>
          </cell>
          <cell r="D157">
            <v>1</v>
          </cell>
          <cell r="E157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10*110 профи Атака.
Хвостовик – SDS plus
Инструментальная сталь, наконечник из твердого сплава с алмазной шлифовкой.</v>
          </cell>
          <cell r="F157">
            <v>108</v>
          </cell>
          <cell r="G157">
            <v>141</v>
          </cell>
          <cell r="H157" t="str">
            <v>+</v>
          </cell>
          <cell r="I157">
            <v>108</v>
          </cell>
          <cell r="J157">
            <v>0</v>
          </cell>
          <cell r="K157">
            <v>0</v>
          </cell>
        </row>
        <row r="158">
          <cell r="A158">
            <v>8084830</v>
          </cell>
          <cell r="B158" t="str">
            <v>Бур SDS+ 8*450 Профи Атака</v>
          </cell>
          <cell r="C158" t="str">
            <v>шт</v>
          </cell>
          <cell r="D158">
            <v>1</v>
          </cell>
          <cell r="E158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8*450 профи Атака.
Хвостовик – SDS plus
Инструментальная сталь, наконечник из твердого сплава с алмазной шлифовкой.</v>
          </cell>
          <cell r="F158">
            <v>263</v>
          </cell>
          <cell r="G158">
            <v>334</v>
          </cell>
          <cell r="H158" t="str">
            <v>+</v>
          </cell>
          <cell r="I158">
            <v>263</v>
          </cell>
          <cell r="J158">
            <v>0</v>
          </cell>
          <cell r="K158">
            <v>0</v>
          </cell>
        </row>
        <row r="159">
          <cell r="A159">
            <v>8084840</v>
          </cell>
          <cell r="B159" t="str">
            <v>Бур SDS+ 14*260 кросс Профи Атака</v>
          </cell>
          <cell r="C159" t="str">
            <v>шт</v>
          </cell>
          <cell r="D159">
            <v>1</v>
          </cell>
          <cell r="E159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14*260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59">
            <v>258</v>
          </cell>
          <cell r="G159">
            <v>341</v>
          </cell>
          <cell r="H159" t="str">
            <v>+</v>
          </cell>
          <cell r="I159">
            <v>258</v>
          </cell>
          <cell r="J159">
            <v>0</v>
          </cell>
          <cell r="K159">
            <v>0</v>
          </cell>
        </row>
        <row r="160">
          <cell r="A160">
            <v>8084850</v>
          </cell>
          <cell r="B160" t="str">
            <v>Бур SDS+ 16*260 кросс Профи Атака</v>
          </cell>
          <cell r="C160" t="str">
            <v>шт</v>
          </cell>
          <cell r="D160">
            <v>1</v>
          </cell>
          <cell r="E160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16*260 кросс профи Атака.
Крестовой наконечник.
Хвостовик – SDS plus
Инструментальная сталь, наконечник из твердого сплава с алмазной шлифовкой.</v>
          </cell>
          <cell r="F160">
            <v>341</v>
          </cell>
          <cell r="G160">
            <v>451</v>
          </cell>
          <cell r="H160" t="str">
            <v>+</v>
          </cell>
          <cell r="I160">
            <v>341</v>
          </cell>
          <cell r="J160">
            <v>0</v>
          </cell>
          <cell r="K160">
            <v>0</v>
          </cell>
        </row>
        <row r="161">
          <cell r="A161">
            <v>8086640</v>
          </cell>
          <cell r="B161" t="str">
            <v>Бур SDS+ 6*310 Профи Атака</v>
          </cell>
          <cell r="C161" t="str">
            <v>шт</v>
          </cell>
          <cell r="D161">
            <v>1</v>
          </cell>
          <cell r="E161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6*310 профи Атака.
Хвостовик – SDS plus
Инструментальная сталь, наконечник из твердого сплава с алмазной шлифовкой.</v>
          </cell>
          <cell r="F161">
            <v>154</v>
          </cell>
          <cell r="G161">
            <v>197</v>
          </cell>
          <cell r="H161" t="str">
            <v>+</v>
          </cell>
          <cell r="I161">
            <v>154</v>
          </cell>
          <cell r="J161">
            <v>0</v>
          </cell>
          <cell r="K161">
            <v>0</v>
          </cell>
        </row>
        <row r="162">
          <cell r="A162">
            <v>8086650</v>
          </cell>
          <cell r="B162" t="str">
            <v>Бур SDS+ 5*310 Профи Атака</v>
          </cell>
          <cell r="C162" t="str">
            <v>шт</v>
          </cell>
          <cell r="D162">
            <v>1</v>
          </cell>
          <cell r="E162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5*310 профи Атака.
Хвостовик – SDS plus
Инструментальная сталь, наконечник из твердого сплава с алмазной шлифовкой.</v>
          </cell>
          <cell r="F162">
            <v>151</v>
          </cell>
          <cell r="G162">
            <v>194</v>
          </cell>
          <cell r="H162" t="str">
            <v>+</v>
          </cell>
          <cell r="I162">
            <v>151</v>
          </cell>
          <cell r="J162">
            <v>0</v>
          </cell>
          <cell r="K162">
            <v>0</v>
          </cell>
        </row>
        <row r="163">
          <cell r="A163">
            <v>8086660</v>
          </cell>
          <cell r="B163" t="str">
            <v>Бур SDS+ 7*110 Профи Атака</v>
          </cell>
          <cell r="C163" t="str">
            <v>шт</v>
          </cell>
          <cell r="D163">
            <v>1</v>
          </cell>
          <cell r="E163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7*110 профи Атака.
Хвостовик – SDS plus
Инструментальная сталь, наконечник из твердого сплава с алмазной шлифовкой.</v>
          </cell>
          <cell r="F163">
            <v>97</v>
          </cell>
          <cell r="G163">
            <v>123</v>
          </cell>
          <cell r="H163" t="str">
            <v>+</v>
          </cell>
          <cell r="I163">
            <v>97</v>
          </cell>
          <cell r="J163">
            <v>0</v>
          </cell>
          <cell r="K163">
            <v>0</v>
          </cell>
        </row>
        <row r="164">
          <cell r="A164">
            <v>8086670</v>
          </cell>
          <cell r="B164" t="str">
            <v>Бур SDS+ 5*210 Профи Атака</v>
          </cell>
          <cell r="C164" t="str">
            <v>шт</v>
          </cell>
          <cell r="D164">
            <v>1</v>
          </cell>
          <cell r="E164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5*210 профи Атака.
Хвостовик – SDS plus
Инструментальная сталь, наконечник из твердого сплава с алмазной шлифовкой.</v>
          </cell>
          <cell r="F164">
            <v>121</v>
          </cell>
          <cell r="G164">
            <v>161</v>
          </cell>
          <cell r="H164" t="str">
            <v>+</v>
          </cell>
          <cell r="I164">
            <v>121</v>
          </cell>
          <cell r="J164">
            <v>0</v>
          </cell>
          <cell r="K164">
            <v>0</v>
          </cell>
        </row>
        <row r="165">
          <cell r="A165">
            <v>8086680</v>
          </cell>
          <cell r="B165" t="str">
            <v>Бур SDS+ 4*160 Профи Атака</v>
          </cell>
          <cell r="C165" t="str">
            <v>шт</v>
          </cell>
          <cell r="D165">
            <v>1</v>
          </cell>
          <cell r="E165" t="str">
            <v>Буры перфораторные Атака являются идеальным выбором для работ по бетону,  кирпичной кладке и строительному камню. Их отличает повышенный ресурс работы, температурная устойчивость при работе широкая ассортиментная линейка.
Бур  4*160 профи Атака.
Хвостовик – SDS plus
Инструментальная сталь, наконечник из твердого сплава с алмазной шлифовкой.</v>
          </cell>
          <cell r="F165">
            <v>97</v>
          </cell>
          <cell r="G165">
            <v>125</v>
          </cell>
          <cell r="H165" t="str">
            <v>+</v>
          </cell>
          <cell r="I165">
            <v>97</v>
          </cell>
          <cell r="J165">
            <v>0</v>
          </cell>
          <cell r="K165">
            <v>0</v>
          </cell>
        </row>
        <row r="166">
          <cell r="A166" t="str">
            <v>Диски алмазные</v>
          </cell>
        </row>
        <row r="167">
          <cell r="A167">
            <v>8108670</v>
          </cell>
          <cell r="B167" t="str">
            <v>Диск алмазный Атака 125 * 10 *  22,2 сегментированный / бетон, железобетон</v>
          </cell>
          <cell r="C167" t="str">
            <v>шт</v>
          </cell>
          <cell r="D167">
            <v>1</v>
          </cell>
          <cell r="E167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твердые и средние с высокой и средней вязкостью: бетон, железобетон, асфальтобетон и т.д.. Также их можно применять для более мягких материалов со средней вязкостью.</v>
          </cell>
          <cell r="F167">
            <v>559</v>
          </cell>
          <cell r="G167">
            <v>744</v>
          </cell>
          <cell r="H167" t="str">
            <v>-</v>
          </cell>
          <cell r="I167">
            <v>559</v>
          </cell>
          <cell r="J167">
            <v>0</v>
          </cell>
          <cell r="K167">
            <v>0</v>
          </cell>
        </row>
        <row r="168">
          <cell r="A168">
            <v>8108590</v>
          </cell>
          <cell r="B168" t="str">
            <v>Диск алмазный Атака 125 * 10 * 22,2 турбо / гранит, бетон, кирпич</v>
          </cell>
          <cell r="C168" t="str">
            <v>шт</v>
          </cell>
          <cell r="D168">
            <v>1</v>
          </cell>
          <cell r="E168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твердой и средней абразивности - гранит, базальт, огнеупорный кирпич, бетон, известняк и т.д.</v>
          </cell>
          <cell r="F168">
            <v>559</v>
          </cell>
          <cell r="G168">
            <v>744</v>
          </cell>
          <cell r="H168" t="str">
            <v>+</v>
          </cell>
          <cell r="I168">
            <v>559</v>
          </cell>
          <cell r="J168">
            <v>0</v>
          </cell>
          <cell r="K168">
            <v>0</v>
          </cell>
        </row>
        <row r="169">
          <cell r="A169">
            <v>8108610</v>
          </cell>
          <cell r="B169" t="str">
            <v>Диск алмазный Атака 125 * 7 * 22,2 сплошной / гранит, мрамор, керамика (мокрый рез)</v>
          </cell>
          <cell r="C169" t="str">
            <v>шт</v>
          </cell>
          <cell r="D169">
            <v>1</v>
          </cell>
          <cell r="E169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v>
          </cell>
          <cell r="F169">
            <v>502</v>
          </cell>
          <cell r="G169">
            <v>663</v>
          </cell>
          <cell r="H169" t="str">
            <v>+</v>
          </cell>
          <cell r="I169">
            <v>502</v>
          </cell>
          <cell r="J169">
            <v>0</v>
          </cell>
          <cell r="K169">
            <v>0</v>
          </cell>
        </row>
        <row r="170">
          <cell r="A170">
            <v>8108650</v>
          </cell>
          <cell r="B170" t="str">
            <v>Диск алмазный Атака 125 * 7 * 22,2  сплошной /гранит, мрамор, керамика  (сухой рез)</v>
          </cell>
          <cell r="C170" t="str">
            <v>шт</v>
          </cell>
          <cell r="D170">
            <v>1</v>
          </cell>
          <cell r="E170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v>
          </cell>
          <cell r="F170">
            <v>537</v>
          </cell>
          <cell r="G170">
            <v>714</v>
          </cell>
          <cell r="H170" t="str">
            <v>+</v>
          </cell>
          <cell r="I170">
            <v>537</v>
          </cell>
          <cell r="J170">
            <v>0</v>
          </cell>
          <cell r="K170">
            <v>0</v>
          </cell>
        </row>
        <row r="171">
          <cell r="A171">
            <v>8108620</v>
          </cell>
          <cell r="B171" t="str">
            <v>Диск алмазный Атака 180 * 7 * 25,4 / 22,2 сплошной / гранит, мрамор, керамика</v>
          </cell>
          <cell r="C171" t="str">
            <v>шт</v>
          </cell>
          <cell r="D171">
            <v>1</v>
          </cell>
          <cell r="E171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v>
          </cell>
          <cell r="F171">
            <v>1109</v>
          </cell>
          <cell r="G171">
            <v>1477</v>
          </cell>
          <cell r="H171" t="str">
            <v>-</v>
          </cell>
          <cell r="I171">
            <v>1109</v>
          </cell>
          <cell r="J171">
            <v>0</v>
          </cell>
          <cell r="K171">
            <v>0</v>
          </cell>
        </row>
        <row r="172">
          <cell r="A172">
            <v>8108630</v>
          </cell>
          <cell r="B172" t="str">
            <v>Диск алмазный Атака 200 * 7 * 25,4 / 22,2 сплошной / гранит, мрамор, керамика</v>
          </cell>
          <cell r="C172" t="str">
            <v>шт</v>
          </cell>
          <cell r="D172">
            <v>1</v>
          </cell>
          <cell r="E172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v>
          </cell>
          <cell r="F172">
            <v>1449</v>
          </cell>
          <cell r="G172">
            <v>1927</v>
          </cell>
          <cell r="H172" t="str">
            <v>+</v>
          </cell>
          <cell r="I172">
            <v>1449</v>
          </cell>
          <cell r="J172">
            <v>0</v>
          </cell>
          <cell r="K172">
            <v>0</v>
          </cell>
        </row>
        <row r="173">
          <cell r="A173">
            <v>8108680</v>
          </cell>
          <cell r="B173" t="str">
            <v>Диск алмазный Атака 230 * 10 * 22,2 сегментированный бетон, железобетон</v>
          </cell>
          <cell r="C173" t="str">
            <v>шт</v>
          </cell>
          <cell r="D173">
            <v>1</v>
          </cell>
          <cell r="E173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твердые и средние с высокой и средней вязкостью: бетон, железобетон, асфальтобетон и т.д.. Также их можно применять для более мягких материалов со средней вязкостью.</v>
          </cell>
          <cell r="F173">
            <v>1627</v>
          </cell>
          <cell r="G173">
            <v>2162</v>
          </cell>
          <cell r="H173" t="str">
            <v>-</v>
          </cell>
          <cell r="I173">
            <v>1627</v>
          </cell>
          <cell r="J173">
            <v>0</v>
          </cell>
          <cell r="K173">
            <v>0</v>
          </cell>
        </row>
        <row r="174">
          <cell r="A174">
            <v>8108600</v>
          </cell>
          <cell r="B174" t="str">
            <v>Диск алмазный Атака 230 * 10 * 22,2 турбо / гранит, бетон, кирпич</v>
          </cell>
          <cell r="C174" t="str">
            <v>шт</v>
          </cell>
          <cell r="D174">
            <v>1</v>
          </cell>
          <cell r="E174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v>
          </cell>
          <cell r="F174">
            <v>1906</v>
          </cell>
          <cell r="G174">
            <v>2536</v>
          </cell>
          <cell r="H174" t="str">
            <v>-</v>
          </cell>
          <cell r="I174">
            <v>1906</v>
          </cell>
          <cell r="J174">
            <v>0</v>
          </cell>
          <cell r="K174">
            <v>0</v>
          </cell>
        </row>
        <row r="175">
          <cell r="A175">
            <v>8108660</v>
          </cell>
          <cell r="B175" t="str">
            <v>Диск алмазный Атака 230 * 7 * 22,2  сплошной / гранит, мрамор, керамика</v>
          </cell>
          <cell r="C175" t="str">
            <v>шт</v>
          </cell>
          <cell r="D175">
            <v>1</v>
          </cell>
          <cell r="E175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v>
          </cell>
          <cell r="F175">
            <v>1905</v>
          </cell>
          <cell r="G175">
            <v>2536</v>
          </cell>
          <cell r="H175" t="str">
            <v>+</v>
          </cell>
          <cell r="I175">
            <v>1905</v>
          </cell>
          <cell r="J175">
            <v>0</v>
          </cell>
          <cell r="K175">
            <v>0</v>
          </cell>
        </row>
        <row r="176">
          <cell r="A176">
            <v>8108640</v>
          </cell>
          <cell r="B176" t="str">
            <v>Диск алмазный Атака 250 * 7 * 25,4 сплошной / гранит, мрамор, керамика</v>
          </cell>
          <cell r="C176" t="str">
            <v>шт</v>
          </cell>
          <cell r="D176">
            <v>1</v>
          </cell>
          <cell r="E176" t="str">
            <v>Алмазные диски АТАКА предназначены для выполнения отрезных работ по самым распространенным строительным материалам - от мягкого песчаника и кирпича до железобетона и твердого гранита. В ассортименте алмазных дисков АТАКА вы найдете модели для разных инструментов - УШМ, плиткорезы, нарезчики швов.
Диски АТАКА отличаются высокой плотностью кристаллов, оптимальной высотой кристаллического слоя, высококачественной сталью тела дисков и надежным соединением режущего слоя с телом диска. А идеальная балансировка алмазных дисков АТАКА задает эталоны комфортной работы на любом инструменте.
Данные диски будут оптимальны для работы с материалами с высокой абразивностью: гранит, базальт,мрамор, доломит, керамика, огнеупорный кирпич, тротуарная плитка. Также их можно применять для более мягких материалов - сланец, туф, пенобетон и т.д.</v>
          </cell>
          <cell r="F176">
            <v>1983</v>
          </cell>
          <cell r="G176">
            <v>2641</v>
          </cell>
          <cell r="H176" t="str">
            <v>-</v>
          </cell>
          <cell r="I176">
            <v>1983</v>
          </cell>
          <cell r="J176">
            <v>0</v>
          </cell>
          <cell r="K176">
            <v>0</v>
          </cell>
        </row>
        <row r="177">
          <cell r="A177" t="str">
            <v>Диски пильные</v>
          </cell>
        </row>
        <row r="178">
          <cell r="A178">
            <v>7088810</v>
          </cell>
          <cell r="B178" t="str">
            <v>Диск пильный 130*12T*16 строительное.дерево, газобетон, б/рез профи Атака</v>
          </cell>
          <cell r="C178" t="str">
            <v>шт</v>
          </cell>
          <cell r="D178">
            <v>1</v>
          </cell>
          <cell r="E17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130*12T*16 профи Атака
Материал:  Газобетон, строительная древесина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 грубого распила строительной древесины и газобетона, справляется с гвоздями.</v>
          </cell>
          <cell r="F178">
            <v>577</v>
          </cell>
          <cell r="G178">
            <v>731</v>
          </cell>
          <cell r="H178" t="str">
            <v>+</v>
          </cell>
          <cell r="I178">
            <v>577</v>
          </cell>
          <cell r="J178">
            <v>0</v>
          </cell>
          <cell r="K178">
            <v>0</v>
          </cell>
        </row>
        <row r="179">
          <cell r="A179">
            <v>7088820</v>
          </cell>
          <cell r="B179" t="str">
            <v>Диск пильный 140*12T*20 строительное.дерево, газобетон, б/рез профи Атака</v>
          </cell>
          <cell r="C179" t="str">
            <v>шт</v>
          </cell>
          <cell r="D179">
            <v>1</v>
          </cell>
          <cell r="E17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140*12T*20 профи Атака
Материал:  Газобетон, строительная древесина 
Кромка: б/рез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79">
            <v>640</v>
          </cell>
          <cell r="G179">
            <v>811</v>
          </cell>
          <cell r="H179" t="str">
            <v>+</v>
          </cell>
          <cell r="I179">
            <v>640</v>
          </cell>
          <cell r="J179">
            <v>0</v>
          </cell>
          <cell r="K179">
            <v>0</v>
          </cell>
        </row>
        <row r="180">
          <cell r="A180">
            <v>7088830</v>
          </cell>
          <cell r="B180" t="str">
            <v>Диск пильный 150*12T*16  строительное.дерево, газобетон, б/рез профи Атака</v>
          </cell>
          <cell r="C180" t="str">
            <v>шт</v>
          </cell>
          <cell r="D180">
            <v>1</v>
          </cell>
          <cell r="E18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150*12T*16 профи Атака
Материал:  Газобетон, строительная древесина 
Кромка: б/рез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0">
            <v>745</v>
          </cell>
          <cell r="G180">
            <v>940</v>
          </cell>
          <cell r="H180" t="str">
            <v>+</v>
          </cell>
          <cell r="I180">
            <v>745</v>
          </cell>
          <cell r="J180">
            <v>0</v>
          </cell>
          <cell r="K180">
            <v>0</v>
          </cell>
        </row>
        <row r="181">
          <cell r="A181">
            <v>7088840</v>
          </cell>
          <cell r="B181" t="str">
            <v>Диск пильный 150*12T*20 строительное.дерево, газобетон, б/рез профи Атака</v>
          </cell>
          <cell r="C181" t="str">
            <v>шт</v>
          </cell>
          <cell r="D181">
            <v>1</v>
          </cell>
          <cell r="E18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150*12T*20 профи Атака
Материал:  Газобетон, строительная древесина 
Кромка: б/рез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 в материале</v>
          </cell>
          <cell r="F181">
            <v>719</v>
          </cell>
          <cell r="G181">
            <v>912</v>
          </cell>
          <cell r="H181" t="str">
            <v>+</v>
          </cell>
          <cell r="I181">
            <v>719</v>
          </cell>
          <cell r="J181">
            <v>0</v>
          </cell>
          <cell r="K181">
            <v>0</v>
          </cell>
        </row>
        <row r="182">
          <cell r="A182">
            <v>7088850</v>
          </cell>
          <cell r="B182" t="str">
            <v>Диск пильный 160*12T*16 строительное.дерево, газобетон, б/рез профи Атака</v>
          </cell>
          <cell r="C182" t="str">
            <v>шт</v>
          </cell>
          <cell r="D182">
            <v>1</v>
          </cell>
          <cell r="E18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160*12T*16 профи Атака
Материал:  Газобетон, строительная древесина 
Кромка: б/рез  
Применяется с ручными циркулярными и торцовочными пилами. 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2">
            <v>781</v>
          </cell>
          <cell r="G182">
            <v>990</v>
          </cell>
          <cell r="H182" t="str">
            <v>+</v>
          </cell>
          <cell r="I182">
            <v>781</v>
          </cell>
          <cell r="J182">
            <v>0</v>
          </cell>
          <cell r="K182">
            <v>0</v>
          </cell>
        </row>
        <row r="183">
          <cell r="A183">
            <v>7088860</v>
          </cell>
          <cell r="B183" t="str">
            <v>Диск пильный 160*12T*20 строительное.дерево, газобетон, б/рез профи Атака</v>
          </cell>
          <cell r="C183" t="str">
            <v>шт</v>
          </cell>
          <cell r="D183">
            <v>1</v>
          </cell>
          <cell r="E18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160*12T*20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3">
            <v>885</v>
          </cell>
          <cell r="G183">
            <v>1133</v>
          </cell>
          <cell r="H183" t="str">
            <v>-</v>
          </cell>
          <cell r="I183">
            <v>885</v>
          </cell>
          <cell r="J183">
            <v>0</v>
          </cell>
          <cell r="K183">
            <v>0</v>
          </cell>
        </row>
        <row r="184">
          <cell r="A184">
            <v>7088870</v>
          </cell>
          <cell r="B184" t="str">
            <v>Диск пильный 180*12T*20 строительное.дерево, газобетон, б/рез профи Атака</v>
          </cell>
          <cell r="C184" t="str">
            <v>шт</v>
          </cell>
          <cell r="D184">
            <v>1</v>
          </cell>
          <cell r="E18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180*12T*20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4">
            <v>1026</v>
          </cell>
          <cell r="G184">
            <v>1313</v>
          </cell>
          <cell r="H184" t="str">
            <v>-</v>
          </cell>
          <cell r="I184">
            <v>1026</v>
          </cell>
          <cell r="J184">
            <v>0</v>
          </cell>
          <cell r="K184">
            <v>0</v>
          </cell>
        </row>
        <row r="185">
          <cell r="A185">
            <v>7088880</v>
          </cell>
          <cell r="B185" t="str">
            <v>Диск пильный 190*12T*16 строительное.дерево, газобетон, б/рез профи Атака</v>
          </cell>
          <cell r="C185" t="str">
            <v>шт</v>
          </cell>
          <cell r="D185">
            <v>1</v>
          </cell>
          <cell r="E18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190*12T*16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5">
            <v>1171</v>
          </cell>
          <cell r="G185">
            <v>1497</v>
          </cell>
          <cell r="H185" t="str">
            <v>-</v>
          </cell>
          <cell r="I185">
            <v>1171</v>
          </cell>
          <cell r="J185">
            <v>0</v>
          </cell>
          <cell r="K185">
            <v>0</v>
          </cell>
        </row>
        <row r="186">
          <cell r="A186">
            <v>7088890</v>
          </cell>
          <cell r="B186" t="str">
            <v>Диск пильный 190*12T*20 строительное.дерево, газобетон, б/рез профи Атака</v>
          </cell>
          <cell r="C186" t="str">
            <v>шт</v>
          </cell>
          <cell r="D186">
            <v>1</v>
          </cell>
          <cell r="E18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190*12T*20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6">
            <v>1171</v>
          </cell>
          <cell r="G186">
            <v>1497</v>
          </cell>
          <cell r="H186" t="str">
            <v>+</v>
          </cell>
          <cell r="I186">
            <v>1171</v>
          </cell>
          <cell r="J186">
            <v>0</v>
          </cell>
          <cell r="K186">
            <v>0</v>
          </cell>
        </row>
        <row r="187">
          <cell r="A187">
            <v>7088900</v>
          </cell>
          <cell r="B187" t="str">
            <v>Диск пильный 190*12T*30 строительное.дерево, газобетон, б/рез профи Атака</v>
          </cell>
          <cell r="C187" t="str">
            <v>шт</v>
          </cell>
          <cell r="D187">
            <v>1</v>
          </cell>
          <cell r="E18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7">
            <v>1171</v>
          </cell>
          <cell r="G187">
            <v>1497</v>
          </cell>
          <cell r="H187" t="str">
            <v>-</v>
          </cell>
          <cell r="I187">
            <v>1171</v>
          </cell>
          <cell r="J187">
            <v>0</v>
          </cell>
          <cell r="K187">
            <v>0</v>
          </cell>
        </row>
        <row r="188">
          <cell r="A188">
            <v>7088910</v>
          </cell>
          <cell r="B188" t="str">
            <v>Диск пильный 230*16T*30 строительное.дерево, газобетон, б/рез профи Атака</v>
          </cell>
          <cell r="C188" t="str">
            <v>шт</v>
          </cell>
          <cell r="D188">
            <v>1</v>
          </cell>
          <cell r="E18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230*16T*30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8">
            <v>1435</v>
          </cell>
          <cell r="G188">
            <v>1822</v>
          </cell>
          <cell r="H188" t="str">
            <v>+</v>
          </cell>
          <cell r="I188">
            <v>1435</v>
          </cell>
          <cell r="J188">
            <v>0</v>
          </cell>
          <cell r="K188">
            <v>0</v>
          </cell>
        </row>
        <row r="189">
          <cell r="A189">
            <v>7088920</v>
          </cell>
          <cell r="B189" t="str">
            <v>Диск пильный 235*16T*30 строительное.дерево, газобетон, б/рез профи Атака</v>
          </cell>
          <cell r="C189" t="str">
            <v>шт</v>
          </cell>
          <cell r="D189">
            <v>1</v>
          </cell>
          <cell r="E18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235*16T*30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89">
            <v>1598</v>
          </cell>
          <cell r="G189">
            <v>2029</v>
          </cell>
          <cell r="H189" t="str">
            <v>+</v>
          </cell>
          <cell r="I189">
            <v>1598</v>
          </cell>
          <cell r="J189">
            <v>0</v>
          </cell>
          <cell r="K189">
            <v>0</v>
          </cell>
        </row>
        <row r="190">
          <cell r="A190">
            <v>7088930</v>
          </cell>
          <cell r="B190" t="str">
            <v>Диск пильный 300*20T*30 строительное.дерево, газобетон, б/рез профи Атака</v>
          </cell>
          <cell r="C190" t="str">
            <v>шт</v>
          </cell>
          <cell r="D190">
            <v>1</v>
          </cell>
          <cell r="E19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300*20T*30 Профи Атака
Материал:  газобетон, строительная древесина 
Кромка: б/рез 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но грубого распила строительной древесины и газобетона, справляется с гвоздями.</v>
          </cell>
          <cell r="F190">
            <v>3057</v>
          </cell>
          <cell r="G190">
            <v>3879</v>
          </cell>
          <cell r="H190" t="str">
            <v>+</v>
          </cell>
          <cell r="I190">
            <v>3057</v>
          </cell>
          <cell r="J190">
            <v>0</v>
          </cell>
          <cell r="K190">
            <v>0</v>
          </cell>
        </row>
        <row r="191">
          <cell r="A191">
            <v>8077760</v>
          </cell>
          <cell r="B191" t="str">
            <v>Диск пильный 190*48T*30 алюминий пластик ч/рез профи Атака</v>
          </cell>
          <cell r="C191" t="str">
            <v>шт</v>
          </cell>
          <cell r="D191">
            <v>1</v>
          </cell>
          <cell r="E19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190*48T*30 профи Ататка
Материал: алюминий, пластик
Кромка: ч/рез
Применяется с ручными циркулярными и торцовочными пилами
Полотно диска изготовлено из высококачественной стали, зубья из твердого сплава с алмазной шлифовкой. Предназначен для распила алюминия и пластика толщиной не более 3 мм.</v>
          </cell>
          <cell r="F191">
            <v>1300</v>
          </cell>
          <cell r="G191">
            <v>1664</v>
          </cell>
          <cell r="H191" t="str">
            <v>+</v>
          </cell>
          <cell r="I191">
            <v>1300</v>
          </cell>
          <cell r="J191">
            <v>0</v>
          </cell>
          <cell r="K191">
            <v>0</v>
          </cell>
        </row>
        <row r="192">
          <cell r="A192">
            <v>8077770</v>
          </cell>
          <cell r="B192" t="str">
            <v>Диск пильный 190*48T*30 алюминий пластик ч/рез отриц. профи Атака</v>
          </cell>
          <cell r="C192" t="str">
            <v>шт</v>
          </cell>
          <cell r="D192">
            <v>1</v>
          </cell>
          <cell r="E19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192">
            <v>1300</v>
          </cell>
          <cell r="G192">
            <v>1664</v>
          </cell>
          <cell r="H192" t="str">
            <v>+</v>
          </cell>
          <cell r="I192">
            <v>1300</v>
          </cell>
          <cell r="J192">
            <v>0</v>
          </cell>
          <cell r="K192">
            <v>0</v>
          </cell>
        </row>
        <row r="193">
          <cell r="A193">
            <v>8077790</v>
          </cell>
          <cell r="B193" t="str">
            <v>Диск пильный 210*48T*30 алюминий пластик ч/рез профи Атака</v>
          </cell>
          <cell r="C193" t="str">
            <v>шт</v>
          </cell>
          <cell r="D193">
            <v>1</v>
          </cell>
          <cell r="E19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
Материал: алюминий, пластик 
Кромка: ч/рез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193">
            <v>1346</v>
          </cell>
          <cell r="G193">
            <v>1720</v>
          </cell>
          <cell r="H193" t="str">
            <v>+</v>
          </cell>
          <cell r="I193">
            <v>1346</v>
          </cell>
          <cell r="J193">
            <v>0</v>
          </cell>
          <cell r="K193">
            <v>0</v>
          </cell>
        </row>
        <row r="194">
          <cell r="A194">
            <v>8077800</v>
          </cell>
          <cell r="B194" t="str">
            <v>Диск пильный 210*48T*30 алюминий пластик ч/рез отриц. профи Атака</v>
          </cell>
          <cell r="C194" t="str">
            <v>шт</v>
          </cell>
          <cell r="D194">
            <v>1</v>
          </cell>
          <cell r="E19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194">
            <v>1363</v>
          </cell>
          <cell r="G194">
            <v>1745</v>
          </cell>
          <cell r="H194" t="str">
            <v>+</v>
          </cell>
          <cell r="I194">
            <v>1363</v>
          </cell>
          <cell r="J194">
            <v>0</v>
          </cell>
          <cell r="K194">
            <v>0</v>
          </cell>
        </row>
        <row r="195">
          <cell r="A195">
            <v>8077810</v>
          </cell>
          <cell r="B195" t="str">
            <v>Диск пильный 210*54T*30 алюминий пластик ч/рез отриц. профи Атака</v>
          </cell>
          <cell r="C195" t="str">
            <v>шт</v>
          </cell>
          <cell r="D195">
            <v>1</v>
          </cell>
          <cell r="E19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210*54T*30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195">
            <v>1484</v>
          </cell>
          <cell r="G195">
            <v>1901</v>
          </cell>
          <cell r="H195" t="str">
            <v>-</v>
          </cell>
          <cell r="I195">
            <v>1484</v>
          </cell>
          <cell r="J195">
            <v>0</v>
          </cell>
          <cell r="K195">
            <v>0</v>
          </cell>
        </row>
        <row r="196">
          <cell r="A196">
            <v>8077820</v>
          </cell>
          <cell r="B196" t="str">
            <v>Диск пильный 210*80T*30 алюминий пластик ч/рез профи Атака</v>
          </cell>
          <cell r="C196" t="str">
            <v>шт</v>
          </cell>
          <cell r="D196">
            <v>1</v>
          </cell>
          <cell r="E19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210*80T*30 Профи Атака 
Материал: алюминий, пластик 
Кромка: ч/рез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196">
            <v>1871</v>
          </cell>
          <cell r="G196">
            <v>2394</v>
          </cell>
          <cell r="H196" t="str">
            <v>-</v>
          </cell>
          <cell r="I196">
            <v>1871</v>
          </cell>
          <cell r="J196">
            <v>0</v>
          </cell>
          <cell r="K196">
            <v>0</v>
          </cell>
        </row>
        <row r="197">
          <cell r="A197">
            <v>8077830</v>
          </cell>
          <cell r="B197" t="str">
            <v>Диск пильный 216*60T*30 алюминий пластик ч/рез профи Атака</v>
          </cell>
          <cell r="C197" t="str">
            <v>шт</v>
          </cell>
          <cell r="D197">
            <v>1</v>
          </cell>
          <cell r="E19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216*60T*30 Профи Атака 
Материал: алюминий, пластик 
Кромка: ч/рез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197">
            <v>1502</v>
          </cell>
          <cell r="G197">
            <v>1998</v>
          </cell>
          <cell r="H197" t="str">
            <v>+</v>
          </cell>
          <cell r="I197">
            <v>1502</v>
          </cell>
          <cell r="J197">
            <v>0</v>
          </cell>
          <cell r="K197">
            <v>0</v>
          </cell>
        </row>
        <row r="198">
          <cell r="A198">
            <v>8077840</v>
          </cell>
          <cell r="B198" t="str">
            <v>Диск пильный 216*60T*30 алюминий пластик ч/рез отриц. профи Атака</v>
          </cell>
          <cell r="C198" t="str">
            <v>шт</v>
          </cell>
          <cell r="D198">
            <v>1</v>
          </cell>
          <cell r="E19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216*60T*30 Профи Атака 
Материал: алюминий, пластик 
Кромка: ч/рез 
Угол заточки: отрицательный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198">
            <v>1522</v>
          </cell>
          <cell r="G198">
            <v>1949</v>
          </cell>
          <cell r="H198" t="str">
            <v>+</v>
          </cell>
          <cell r="I198">
            <v>1522</v>
          </cell>
          <cell r="J198">
            <v>0</v>
          </cell>
          <cell r="K198">
            <v>0</v>
          </cell>
        </row>
        <row r="199">
          <cell r="A199">
            <v>8077850</v>
          </cell>
          <cell r="B199" t="str">
            <v>Диск пильный 216*80T*30 алюминий пластик ч/рез профи Атака</v>
          </cell>
          <cell r="C199" t="str">
            <v>шт</v>
          </cell>
          <cell r="D199">
            <v>1</v>
          </cell>
          <cell r="E19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216*80T*30 Профи Атака 
Материал: алюминий, пластик 
Кромка: ч/рез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199">
            <v>1776</v>
          </cell>
          <cell r="G199">
            <v>2360</v>
          </cell>
          <cell r="H199" t="str">
            <v>+</v>
          </cell>
          <cell r="I199">
            <v>1776</v>
          </cell>
          <cell r="J199">
            <v>0</v>
          </cell>
          <cell r="K199">
            <v>0</v>
          </cell>
        </row>
        <row r="200">
          <cell r="A200">
            <v>8077860</v>
          </cell>
          <cell r="B200" t="str">
            <v>Диск пильный 250*100T*30 алюминий пластик ч/рез профи Атака</v>
          </cell>
          <cell r="C200" t="str">
            <v>шт</v>
          </cell>
          <cell r="D200">
            <v>1</v>
          </cell>
          <cell r="E20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250*100T*30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200">
            <v>3399</v>
          </cell>
          <cell r="G200">
            <v>4347</v>
          </cell>
          <cell r="H200" t="str">
            <v>-</v>
          </cell>
          <cell r="I200">
            <v>3399</v>
          </cell>
          <cell r="J200">
            <v>0</v>
          </cell>
          <cell r="K200">
            <v>0</v>
          </cell>
        </row>
        <row r="201">
          <cell r="A201">
            <v>8077870</v>
          </cell>
          <cell r="B201" t="str">
            <v>Диск пильный 250*100T*30 алюминий пластик ч/рез отриц. профи Атака</v>
          </cell>
          <cell r="C201" t="str">
            <v>шт</v>
          </cell>
          <cell r="D201">
            <v>1</v>
          </cell>
          <cell r="E20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250*100T*30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201">
            <v>3399</v>
          </cell>
          <cell r="G201">
            <v>4347</v>
          </cell>
          <cell r="H201" t="str">
            <v>+</v>
          </cell>
          <cell r="I201">
            <v>3399</v>
          </cell>
          <cell r="J201">
            <v>0</v>
          </cell>
          <cell r="K201">
            <v>0</v>
          </cell>
        </row>
        <row r="202">
          <cell r="A202">
            <v>8077880</v>
          </cell>
          <cell r="B202" t="str">
            <v>Диск пильный 250*80T*30 алюминий пластик ч/рез профи Атака</v>
          </cell>
          <cell r="C202" t="str">
            <v>шт</v>
          </cell>
          <cell r="D202">
            <v>1</v>
          </cell>
          <cell r="E20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202">
            <v>2952</v>
          </cell>
          <cell r="G202">
            <v>3779</v>
          </cell>
          <cell r="H202" t="str">
            <v>+</v>
          </cell>
          <cell r="I202">
            <v>2952</v>
          </cell>
          <cell r="J202">
            <v>0</v>
          </cell>
          <cell r="K202">
            <v>0</v>
          </cell>
        </row>
        <row r="203">
          <cell r="A203">
            <v>8077890</v>
          </cell>
          <cell r="B203" t="str">
            <v>Диск пильный 250*80T*30 алюминий пластик ч/рез отриц. профи Атака</v>
          </cell>
          <cell r="C203" t="str">
            <v>шт</v>
          </cell>
          <cell r="D203">
            <v>1</v>
          </cell>
          <cell r="E20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203">
            <v>2952</v>
          </cell>
          <cell r="G203">
            <v>3779</v>
          </cell>
          <cell r="H203" t="str">
            <v>+</v>
          </cell>
          <cell r="I203">
            <v>2952</v>
          </cell>
          <cell r="J203">
            <v>0</v>
          </cell>
          <cell r="K203">
            <v>0</v>
          </cell>
        </row>
        <row r="204">
          <cell r="A204">
            <v>8077900</v>
          </cell>
          <cell r="B204" t="str">
            <v>Диск пильный 250*80T*32 алюминий пластик ч/рез профи Атака</v>
          </cell>
          <cell r="C204" t="str">
            <v>шт</v>
          </cell>
          <cell r="D204">
            <v>1</v>
          </cell>
          <cell r="E20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204">
            <v>2952</v>
          </cell>
          <cell r="G204">
            <v>3779</v>
          </cell>
          <cell r="H204" t="str">
            <v>-</v>
          </cell>
          <cell r="I204">
            <v>2952</v>
          </cell>
          <cell r="J204">
            <v>0</v>
          </cell>
          <cell r="K204">
            <v>0</v>
          </cell>
        </row>
        <row r="205">
          <cell r="A205">
            <v>8077910</v>
          </cell>
          <cell r="B205" t="str">
            <v>Диск пильный 255*100T*30 алюминий пластик ч/рез профи Атака</v>
          </cell>
          <cell r="C205" t="str">
            <v>шт</v>
          </cell>
          <cell r="D205">
            <v>1</v>
          </cell>
          <cell r="E20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255*100T*30 Профи Атака 
Материал: алюминий, пластик 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205">
            <v>3263</v>
          </cell>
          <cell r="G205">
            <v>4172</v>
          </cell>
          <cell r="H205" t="str">
            <v>+</v>
          </cell>
          <cell r="I205">
            <v>3263</v>
          </cell>
          <cell r="J205">
            <v>0</v>
          </cell>
          <cell r="K205">
            <v>0</v>
          </cell>
        </row>
        <row r="206">
          <cell r="A206">
            <v>8077920</v>
          </cell>
          <cell r="B206" t="str">
            <v>Диск пильный 255*100T*30 алюминий пластик ч/рез отриц. профи Атака</v>
          </cell>
          <cell r="C206" t="str">
            <v>шт</v>
          </cell>
          <cell r="D206">
            <v>1</v>
          </cell>
          <cell r="E20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255*100T*30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206">
            <v>3578</v>
          </cell>
          <cell r="G206">
            <v>4576</v>
          </cell>
          <cell r="H206" t="str">
            <v>+</v>
          </cell>
          <cell r="I206">
            <v>3578</v>
          </cell>
          <cell r="J206">
            <v>0</v>
          </cell>
          <cell r="K206">
            <v>0</v>
          </cell>
        </row>
        <row r="207">
          <cell r="A207">
            <v>8077930</v>
          </cell>
          <cell r="B207" t="str">
            <v>Диск пильный 255*80T*30 алюминий пластик ч/рез профи Атака</v>
          </cell>
          <cell r="C207" t="str">
            <v>шт</v>
          </cell>
          <cell r="D207">
            <v>1</v>
          </cell>
          <cell r="E20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255*80T*30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207">
            <v>2930</v>
          </cell>
          <cell r="G207">
            <v>3749</v>
          </cell>
          <cell r="H207" t="str">
            <v>+</v>
          </cell>
          <cell r="I207">
            <v>2930</v>
          </cell>
          <cell r="J207">
            <v>0</v>
          </cell>
          <cell r="K207">
            <v>0</v>
          </cell>
        </row>
        <row r="208">
          <cell r="A208">
            <v>8077940</v>
          </cell>
          <cell r="B208" t="str">
            <v>Диск пильный 300*100T*30 алюминий пластик ч/рез профи Атака</v>
          </cell>
          <cell r="C208" t="str">
            <v>шт</v>
          </cell>
          <cell r="D208">
            <v>1</v>
          </cell>
          <cell r="E20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208">
            <v>5076</v>
          </cell>
          <cell r="G208">
            <v>6497</v>
          </cell>
          <cell r="H208" t="str">
            <v>+</v>
          </cell>
          <cell r="I208">
            <v>5076</v>
          </cell>
          <cell r="J208">
            <v>0</v>
          </cell>
          <cell r="K208">
            <v>0</v>
          </cell>
        </row>
        <row r="209">
          <cell r="A209">
            <v>8077950</v>
          </cell>
          <cell r="B209" t="str">
            <v>Диск пильный 300*100T*30 алюминий пластик ч/рез отриц. профи Атака</v>
          </cell>
          <cell r="C209" t="str">
            <v>шт</v>
          </cell>
          <cell r="D209">
            <v>1</v>
          </cell>
          <cell r="E20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209">
            <v>4743</v>
          </cell>
          <cell r="G209">
            <v>6072</v>
          </cell>
          <cell r="H209" t="str">
            <v>+</v>
          </cell>
          <cell r="I209">
            <v>4743</v>
          </cell>
          <cell r="J209">
            <v>0</v>
          </cell>
          <cell r="K209">
            <v>0</v>
          </cell>
        </row>
        <row r="210">
          <cell r="A210">
            <v>8077960</v>
          </cell>
          <cell r="B210" t="str">
            <v>Диск пильный 355*100T*25.4 алюминий пластик ч/рез профи Атака</v>
          </cell>
          <cell r="C210" t="str">
            <v>шт</v>
          </cell>
          <cell r="D210">
            <v>1</v>
          </cell>
          <cell r="E21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355*100T*25.4 Профи Атака 
Материал: алюминий, пластик 
Кромка: ч/рез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</v>
          </cell>
          <cell r="F210">
            <v>6484</v>
          </cell>
          <cell r="G210">
            <v>8301</v>
          </cell>
          <cell r="H210" t="str">
            <v>+</v>
          </cell>
          <cell r="I210">
            <v>6484</v>
          </cell>
          <cell r="J210">
            <v>0</v>
          </cell>
          <cell r="K210">
            <v>0</v>
          </cell>
        </row>
        <row r="211">
          <cell r="A211">
            <v>8077970</v>
          </cell>
          <cell r="B211" t="str">
            <v>Диск пильный 355*100T*25.4 алюминий пластик ч/рез отриц. профи Атака</v>
          </cell>
          <cell r="C211" t="str">
            <v>шт</v>
          </cell>
          <cell r="D211">
            <v>1</v>
          </cell>
          <cell r="E21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355*100T*25.4 Профи Атака 
Материал: алюминий, пластик 
Кромка: ч/рез 
Угол заточки: отрицательный 
Применяется с настольной пилой
Полотно диска изготовлено из высококачественной стали,  зубья из твердого сплава с алмазной шлифовкой. Предназначен для распила алюминия и пластика толщиной не более 3 мм. Отрицательный наклон зуба предназначен для более качественного пиления.</v>
          </cell>
          <cell r="F211">
            <v>6454</v>
          </cell>
          <cell r="G211">
            <v>8260</v>
          </cell>
          <cell r="H211" t="str">
            <v>+</v>
          </cell>
          <cell r="I211">
            <v>6454</v>
          </cell>
          <cell r="J211">
            <v>0</v>
          </cell>
          <cell r="K211">
            <v>0</v>
          </cell>
        </row>
        <row r="212">
          <cell r="A212">
            <v>8077980</v>
          </cell>
          <cell r="B212" t="str">
            <v>Диск пильный 160*48T*16 ламинат дсп б/рез профи Атака</v>
          </cell>
          <cell r="C212" t="str">
            <v>шт</v>
          </cell>
          <cell r="D212">
            <v>1</v>
          </cell>
          <cell r="E21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160*48T*16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2">
            <v>1026</v>
          </cell>
          <cell r="G212">
            <v>1313</v>
          </cell>
          <cell r="H212" t="str">
            <v>+</v>
          </cell>
          <cell r="I212">
            <v>1026</v>
          </cell>
          <cell r="J212">
            <v>0</v>
          </cell>
          <cell r="K212">
            <v>0</v>
          </cell>
        </row>
        <row r="213">
          <cell r="A213">
            <v>8077990</v>
          </cell>
          <cell r="B213" t="str">
            <v>Диск пильный 160*48T*32 ламинат дсп б/рез профи Атака</v>
          </cell>
          <cell r="C213" t="str">
            <v>шт</v>
          </cell>
          <cell r="D213">
            <v>1</v>
          </cell>
          <cell r="E21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160*48T*32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3">
            <v>1098</v>
          </cell>
          <cell r="G213">
            <v>1404</v>
          </cell>
          <cell r="H213" t="str">
            <v>+</v>
          </cell>
          <cell r="I213">
            <v>1098</v>
          </cell>
          <cell r="J213">
            <v>0</v>
          </cell>
          <cell r="K213">
            <v>0</v>
          </cell>
        </row>
        <row r="214">
          <cell r="A214">
            <v>8078000</v>
          </cell>
          <cell r="B214" t="str">
            <v>Диск пильный 190*54T*16 ламинат дсп б/рез профи Атака</v>
          </cell>
          <cell r="C214" t="str">
            <v>шт</v>
          </cell>
          <cell r="D214">
            <v>1</v>
          </cell>
          <cell r="E21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190*54T*16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4">
            <v>1216</v>
          </cell>
          <cell r="G214">
            <v>1556</v>
          </cell>
          <cell r="H214" t="str">
            <v>+</v>
          </cell>
          <cell r="I214">
            <v>1216</v>
          </cell>
          <cell r="J214">
            <v>0</v>
          </cell>
          <cell r="K214">
            <v>0</v>
          </cell>
        </row>
        <row r="215">
          <cell r="A215">
            <v>8078010</v>
          </cell>
          <cell r="B215" t="str">
            <v>Диск пильный 200*48T*30 ламинат дсп б/рез профи Атака</v>
          </cell>
          <cell r="C215" t="str">
            <v>шт</v>
          </cell>
          <cell r="D215">
            <v>1</v>
          </cell>
          <cell r="E21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5">
            <v>1537</v>
          </cell>
          <cell r="G215">
            <v>2044</v>
          </cell>
          <cell r="H215" t="str">
            <v>-</v>
          </cell>
          <cell r="I215">
            <v>1537</v>
          </cell>
          <cell r="J215">
            <v>0</v>
          </cell>
          <cell r="K215">
            <v>0</v>
          </cell>
        </row>
        <row r="216">
          <cell r="A216">
            <v>8078020</v>
          </cell>
          <cell r="B216" t="str">
            <v>Диск пильный 200*48T*32 ламинат дсп б/рез профи Атака</v>
          </cell>
          <cell r="C216" t="str">
            <v>шт</v>
          </cell>
          <cell r="D216">
            <v>1</v>
          </cell>
          <cell r="E21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6">
            <v>1645</v>
          </cell>
          <cell r="G216">
            <v>2188</v>
          </cell>
          <cell r="H216" t="str">
            <v>+</v>
          </cell>
          <cell r="I216">
            <v>1645</v>
          </cell>
          <cell r="J216">
            <v>0</v>
          </cell>
          <cell r="K216">
            <v>0</v>
          </cell>
        </row>
        <row r="217">
          <cell r="A217">
            <v>8078030</v>
          </cell>
          <cell r="B217" t="str">
            <v>Диск пильный 200*56T*30 ламинат дсп б/рез профи Атака</v>
          </cell>
          <cell r="C217" t="str">
            <v>шт</v>
          </cell>
          <cell r="D217">
            <v>1</v>
          </cell>
          <cell r="E21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7">
            <v>1942</v>
          </cell>
          <cell r="G217">
            <v>2485</v>
          </cell>
          <cell r="H217" t="str">
            <v>+</v>
          </cell>
          <cell r="I217">
            <v>1942</v>
          </cell>
          <cell r="J217">
            <v>0</v>
          </cell>
          <cell r="K217">
            <v>0</v>
          </cell>
        </row>
        <row r="218">
          <cell r="A218">
            <v>8078040</v>
          </cell>
          <cell r="B218" t="str">
            <v>Диск пильный 200*56T*32 ламинат дсп б/рез профи Атака</v>
          </cell>
          <cell r="C218" t="str">
            <v>шт</v>
          </cell>
          <cell r="D218">
            <v>1</v>
          </cell>
          <cell r="E21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200*56T*32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8">
            <v>1942</v>
          </cell>
          <cell r="G218">
            <v>2485</v>
          </cell>
          <cell r="H218" t="str">
            <v>+</v>
          </cell>
          <cell r="I218">
            <v>1942</v>
          </cell>
          <cell r="J218">
            <v>0</v>
          </cell>
          <cell r="K218">
            <v>0</v>
          </cell>
        </row>
        <row r="219">
          <cell r="A219">
            <v>8078050</v>
          </cell>
          <cell r="B219" t="str">
            <v>Диск пильный 210*48T*30 ламинат дсп б/рез профи Атака</v>
          </cell>
          <cell r="C219" t="str">
            <v>шт</v>
          </cell>
          <cell r="D219">
            <v>1</v>
          </cell>
          <cell r="E21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19">
            <v>1956</v>
          </cell>
          <cell r="G219">
            <v>2501</v>
          </cell>
          <cell r="H219" t="str">
            <v>+</v>
          </cell>
          <cell r="I219">
            <v>1956</v>
          </cell>
          <cell r="J219">
            <v>0</v>
          </cell>
          <cell r="K219">
            <v>0</v>
          </cell>
        </row>
        <row r="220">
          <cell r="A220">
            <v>8078060</v>
          </cell>
          <cell r="B220" t="str">
            <v>Диск пильный 230*56T*30 ламинат дсп б/рез профи Атака</v>
          </cell>
          <cell r="C220" t="str">
            <v>шт</v>
          </cell>
          <cell r="D220">
            <v>1</v>
          </cell>
          <cell r="E22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230*56T*30 Профи Атака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0">
            <v>2095</v>
          </cell>
          <cell r="G220">
            <v>2679</v>
          </cell>
          <cell r="H220" t="str">
            <v>-</v>
          </cell>
          <cell r="I220">
            <v>2095</v>
          </cell>
          <cell r="J220">
            <v>0</v>
          </cell>
          <cell r="K220">
            <v>0</v>
          </cell>
        </row>
        <row r="221">
          <cell r="A221">
            <v>8078070</v>
          </cell>
          <cell r="B221" t="str">
            <v>Диск пильный 230*72T*30 ламинат дсп б/рез профи Атака</v>
          </cell>
          <cell r="C221" t="str">
            <v>шт</v>
          </cell>
          <cell r="D221">
            <v>1</v>
          </cell>
          <cell r="E22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230*72T*30 Профи Атака 
Материал: ламинат, ДСП 
Кромка: б/рез 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1">
            <v>2468</v>
          </cell>
          <cell r="G221">
            <v>3159</v>
          </cell>
          <cell r="H221" t="str">
            <v>-</v>
          </cell>
          <cell r="I221">
            <v>2468</v>
          </cell>
          <cell r="J221">
            <v>0</v>
          </cell>
          <cell r="K221">
            <v>0</v>
          </cell>
        </row>
        <row r="222">
          <cell r="A222">
            <v>8078080</v>
          </cell>
          <cell r="B222" t="str">
            <v>Диск пильный 250*60T*32 ламинат дсп б/рез профи Атака</v>
          </cell>
          <cell r="C222" t="str">
            <v>шт</v>
          </cell>
          <cell r="D222">
            <v>1</v>
          </cell>
          <cell r="E22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2">
            <v>2494</v>
          </cell>
          <cell r="G222">
            <v>3192</v>
          </cell>
          <cell r="H222" t="str">
            <v>+</v>
          </cell>
          <cell r="I222">
            <v>2494</v>
          </cell>
          <cell r="J222">
            <v>0</v>
          </cell>
          <cell r="K222">
            <v>0</v>
          </cell>
        </row>
        <row r="223">
          <cell r="A223">
            <v>8078090</v>
          </cell>
          <cell r="B223" t="str">
            <v>Диск пильный 250*80T*32 ламинат дсп б/рез профи Атака</v>
          </cell>
          <cell r="C223" t="str">
            <v>шт</v>
          </cell>
          <cell r="D223">
            <v>1</v>
          </cell>
          <cell r="E22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
Материал: ламинат, ДСП 
Кромка: б/рез 
Применяется с настольной пилой. 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3">
            <v>3194</v>
          </cell>
          <cell r="G223">
            <v>4085</v>
          </cell>
          <cell r="H223" t="str">
            <v>+</v>
          </cell>
          <cell r="I223">
            <v>3194</v>
          </cell>
          <cell r="J223">
            <v>0</v>
          </cell>
          <cell r="K223">
            <v>0</v>
          </cell>
        </row>
        <row r="224">
          <cell r="A224">
            <v>8078100</v>
          </cell>
          <cell r="B224" t="str">
            <v>Диск пильный 300*100T*30 ламинат дсп б/рез профи Атака</v>
          </cell>
          <cell r="C224" t="str">
            <v>шт</v>
          </cell>
          <cell r="D224">
            <v>1</v>
          </cell>
          <cell r="E22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ламинат, ДСП 
Кромка: б/рез 
Применяется с настольной пилой 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4">
            <v>5411</v>
          </cell>
          <cell r="G224">
            <v>6925</v>
          </cell>
          <cell r="H224" t="str">
            <v>-</v>
          </cell>
          <cell r="I224">
            <v>5411</v>
          </cell>
          <cell r="J224">
            <v>0</v>
          </cell>
          <cell r="K224">
            <v>0</v>
          </cell>
        </row>
        <row r="225">
          <cell r="A225">
            <v>8078110</v>
          </cell>
          <cell r="B225" t="str">
            <v>Диск пильный 300*100T*32 ламинат дсп б/рез профи Атака</v>
          </cell>
          <cell r="C225" t="str">
            <v>шт</v>
          </cell>
          <cell r="D225">
            <v>1</v>
          </cell>
          <cell r="E22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300*100T*32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5">
            <v>5411</v>
          </cell>
          <cell r="G225">
            <v>6925</v>
          </cell>
          <cell r="H225" t="str">
            <v>+</v>
          </cell>
          <cell r="I225">
            <v>5411</v>
          </cell>
          <cell r="J225">
            <v>0</v>
          </cell>
          <cell r="K225">
            <v>0</v>
          </cell>
        </row>
        <row r="226">
          <cell r="A226">
            <v>8078120</v>
          </cell>
          <cell r="B226" t="str">
            <v>Диск пильный 300*100T*50 ламинат дсп б/рез профи Атака</v>
          </cell>
          <cell r="C226" t="str">
            <v>шт</v>
          </cell>
          <cell r="D226">
            <v>1</v>
          </cell>
          <cell r="E22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6">
            <v>5055</v>
          </cell>
          <cell r="G226">
            <v>6472</v>
          </cell>
          <cell r="H226" t="str">
            <v>+</v>
          </cell>
          <cell r="I226">
            <v>5055</v>
          </cell>
          <cell r="J226">
            <v>0</v>
          </cell>
          <cell r="K226">
            <v>0</v>
          </cell>
        </row>
        <row r="227">
          <cell r="A227">
            <v>8078130</v>
          </cell>
          <cell r="B227" t="str">
            <v>Диск пильный 300*72T*32 ламинат дсп б/рез профи Атака</v>
          </cell>
          <cell r="C227" t="str">
            <v>шт</v>
          </cell>
          <cell r="D227">
            <v>1</v>
          </cell>
          <cell r="E22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300*72T*32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7">
            <v>4279</v>
          </cell>
          <cell r="G227">
            <v>5477</v>
          </cell>
          <cell r="H227" t="str">
            <v>+</v>
          </cell>
          <cell r="I227">
            <v>4279</v>
          </cell>
          <cell r="J227">
            <v>0</v>
          </cell>
          <cell r="K227">
            <v>0</v>
          </cell>
        </row>
        <row r="228">
          <cell r="A228">
            <v>8078140</v>
          </cell>
          <cell r="B228" t="str">
            <v>Диск пильный 350*100T*50 ламинат дсп б/рез профи Атака</v>
          </cell>
          <cell r="C228" t="str">
            <v>шт</v>
          </cell>
          <cell r="D228">
            <v>1</v>
          </cell>
          <cell r="E22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8">
            <v>5969</v>
          </cell>
          <cell r="G228">
            <v>7639</v>
          </cell>
          <cell r="H228" t="str">
            <v>-</v>
          </cell>
          <cell r="I228">
            <v>5969</v>
          </cell>
          <cell r="J228">
            <v>0</v>
          </cell>
          <cell r="K228">
            <v>0</v>
          </cell>
        </row>
        <row r="229">
          <cell r="A229">
            <v>8078150</v>
          </cell>
          <cell r="B229" t="str">
            <v>Диск пильный 350*84T*50 ламинат дсп б/рез профи Атака</v>
          </cell>
          <cell r="C229" t="str">
            <v>шт</v>
          </cell>
          <cell r="D229">
            <v>1</v>
          </cell>
          <cell r="E22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350*84T*50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29">
            <v>5468</v>
          </cell>
          <cell r="G229">
            <v>6993</v>
          </cell>
          <cell r="H229" t="str">
            <v>+</v>
          </cell>
          <cell r="I229">
            <v>5468</v>
          </cell>
          <cell r="J229">
            <v>0</v>
          </cell>
          <cell r="K229">
            <v>0</v>
          </cell>
        </row>
        <row r="230">
          <cell r="A230">
            <v>8078160</v>
          </cell>
          <cell r="B230" t="str">
            <v>Диск пильный 400*120T*50 ламинат дсп б/рез профи Атака</v>
          </cell>
          <cell r="C230" t="str">
            <v>шт</v>
          </cell>
          <cell r="D230">
            <v>1</v>
          </cell>
          <cell r="E23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400*120T*50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30">
            <v>8740</v>
          </cell>
          <cell r="G230">
            <v>11185</v>
          </cell>
          <cell r="H230" t="str">
            <v>+</v>
          </cell>
          <cell r="I230">
            <v>8740</v>
          </cell>
          <cell r="J230">
            <v>0</v>
          </cell>
          <cell r="K230">
            <v>0</v>
          </cell>
        </row>
        <row r="231">
          <cell r="A231">
            <v>8078170</v>
          </cell>
          <cell r="B231" t="str">
            <v>Диск пильный 400*96T*50 ламинат дсп б/рез профи Атака</v>
          </cell>
          <cell r="C231" t="str">
            <v>шт</v>
          </cell>
          <cell r="D231">
            <v>1</v>
          </cell>
          <cell r="E23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400*96T*50 Профи Атака 
Материал: ламинат, ДСП 
Кромка: б/рез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распила ДСП, дерева с покрытием, ламината. </v>
          </cell>
          <cell r="F231">
            <v>7588</v>
          </cell>
          <cell r="G231">
            <v>9713</v>
          </cell>
          <cell r="H231" t="str">
            <v>+</v>
          </cell>
          <cell r="I231">
            <v>7588</v>
          </cell>
          <cell r="J231">
            <v>0</v>
          </cell>
          <cell r="K231">
            <v>0</v>
          </cell>
        </row>
        <row r="232">
          <cell r="A232">
            <v>8078180</v>
          </cell>
          <cell r="B232" t="str">
            <v>Диск пильный 200*48T*30 ламинат дсп ч/рез отриц. профи Атака</v>
          </cell>
          <cell r="C232" t="str">
            <v>шт</v>
          </cell>
          <cell r="D232">
            <v>1</v>
          </cell>
          <cell r="E23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v>
          </cell>
          <cell r="F232">
            <v>1537</v>
          </cell>
          <cell r="G232">
            <v>2044</v>
          </cell>
          <cell r="H232" t="str">
            <v>-</v>
          </cell>
          <cell r="I232">
            <v>1537</v>
          </cell>
          <cell r="J232">
            <v>0</v>
          </cell>
          <cell r="K232">
            <v>0</v>
          </cell>
        </row>
        <row r="233">
          <cell r="A233">
            <v>8078190</v>
          </cell>
          <cell r="B233" t="str">
            <v>Диск пильный 200*48T*32 ламинат дсп ч/рез отриц. профи Атака</v>
          </cell>
          <cell r="C233" t="str">
            <v>шт</v>
          </cell>
          <cell r="D233">
            <v>1</v>
          </cell>
          <cell r="E23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v>
          </cell>
          <cell r="F233">
            <v>1537</v>
          </cell>
          <cell r="G233">
            <v>1966</v>
          </cell>
          <cell r="H233" t="str">
            <v>-</v>
          </cell>
          <cell r="I233">
            <v>1537</v>
          </cell>
          <cell r="J233">
            <v>0</v>
          </cell>
          <cell r="K233">
            <v>0</v>
          </cell>
        </row>
        <row r="234">
          <cell r="A234">
            <v>8078200</v>
          </cell>
          <cell r="B234" t="str">
            <v>Диск пильный 200*56T*30 ламинат дсп ч/рез отриц. профи Атака</v>
          </cell>
          <cell r="C234" t="str">
            <v>шт</v>
          </cell>
          <cell r="D234">
            <v>1</v>
          </cell>
          <cell r="E23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200*56T*30 Профи Атака 
Материал: ламинат, ДСП 
Кромка: ч/рез 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v>
          </cell>
          <cell r="F234">
            <v>1816</v>
          </cell>
          <cell r="G234">
            <v>2321</v>
          </cell>
          <cell r="H234" t="str">
            <v>-</v>
          </cell>
          <cell r="I234">
            <v>1816</v>
          </cell>
          <cell r="J234">
            <v>0</v>
          </cell>
          <cell r="K234">
            <v>0</v>
          </cell>
        </row>
        <row r="235">
          <cell r="A235">
            <v>8078210</v>
          </cell>
          <cell r="B235" t="str">
            <v>Диск пильный 200*56T*32 ламинат дсп ч/рез отриц. профи Атака</v>
          </cell>
          <cell r="C235" t="str">
            <v>шт</v>
          </cell>
          <cell r="D235">
            <v>1</v>
          </cell>
          <cell r="E23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200*56T*32 Профи Атака 
Материал: ламинат, ДСП 
Кромка: ч/рез 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v>
          </cell>
          <cell r="F235">
            <v>1816</v>
          </cell>
          <cell r="G235">
            <v>2321</v>
          </cell>
          <cell r="H235" t="str">
            <v>-</v>
          </cell>
          <cell r="I235">
            <v>1816</v>
          </cell>
          <cell r="J235">
            <v>0</v>
          </cell>
          <cell r="K235">
            <v>0</v>
          </cell>
        </row>
        <row r="236">
          <cell r="A236">
            <v>8078220</v>
          </cell>
          <cell r="B236" t="str">
            <v>Диск пильный 210*48T*30 ламинат дсп ч/рез отриц. профи Атака</v>
          </cell>
          <cell r="C236" t="str">
            <v>шт</v>
          </cell>
          <cell r="D236">
            <v>1</v>
          </cell>
          <cell r="E23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210*48T*30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v>
          </cell>
          <cell r="F236">
            <v>1956</v>
          </cell>
          <cell r="G236">
            <v>2501</v>
          </cell>
          <cell r="H236" t="str">
            <v>-</v>
          </cell>
          <cell r="I236">
            <v>1956</v>
          </cell>
          <cell r="J236">
            <v>0</v>
          </cell>
          <cell r="K236">
            <v>0</v>
          </cell>
        </row>
        <row r="237">
          <cell r="A237">
            <v>8078230</v>
          </cell>
          <cell r="B237" t="str">
            <v>Диск пильный 230*56T*30 ламинат дсп ч/рез отриц. профи Атака</v>
          </cell>
          <cell r="C237" t="str">
            <v>шт</v>
          </cell>
          <cell r="D237">
            <v>1</v>
          </cell>
          <cell r="E23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230*56T*30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</v>
          </cell>
          <cell r="F237">
            <v>2095</v>
          </cell>
          <cell r="G237">
            <v>2679</v>
          </cell>
          <cell r="H237" t="str">
            <v>-</v>
          </cell>
          <cell r="I237">
            <v>2095</v>
          </cell>
          <cell r="J237">
            <v>0</v>
          </cell>
          <cell r="K237">
            <v>0</v>
          </cell>
        </row>
        <row r="238">
          <cell r="A238">
            <v>8078240</v>
          </cell>
          <cell r="B238" t="str">
            <v>Диск пильный 230*72T*30 ламинат дсп ч/рез отриц. профи Атака</v>
          </cell>
          <cell r="C238" t="str">
            <v>шт</v>
          </cell>
          <cell r="D238">
            <v>1</v>
          </cell>
          <cell r="E23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230*72T*30 Профи Атака 
Материал: ламинат, ДСП 
Кромка: ч/рез 
Угол заточки: отрицельный 
Применяется с ручными циркулярными и торцовочными пилами 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38">
            <v>2468</v>
          </cell>
          <cell r="G238">
            <v>3159</v>
          </cell>
          <cell r="H238" t="str">
            <v>+</v>
          </cell>
          <cell r="I238">
            <v>2468</v>
          </cell>
          <cell r="J238">
            <v>0</v>
          </cell>
          <cell r="K238">
            <v>0</v>
          </cell>
        </row>
        <row r="239">
          <cell r="A239">
            <v>8078250</v>
          </cell>
          <cell r="B239" t="str">
            <v>Диск пильный 250*60T*32 ламинат дсп ч/рез отриц. профи Атака</v>
          </cell>
          <cell r="C239" t="str">
            <v>шт</v>
          </cell>
          <cell r="D239">
            <v>1</v>
          </cell>
          <cell r="E23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39">
            <v>2415</v>
          </cell>
          <cell r="G239">
            <v>3092</v>
          </cell>
          <cell r="H239" t="str">
            <v>-</v>
          </cell>
          <cell r="I239">
            <v>2415</v>
          </cell>
          <cell r="J239">
            <v>0</v>
          </cell>
          <cell r="K239">
            <v>0</v>
          </cell>
        </row>
        <row r="240">
          <cell r="A240">
            <v>8078260</v>
          </cell>
          <cell r="B240" t="str">
            <v>Диск пильный 250*80T*32 ламинат дсп ч/рез отриц. профи Атака</v>
          </cell>
          <cell r="C240" t="str">
            <v>шт</v>
          </cell>
          <cell r="D240">
            <v>1</v>
          </cell>
          <cell r="E24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0">
            <v>2873</v>
          </cell>
          <cell r="G240">
            <v>3679</v>
          </cell>
          <cell r="H240" t="str">
            <v>+</v>
          </cell>
          <cell r="I240">
            <v>2873</v>
          </cell>
          <cell r="J240">
            <v>0</v>
          </cell>
          <cell r="K240">
            <v>0</v>
          </cell>
        </row>
        <row r="241">
          <cell r="A241">
            <v>8078270</v>
          </cell>
          <cell r="B241" t="str">
            <v>Диск пильный 300*100T*30 ламинат дсп ч/рез отриц. профи Атака</v>
          </cell>
          <cell r="C241" t="str">
            <v>шт</v>
          </cell>
          <cell r="D241">
            <v>1</v>
          </cell>
          <cell r="E24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1">
            <v>4743</v>
          </cell>
          <cell r="G241">
            <v>6072</v>
          </cell>
          <cell r="H241" t="str">
            <v>-</v>
          </cell>
          <cell r="I241">
            <v>4743</v>
          </cell>
          <cell r="J241">
            <v>0</v>
          </cell>
          <cell r="K241">
            <v>0</v>
          </cell>
        </row>
        <row r="242">
          <cell r="A242">
            <v>8078280</v>
          </cell>
          <cell r="B242" t="str">
            <v>Диск пильный 300*100T*32 ламинат дсп ч/рез отриц. профи Атака</v>
          </cell>
          <cell r="C242" t="str">
            <v>шт</v>
          </cell>
          <cell r="D242">
            <v>1</v>
          </cell>
          <cell r="E24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2">
            <v>4743</v>
          </cell>
          <cell r="G242">
            <v>6072</v>
          </cell>
          <cell r="H242" t="str">
            <v>+</v>
          </cell>
          <cell r="I242">
            <v>4743</v>
          </cell>
          <cell r="J242">
            <v>0</v>
          </cell>
          <cell r="K242">
            <v>0</v>
          </cell>
        </row>
        <row r="243">
          <cell r="A243">
            <v>8078290</v>
          </cell>
          <cell r="B243" t="str">
            <v>Диск пильный 300*72T*32 ламинат дсп ч/рез отриц. профи Атака</v>
          </cell>
          <cell r="C243" t="str">
            <v>шт</v>
          </cell>
          <cell r="D243">
            <v>1</v>
          </cell>
          <cell r="E24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300*72T*32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3">
            <v>4279</v>
          </cell>
          <cell r="G243">
            <v>5477</v>
          </cell>
          <cell r="H243" t="str">
            <v>+</v>
          </cell>
          <cell r="I243">
            <v>4279</v>
          </cell>
          <cell r="J243">
            <v>0</v>
          </cell>
          <cell r="K243">
            <v>0</v>
          </cell>
        </row>
        <row r="244">
          <cell r="A244">
            <v>8078300</v>
          </cell>
          <cell r="B244" t="str">
            <v>Диск пильный 350*100T*30 ламинат дсп ч/рез отриц. профи Атака</v>
          </cell>
          <cell r="C244" t="str">
            <v>шт</v>
          </cell>
          <cell r="D244">
            <v>1</v>
          </cell>
          <cell r="E24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350*100T*30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4">
            <v>5654</v>
          </cell>
          <cell r="G244">
            <v>7236</v>
          </cell>
          <cell r="H244" t="str">
            <v>+</v>
          </cell>
          <cell r="I244">
            <v>5654</v>
          </cell>
          <cell r="J244">
            <v>0</v>
          </cell>
          <cell r="K244">
            <v>0</v>
          </cell>
        </row>
        <row r="245">
          <cell r="A245">
            <v>8078310</v>
          </cell>
          <cell r="B245" t="str">
            <v>Диск пильный 350*100T*32 ламинат дсп ч/рез отриц. профи Атака</v>
          </cell>
          <cell r="C245" t="str">
            <v>шт</v>
          </cell>
          <cell r="D245">
            <v>1</v>
          </cell>
          <cell r="E24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350*100T*32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5">
            <v>5654</v>
          </cell>
          <cell r="G245">
            <v>7236</v>
          </cell>
          <cell r="H245" t="str">
            <v>+</v>
          </cell>
          <cell r="I245">
            <v>5654</v>
          </cell>
          <cell r="J245">
            <v>0</v>
          </cell>
          <cell r="K245">
            <v>0</v>
          </cell>
        </row>
        <row r="246">
          <cell r="A246">
            <v>8078320</v>
          </cell>
          <cell r="B246" t="str">
            <v>Диск пильный 350*100T*50 ламинат дсп ч/рез отриц. профи Атака</v>
          </cell>
          <cell r="C246" t="str">
            <v>шт</v>
          </cell>
          <cell r="D246">
            <v>1</v>
          </cell>
          <cell r="E24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350*100T*50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6">
            <v>5654</v>
          </cell>
          <cell r="G246">
            <v>7236</v>
          </cell>
          <cell r="H246" t="str">
            <v>+</v>
          </cell>
          <cell r="I246">
            <v>5654</v>
          </cell>
          <cell r="J246">
            <v>0</v>
          </cell>
          <cell r="K246">
            <v>0</v>
          </cell>
        </row>
        <row r="247">
          <cell r="A247">
            <v>8078330</v>
          </cell>
          <cell r="B247" t="str">
            <v>Диск пильный 400*120T*50 ламинат дсп ч/рез отриц. профи Атака</v>
          </cell>
          <cell r="C247" t="str">
            <v>шт</v>
          </cell>
          <cell r="D247">
            <v>1</v>
          </cell>
          <cell r="E24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400*120T*50 Профи Атака 
Материал: ламинат, ДСП 
Кромка: ч/рез 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7">
            <v>8740</v>
          </cell>
          <cell r="G247">
            <v>11185</v>
          </cell>
          <cell r="H247" t="str">
            <v>-</v>
          </cell>
          <cell r="I247">
            <v>8740</v>
          </cell>
          <cell r="J247">
            <v>0</v>
          </cell>
          <cell r="K247">
            <v>0</v>
          </cell>
        </row>
        <row r="248">
          <cell r="A248">
            <v>8078340</v>
          </cell>
          <cell r="B248" t="str">
            <v>Диск пильный 400*96T*50 ламинат дсп ч/рез отриц. профи Атака</v>
          </cell>
          <cell r="C248" t="str">
            <v>шт</v>
          </cell>
          <cell r="D248">
            <v>1</v>
          </cell>
          <cell r="E24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400*96T*50 Профи Атака 
Материал: ламинат, ДСП 
Кромка: ч/рез 
Угол заточки: отрицательный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распила ДСП, дерева с покрытием, ламината. Отрицательный наклон зуба предназначен для более качественного пиления.</v>
          </cell>
          <cell r="F248">
            <v>7254</v>
          </cell>
          <cell r="G248">
            <v>9286</v>
          </cell>
          <cell r="H248" t="str">
            <v>+</v>
          </cell>
          <cell r="I248">
            <v>7254</v>
          </cell>
          <cell r="J248">
            <v>0</v>
          </cell>
          <cell r="K248">
            <v>0</v>
          </cell>
        </row>
        <row r="249">
          <cell r="A249">
            <v>8078350</v>
          </cell>
          <cell r="B249" t="str">
            <v>Кольцо переходное 20*16мм 3шт стандарт Атака</v>
          </cell>
          <cell r="C249" t="str">
            <v>шт</v>
          </cell>
          <cell r="D249">
            <v>1</v>
          </cell>
          <cell r="E24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20*16мм 3шт Стандарт Атака служит переходником между шпинделем и пильным диском</v>
          </cell>
          <cell r="F249">
            <v>74</v>
          </cell>
          <cell r="G249">
            <v>95</v>
          </cell>
          <cell r="H249" t="str">
            <v>+</v>
          </cell>
          <cell r="I249">
            <v>74</v>
          </cell>
          <cell r="J249">
            <v>0</v>
          </cell>
          <cell r="K249">
            <v>0</v>
          </cell>
        </row>
        <row r="250">
          <cell r="A250">
            <v>8078360</v>
          </cell>
          <cell r="B250" t="str">
            <v>Кольцо переходное 30*16мм 3шт стандарт Атака</v>
          </cell>
          <cell r="C250" t="str">
            <v>шт</v>
          </cell>
          <cell r="D250">
            <v>1</v>
          </cell>
          <cell r="E25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30*16мм 3шт Стандарт Атака служит переходником между шпинделем и пильным диском</v>
          </cell>
          <cell r="F250">
            <v>74</v>
          </cell>
          <cell r="G250">
            <v>95</v>
          </cell>
          <cell r="H250" t="str">
            <v>+</v>
          </cell>
          <cell r="I250">
            <v>74</v>
          </cell>
          <cell r="J250">
            <v>0</v>
          </cell>
          <cell r="K250">
            <v>0</v>
          </cell>
        </row>
        <row r="251">
          <cell r="A251">
            <v>8078370</v>
          </cell>
          <cell r="B251" t="str">
            <v>Кольцо переходное 32*20мм 3шт стандарт Атака</v>
          </cell>
          <cell r="C251" t="str">
            <v>шт</v>
          </cell>
          <cell r="D251">
            <v>1</v>
          </cell>
          <cell r="E25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32*20мм 3шт Стандарт Атака служит переходником между шпинделем и пильным диском</v>
          </cell>
          <cell r="F251">
            <v>74</v>
          </cell>
          <cell r="G251">
            <v>95</v>
          </cell>
          <cell r="H251" t="str">
            <v>+</v>
          </cell>
          <cell r="I251">
            <v>74</v>
          </cell>
          <cell r="J251">
            <v>0</v>
          </cell>
          <cell r="K251">
            <v>0</v>
          </cell>
        </row>
        <row r="252">
          <cell r="A252">
            <v>8078380</v>
          </cell>
          <cell r="B252" t="str">
            <v>Кольцо переходное 32*25,4мм 3шт стандарт Атака</v>
          </cell>
          <cell r="C252" t="str">
            <v>шт</v>
          </cell>
          <cell r="D252">
            <v>1</v>
          </cell>
          <cell r="E25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32*25,4мм 3шт Стандарт Атака служит переходником между шпинделем и пильным диском</v>
          </cell>
          <cell r="F252">
            <v>74</v>
          </cell>
          <cell r="G252">
            <v>95</v>
          </cell>
          <cell r="H252" t="str">
            <v>-</v>
          </cell>
          <cell r="I252">
            <v>74</v>
          </cell>
          <cell r="J252">
            <v>0</v>
          </cell>
          <cell r="K252">
            <v>0</v>
          </cell>
        </row>
        <row r="253">
          <cell r="A253">
            <v>8078390</v>
          </cell>
          <cell r="B253" t="str">
            <v>Кольцо переходное 32*30мм 3шт стандарт Атака</v>
          </cell>
          <cell r="C253" t="str">
            <v>шт</v>
          </cell>
          <cell r="D253">
            <v>1</v>
          </cell>
          <cell r="E25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Кольцо переходное 32*30мм 3шт Стандарт Атака служит переходником между шпинделем и пильным диском</v>
          </cell>
          <cell r="F253">
            <v>180</v>
          </cell>
          <cell r="G253">
            <v>237</v>
          </cell>
          <cell r="H253" t="str">
            <v>+</v>
          </cell>
          <cell r="I253">
            <v>180</v>
          </cell>
          <cell r="J253">
            <v>0</v>
          </cell>
          <cell r="K253">
            <v>0</v>
          </cell>
        </row>
        <row r="254">
          <cell r="A254">
            <v>8078400</v>
          </cell>
          <cell r="B254" t="str">
            <v>Диск пильный 130*24Т*16 дерево б/рез профи Атака</v>
          </cell>
          <cell r="C254" t="str">
            <v>шт</v>
          </cell>
          <cell r="D254">
            <v>1</v>
          </cell>
          <cell r="E25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130*24Т*16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54">
            <v>475</v>
          </cell>
          <cell r="G254">
            <v>630</v>
          </cell>
          <cell r="H254" t="str">
            <v>+</v>
          </cell>
          <cell r="I254">
            <v>475</v>
          </cell>
          <cell r="J254">
            <v>0</v>
          </cell>
          <cell r="K254">
            <v>0</v>
          </cell>
        </row>
        <row r="255">
          <cell r="A255">
            <v>8078410</v>
          </cell>
          <cell r="B255" t="str">
            <v>Диск пильный 140*20T*12.75 дерево б/рез профи Атака</v>
          </cell>
          <cell r="C255" t="str">
            <v>шт</v>
          </cell>
          <cell r="D255">
            <v>1</v>
          </cell>
          <cell r="E25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140*20Т*12,75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55">
            <v>532</v>
          </cell>
          <cell r="G255">
            <v>680</v>
          </cell>
          <cell r="H255" t="str">
            <v>-</v>
          </cell>
          <cell r="I255">
            <v>532</v>
          </cell>
          <cell r="J255">
            <v>0</v>
          </cell>
          <cell r="K255">
            <v>0</v>
          </cell>
        </row>
        <row r="256">
          <cell r="A256">
            <v>8078420</v>
          </cell>
          <cell r="B256" t="str">
            <v>Диск пильный 140*20T*16 дерево б/рез профи Атака</v>
          </cell>
          <cell r="C256" t="str">
            <v>шт</v>
          </cell>
          <cell r="D256">
            <v>1</v>
          </cell>
          <cell r="E25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140*20T*16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56">
            <v>570</v>
          </cell>
          <cell r="G256">
            <v>728</v>
          </cell>
          <cell r="H256" t="str">
            <v>+</v>
          </cell>
          <cell r="I256">
            <v>570</v>
          </cell>
          <cell r="J256">
            <v>0</v>
          </cell>
          <cell r="K256">
            <v>0</v>
          </cell>
        </row>
        <row r="257">
          <cell r="A257">
            <v>8078430</v>
          </cell>
          <cell r="B257" t="str">
            <v>Диск пильный 140*20T*20 дерево б/рез профи Атака</v>
          </cell>
          <cell r="C257" t="str">
            <v>шт</v>
          </cell>
          <cell r="D257">
            <v>1</v>
          </cell>
          <cell r="E25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140*20T*20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57">
            <v>520</v>
          </cell>
          <cell r="G257">
            <v>663</v>
          </cell>
          <cell r="H257" t="str">
            <v>+</v>
          </cell>
          <cell r="I257">
            <v>520</v>
          </cell>
          <cell r="J257">
            <v>0</v>
          </cell>
          <cell r="K257">
            <v>0</v>
          </cell>
        </row>
        <row r="258">
          <cell r="A258">
            <v>8078440</v>
          </cell>
          <cell r="B258" t="str">
            <v>Диск пильный 150*20T*20 дерево б/рез профи Атака</v>
          </cell>
          <cell r="C258" t="str">
            <v>шт</v>
          </cell>
          <cell r="D258">
            <v>1</v>
          </cell>
          <cell r="E25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150*20T*20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58">
            <v>550</v>
          </cell>
          <cell r="G258">
            <v>701</v>
          </cell>
          <cell r="H258" t="str">
            <v>+</v>
          </cell>
          <cell r="I258">
            <v>550</v>
          </cell>
          <cell r="J258">
            <v>0</v>
          </cell>
          <cell r="K258">
            <v>0</v>
          </cell>
        </row>
        <row r="259">
          <cell r="A259">
            <v>8078450</v>
          </cell>
          <cell r="B259" t="str">
            <v>Диск пильный 160*16T*16 дерево б/рез профи Атака</v>
          </cell>
          <cell r="C259" t="str">
            <v>шт</v>
          </cell>
          <cell r="D259">
            <v>1</v>
          </cell>
          <cell r="E25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160*16T*16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59">
            <v>417</v>
          </cell>
          <cell r="G259">
            <v>534</v>
          </cell>
          <cell r="H259" t="str">
            <v>+</v>
          </cell>
          <cell r="I259">
            <v>417</v>
          </cell>
          <cell r="J259">
            <v>0</v>
          </cell>
          <cell r="K259">
            <v>0</v>
          </cell>
        </row>
        <row r="260">
          <cell r="A260">
            <v>8078460</v>
          </cell>
          <cell r="B260" t="str">
            <v>Диск пильный 160*16T*32 дерево б/рез профи Атака</v>
          </cell>
          <cell r="C260" t="str">
            <v>шт</v>
          </cell>
          <cell r="D260">
            <v>1</v>
          </cell>
          <cell r="E26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160*16T*32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60">
            <v>448</v>
          </cell>
          <cell r="G260">
            <v>597</v>
          </cell>
          <cell r="H260" t="str">
            <v>+</v>
          </cell>
          <cell r="I260">
            <v>448</v>
          </cell>
          <cell r="J260">
            <v>0</v>
          </cell>
          <cell r="K260">
            <v>0</v>
          </cell>
        </row>
        <row r="261">
          <cell r="A261">
            <v>8078470</v>
          </cell>
          <cell r="B261" t="str">
            <v>Диск пильный 160*24T*16 дерево б/рез профи Атака</v>
          </cell>
          <cell r="C261" t="str">
            <v>шт</v>
          </cell>
          <cell r="D261">
            <v>1</v>
          </cell>
          <cell r="E26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160*24T*16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61">
            <v>566</v>
          </cell>
          <cell r="G261">
            <v>752</v>
          </cell>
          <cell r="H261" t="str">
            <v>-</v>
          </cell>
          <cell r="I261">
            <v>566</v>
          </cell>
          <cell r="J261">
            <v>0</v>
          </cell>
          <cell r="K261">
            <v>0</v>
          </cell>
        </row>
        <row r="262">
          <cell r="A262">
            <v>8078480</v>
          </cell>
          <cell r="B262" t="str">
            <v>Диск пильный 160*24T*20 дерево б/рез профи Атака</v>
          </cell>
          <cell r="C262" t="str">
            <v>шт</v>
          </cell>
          <cell r="D262">
            <v>1</v>
          </cell>
          <cell r="E26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62">
            <v>514</v>
          </cell>
          <cell r="G262">
            <v>684</v>
          </cell>
          <cell r="H262" t="str">
            <v>+</v>
          </cell>
          <cell r="I262">
            <v>514</v>
          </cell>
          <cell r="J262">
            <v>0</v>
          </cell>
          <cell r="K262">
            <v>0</v>
          </cell>
        </row>
        <row r="263">
          <cell r="A263">
            <v>8078500</v>
          </cell>
          <cell r="B263" t="str">
            <v>Диск пильный 160*32T*20 дерево б/рез тон/отб. профи Атака</v>
          </cell>
          <cell r="C263" t="str">
            <v>шт</v>
          </cell>
          <cell r="D263">
            <v>1</v>
          </cell>
          <cell r="E26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160*32T*20 Профи Атака
Материал: дерево 
Кромка: б/рез 
Особенности: тонкий профиль, отбойник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63">
            <v>810</v>
          </cell>
          <cell r="G263">
            <v>1079</v>
          </cell>
          <cell r="H263" t="str">
            <v>+</v>
          </cell>
          <cell r="I263">
            <v>810</v>
          </cell>
          <cell r="J263">
            <v>0</v>
          </cell>
          <cell r="K263">
            <v>0</v>
          </cell>
        </row>
        <row r="264">
          <cell r="A264">
            <v>8078510</v>
          </cell>
          <cell r="B264" t="str">
            <v>Диск пильный 160*48T*16 дерево б/рез тон. профи Атака</v>
          </cell>
          <cell r="C264" t="str">
            <v>шт</v>
          </cell>
          <cell r="D264">
            <v>1</v>
          </cell>
          <cell r="E26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160*48T*16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64">
            <v>829</v>
          </cell>
          <cell r="G264">
            <v>1062</v>
          </cell>
          <cell r="H264" t="str">
            <v>+</v>
          </cell>
          <cell r="I264">
            <v>829</v>
          </cell>
          <cell r="J264">
            <v>0</v>
          </cell>
          <cell r="K264">
            <v>0</v>
          </cell>
        </row>
        <row r="265">
          <cell r="A265">
            <v>8078520</v>
          </cell>
          <cell r="B265" t="str">
            <v>Диск пильный 160*48T*20 дерево б/рез тон. профи Атака</v>
          </cell>
          <cell r="C265" t="str">
            <v>шт</v>
          </cell>
          <cell r="D265">
            <v>1</v>
          </cell>
          <cell r="E26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160*48T*20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65">
            <v>888</v>
          </cell>
          <cell r="G265">
            <v>1136</v>
          </cell>
          <cell r="H265" t="str">
            <v>-</v>
          </cell>
          <cell r="I265">
            <v>888</v>
          </cell>
          <cell r="J265">
            <v>0</v>
          </cell>
          <cell r="K265">
            <v>0</v>
          </cell>
        </row>
        <row r="266">
          <cell r="A266">
            <v>8078530</v>
          </cell>
          <cell r="B266" t="str">
            <v>Диск пильный 165*24T*20 дерево б/рез профи Атака</v>
          </cell>
          <cell r="C266" t="str">
            <v>шт</v>
          </cell>
          <cell r="D266">
            <v>1</v>
          </cell>
          <cell r="E26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165*24T*20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66">
            <v>594</v>
          </cell>
          <cell r="G266">
            <v>789</v>
          </cell>
          <cell r="H266" t="str">
            <v>-</v>
          </cell>
          <cell r="I266">
            <v>594</v>
          </cell>
          <cell r="J266">
            <v>0</v>
          </cell>
          <cell r="K266">
            <v>0</v>
          </cell>
        </row>
        <row r="267">
          <cell r="A267">
            <v>8078540</v>
          </cell>
          <cell r="B267" t="str">
            <v>Диск пильный 170*20T*16 дерево б/рез профи Атака</v>
          </cell>
          <cell r="C267" t="str">
            <v>шт</v>
          </cell>
          <cell r="D267">
            <v>1</v>
          </cell>
          <cell r="E26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170*20T*16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67">
            <v>617</v>
          </cell>
          <cell r="G267">
            <v>789</v>
          </cell>
          <cell r="H267" t="str">
            <v>-</v>
          </cell>
          <cell r="I267">
            <v>617</v>
          </cell>
          <cell r="J267">
            <v>0</v>
          </cell>
          <cell r="K267">
            <v>0</v>
          </cell>
        </row>
        <row r="268">
          <cell r="A268">
            <v>8078550</v>
          </cell>
          <cell r="B268" t="str">
            <v>Диск пильный 180*36T*30 дерево б/рез профи Атака</v>
          </cell>
          <cell r="C268" t="str">
            <v>шт</v>
          </cell>
          <cell r="D268">
            <v>1</v>
          </cell>
          <cell r="E26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180*36T*30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68">
            <v>667</v>
          </cell>
          <cell r="G268">
            <v>856</v>
          </cell>
          <cell r="H268" t="str">
            <v>-</v>
          </cell>
          <cell r="I268">
            <v>667</v>
          </cell>
          <cell r="J268">
            <v>0</v>
          </cell>
          <cell r="K268">
            <v>0</v>
          </cell>
        </row>
        <row r="269">
          <cell r="A269">
            <v>8078560</v>
          </cell>
          <cell r="B269" t="str">
            <v>Диск пильный 180*36T*32 дерево б/рез профи Атака</v>
          </cell>
          <cell r="C269" t="str">
            <v>шт</v>
          </cell>
          <cell r="D269">
            <v>1</v>
          </cell>
          <cell r="E26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180*36T*32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69">
            <v>714</v>
          </cell>
          <cell r="G269">
            <v>915</v>
          </cell>
          <cell r="H269" t="str">
            <v>-</v>
          </cell>
          <cell r="I269">
            <v>714</v>
          </cell>
          <cell r="J269">
            <v>0</v>
          </cell>
          <cell r="K269">
            <v>0</v>
          </cell>
        </row>
        <row r="270">
          <cell r="A270">
            <v>8078570</v>
          </cell>
          <cell r="B270" t="str">
            <v>Диск пильный 184*40T*16 дерево б/рез тон/отб. профи Атака</v>
          </cell>
          <cell r="C270" t="str">
            <v>шт</v>
          </cell>
          <cell r="D270">
            <v>1</v>
          </cell>
          <cell r="E27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184*40T*16 Профи Атака
Материал: дерево 
Кромка: б/рез 
Особенности: тонкий профиль, отбойник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70">
            <v>781</v>
          </cell>
          <cell r="G270">
            <v>1035</v>
          </cell>
          <cell r="H270" t="str">
            <v>-</v>
          </cell>
          <cell r="I270">
            <v>781</v>
          </cell>
          <cell r="J270">
            <v>0</v>
          </cell>
          <cell r="K270">
            <v>0</v>
          </cell>
        </row>
        <row r="271">
          <cell r="A271">
            <v>8078580</v>
          </cell>
          <cell r="B271" t="str">
            <v>Диск пильный 185*24T*20 дерево б/рез профи Атака</v>
          </cell>
          <cell r="C271" t="str">
            <v>шт</v>
          </cell>
          <cell r="D271">
            <v>1</v>
          </cell>
          <cell r="E27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185*24T*20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71">
            <v>701</v>
          </cell>
          <cell r="G271">
            <v>895</v>
          </cell>
          <cell r="H271" t="str">
            <v>-</v>
          </cell>
          <cell r="I271">
            <v>701</v>
          </cell>
          <cell r="J271">
            <v>0</v>
          </cell>
          <cell r="K271">
            <v>0</v>
          </cell>
        </row>
        <row r="272">
          <cell r="A272">
            <v>8078590</v>
          </cell>
          <cell r="B272" t="str">
            <v>Диск пильный 185*36T*20 дерево б/рез профи Атака</v>
          </cell>
          <cell r="C272" t="str">
            <v>шт</v>
          </cell>
          <cell r="D272">
            <v>1</v>
          </cell>
          <cell r="E27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185*36T*20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72">
            <v>742</v>
          </cell>
          <cell r="G272">
            <v>947</v>
          </cell>
          <cell r="H272" t="str">
            <v>+</v>
          </cell>
          <cell r="I272">
            <v>742</v>
          </cell>
          <cell r="J272">
            <v>0</v>
          </cell>
          <cell r="K272">
            <v>0</v>
          </cell>
        </row>
        <row r="273">
          <cell r="A273">
            <v>8078610</v>
          </cell>
          <cell r="B273" t="str">
            <v>Диск пильный 185*48T*20 дерево б/рез профи Атака</v>
          </cell>
          <cell r="C273" t="str">
            <v>шт</v>
          </cell>
          <cell r="D273">
            <v>1</v>
          </cell>
          <cell r="E27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185*48T*20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73">
            <v>952</v>
          </cell>
          <cell r="G273">
            <v>1217</v>
          </cell>
          <cell r="H273" t="str">
            <v>-</v>
          </cell>
          <cell r="I273">
            <v>952</v>
          </cell>
          <cell r="J273">
            <v>0</v>
          </cell>
          <cell r="K273">
            <v>0</v>
          </cell>
        </row>
        <row r="274">
          <cell r="A274">
            <v>8078620</v>
          </cell>
          <cell r="B274" t="str">
            <v>Диск пильный 190*12T*30 дерево б/рез профи Атака</v>
          </cell>
          <cell r="C274" t="str">
            <v>шт</v>
          </cell>
          <cell r="D274">
            <v>1</v>
          </cell>
          <cell r="E27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190*12T*30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74">
            <v>604</v>
          </cell>
          <cell r="G274">
            <v>773</v>
          </cell>
          <cell r="H274" t="str">
            <v>-</v>
          </cell>
          <cell r="I274">
            <v>604</v>
          </cell>
          <cell r="J274">
            <v>0</v>
          </cell>
          <cell r="K274">
            <v>0</v>
          </cell>
        </row>
        <row r="275">
          <cell r="A275">
            <v>8078630</v>
          </cell>
          <cell r="B275" t="str">
            <v>Диск пильный 190*24T*16 дерево б/рез профи Атака</v>
          </cell>
          <cell r="C275" t="str">
            <v>шт</v>
          </cell>
          <cell r="D275">
            <v>1</v>
          </cell>
          <cell r="E27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190*24T*16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75">
            <v>801</v>
          </cell>
          <cell r="G275">
            <v>1063</v>
          </cell>
          <cell r="H275" t="str">
            <v>+</v>
          </cell>
          <cell r="I275">
            <v>801</v>
          </cell>
          <cell r="J275">
            <v>0</v>
          </cell>
          <cell r="K275">
            <v>0</v>
          </cell>
        </row>
        <row r="276">
          <cell r="A276">
            <v>8078640</v>
          </cell>
          <cell r="B276" t="str">
            <v>Диск пильный 190*24T*20 дерево б/рез профи Атака</v>
          </cell>
          <cell r="C276" t="str">
            <v>шт</v>
          </cell>
          <cell r="D276">
            <v>1</v>
          </cell>
          <cell r="E27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190*24T*20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76">
            <v>732</v>
          </cell>
          <cell r="G276">
            <v>970</v>
          </cell>
          <cell r="H276" t="str">
            <v>+</v>
          </cell>
          <cell r="I276">
            <v>732</v>
          </cell>
          <cell r="J276">
            <v>0</v>
          </cell>
          <cell r="K276">
            <v>0</v>
          </cell>
        </row>
        <row r="277">
          <cell r="A277">
            <v>8078670</v>
          </cell>
          <cell r="B277" t="str">
            <v>Диск пильный 190*24T*30 дерево б/рез профи Атака</v>
          </cell>
          <cell r="C277" t="str">
            <v>шт</v>
          </cell>
          <cell r="D277">
            <v>1</v>
          </cell>
          <cell r="E27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190*24T*30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77">
            <v>732</v>
          </cell>
          <cell r="G277">
            <v>970</v>
          </cell>
          <cell r="H277" t="str">
            <v>-</v>
          </cell>
          <cell r="I277">
            <v>732</v>
          </cell>
          <cell r="J277">
            <v>0</v>
          </cell>
          <cell r="K277">
            <v>0</v>
          </cell>
        </row>
        <row r="278">
          <cell r="A278">
            <v>8078690</v>
          </cell>
          <cell r="B278" t="str">
            <v>Диск пильный 190*48T*20 дерево б/рез тон/отб. профи Атака</v>
          </cell>
          <cell r="C278" t="str">
            <v>шт</v>
          </cell>
          <cell r="D278">
            <v>1</v>
          </cell>
          <cell r="E27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190*48T*20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78">
            <v>1055</v>
          </cell>
          <cell r="G278">
            <v>1348</v>
          </cell>
          <cell r="H278" t="str">
            <v>+</v>
          </cell>
          <cell r="I278">
            <v>1055</v>
          </cell>
          <cell r="J278">
            <v>0</v>
          </cell>
          <cell r="K278">
            <v>0</v>
          </cell>
        </row>
        <row r="279">
          <cell r="A279">
            <v>8078700</v>
          </cell>
          <cell r="B279" t="str">
            <v>Диск пильный 200*24T*30 дерево б/рез маркер профи Атака</v>
          </cell>
          <cell r="C279" t="str">
            <v>шт</v>
          </cell>
          <cell r="D279">
            <v>1</v>
          </cell>
          <cell r="E27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200*24T*30 Профи Атака Материал: дерево Кромка: б/рез Особенности: в комплекте - маркер Применяется с ручными циркулярными и торцовочными пилами 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 В комплекте с диском прилагается маркер.</v>
          </cell>
          <cell r="F279">
            <v>663</v>
          </cell>
          <cell r="G279">
            <v>848</v>
          </cell>
          <cell r="H279" t="str">
            <v>+</v>
          </cell>
          <cell r="I279">
            <v>663</v>
          </cell>
          <cell r="J279">
            <v>0</v>
          </cell>
          <cell r="K279">
            <v>0</v>
          </cell>
        </row>
        <row r="280">
          <cell r="A280">
            <v>8078710</v>
          </cell>
          <cell r="B280" t="str">
            <v>Диск пильный 200*24T*32 дерево б/рез маркер профи Атака</v>
          </cell>
          <cell r="C280" t="str">
            <v>шт</v>
          </cell>
          <cell r="D280">
            <v>1</v>
          </cell>
          <cell r="E28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200*24T*32 Профи Атака 
Материал: дерево 
Кромка: б/рез 
Особенности: в комплекте - маркер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 В комплекте с диском прилагается маркер.</v>
          </cell>
          <cell r="F280">
            <v>663</v>
          </cell>
          <cell r="G280">
            <v>848</v>
          </cell>
          <cell r="H280" t="str">
            <v>+</v>
          </cell>
          <cell r="I280">
            <v>663</v>
          </cell>
          <cell r="J280">
            <v>0</v>
          </cell>
          <cell r="K280">
            <v>0</v>
          </cell>
        </row>
        <row r="281">
          <cell r="A281">
            <v>8078740</v>
          </cell>
          <cell r="B281" t="str">
            <v>Диск пильный 200*40T*30 дерево б/рез тон/отб. профи Атака</v>
          </cell>
          <cell r="C281" t="str">
            <v>шт</v>
          </cell>
          <cell r="D281">
            <v>1</v>
          </cell>
          <cell r="E28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200*40T*30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81">
            <v>1021</v>
          </cell>
          <cell r="G281">
            <v>1307</v>
          </cell>
          <cell r="H281" t="str">
            <v>-</v>
          </cell>
          <cell r="I281">
            <v>1021</v>
          </cell>
          <cell r="J281">
            <v>0</v>
          </cell>
          <cell r="K281">
            <v>0</v>
          </cell>
        </row>
        <row r="282">
          <cell r="A282">
            <v>8078750</v>
          </cell>
          <cell r="B282" t="str">
            <v>Диск пильный 200*48T*32 дерево б/рез тон/отб. профи Атака</v>
          </cell>
          <cell r="C282" t="str">
            <v>шт</v>
          </cell>
          <cell r="D282">
            <v>1</v>
          </cell>
          <cell r="E28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
Материал: дерево 
Кромка: б/рез 
Особенности: тонкий профиль, отбойник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82">
            <v>1041</v>
          </cell>
          <cell r="G282">
            <v>1332</v>
          </cell>
          <cell r="H282" t="str">
            <v>+</v>
          </cell>
          <cell r="I282">
            <v>1041</v>
          </cell>
          <cell r="J282">
            <v>0</v>
          </cell>
          <cell r="K282">
            <v>0</v>
          </cell>
        </row>
        <row r="283">
          <cell r="A283">
            <v>8078760</v>
          </cell>
          <cell r="B283" t="str">
            <v>Диск пильный 200*56T*32 дерево б/рез тон. профи Атака</v>
          </cell>
          <cell r="C283" t="str">
            <v>шт</v>
          </cell>
          <cell r="D283">
            <v>1</v>
          </cell>
          <cell r="E28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200*56T*32 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83">
            <v>1194</v>
          </cell>
          <cell r="G283">
            <v>1584</v>
          </cell>
          <cell r="H283" t="str">
            <v>+</v>
          </cell>
          <cell r="I283">
            <v>1194</v>
          </cell>
          <cell r="J283">
            <v>0</v>
          </cell>
          <cell r="K283">
            <v>0</v>
          </cell>
        </row>
        <row r="284">
          <cell r="A284">
            <v>8078770</v>
          </cell>
          <cell r="B284" t="str">
            <v>Диск пильный 205*24T*30 дерево б/рез профи Атака</v>
          </cell>
          <cell r="C284" t="str">
            <v>шт</v>
          </cell>
          <cell r="D284">
            <v>1</v>
          </cell>
          <cell r="E28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205*24T*30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84">
            <v>815</v>
          </cell>
          <cell r="G284">
            <v>1041</v>
          </cell>
          <cell r="H284" t="str">
            <v>+</v>
          </cell>
          <cell r="I284">
            <v>815</v>
          </cell>
          <cell r="J284">
            <v>0</v>
          </cell>
          <cell r="K284">
            <v>0</v>
          </cell>
        </row>
        <row r="285">
          <cell r="A285">
            <v>8078780</v>
          </cell>
          <cell r="B285" t="str">
            <v>Диск пильный 210*60T*30 дерево б/рез тон. профи Атака</v>
          </cell>
          <cell r="C285" t="str">
            <v>шт</v>
          </cell>
          <cell r="D285">
            <v>1</v>
          </cell>
          <cell r="E28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210*60T*30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85">
            <v>1469</v>
          </cell>
          <cell r="G285">
            <v>1880</v>
          </cell>
          <cell r="H285" t="str">
            <v>-</v>
          </cell>
          <cell r="I285">
            <v>1469</v>
          </cell>
          <cell r="J285">
            <v>0</v>
          </cell>
          <cell r="K285">
            <v>0</v>
          </cell>
        </row>
        <row r="286">
          <cell r="A286">
            <v>8078790</v>
          </cell>
          <cell r="B286" t="str">
            <v>Диск пильный 216*24T*30 дерево б/рез профи Атака</v>
          </cell>
          <cell r="C286" t="str">
            <v>шт</v>
          </cell>
          <cell r="D286">
            <v>1</v>
          </cell>
          <cell r="E28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216*24T*30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86">
            <v>974</v>
          </cell>
          <cell r="G286">
            <v>1245</v>
          </cell>
          <cell r="H286" t="str">
            <v>+</v>
          </cell>
          <cell r="I286">
            <v>974</v>
          </cell>
          <cell r="J286">
            <v>0</v>
          </cell>
          <cell r="K286">
            <v>0</v>
          </cell>
        </row>
        <row r="287">
          <cell r="A287">
            <v>8078800</v>
          </cell>
          <cell r="B287" t="str">
            <v>Диск пильный 216*80T*30 дерево б/рез тон. профи Атака</v>
          </cell>
          <cell r="C287" t="str">
            <v>шт</v>
          </cell>
          <cell r="D287">
            <v>1</v>
          </cell>
          <cell r="E28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216*80T*30 Профи Атака
Материал: дерево 
Кромка: б/рез 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</v>
          </cell>
          <cell r="F287">
            <v>1789</v>
          </cell>
          <cell r="G287">
            <v>2288</v>
          </cell>
          <cell r="H287" t="str">
            <v>-</v>
          </cell>
          <cell r="I287">
            <v>1789</v>
          </cell>
          <cell r="J287">
            <v>0</v>
          </cell>
          <cell r="K287">
            <v>0</v>
          </cell>
        </row>
        <row r="288">
          <cell r="A288">
            <v>8078810</v>
          </cell>
          <cell r="B288" t="str">
            <v>Диск пильный 219*30T*16 дерево б/рез профи Атака</v>
          </cell>
          <cell r="C288" t="str">
            <v>шт</v>
          </cell>
          <cell r="D288">
            <v>1</v>
          </cell>
          <cell r="E28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219*30T*16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88">
            <v>955</v>
          </cell>
          <cell r="G288">
            <v>1223</v>
          </cell>
          <cell r="H288" t="str">
            <v>+</v>
          </cell>
          <cell r="I288">
            <v>955</v>
          </cell>
          <cell r="J288">
            <v>0</v>
          </cell>
          <cell r="K288">
            <v>0</v>
          </cell>
        </row>
        <row r="289">
          <cell r="A289">
            <v>8078820</v>
          </cell>
          <cell r="B289" t="str">
            <v>Диск пильный 219*30T*20 дерево б/рез профи Атака</v>
          </cell>
          <cell r="C289" t="str">
            <v>шт</v>
          </cell>
          <cell r="D289">
            <v>1</v>
          </cell>
          <cell r="E28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219*30T*20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89">
            <v>955</v>
          </cell>
          <cell r="G289">
            <v>1223</v>
          </cell>
          <cell r="H289" t="str">
            <v>+</v>
          </cell>
          <cell r="I289">
            <v>955</v>
          </cell>
          <cell r="J289">
            <v>0</v>
          </cell>
          <cell r="K289">
            <v>0</v>
          </cell>
        </row>
        <row r="290">
          <cell r="A290">
            <v>8078830</v>
          </cell>
          <cell r="B290" t="str">
            <v>Диск пильный 219*30T*30 дерево б/рез профи Атака</v>
          </cell>
          <cell r="C290" t="str">
            <v>шт</v>
          </cell>
          <cell r="D290">
            <v>1</v>
          </cell>
          <cell r="E29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219*30T*30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90">
            <v>955</v>
          </cell>
          <cell r="G290">
            <v>1223</v>
          </cell>
          <cell r="H290" t="str">
            <v>+</v>
          </cell>
          <cell r="I290">
            <v>955</v>
          </cell>
          <cell r="J290">
            <v>0</v>
          </cell>
          <cell r="K290">
            <v>0</v>
          </cell>
        </row>
        <row r="291">
          <cell r="A291">
            <v>8078840</v>
          </cell>
          <cell r="B291" t="str">
            <v>Диск пильный 230*30T*30 дерево б/рез профи Атака</v>
          </cell>
          <cell r="C291" t="str">
            <v>шт</v>
          </cell>
          <cell r="D291">
            <v>1</v>
          </cell>
          <cell r="E29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230*30T*30 Профи Атака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91">
            <v>1291</v>
          </cell>
          <cell r="G291">
            <v>1715</v>
          </cell>
          <cell r="H291" t="str">
            <v>+</v>
          </cell>
          <cell r="I291">
            <v>1291</v>
          </cell>
          <cell r="J291">
            <v>0</v>
          </cell>
          <cell r="K291">
            <v>0</v>
          </cell>
        </row>
        <row r="292">
          <cell r="A292">
            <v>8078850</v>
          </cell>
          <cell r="B292" t="str">
            <v>Диск пильный 235*20T*30 дерево б/рез профи Атака</v>
          </cell>
          <cell r="C292" t="str">
            <v>шт</v>
          </cell>
          <cell r="D292">
            <v>1</v>
          </cell>
          <cell r="E29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235*20T*30 Профи Атака 
Материал: дерево 
Кромка: б/рез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92">
            <v>1155</v>
          </cell>
          <cell r="G292">
            <v>1536</v>
          </cell>
          <cell r="H292" t="str">
            <v>+</v>
          </cell>
          <cell r="I292">
            <v>1155</v>
          </cell>
          <cell r="J292">
            <v>0</v>
          </cell>
          <cell r="K292">
            <v>0</v>
          </cell>
        </row>
        <row r="293">
          <cell r="A293">
            <v>8078860</v>
          </cell>
          <cell r="B293" t="str">
            <v>Диск пильный 250*24T*30 дерево б/рез профи Атака</v>
          </cell>
          <cell r="C293" t="str">
            <v>шт</v>
          </cell>
          <cell r="D293">
            <v>1</v>
          </cell>
          <cell r="E29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250*24T*30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</v>
          </cell>
          <cell r="F293">
            <v>1406</v>
          </cell>
          <cell r="G293">
            <v>1868</v>
          </cell>
          <cell r="H293" t="str">
            <v>-</v>
          </cell>
          <cell r="I293">
            <v>1406</v>
          </cell>
          <cell r="J293">
            <v>0</v>
          </cell>
          <cell r="K293">
            <v>0</v>
          </cell>
        </row>
        <row r="294">
          <cell r="A294">
            <v>8078870</v>
          </cell>
          <cell r="B294" t="str">
            <v>Диск пильный 250*24T*32 дерево б/рез маркер профи Атака</v>
          </cell>
          <cell r="C294" t="str">
            <v>шт</v>
          </cell>
          <cell r="D294">
            <v>1</v>
          </cell>
          <cell r="E29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250*24T*32 Профи Атака
Материал: дерево 
Кромка: б/рез 
Особенности: маркер в комплекте
Применяется с настольными пилами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 В комплекте с диском прилагается маркер</v>
          </cell>
          <cell r="F294">
            <v>1344</v>
          </cell>
          <cell r="G294">
            <v>1720</v>
          </cell>
          <cell r="H294" t="str">
            <v>+</v>
          </cell>
          <cell r="I294">
            <v>1344</v>
          </cell>
          <cell r="J294">
            <v>0</v>
          </cell>
          <cell r="K294">
            <v>0</v>
          </cell>
        </row>
        <row r="295">
          <cell r="A295">
            <v>8078880</v>
          </cell>
          <cell r="B295" t="str">
            <v>Диск пильный 250*24T*50 дерево б/рез профи Атака</v>
          </cell>
          <cell r="C295" t="str">
            <v>шт</v>
          </cell>
          <cell r="D295">
            <v>1</v>
          </cell>
          <cell r="E29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250*24T*50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95">
            <v>1406</v>
          </cell>
          <cell r="G295">
            <v>1868</v>
          </cell>
          <cell r="H295" t="str">
            <v>+</v>
          </cell>
          <cell r="I295">
            <v>1406</v>
          </cell>
          <cell r="J295">
            <v>0</v>
          </cell>
          <cell r="K295">
            <v>0</v>
          </cell>
        </row>
        <row r="296">
          <cell r="A296">
            <v>8078890</v>
          </cell>
          <cell r="B296" t="str">
            <v>Диск пильный 250*36T*50 дерево б/рез профи Атака</v>
          </cell>
          <cell r="C296" t="str">
            <v>шт</v>
          </cell>
          <cell r="D296">
            <v>1</v>
          </cell>
          <cell r="E29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250*36T*50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296">
            <v>1501</v>
          </cell>
          <cell r="G296">
            <v>1922</v>
          </cell>
          <cell r="H296" t="str">
            <v>+</v>
          </cell>
          <cell r="I296">
            <v>1501</v>
          </cell>
          <cell r="J296">
            <v>0</v>
          </cell>
          <cell r="K296">
            <v>0</v>
          </cell>
        </row>
        <row r="297">
          <cell r="A297">
            <v>8078910</v>
          </cell>
          <cell r="B297" t="str">
            <v>Диск пильный 250*60T*30 дерево б/рез тон/отб. профи Атака</v>
          </cell>
          <cell r="C297" t="str">
            <v>шт</v>
          </cell>
          <cell r="D297">
            <v>1</v>
          </cell>
          <cell r="E29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97">
            <v>2257</v>
          </cell>
          <cell r="G297">
            <v>2888</v>
          </cell>
          <cell r="H297" t="str">
            <v>-</v>
          </cell>
          <cell r="I297">
            <v>2257</v>
          </cell>
          <cell r="J297">
            <v>0</v>
          </cell>
          <cell r="K297">
            <v>0</v>
          </cell>
        </row>
        <row r="298">
          <cell r="A298">
            <v>8078920</v>
          </cell>
          <cell r="B298" t="str">
            <v>Диск пильный 250*60T*32 дерево б/рез тон/отб. профи Атака</v>
          </cell>
          <cell r="C298" t="str">
            <v>шт</v>
          </cell>
          <cell r="D298">
            <v>1</v>
          </cell>
          <cell r="E29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
Материал: дерево 
Кромка: б/рез 
Особенности: тонкий профиль, отбойник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298">
            <v>2257</v>
          </cell>
          <cell r="G298">
            <v>2888</v>
          </cell>
          <cell r="H298" t="str">
            <v>+</v>
          </cell>
          <cell r="I298">
            <v>2257</v>
          </cell>
          <cell r="J298">
            <v>0</v>
          </cell>
          <cell r="K298">
            <v>0</v>
          </cell>
        </row>
        <row r="299">
          <cell r="A299">
            <v>8078930</v>
          </cell>
          <cell r="B299" t="str">
            <v>Диск пильный 250*80T*30 дерево б/рез тон. профи Атака</v>
          </cell>
          <cell r="C299" t="str">
            <v>шт</v>
          </cell>
          <cell r="D299">
            <v>1</v>
          </cell>
          <cell r="E29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 
Материал: дерево 
Кромка: б/рез 
Особенности: тонкий профиль, отбойник 
Применяются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</v>
          </cell>
          <cell r="F299">
            <v>2585</v>
          </cell>
          <cell r="G299">
            <v>3310</v>
          </cell>
          <cell r="H299" t="str">
            <v>-</v>
          </cell>
          <cell r="I299">
            <v>2585</v>
          </cell>
          <cell r="J299">
            <v>0</v>
          </cell>
          <cell r="K299">
            <v>0</v>
          </cell>
        </row>
        <row r="300">
          <cell r="A300">
            <v>8078940</v>
          </cell>
          <cell r="B300" t="str">
            <v>Диск пильный 250*80T*32 дерево б/рез тон. профи Атака</v>
          </cell>
          <cell r="C300" t="str">
            <v>шт</v>
          </cell>
          <cell r="D300">
            <v>1</v>
          </cell>
          <cell r="E30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 
Материал: дерево 
Кромка: б/рез 
Особенности:тонкий профиль  
Применяются с настольной пилой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</v>
          </cell>
          <cell r="F300">
            <v>2585</v>
          </cell>
          <cell r="G300">
            <v>3310</v>
          </cell>
          <cell r="H300" t="str">
            <v>+</v>
          </cell>
          <cell r="I300">
            <v>2585</v>
          </cell>
          <cell r="J300">
            <v>0</v>
          </cell>
          <cell r="K300">
            <v>0</v>
          </cell>
        </row>
        <row r="301">
          <cell r="A301">
            <v>8078950</v>
          </cell>
          <cell r="B301" t="str">
            <v>Диск пильный 255*32T*30 дерево б/рез профи Атака</v>
          </cell>
          <cell r="C301" t="str">
            <v>шт</v>
          </cell>
          <cell r="D301">
            <v>1</v>
          </cell>
          <cell r="E30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255*32T*30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01">
            <v>1860</v>
          </cell>
          <cell r="G301">
            <v>2382</v>
          </cell>
          <cell r="H301" t="str">
            <v>+</v>
          </cell>
          <cell r="I301">
            <v>1860</v>
          </cell>
          <cell r="J301">
            <v>0</v>
          </cell>
          <cell r="K301">
            <v>0</v>
          </cell>
        </row>
        <row r="302">
          <cell r="A302">
            <v>8078960</v>
          </cell>
          <cell r="B302" t="str">
            <v>Диск пильный 255*60T*30 дерево б/рез тон/отб. профи Атака</v>
          </cell>
          <cell r="C302" t="str">
            <v>шт</v>
          </cell>
          <cell r="D302">
            <v>1</v>
          </cell>
          <cell r="E30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255*60T*30 Профи Атака
Материал: дерево 
Кромка: б/рез 
Особенности: тонкий профиль, отбойник Применяются с настольной пилой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302">
            <v>2279</v>
          </cell>
          <cell r="G302">
            <v>2916</v>
          </cell>
          <cell r="H302" t="str">
            <v>+</v>
          </cell>
          <cell r="I302">
            <v>2279</v>
          </cell>
          <cell r="J302">
            <v>0</v>
          </cell>
          <cell r="K302">
            <v>0</v>
          </cell>
        </row>
        <row r="303">
          <cell r="A303">
            <v>8078970</v>
          </cell>
          <cell r="B303" t="str">
            <v>Диск пильный 300*32T*32 дерево б/рез профи Атака</v>
          </cell>
          <cell r="C303" t="str">
            <v>шт</v>
          </cell>
          <cell r="D303">
            <v>1</v>
          </cell>
          <cell r="E30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300*32*32 Профи Атака 
Материал: дерево
Применяется с настольной пилой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03">
            <v>2320</v>
          </cell>
          <cell r="G303">
            <v>2969</v>
          </cell>
          <cell r="H303" t="str">
            <v>+</v>
          </cell>
          <cell r="I303">
            <v>2320</v>
          </cell>
          <cell r="J303">
            <v>0</v>
          </cell>
          <cell r="K303">
            <v>0</v>
          </cell>
        </row>
        <row r="304">
          <cell r="A304">
            <v>8078980</v>
          </cell>
          <cell r="B304" t="str">
            <v>Диск пильный 300*32T*50 дерево б/рез профи Атака</v>
          </cell>
          <cell r="C304" t="str">
            <v>шт</v>
          </cell>
          <cell r="D304">
            <v>1</v>
          </cell>
          <cell r="E30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300*32T*50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04">
            <v>2541</v>
          </cell>
          <cell r="G304">
            <v>3255</v>
          </cell>
          <cell r="H304" t="str">
            <v>+</v>
          </cell>
          <cell r="I304">
            <v>2541</v>
          </cell>
          <cell r="J304">
            <v>0</v>
          </cell>
          <cell r="K304">
            <v>0</v>
          </cell>
        </row>
        <row r="305">
          <cell r="A305">
            <v>8078990</v>
          </cell>
          <cell r="B305" t="str">
            <v>Диск пильный 300*40T*50 дерево б/рез профи Атака</v>
          </cell>
          <cell r="C305" t="str">
            <v>шт</v>
          </cell>
          <cell r="D305">
            <v>1</v>
          </cell>
          <cell r="E30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300*40T*50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05">
            <v>3106</v>
          </cell>
          <cell r="G305">
            <v>3976</v>
          </cell>
          <cell r="H305" t="str">
            <v>+</v>
          </cell>
          <cell r="I305">
            <v>3106</v>
          </cell>
          <cell r="J305">
            <v>0</v>
          </cell>
          <cell r="K305">
            <v>0</v>
          </cell>
        </row>
        <row r="306">
          <cell r="A306">
            <v>8079000</v>
          </cell>
          <cell r="B306" t="str">
            <v>Диск пильный 300*48T*32 дерево б/рез профи Атака</v>
          </cell>
          <cell r="C306" t="str">
            <v>шт</v>
          </cell>
          <cell r="D306">
            <v>1</v>
          </cell>
          <cell r="E30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300*48*32 Профи Атака
Материал: дерево
Применяется с настольной пилой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06">
            <v>3023</v>
          </cell>
          <cell r="G306">
            <v>3873</v>
          </cell>
          <cell r="H306" t="str">
            <v>+</v>
          </cell>
          <cell r="I306">
            <v>3023</v>
          </cell>
          <cell r="J306">
            <v>0</v>
          </cell>
          <cell r="K306">
            <v>0</v>
          </cell>
        </row>
        <row r="307">
          <cell r="A307">
            <v>8079010</v>
          </cell>
          <cell r="B307" t="str">
            <v>Диск пильный 350*50T*32 дерево б/рез профи Атака</v>
          </cell>
          <cell r="C307" t="str">
            <v>шт</v>
          </cell>
          <cell r="D307">
            <v>1</v>
          </cell>
          <cell r="E30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350*50T*32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07">
            <v>4669</v>
          </cell>
          <cell r="G307">
            <v>5976</v>
          </cell>
          <cell r="H307" t="str">
            <v>+</v>
          </cell>
          <cell r="I307">
            <v>4669</v>
          </cell>
          <cell r="J307">
            <v>0</v>
          </cell>
          <cell r="K307">
            <v>0</v>
          </cell>
        </row>
        <row r="308">
          <cell r="A308">
            <v>8079020</v>
          </cell>
          <cell r="B308" t="str">
            <v>Диск пильный 400*40T*50 дерево б/рез профи Атака</v>
          </cell>
          <cell r="C308" t="str">
            <v>шт</v>
          </cell>
          <cell r="D308">
            <v>1</v>
          </cell>
          <cell r="E30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400*40T*50 Профи Атака 
Материал: дерево 
Кромка: б/рез 
Применяется с настольными пилами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08">
            <v>5787</v>
          </cell>
          <cell r="G308">
            <v>7406</v>
          </cell>
          <cell r="H308" t="str">
            <v>+</v>
          </cell>
          <cell r="I308">
            <v>5787</v>
          </cell>
          <cell r="J308">
            <v>0</v>
          </cell>
          <cell r="K308">
            <v>0</v>
          </cell>
        </row>
        <row r="309">
          <cell r="A309">
            <v>8079030</v>
          </cell>
          <cell r="B309" t="str">
            <v>Диск пильный 160*32T*20 дерево ч/рез профи Атака</v>
          </cell>
          <cell r="C309" t="str">
            <v>шт</v>
          </cell>
          <cell r="D309">
            <v>1</v>
          </cell>
          <cell r="E30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160*32T*20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09">
            <v>635</v>
          </cell>
          <cell r="G309">
            <v>813</v>
          </cell>
          <cell r="H309" t="str">
            <v>+</v>
          </cell>
          <cell r="I309">
            <v>635</v>
          </cell>
          <cell r="J309">
            <v>0</v>
          </cell>
          <cell r="K309">
            <v>0</v>
          </cell>
        </row>
        <row r="310">
          <cell r="A310">
            <v>8079040</v>
          </cell>
          <cell r="B310" t="str">
            <v>Диск пильный 180*40T*20 дерево ч/рез профи Атака</v>
          </cell>
          <cell r="C310" t="str">
            <v>шт</v>
          </cell>
          <cell r="D310">
            <v>1</v>
          </cell>
          <cell r="E31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180*40T*20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0">
            <v>634</v>
          </cell>
          <cell r="G310">
            <v>840</v>
          </cell>
          <cell r="H310" t="str">
            <v>+</v>
          </cell>
          <cell r="I310">
            <v>634</v>
          </cell>
          <cell r="J310">
            <v>0</v>
          </cell>
          <cell r="K310">
            <v>0</v>
          </cell>
        </row>
        <row r="311">
          <cell r="A311">
            <v>8079050</v>
          </cell>
          <cell r="B311" t="str">
            <v>Диск пильный 190*32T*30 дерево ч/рез профи Атака</v>
          </cell>
          <cell r="C311" t="str">
            <v>шт</v>
          </cell>
          <cell r="D311">
            <v>1</v>
          </cell>
          <cell r="E31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190*32T*30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1">
            <v>774</v>
          </cell>
          <cell r="G311">
            <v>991</v>
          </cell>
          <cell r="H311" t="str">
            <v>+</v>
          </cell>
          <cell r="I311">
            <v>774</v>
          </cell>
          <cell r="J311">
            <v>0</v>
          </cell>
          <cell r="K311">
            <v>0</v>
          </cell>
        </row>
        <row r="312">
          <cell r="A312">
            <v>8079060</v>
          </cell>
          <cell r="B312" t="str">
            <v>Диск пильный 190*40T*30 дерево ч/рез профи Атака</v>
          </cell>
          <cell r="C312" t="str">
            <v>шт</v>
          </cell>
          <cell r="D312">
            <v>1</v>
          </cell>
          <cell r="E31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2">
            <v>861</v>
          </cell>
          <cell r="G312">
            <v>1144</v>
          </cell>
          <cell r="H312" t="str">
            <v>+</v>
          </cell>
          <cell r="I312">
            <v>861</v>
          </cell>
          <cell r="J312">
            <v>0</v>
          </cell>
          <cell r="K312">
            <v>0</v>
          </cell>
        </row>
        <row r="313">
          <cell r="A313">
            <v>8079070</v>
          </cell>
          <cell r="B313" t="str">
            <v>Диск пильный 190*48T*20 дерево ч/рез профи Атака</v>
          </cell>
          <cell r="C313" t="str">
            <v>шт</v>
          </cell>
          <cell r="D313">
            <v>1</v>
          </cell>
          <cell r="E31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3">
            <v>952</v>
          </cell>
          <cell r="G313">
            <v>1216</v>
          </cell>
          <cell r="H313" t="str">
            <v>-</v>
          </cell>
          <cell r="I313">
            <v>952</v>
          </cell>
          <cell r="J313">
            <v>0</v>
          </cell>
          <cell r="K313">
            <v>0</v>
          </cell>
        </row>
        <row r="314">
          <cell r="A314">
            <v>8079080</v>
          </cell>
          <cell r="B314" t="str">
            <v>Диск пильный 190*50T*30 дерево ч/рез профи Атака</v>
          </cell>
          <cell r="C314" t="str">
            <v>шт</v>
          </cell>
          <cell r="D314">
            <v>1</v>
          </cell>
          <cell r="E31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190*50T*30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4">
            <v>974</v>
          </cell>
          <cell r="G314">
            <v>1291</v>
          </cell>
          <cell r="H314" t="str">
            <v>+</v>
          </cell>
          <cell r="I314">
            <v>974</v>
          </cell>
          <cell r="J314">
            <v>0</v>
          </cell>
          <cell r="K314">
            <v>0</v>
          </cell>
        </row>
        <row r="315">
          <cell r="A315">
            <v>8079090</v>
          </cell>
          <cell r="B315" t="str">
            <v>Диск пильный 200*40T*30 дерево ч/рез профи Атака</v>
          </cell>
          <cell r="C315" t="str">
            <v>шт</v>
          </cell>
          <cell r="D315">
            <v>1</v>
          </cell>
          <cell r="E31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200*40T*30 Профи Атака Материал: дерево Кромка: ч/рез  Применяется с ручными циркулярными и торцовочными пилами 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5">
            <v>959</v>
          </cell>
          <cell r="G315">
            <v>1227</v>
          </cell>
          <cell r="H315" t="str">
            <v>+</v>
          </cell>
          <cell r="I315">
            <v>959</v>
          </cell>
          <cell r="J315">
            <v>0</v>
          </cell>
          <cell r="K315">
            <v>0</v>
          </cell>
        </row>
        <row r="316">
          <cell r="A316">
            <v>8079100</v>
          </cell>
          <cell r="B316" t="str">
            <v>Диск пильный 200*48T*32 дерево ч/рез маркер профи Атака</v>
          </cell>
          <cell r="C316" t="str">
            <v>шт</v>
          </cell>
          <cell r="D316">
            <v>1</v>
          </cell>
          <cell r="E31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200*48T*32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6">
            <v>1052</v>
          </cell>
          <cell r="G316">
            <v>1396</v>
          </cell>
          <cell r="H316" t="str">
            <v>+</v>
          </cell>
          <cell r="I316">
            <v>1052</v>
          </cell>
          <cell r="J316">
            <v>0</v>
          </cell>
          <cell r="K316">
            <v>0</v>
          </cell>
        </row>
        <row r="317">
          <cell r="A317">
            <v>8079110</v>
          </cell>
          <cell r="B317" t="str">
            <v>Диск пильный 200*56T*32 дерево ч/рез профи Атака</v>
          </cell>
          <cell r="C317" t="str">
            <v>шт</v>
          </cell>
          <cell r="D317">
            <v>1</v>
          </cell>
          <cell r="E31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200*56*32 
Материал: дерево
Применяется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  В комплекте с диском прилагается маркер.</v>
          </cell>
          <cell r="F317">
            <v>1128</v>
          </cell>
          <cell r="G317">
            <v>1442</v>
          </cell>
          <cell r="H317" t="str">
            <v>+</v>
          </cell>
          <cell r="I317">
            <v>1128</v>
          </cell>
          <cell r="J317">
            <v>0</v>
          </cell>
          <cell r="K317">
            <v>0</v>
          </cell>
        </row>
        <row r="318">
          <cell r="A318">
            <v>8079120</v>
          </cell>
          <cell r="B318" t="str">
            <v>Диск пильный 210*40T*30 дерево ч/рез профи Атака</v>
          </cell>
          <cell r="C318" t="str">
            <v>шт</v>
          </cell>
          <cell r="D318">
            <v>1</v>
          </cell>
          <cell r="E31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210*40T*30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8">
            <v>1085</v>
          </cell>
          <cell r="G318">
            <v>1386</v>
          </cell>
          <cell r="H318" t="str">
            <v>+</v>
          </cell>
          <cell r="I318">
            <v>1085</v>
          </cell>
          <cell r="J318">
            <v>0</v>
          </cell>
          <cell r="K318">
            <v>0</v>
          </cell>
        </row>
        <row r="319">
          <cell r="A319">
            <v>8079130</v>
          </cell>
          <cell r="B319" t="str">
            <v>Диск пильный 210*50T*30 дерево ч/рез профи Атака</v>
          </cell>
          <cell r="C319" t="str">
            <v>шт</v>
          </cell>
          <cell r="D319">
            <v>1</v>
          </cell>
          <cell r="E31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210*50T*30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19">
            <v>1206</v>
          </cell>
          <cell r="G319">
            <v>1540</v>
          </cell>
          <cell r="H319" t="str">
            <v>+</v>
          </cell>
          <cell r="I319">
            <v>1206</v>
          </cell>
          <cell r="J319">
            <v>0</v>
          </cell>
          <cell r="K319">
            <v>0</v>
          </cell>
        </row>
        <row r="320">
          <cell r="A320">
            <v>8079140</v>
          </cell>
          <cell r="B320" t="str">
            <v>Диск пильный 216*60T*30 дерево ч/рез профи Атака</v>
          </cell>
          <cell r="C320" t="str">
            <v>шт</v>
          </cell>
          <cell r="D320">
            <v>1</v>
          </cell>
          <cell r="E32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216*60T*30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0">
            <v>1504</v>
          </cell>
          <cell r="G320">
            <v>2001</v>
          </cell>
          <cell r="H320" t="str">
            <v>+</v>
          </cell>
          <cell r="I320">
            <v>1504</v>
          </cell>
          <cell r="J320">
            <v>0</v>
          </cell>
          <cell r="K320">
            <v>0</v>
          </cell>
        </row>
        <row r="321">
          <cell r="A321">
            <v>8079150</v>
          </cell>
          <cell r="B321" t="str">
            <v>Диск пильный 230*50T*30 дерево ч/рез профи Атака</v>
          </cell>
          <cell r="C321" t="str">
            <v>шт</v>
          </cell>
          <cell r="D321">
            <v>1</v>
          </cell>
          <cell r="E32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230*50T*30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1">
            <v>1656</v>
          </cell>
          <cell r="G321">
            <v>2120</v>
          </cell>
          <cell r="H321" t="str">
            <v>+</v>
          </cell>
          <cell r="I321">
            <v>1656</v>
          </cell>
          <cell r="J321">
            <v>0</v>
          </cell>
          <cell r="K321">
            <v>0</v>
          </cell>
        </row>
        <row r="322">
          <cell r="A322">
            <v>8079160</v>
          </cell>
          <cell r="B322" t="str">
            <v>Диск пильный 250*40T*32 дерево ч/рез профи Атака</v>
          </cell>
          <cell r="C322" t="str">
            <v>шт</v>
          </cell>
          <cell r="D322">
            <v>1</v>
          </cell>
          <cell r="E32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250*40T*32 Профи Атака
Материал: дерево 
Кромка: ч/рез  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2">
            <v>1515</v>
          </cell>
          <cell r="G322">
            <v>1936</v>
          </cell>
          <cell r="H322" t="str">
            <v>+</v>
          </cell>
          <cell r="I322">
            <v>1515</v>
          </cell>
          <cell r="J322">
            <v>0</v>
          </cell>
          <cell r="K322">
            <v>0</v>
          </cell>
        </row>
        <row r="323">
          <cell r="A323">
            <v>8079170</v>
          </cell>
          <cell r="B323" t="str">
            <v>Диск пильный 250*60T*30 дерево ч/рез профи Атака</v>
          </cell>
          <cell r="C323" t="str">
            <v>шт</v>
          </cell>
          <cell r="D323">
            <v>1</v>
          </cell>
          <cell r="E32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250*60T*30 Профи Атака 
Материал:дерево 
Кромка: ч/рез 
Применяется с настольными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3">
            <v>2222</v>
          </cell>
          <cell r="G323">
            <v>2847</v>
          </cell>
          <cell r="H323" t="str">
            <v>-</v>
          </cell>
          <cell r="I323">
            <v>2222</v>
          </cell>
          <cell r="J323">
            <v>0</v>
          </cell>
          <cell r="K323">
            <v>0</v>
          </cell>
        </row>
        <row r="324">
          <cell r="A324">
            <v>8079180</v>
          </cell>
          <cell r="B324" t="str">
            <v>Диск пильный 255*100T*30 дерево ч/рез профи Атака</v>
          </cell>
          <cell r="C324" t="str">
            <v>шт</v>
          </cell>
          <cell r="D324">
            <v>1</v>
          </cell>
          <cell r="E32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255*100T*30 Профи Атака 
Материал: дерево 
Кромка: ч/рез 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4">
            <v>3573</v>
          </cell>
          <cell r="G324">
            <v>4572</v>
          </cell>
          <cell r="H324" t="str">
            <v>+</v>
          </cell>
          <cell r="I324">
            <v>3573</v>
          </cell>
          <cell r="J324">
            <v>0</v>
          </cell>
          <cell r="K324">
            <v>0</v>
          </cell>
        </row>
        <row r="325">
          <cell r="A325">
            <v>8079190</v>
          </cell>
          <cell r="B325" t="str">
            <v>Диск пильный 300*100T*50 дерево ч/рез профи Атака</v>
          </cell>
          <cell r="C325" t="str">
            <v>шт</v>
          </cell>
          <cell r="D325">
            <v>1</v>
          </cell>
          <cell r="E32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300*100T*50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5">
            <v>4236</v>
          </cell>
          <cell r="G325">
            <v>5423</v>
          </cell>
          <cell r="H325" t="str">
            <v>+</v>
          </cell>
          <cell r="I325">
            <v>4236</v>
          </cell>
          <cell r="J325">
            <v>0</v>
          </cell>
          <cell r="K325">
            <v>0</v>
          </cell>
        </row>
        <row r="326">
          <cell r="A326">
            <v>8079200</v>
          </cell>
          <cell r="B326" t="str">
            <v>Диск пильный 300*60T*32 дерево ч/рез профи Атака</v>
          </cell>
          <cell r="C326" t="str">
            <v>шт</v>
          </cell>
          <cell r="D326">
            <v>1</v>
          </cell>
          <cell r="E32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300*60T*32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6">
            <v>3048</v>
          </cell>
          <cell r="G326">
            <v>3897</v>
          </cell>
          <cell r="H326" t="str">
            <v>+</v>
          </cell>
          <cell r="I326">
            <v>3048</v>
          </cell>
          <cell r="J326">
            <v>0</v>
          </cell>
          <cell r="K326">
            <v>0</v>
          </cell>
        </row>
        <row r="327">
          <cell r="A327">
            <v>8079210</v>
          </cell>
          <cell r="B327" t="str">
            <v>Диск пильный 305*60T*30 дерево ч/рез профи Атака</v>
          </cell>
          <cell r="C327" t="str">
            <v>шт</v>
          </cell>
          <cell r="D327">
            <v>1</v>
          </cell>
          <cell r="E32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305*60T*30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7">
            <v>3790</v>
          </cell>
          <cell r="G327">
            <v>4846</v>
          </cell>
          <cell r="H327" t="str">
            <v>+</v>
          </cell>
          <cell r="I327">
            <v>3790</v>
          </cell>
          <cell r="J327">
            <v>0</v>
          </cell>
          <cell r="K327">
            <v>0</v>
          </cell>
        </row>
        <row r="328">
          <cell r="A328">
            <v>8079220</v>
          </cell>
          <cell r="B328" t="str">
            <v>Диск пильный 350*60T*50 дерево ч/рез профи Атака</v>
          </cell>
          <cell r="C328" t="str">
            <v>шт</v>
          </cell>
          <cell r="D328">
            <v>1</v>
          </cell>
          <cell r="E32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350*60T*50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8">
            <v>5039</v>
          </cell>
          <cell r="G328">
            <v>6451</v>
          </cell>
          <cell r="H328" t="str">
            <v>+</v>
          </cell>
          <cell r="I328">
            <v>5039</v>
          </cell>
          <cell r="J328">
            <v>0</v>
          </cell>
          <cell r="K328">
            <v>0</v>
          </cell>
        </row>
        <row r="329">
          <cell r="A329">
            <v>8079230</v>
          </cell>
          <cell r="B329" t="str">
            <v>Диск пильный 400*60T*50 дерево ч/рез профи Атака</v>
          </cell>
          <cell r="C329" t="str">
            <v>шт</v>
          </cell>
          <cell r="D329">
            <v>1</v>
          </cell>
          <cell r="E32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400*60T*50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29">
            <v>6361</v>
          </cell>
          <cell r="G329">
            <v>8142</v>
          </cell>
          <cell r="H329" t="str">
            <v>+</v>
          </cell>
          <cell r="I329">
            <v>6361</v>
          </cell>
          <cell r="J329">
            <v>0</v>
          </cell>
          <cell r="K329">
            <v>0</v>
          </cell>
        </row>
        <row r="330">
          <cell r="A330">
            <v>8079240</v>
          </cell>
          <cell r="B330" t="str">
            <v>Диск пильный 235*48T*30 дерево ч/рез профи Атака</v>
          </cell>
          <cell r="C330" t="str">
            <v>шт</v>
          </cell>
          <cell r="D330">
            <v>1</v>
          </cell>
          <cell r="E33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235*48T*30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v>
          </cell>
          <cell r="F330">
            <v>1666</v>
          </cell>
          <cell r="G330">
            <v>2134</v>
          </cell>
          <cell r="H330" t="str">
            <v>+</v>
          </cell>
          <cell r="I330">
            <v>1666</v>
          </cell>
          <cell r="J330">
            <v>0</v>
          </cell>
          <cell r="K330">
            <v>0</v>
          </cell>
        </row>
        <row r="331">
          <cell r="A331">
            <v>8079250</v>
          </cell>
          <cell r="B331" t="str">
            <v>Диск пильный 250*60T*32 дерево ч/рез профи Атака</v>
          </cell>
          <cell r="C331" t="str">
            <v>шт</v>
          </cell>
          <cell r="D331">
            <v>1</v>
          </cell>
          <cell r="E33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250*60T*32 Профи Атака
Материал: дерево 
Кромка: ч/рез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31">
            <v>2222</v>
          </cell>
          <cell r="G331">
            <v>2847</v>
          </cell>
          <cell r="H331" t="str">
            <v>+</v>
          </cell>
          <cell r="I331">
            <v>2222</v>
          </cell>
          <cell r="J331">
            <v>0</v>
          </cell>
          <cell r="K331">
            <v>0</v>
          </cell>
        </row>
        <row r="332">
          <cell r="A332">
            <v>8079420</v>
          </cell>
          <cell r="B332" t="str">
            <v>Диск пильный 230*56T*30 дерево б/рез тон/отб. профи Атака</v>
          </cell>
          <cell r="C332" t="str">
            <v>шт</v>
          </cell>
          <cell r="D332">
            <v>1</v>
          </cell>
          <cell r="E33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А 230*56*30 
Материал: дерево
Кромка: ч/рез
Особенности: тонкий профиль
Применяются с ручными циркулярными и торцовочными пилами
Полотно диска изготовлено из высококачественной стали,  зубья из твердого сплава с алмазной шлифовкой. Предназначен для высокоточного и чистого распила ценных пород дерева. Зубья оснащены отбойником, который предотвращает заклинивание.</v>
          </cell>
          <cell r="F332">
            <v>1640</v>
          </cell>
          <cell r="G332">
            <v>2098</v>
          </cell>
          <cell r="H332" t="str">
            <v>+</v>
          </cell>
          <cell r="I332">
            <v>1640</v>
          </cell>
          <cell r="J332">
            <v>0</v>
          </cell>
          <cell r="K332">
            <v>0</v>
          </cell>
        </row>
        <row r="333">
          <cell r="A333">
            <v>8079430</v>
          </cell>
          <cell r="B333" t="str">
            <v>Диск пильный 300*48T*50 дерево б/рез профи Атака</v>
          </cell>
          <cell r="C333" t="str">
            <v>шт</v>
          </cell>
          <cell r="D333">
            <v>1</v>
          </cell>
          <cell r="E33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300*48T*50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33">
            <v>3023</v>
          </cell>
          <cell r="G333">
            <v>3873</v>
          </cell>
          <cell r="H333" t="str">
            <v>+</v>
          </cell>
          <cell r="I333">
            <v>3023</v>
          </cell>
          <cell r="J333">
            <v>0</v>
          </cell>
          <cell r="K333">
            <v>0</v>
          </cell>
        </row>
        <row r="334">
          <cell r="A334">
            <v>8079440</v>
          </cell>
          <cell r="B334" t="str">
            <v>Диск пильный 350*40T*50 дерево б/рез профи Атака</v>
          </cell>
          <cell r="C334" t="str">
            <v>шт</v>
          </cell>
          <cell r="D334">
            <v>1</v>
          </cell>
          <cell r="E33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350*40T*50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34">
            <v>4296</v>
          </cell>
          <cell r="G334">
            <v>5498</v>
          </cell>
          <cell r="H334" t="str">
            <v>+</v>
          </cell>
          <cell r="I334">
            <v>4296</v>
          </cell>
          <cell r="J334">
            <v>0</v>
          </cell>
          <cell r="K334">
            <v>0</v>
          </cell>
        </row>
        <row r="335">
          <cell r="A335">
            <v>8079450</v>
          </cell>
          <cell r="B335" t="str">
            <v>Диск пильный 350*50T*50 дерево б/рез профи Атака</v>
          </cell>
          <cell r="C335" t="str">
            <v>шт</v>
          </cell>
          <cell r="D335">
            <v>1</v>
          </cell>
          <cell r="E33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350*50T*50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грубого распила мягкой или твердой древесины,  фанеры.</v>
          </cell>
          <cell r="F335">
            <v>4669</v>
          </cell>
          <cell r="G335">
            <v>5976</v>
          </cell>
          <cell r="H335" t="str">
            <v>+</v>
          </cell>
          <cell r="I335">
            <v>4669</v>
          </cell>
          <cell r="J335">
            <v>0</v>
          </cell>
          <cell r="K335">
            <v>0</v>
          </cell>
        </row>
        <row r="336">
          <cell r="A336">
            <v>8079460</v>
          </cell>
          <cell r="B336" t="str">
            <v>Диск пильный 450*40T*50 дерево б/рез профи Атака</v>
          </cell>
          <cell r="C336" t="str">
            <v>шт</v>
          </cell>
          <cell r="D336">
            <v>1</v>
          </cell>
          <cell r="E33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450*40*50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v>
          </cell>
          <cell r="F336">
            <v>8340</v>
          </cell>
          <cell r="G336">
            <v>10676</v>
          </cell>
          <cell r="H336" t="str">
            <v>+</v>
          </cell>
          <cell r="I336">
            <v>8340</v>
          </cell>
          <cell r="J336">
            <v>0</v>
          </cell>
          <cell r="K336">
            <v>0</v>
          </cell>
        </row>
        <row r="337">
          <cell r="A337">
            <v>8079470</v>
          </cell>
          <cell r="B337" t="str">
            <v>Диск пильный 450*60T*50 дерево б/рез профи Атака</v>
          </cell>
          <cell r="C337" t="str">
            <v>шт</v>
          </cell>
          <cell r="D337">
            <v>1</v>
          </cell>
          <cell r="E33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450*60T*50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v>
          </cell>
          <cell r="F337">
            <v>9395</v>
          </cell>
          <cell r="G337">
            <v>12025</v>
          </cell>
          <cell r="H337" t="str">
            <v>+</v>
          </cell>
          <cell r="I337">
            <v>9395</v>
          </cell>
          <cell r="J337">
            <v>0</v>
          </cell>
          <cell r="K337">
            <v>0</v>
          </cell>
        </row>
        <row r="338">
          <cell r="A338">
            <v>8079480</v>
          </cell>
          <cell r="B338" t="str">
            <v>Диск пильный 450*80T*50 дерево б/рез профи Атака</v>
          </cell>
          <cell r="C338" t="str">
            <v>шт</v>
          </cell>
          <cell r="D338">
            <v>1</v>
          </cell>
          <cell r="E33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450*80T*50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v>
          </cell>
          <cell r="F338">
            <v>10452</v>
          </cell>
          <cell r="G338">
            <v>13379</v>
          </cell>
          <cell r="H338" t="str">
            <v>+</v>
          </cell>
          <cell r="I338">
            <v>10452</v>
          </cell>
          <cell r="J338">
            <v>0</v>
          </cell>
          <cell r="K338">
            <v>0</v>
          </cell>
        </row>
        <row r="339">
          <cell r="A339">
            <v>8079490</v>
          </cell>
          <cell r="B339" t="str">
            <v>Диск пильный 500*60T*50 дерево б/рез профи Атака</v>
          </cell>
          <cell r="C339" t="str">
            <v>шт</v>
          </cell>
          <cell r="D339">
            <v>1</v>
          </cell>
          <cell r="E33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500*60T*50 Профи Атака 
Материал: дерево 
Кромка: б/рез 
Применяется с настольной пилой 
Полотно диска изготовлено из высококачественной стали,  зубья из твердого сплава с алмазной шлифовкой. Подходит для быстрого, но грубого распила мягкой или твердой древесины,  фанеры.</v>
          </cell>
          <cell r="F339">
            <v>13181</v>
          </cell>
          <cell r="G339">
            <v>16871</v>
          </cell>
          <cell r="H339" t="str">
            <v>+</v>
          </cell>
          <cell r="I339">
            <v>13181</v>
          </cell>
          <cell r="J339">
            <v>0</v>
          </cell>
          <cell r="K339">
            <v>0</v>
          </cell>
        </row>
        <row r="340">
          <cell r="A340">
            <v>8079500</v>
          </cell>
          <cell r="B340" t="str">
            <v>Диск пильный 130*48T*16 дерево ч/рез профи Атака</v>
          </cell>
          <cell r="C340" t="str">
            <v>шт</v>
          </cell>
          <cell r="D340">
            <v>1</v>
          </cell>
          <cell r="E34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130*48T*16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0">
            <v>617</v>
          </cell>
          <cell r="G340">
            <v>789</v>
          </cell>
          <cell r="H340" t="str">
            <v>+</v>
          </cell>
          <cell r="I340">
            <v>617</v>
          </cell>
          <cell r="J340">
            <v>0</v>
          </cell>
          <cell r="K340">
            <v>0</v>
          </cell>
        </row>
        <row r="341">
          <cell r="A341">
            <v>8079510</v>
          </cell>
          <cell r="B341" t="str">
            <v>Диск пильный 150*36T*20 дерево ч/рез профи Атака</v>
          </cell>
          <cell r="C341" t="str">
            <v>шт</v>
          </cell>
          <cell r="D341">
            <v>1</v>
          </cell>
          <cell r="E34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150*36T*20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1">
            <v>696</v>
          </cell>
          <cell r="G341">
            <v>888</v>
          </cell>
          <cell r="H341" t="str">
            <v>+</v>
          </cell>
          <cell r="I341">
            <v>696</v>
          </cell>
          <cell r="J341">
            <v>0</v>
          </cell>
          <cell r="K341">
            <v>0</v>
          </cell>
        </row>
        <row r="342">
          <cell r="A342">
            <v>8079520</v>
          </cell>
          <cell r="B342" t="str">
            <v>Диск пильный 160*32T*16 дерево ч/рез профи Атака</v>
          </cell>
          <cell r="C342" t="str">
            <v>шт</v>
          </cell>
          <cell r="D342">
            <v>1</v>
          </cell>
          <cell r="E34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160*32T*16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2">
            <v>696</v>
          </cell>
          <cell r="G342">
            <v>888</v>
          </cell>
          <cell r="H342" t="str">
            <v>+</v>
          </cell>
          <cell r="I342">
            <v>696</v>
          </cell>
          <cell r="J342">
            <v>0</v>
          </cell>
          <cell r="K342">
            <v>0</v>
          </cell>
        </row>
        <row r="343">
          <cell r="A343">
            <v>8079530</v>
          </cell>
          <cell r="B343" t="str">
            <v>Диск пильный 170*70T*16 дерево ч/рез профи Атака</v>
          </cell>
          <cell r="C343" t="str">
            <v>шт</v>
          </cell>
          <cell r="D343">
            <v>1</v>
          </cell>
          <cell r="E34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170*70T*16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3">
            <v>943</v>
          </cell>
          <cell r="G343">
            <v>1211</v>
          </cell>
          <cell r="H343" t="str">
            <v>+</v>
          </cell>
          <cell r="I343">
            <v>943</v>
          </cell>
          <cell r="J343">
            <v>0</v>
          </cell>
          <cell r="K343">
            <v>0</v>
          </cell>
        </row>
        <row r="344">
          <cell r="A344">
            <v>8079540</v>
          </cell>
          <cell r="B344" t="str">
            <v>Диск пильный 184*40T*16 дерево ч/рез профи Атака</v>
          </cell>
          <cell r="C344" t="str">
            <v>шт</v>
          </cell>
          <cell r="D344">
            <v>1</v>
          </cell>
          <cell r="E34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184*40T*16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4">
            <v>696</v>
          </cell>
          <cell r="G344">
            <v>922</v>
          </cell>
          <cell r="H344" t="str">
            <v>-</v>
          </cell>
          <cell r="I344">
            <v>696</v>
          </cell>
          <cell r="J344">
            <v>0</v>
          </cell>
          <cell r="K344">
            <v>0</v>
          </cell>
        </row>
        <row r="345">
          <cell r="A345">
            <v>8079550</v>
          </cell>
          <cell r="B345" t="str">
            <v>Диск пильный 190*48T*16 дерево ч/рез профи Атака</v>
          </cell>
          <cell r="C345" t="str">
            <v>шт</v>
          </cell>
          <cell r="D345">
            <v>1</v>
          </cell>
          <cell r="E34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190*48T*16 Профи Атака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5">
            <v>1041</v>
          </cell>
          <cell r="G345">
            <v>1332</v>
          </cell>
          <cell r="H345" t="str">
            <v>+</v>
          </cell>
          <cell r="I345">
            <v>1041</v>
          </cell>
          <cell r="J345">
            <v>0</v>
          </cell>
          <cell r="K345">
            <v>0</v>
          </cell>
        </row>
        <row r="346">
          <cell r="A346">
            <v>8079560</v>
          </cell>
          <cell r="B346" t="str">
            <v>Диск пильный 210*60T*30 дерево ч/рез профи Атака</v>
          </cell>
          <cell r="C346" t="str">
            <v>шт</v>
          </cell>
          <cell r="D346">
            <v>1</v>
          </cell>
          <cell r="E34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210*60T*30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6">
            <v>1372</v>
          </cell>
          <cell r="G346">
            <v>1754</v>
          </cell>
          <cell r="H346" t="str">
            <v>-</v>
          </cell>
          <cell r="I346">
            <v>1372</v>
          </cell>
          <cell r="J346">
            <v>0</v>
          </cell>
          <cell r="K346">
            <v>0</v>
          </cell>
        </row>
        <row r="347">
          <cell r="A347">
            <v>8079570</v>
          </cell>
          <cell r="B347" t="str">
            <v>Диск пильный 216*80T*30 дерево ч/рез профи Атака</v>
          </cell>
          <cell r="C347" t="str">
            <v>шт</v>
          </cell>
          <cell r="D347">
            <v>1</v>
          </cell>
          <cell r="E34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216*80T*30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7">
            <v>1776</v>
          </cell>
          <cell r="G347">
            <v>2360</v>
          </cell>
          <cell r="H347" t="str">
            <v>+</v>
          </cell>
          <cell r="I347">
            <v>1776</v>
          </cell>
          <cell r="J347">
            <v>0</v>
          </cell>
          <cell r="K347">
            <v>0</v>
          </cell>
        </row>
        <row r="348">
          <cell r="A348">
            <v>8079580</v>
          </cell>
          <cell r="B348" t="str">
            <v>Диск пильный 230*40T*30 дерево ч/рез профи Атака</v>
          </cell>
          <cell r="C348" t="str">
            <v>шт</v>
          </cell>
          <cell r="D348">
            <v>1</v>
          </cell>
          <cell r="E34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230*40T*30 Профи Атака 
Материал: дерево 
Кромка: ч/рез  
Применяется с ручными циркулярными и торцовочными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8">
            <v>1473</v>
          </cell>
          <cell r="G348">
            <v>1885</v>
          </cell>
          <cell r="H348" t="str">
            <v>+</v>
          </cell>
          <cell r="I348">
            <v>1473</v>
          </cell>
          <cell r="J348">
            <v>0</v>
          </cell>
          <cell r="K348">
            <v>0</v>
          </cell>
        </row>
        <row r="349">
          <cell r="A349">
            <v>8079590</v>
          </cell>
          <cell r="B349" t="str">
            <v>Диск пильный 250*40T*30 дерево ч/рез профи Атака</v>
          </cell>
          <cell r="C349" t="str">
            <v>шт</v>
          </cell>
          <cell r="D349">
            <v>1</v>
          </cell>
          <cell r="E34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250*40T*30 Профи Атака 
Материал:дерево 
Кромка: ч/рез 
Применяется с настольными пилами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49">
            <v>1659</v>
          </cell>
          <cell r="G349">
            <v>2123</v>
          </cell>
          <cell r="H349" t="str">
            <v>+</v>
          </cell>
          <cell r="I349">
            <v>1659</v>
          </cell>
          <cell r="J349">
            <v>0</v>
          </cell>
          <cell r="K349">
            <v>0</v>
          </cell>
        </row>
        <row r="350">
          <cell r="A350">
            <v>8079600</v>
          </cell>
          <cell r="B350" t="str">
            <v>Диск пильный 250*80T*30 дерево ч/рез профи Атака</v>
          </cell>
          <cell r="C350" t="str">
            <v>шт</v>
          </cell>
          <cell r="D350">
            <v>1</v>
          </cell>
          <cell r="E35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250*80T*30 Профи Атака
Материал: дерево
Кромка: ч/рез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0">
            <v>2747</v>
          </cell>
          <cell r="G350">
            <v>3513</v>
          </cell>
          <cell r="H350" t="str">
            <v>+</v>
          </cell>
          <cell r="I350">
            <v>2747</v>
          </cell>
          <cell r="J350">
            <v>0</v>
          </cell>
          <cell r="K350">
            <v>0</v>
          </cell>
        </row>
        <row r="351">
          <cell r="A351">
            <v>8079630</v>
          </cell>
          <cell r="B351" t="str">
            <v>Диск пильный 250*80T*32 дерево ч/рез профи Атака</v>
          </cell>
          <cell r="C351" t="str">
            <v>шт</v>
          </cell>
          <cell r="D351">
            <v>1</v>
          </cell>
          <cell r="E35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250*80T*32 Профи Атака
Материал: дерево 
Кромка: ч/рез 
Применяется с настольными пилами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1">
            <v>2747</v>
          </cell>
          <cell r="G351">
            <v>3513</v>
          </cell>
          <cell r="H351" t="str">
            <v>+</v>
          </cell>
          <cell r="I351">
            <v>2747</v>
          </cell>
          <cell r="J351">
            <v>0</v>
          </cell>
          <cell r="K351">
            <v>0</v>
          </cell>
        </row>
        <row r="352">
          <cell r="A352">
            <v>8079650</v>
          </cell>
          <cell r="B352" t="str">
            <v>Диск пильный 260*60T*30 дерево ч/рез профи Атака</v>
          </cell>
          <cell r="C352" t="str">
            <v>шт</v>
          </cell>
          <cell r="D352">
            <v>1</v>
          </cell>
          <cell r="E352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260*60T*30 Профи Атака 
Материал: дерево 
Кромка: ч/рез 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2">
            <v>2592</v>
          </cell>
          <cell r="G352">
            <v>3316</v>
          </cell>
          <cell r="H352" t="str">
            <v>+</v>
          </cell>
          <cell r="I352">
            <v>2592</v>
          </cell>
          <cell r="J352">
            <v>0</v>
          </cell>
          <cell r="K352">
            <v>0</v>
          </cell>
        </row>
        <row r="353">
          <cell r="A353">
            <v>8079670</v>
          </cell>
          <cell r="B353" t="str">
            <v>Диск пильный 270*60T*30 дерево ч/рез профи Атака</v>
          </cell>
          <cell r="C353" t="str">
            <v>шт</v>
          </cell>
          <cell r="D353">
            <v>1</v>
          </cell>
          <cell r="E353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270*60T*30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3">
            <v>2713</v>
          </cell>
          <cell r="G353">
            <v>3471</v>
          </cell>
          <cell r="H353" t="str">
            <v>+</v>
          </cell>
          <cell r="I353">
            <v>2713</v>
          </cell>
          <cell r="J353">
            <v>0</v>
          </cell>
          <cell r="K353">
            <v>0</v>
          </cell>
        </row>
        <row r="354">
          <cell r="A354">
            <v>8079680</v>
          </cell>
          <cell r="B354" t="str">
            <v>Диск пильный 300*60T*50 дерево ч/рез профи Атака</v>
          </cell>
          <cell r="C354" t="str">
            <v>шт</v>
          </cell>
          <cell r="D354">
            <v>1</v>
          </cell>
          <cell r="E354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300*60T*50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4">
            <v>3342</v>
          </cell>
          <cell r="G354">
            <v>4274</v>
          </cell>
          <cell r="H354" t="str">
            <v>+</v>
          </cell>
          <cell r="I354">
            <v>3342</v>
          </cell>
          <cell r="J354">
            <v>0</v>
          </cell>
          <cell r="K354">
            <v>0</v>
          </cell>
        </row>
        <row r="355">
          <cell r="A355">
            <v>8079700</v>
          </cell>
          <cell r="B355" t="str">
            <v>Диск пильный 350*80T*50 дерево ч/рез профи Атака</v>
          </cell>
          <cell r="C355" t="str">
            <v>шт</v>
          </cell>
          <cell r="D355">
            <v>1</v>
          </cell>
          <cell r="E355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350*80T*50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5">
            <v>5783</v>
          </cell>
          <cell r="G355">
            <v>7402</v>
          </cell>
          <cell r="H355" t="str">
            <v>+</v>
          </cell>
          <cell r="I355">
            <v>5783</v>
          </cell>
          <cell r="J355">
            <v>0</v>
          </cell>
          <cell r="K355">
            <v>0</v>
          </cell>
        </row>
        <row r="356">
          <cell r="A356">
            <v>8079730</v>
          </cell>
          <cell r="B356" t="str">
            <v>Диск пильный 400*100T*50 дерево ч/рез профи Атака</v>
          </cell>
          <cell r="C356" t="str">
            <v>шт</v>
          </cell>
          <cell r="D356">
            <v>1</v>
          </cell>
          <cell r="E356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400*100T*50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6">
            <v>8105</v>
          </cell>
          <cell r="G356">
            <v>10366</v>
          </cell>
          <cell r="H356" t="str">
            <v>+</v>
          </cell>
          <cell r="I356">
            <v>8105</v>
          </cell>
          <cell r="J356">
            <v>0</v>
          </cell>
          <cell r="K356">
            <v>0</v>
          </cell>
        </row>
        <row r="357">
          <cell r="A357">
            <v>8079750</v>
          </cell>
          <cell r="B357" t="str">
            <v>Диск пильный 400*80T*50 дерево ч/рез профи Атака</v>
          </cell>
          <cell r="C357" t="str">
            <v>шт</v>
          </cell>
          <cell r="D357">
            <v>1</v>
          </cell>
          <cell r="E357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400*80T*50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7">
            <v>7054</v>
          </cell>
          <cell r="G357">
            <v>9029</v>
          </cell>
          <cell r="H357" t="str">
            <v>+</v>
          </cell>
          <cell r="I357">
            <v>7054</v>
          </cell>
          <cell r="J357">
            <v>0</v>
          </cell>
          <cell r="K357">
            <v>0</v>
          </cell>
        </row>
        <row r="358">
          <cell r="A358">
            <v>8079760</v>
          </cell>
          <cell r="B358" t="str">
            <v>Диск пильный 450*100T*50 дерево ч/рез профи Атака</v>
          </cell>
          <cell r="C358" t="str">
            <v>шт</v>
          </cell>
          <cell r="D358">
            <v>1</v>
          </cell>
          <cell r="E358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400*100T*50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8">
            <v>11494</v>
          </cell>
          <cell r="G358">
            <v>14711</v>
          </cell>
          <cell r="H358" t="str">
            <v>+</v>
          </cell>
          <cell r="I358">
            <v>11494</v>
          </cell>
          <cell r="J358">
            <v>0</v>
          </cell>
          <cell r="K358">
            <v>0</v>
          </cell>
        </row>
        <row r="359">
          <cell r="A359">
            <v>8079770</v>
          </cell>
          <cell r="B359" t="str">
            <v>Диск пильный 500*100T*50 дерево ч/рез профи Атака</v>
          </cell>
          <cell r="C359" t="str">
            <v>шт</v>
          </cell>
          <cell r="D359">
            <v>1</v>
          </cell>
          <cell r="E359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500*100T*50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59">
            <v>16637</v>
          </cell>
          <cell r="G359">
            <v>21293</v>
          </cell>
          <cell r="H359" t="str">
            <v>+</v>
          </cell>
          <cell r="I359">
            <v>16637</v>
          </cell>
          <cell r="J359">
            <v>0</v>
          </cell>
          <cell r="K359">
            <v>0</v>
          </cell>
        </row>
        <row r="360">
          <cell r="A360">
            <v>8079780</v>
          </cell>
          <cell r="B360" t="str">
            <v>Диск пильный 500*120T*50 дерево ч/рез профи Атака</v>
          </cell>
          <cell r="C360" t="str">
            <v>шт</v>
          </cell>
          <cell r="D360">
            <v>1</v>
          </cell>
          <cell r="E360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500*120T*50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60">
            <v>16986</v>
          </cell>
          <cell r="G360">
            <v>21741</v>
          </cell>
          <cell r="H360" t="str">
            <v>+</v>
          </cell>
          <cell r="I360">
            <v>16986</v>
          </cell>
          <cell r="J360">
            <v>0</v>
          </cell>
          <cell r="K360">
            <v>0</v>
          </cell>
        </row>
        <row r="361">
          <cell r="A361">
            <v>8079790</v>
          </cell>
          <cell r="B361" t="str">
            <v>Диск пильный 500*80T*50 дерево ч/рез профи Атака</v>
          </cell>
          <cell r="C361" t="str">
            <v>шт</v>
          </cell>
          <cell r="D361">
            <v>1</v>
          </cell>
          <cell r="E361" t="str">
            <v>Пильные диски Атака предназначенны для выполнения профессиональных задач с различными строительными материалами (дерево, газобетон, ламинат, аллюминий). Их отличает повышенный ресурс, широкий ассортимент и, как следствие, возможность точного подбора под любые задачи и условия работы.
Диск пильный 500*80T*50 Профи Атака 
Материал: дерево 
Кромка: ч/рез 
Применяется с настольной пилой 
Полотно диска изготовлено из высококачественной стали,  зубья из твердого сплава с алмазной шлифовкой. Предназначен для чистого  распила мягкой или твердой древесины,  фанеры.</v>
          </cell>
          <cell r="F361">
            <v>14657</v>
          </cell>
          <cell r="G361">
            <v>18761</v>
          </cell>
          <cell r="H361" t="str">
            <v>-</v>
          </cell>
          <cell r="I361">
            <v>14657</v>
          </cell>
          <cell r="J361">
            <v>0</v>
          </cell>
          <cell r="K361">
            <v>0</v>
          </cell>
        </row>
        <row r="362">
          <cell r="A362" t="str">
            <v>Наборы Дисков Атака</v>
          </cell>
        </row>
        <row r="363">
          <cell r="A363" t="str">
            <v>Ножи для рубанков</v>
          </cell>
        </row>
        <row r="364">
          <cell r="A364">
            <v>1154550</v>
          </cell>
          <cell r="B364" t="str">
            <v>Ножи для рубанков 82*29*3 TCT для Bosch Атака (2шт.)</v>
          </cell>
          <cell r="C364" t="str">
            <v>Упак</v>
          </cell>
          <cell r="D364">
            <v>1</v>
          </cell>
          <cell r="E364" t="str">
            <v>Нож Атака для электрорубанков Bosch, код1154550.
Подходит для большинства моделей электрорубанков Bosch. 
Размер 82*29*3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Допускает многоразовую заточку лезвия.
В упаковке 2 шт</v>
          </cell>
          <cell r="F364">
            <v>842</v>
          </cell>
          <cell r="G364">
            <v>1119</v>
          </cell>
          <cell r="H364" t="str">
            <v>+</v>
          </cell>
          <cell r="I364">
            <v>842</v>
          </cell>
          <cell r="J364">
            <v>0</v>
          </cell>
          <cell r="K364">
            <v>0</v>
          </cell>
        </row>
        <row r="365">
          <cell r="A365">
            <v>1154580</v>
          </cell>
          <cell r="B365" t="str">
            <v>Ножи для рубанков 82*29*3 TCT Атака (2шт.)</v>
          </cell>
          <cell r="C365" t="str">
            <v>Упак</v>
          </cell>
          <cell r="D365">
            <v>1</v>
          </cell>
          <cell r="E365" t="str">
            <v>Нож Атака для электрорубанков, код1154580.
Подходит для большинства моделей электрорубанков. 
Размер 82*29*3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Допускает многоразовую заточку лезвия.
В упаковке 2 шт</v>
          </cell>
          <cell r="F365">
            <v>711</v>
          </cell>
          <cell r="G365">
            <v>942</v>
          </cell>
          <cell r="H365" t="str">
            <v>-</v>
          </cell>
          <cell r="I365">
            <v>711</v>
          </cell>
          <cell r="J365">
            <v>0</v>
          </cell>
          <cell r="K365">
            <v>0</v>
          </cell>
        </row>
        <row r="366">
          <cell r="A366">
            <v>1154630</v>
          </cell>
          <cell r="B366" t="str">
            <v>Ножи для рубанков 82*29*3 HSS Атака (2шт.)</v>
          </cell>
          <cell r="C366" t="str">
            <v>Упак</v>
          </cell>
          <cell r="D366">
            <v>1</v>
          </cell>
          <cell r="E366" t="str">
            <v>Нож Атака для электрорубанков, код1154630.
Подходит для большинства моделей электрорубанков. 
Размер 82*29*3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Допускает многоразовую заточку лезвия.
В упаковке 2 шт</v>
          </cell>
          <cell r="F366">
            <v>245</v>
          </cell>
          <cell r="G366">
            <v>326</v>
          </cell>
          <cell r="H366" t="str">
            <v>+</v>
          </cell>
          <cell r="I366">
            <v>245</v>
          </cell>
          <cell r="J366">
            <v>0</v>
          </cell>
          <cell r="K366">
            <v>0</v>
          </cell>
        </row>
        <row r="367">
          <cell r="A367">
            <v>1154640</v>
          </cell>
          <cell r="B367" t="str">
            <v>Ножи для рубанков 110*29*3 TCT Атака (2шт.)</v>
          </cell>
          <cell r="C367" t="str">
            <v>Упак</v>
          </cell>
          <cell r="D367">
            <v>1</v>
          </cell>
          <cell r="E367" t="str">
            <v>Нож Атака для электрорубанков, код1154640.
Подходит для большинства моделей электрорубанков. 
Размер 110*29*3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Допускает многоразовую заточку лезвия.
В упаковке 2 шт</v>
          </cell>
          <cell r="F367">
            <v>1127</v>
          </cell>
          <cell r="G367">
            <v>1499</v>
          </cell>
          <cell r="H367" t="str">
            <v>+</v>
          </cell>
          <cell r="I367">
            <v>1127</v>
          </cell>
          <cell r="J367">
            <v>0</v>
          </cell>
          <cell r="K367">
            <v>0</v>
          </cell>
        </row>
        <row r="368">
          <cell r="A368">
            <v>1154650</v>
          </cell>
          <cell r="B368" t="str">
            <v>Ножи для рубанков 110*29*3 HSS Атака (2шт.)</v>
          </cell>
          <cell r="C368" t="str">
            <v>Упак</v>
          </cell>
          <cell r="D368">
            <v>1</v>
          </cell>
          <cell r="E368" t="str">
            <v>Нож Атака для электрорубанков, код1154650.
Подходит для большинства моделей электрорубанков. 
Размер 110*29*3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Допускает многоразовую заточку лезвия.
В упаковке 2 шт</v>
          </cell>
          <cell r="F368">
            <v>377</v>
          </cell>
          <cell r="G368">
            <v>501</v>
          </cell>
          <cell r="H368" t="str">
            <v>+</v>
          </cell>
          <cell r="I368">
            <v>377</v>
          </cell>
          <cell r="J368">
            <v>0</v>
          </cell>
          <cell r="K368">
            <v>0</v>
          </cell>
        </row>
        <row r="369">
          <cell r="A369">
            <v>1154660</v>
          </cell>
          <cell r="B369" t="str">
            <v>Ножи для рубанков 82*5.5*1.1 TCT Атака (2шт.)</v>
          </cell>
          <cell r="C369" t="str">
            <v>Упак</v>
          </cell>
          <cell r="D369">
            <v>1</v>
          </cell>
          <cell r="E369" t="str">
            <v>Нож Атака для электрорубанков, код1154660.
Подходит для большинства моделей электрорубанков. 
Размер 82*5.5*1.1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Данный расхдоный материал является одноразовым - при затуплении утилизируется.
В упаковке 2 шт</v>
          </cell>
          <cell r="F369">
            <v>600</v>
          </cell>
          <cell r="G369">
            <v>794</v>
          </cell>
          <cell r="H369" t="str">
            <v>-</v>
          </cell>
          <cell r="I369">
            <v>600</v>
          </cell>
          <cell r="J369">
            <v>0</v>
          </cell>
          <cell r="K369">
            <v>0</v>
          </cell>
        </row>
        <row r="370">
          <cell r="A370">
            <v>1154670</v>
          </cell>
          <cell r="B370" t="str">
            <v>Ножи для рубанков 82*5.5*1.1 HSS Атака (2шт.)</v>
          </cell>
          <cell r="C370" t="str">
            <v>Упак</v>
          </cell>
          <cell r="D370">
            <v>1</v>
          </cell>
          <cell r="E370" t="str">
            <v>Нож Атака для электрорубанков, код1154670.
Подходит для большинства моделей электрорубанков. 
Размер 82*5.5*1.1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Данный расхдоный материал является одноразовым - при затуплении утилизируется.
В упаковке 2 шт</v>
          </cell>
          <cell r="F370">
            <v>197</v>
          </cell>
          <cell r="G370">
            <v>260</v>
          </cell>
          <cell r="H370" t="str">
            <v>-</v>
          </cell>
          <cell r="I370">
            <v>197</v>
          </cell>
          <cell r="J370">
            <v>0</v>
          </cell>
          <cell r="K370">
            <v>0</v>
          </cell>
        </row>
        <row r="371">
          <cell r="A371">
            <v>1692540</v>
          </cell>
          <cell r="B371" t="str">
            <v>Ножи для рубанков 75*5.5*1.1 HSS Атака (2шт.)</v>
          </cell>
          <cell r="C371" t="str">
            <v>Упак</v>
          </cell>
          <cell r="D371">
            <v>1</v>
          </cell>
          <cell r="E371" t="str">
            <v>Нож Атака для электрорубанков, код1692540.
Подходит для большинства моделей электрорубанков. 
Размер 5*5.5*1.1
Сталь HSS
Тип ножа "Быстрый рез" изготовлен из быстрорежущей стали HSS, обеспечивающей достижение идеально ровной поверхности в мягких породах древесины. Обладает длительным ресурсом работы. Данный расхдоный материал является одноразовым - при затуплении утилизируется.
В упаковке 2 шт</v>
          </cell>
          <cell r="F371">
            <v>153</v>
          </cell>
          <cell r="G371">
            <v>201</v>
          </cell>
          <cell r="H371" t="str">
            <v>+</v>
          </cell>
          <cell r="I371">
            <v>153</v>
          </cell>
          <cell r="J371">
            <v>0</v>
          </cell>
          <cell r="K371">
            <v>0</v>
          </cell>
        </row>
        <row r="372">
          <cell r="A372">
            <v>1692580</v>
          </cell>
          <cell r="B372" t="str">
            <v>Ножи для рубанков 75*5.5*1.1 TCT Атака (2шт.)</v>
          </cell>
          <cell r="C372" t="str">
            <v>Упак</v>
          </cell>
          <cell r="D372">
            <v>1</v>
          </cell>
          <cell r="E372" t="str">
            <v>Нож Атака для электрорубанков, код1692580.
Подходит для большинства моделей электрорубанков. 
Размер 5*5.5*1.1
Сталь TCT
Двусторонний тип ножа "Чистый рез" изготовлен из твердого сплава ТСТ, обеспечивающей достижение идеально ровной поверхности даже в твердых породах дерева. Обладает повышенным ресурсом работы. Данный расхдоный материал является одноразовым - при затуплении утилизируется.
В упаковке 2 шт</v>
          </cell>
          <cell r="F372">
            <v>519</v>
          </cell>
          <cell r="G372">
            <v>690</v>
          </cell>
          <cell r="H372" t="str">
            <v>+</v>
          </cell>
          <cell r="I372">
            <v>519</v>
          </cell>
          <cell r="J372">
            <v>0</v>
          </cell>
          <cell r="K372">
            <v>0</v>
          </cell>
        </row>
        <row r="373">
          <cell r="A373" t="str">
            <v>Патроны</v>
          </cell>
        </row>
        <row r="374">
          <cell r="A374">
            <v>7088630</v>
          </cell>
          <cell r="B374" t="str">
            <v>Патрон ключевой №10 Атака 1,5-10мм 1/2"-20UNF в кор.(1шт.)</v>
          </cell>
          <cell r="C374" t="str">
            <v>шт</v>
          </cell>
          <cell r="D374">
            <v>5</v>
          </cell>
          <cell r="E374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№10 1,5-10мм 1/2" с ключом стандарт Атака
Тип посадки: 1/2" - 20 UNF
Диаметр сверл: 1,5 - 10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74">
            <v>206</v>
          </cell>
          <cell r="G374">
            <v>275</v>
          </cell>
          <cell r="H374" t="str">
            <v>-</v>
          </cell>
          <cell r="I374">
            <v>206</v>
          </cell>
          <cell r="J374">
            <v>0</v>
          </cell>
          <cell r="K374">
            <v>0</v>
          </cell>
        </row>
        <row r="375">
          <cell r="A375">
            <v>7088640</v>
          </cell>
          <cell r="B375" t="str">
            <v>Патрон ключевой №8 Атака 1,5-10мм конус В12 в кор.(1шт.)</v>
          </cell>
          <cell r="C375" t="str">
            <v>шт</v>
          </cell>
          <cell r="D375">
            <v>5</v>
          </cell>
          <cell r="E375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№8 1,5-10мм B12 с ключом стандарт Атака
Тип посадки: B12 конус
Диаметр сверл: 1,5 - 10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75">
            <v>212</v>
          </cell>
          <cell r="G375">
            <v>281</v>
          </cell>
          <cell r="H375" t="str">
            <v>-</v>
          </cell>
          <cell r="I375">
            <v>212</v>
          </cell>
          <cell r="J375">
            <v>0</v>
          </cell>
          <cell r="K375">
            <v>0</v>
          </cell>
        </row>
        <row r="376">
          <cell r="A376">
            <v>7088650</v>
          </cell>
          <cell r="B376" t="str">
            <v>Патрон ключевой №1 Атака 1,5-13мм 1/2"-20UNF в кор.(1шт.)</v>
          </cell>
          <cell r="C376" t="str">
            <v>шт</v>
          </cell>
          <cell r="D376">
            <v>5</v>
          </cell>
          <cell r="E376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 1,5-13мм 1/2" с ключом стандарт Атака
Тип посадки: 1/2" - 20 UNF
Диаметр сверл: 1,5 - 13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76">
            <v>254</v>
          </cell>
          <cell r="G376">
            <v>339</v>
          </cell>
          <cell r="H376" t="str">
            <v>-</v>
          </cell>
          <cell r="I376">
            <v>254</v>
          </cell>
          <cell r="J376">
            <v>0</v>
          </cell>
          <cell r="K376">
            <v>0</v>
          </cell>
        </row>
        <row r="377">
          <cell r="A377">
            <v>7088660</v>
          </cell>
          <cell r="B377" t="str">
            <v>Патрон ключевой №3 Атака 1,5-13мм М12х1,25 в кор.(1шт.)</v>
          </cell>
          <cell r="C377" t="str">
            <v>шт</v>
          </cell>
          <cell r="D377">
            <v>5</v>
          </cell>
          <cell r="E377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№3 1,5-13мм M12 с ключом стандарт Атака
Тип посадки: М12 х 1,25
Диаметр сверл: 1,5 - 13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77">
            <v>252</v>
          </cell>
          <cell r="G377">
            <v>338</v>
          </cell>
          <cell r="H377" t="str">
            <v>-</v>
          </cell>
          <cell r="I377">
            <v>252</v>
          </cell>
          <cell r="J377">
            <v>0</v>
          </cell>
          <cell r="K377">
            <v>0</v>
          </cell>
        </row>
        <row r="378">
          <cell r="A378">
            <v>7088670</v>
          </cell>
          <cell r="B378" t="str">
            <v>Патрон ключевой №7 Атака 3-16мм конус В16 в кор.(1шт.)</v>
          </cell>
          <cell r="C378" t="str">
            <v>шт</v>
          </cell>
          <cell r="D378">
            <v>5</v>
          </cell>
          <cell r="E378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№7 3-16мм B16 с ключом стандарт Атака
Тип посадки: B16 конус
Диаметр сверл: 3 - 16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78">
            <v>531</v>
          </cell>
          <cell r="G378">
            <v>704</v>
          </cell>
          <cell r="H378" t="str">
            <v>+</v>
          </cell>
          <cell r="I378">
            <v>531</v>
          </cell>
          <cell r="J378">
            <v>0</v>
          </cell>
          <cell r="K378">
            <v>0</v>
          </cell>
        </row>
        <row r="379">
          <cell r="A379">
            <v>7088680</v>
          </cell>
          <cell r="B379" t="str">
            <v>Патрон ключевой №5 Атака 3-16мм конус В18 в кор.(1шт.)</v>
          </cell>
          <cell r="C379" t="str">
            <v>шт</v>
          </cell>
          <cell r="D379">
            <v>5</v>
          </cell>
          <cell r="E379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№5 3-16мм B18 с ключом стандарт Атака
Тип посадки: B18 конус
Диаметр сверл: 3 - 16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79">
            <v>531</v>
          </cell>
          <cell r="G379">
            <v>704</v>
          </cell>
          <cell r="H379" t="str">
            <v>+</v>
          </cell>
          <cell r="I379">
            <v>531</v>
          </cell>
          <cell r="J379">
            <v>0</v>
          </cell>
          <cell r="K379">
            <v>0</v>
          </cell>
        </row>
        <row r="380">
          <cell r="A380">
            <v>7088690</v>
          </cell>
          <cell r="B380" t="str">
            <v>Патрон быстрозажимной №9 Атака 0,8-10мм 1/2"-20UNF в кор.(1шт.)</v>
          </cell>
          <cell r="C380" t="str">
            <v>шт</v>
          </cell>
          <cell r="D380">
            <v>5</v>
          </cell>
          <cell r="E380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№9 0,8-10мм 1/2" БЗП стандарт Атака
Быстрозажимной патрон
Тип посадки: 1/2" - 20 UNF
Диаметр сверл: 0,8 - 10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v>
          </cell>
          <cell r="F380">
            <v>275</v>
          </cell>
          <cell r="G380">
            <v>362</v>
          </cell>
          <cell r="H380" t="str">
            <v>-</v>
          </cell>
          <cell r="I380">
            <v>275</v>
          </cell>
          <cell r="J380">
            <v>0</v>
          </cell>
          <cell r="K380">
            <v>0</v>
          </cell>
        </row>
        <row r="381">
          <cell r="A381">
            <v>7088700</v>
          </cell>
          <cell r="B381" t="str">
            <v>Патрон быстрозажимной №2 Атака 2-13мм 1/2"-20UNF в кор.(1шт.)</v>
          </cell>
          <cell r="C381" t="str">
            <v>шт</v>
          </cell>
          <cell r="D381">
            <v>5</v>
          </cell>
          <cell r="E381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 2-13мм 1/2" БЗП стандарт Атака
Быстрозажимной патрон
Тип посадки: 1/2" - 20 UNF
Диаметр сверл: 2 - 13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v>
          </cell>
          <cell r="F381">
            <v>296</v>
          </cell>
          <cell r="G381">
            <v>393</v>
          </cell>
          <cell r="H381" t="str">
            <v>-</v>
          </cell>
          <cell r="I381">
            <v>296</v>
          </cell>
          <cell r="J381">
            <v>0</v>
          </cell>
          <cell r="K381">
            <v>0</v>
          </cell>
        </row>
        <row r="382">
          <cell r="A382">
            <v>7088710</v>
          </cell>
          <cell r="B382" t="str">
            <v>Патрон быстрозажимной №4 Атака 2-13мм М12х1,25 в кор.(1шт.)</v>
          </cell>
          <cell r="C382" t="str">
            <v>шт</v>
          </cell>
          <cell r="D382">
            <v>5</v>
          </cell>
          <cell r="E382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№4 2-13мм M12 БЗП стандарт Атака
Быстрозажимной патрон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v>
          </cell>
          <cell r="F382">
            <v>365</v>
          </cell>
          <cell r="G382">
            <v>482</v>
          </cell>
          <cell r="H382" t="str">
            <v>-</v>
          </cell>
          <cell r="I382">
            <v>365</v>
          </cell>
          <cell r="J382">
            <v>0</v>
          </cell>
          <cell r="K382">
            <v>0</v>
          </cell>
        </row>
        <row r="383">
          <cell r="A383">
            <v>8080350</v>
          </cell>
          <cell r="B383" t="str">
            <v>Патрон №26 1-10мм 1/2" БЗП станочный Профи Атака</v>
          </cell>
          <cell r="C383" t="str">
            <v>шт</v>
          </cell>
          <cell r="D383">
            <v>1</v>
          </cell>
          <cell r="E383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№26 1-10мм 1/2" БЗП станочный профи Атака
Быстрозажимной патрон
Тип посадки: 1/2" - 20 UNF
Диаметр сверл: 1 - 10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Имеет более прочный материал для зажимных губок и повышенный ресурс.</v>
          </cell>
          <cell r="F383">
            <v>1522</v>
          </cell>
          <cell r="G383">
            <v>2024</v>
          </cell>
          <cell r="H383" t="str">
            <v>-</v>
          </cell>
          <cell r="I383">
            <v>1522</v>
          </cell>
          <cell r="J383">
            <v>0</v>
          </cell>
          <cell r="K383">
            <v>0</v>
          </cell>
        </row>
        <row r="384">
          <cell r="A384">
            <v>8080360</v>
          </cell>
          <cell r="B384" t="str">
            <v>Патрон №25 1-10мм 3/8" БЗП станочный Профи Атака</v>
          </cell>
          <cell r="C384" t="str">
            <v>шт</v>
          </cell>
          <cell r="D384">
            <v>1</v>
          </cell>
          <cell r="E384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№25 1-10мм 3/8" БЗП станочный профи Атака
Быстрозажимной патрон
Тип посадки: 3/8" - 24 UNF
Диаметр сверл: 1 - 10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Имеет более прочный материал для зажимных губок и повышенный ресурс.</v>
          </cell>
          <cell r="F384">
            <v>1522</v>
          </cell>
          <cell r="G384">
            <v>2024</v>
          </cell>
          <cell r="H384" t="str">
            <v>-</v>
          </cell>
          <cell r="I384">
            <v>1522</v>
          </cell>
          <cell r="J384">
            <v>0</v>
          </cell>
          <cell r="K384">
            <v>0</v>
          </cell>
        </row>
        <row r="385">
          <cell r="A385">
            <v>8080370</v>
          </cell>
          <cell r="B385" t="str">
            <v>Патрон №24 1-10мм M12 БЗП станочный Профи Атака</v>
          </cell>
          <cell r="C385" t="str">
            <v>шт</v>
          </cell>
          <cell r="D385">
            <v>1</v>
          </cell>
          <cell r="E385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№24 1-10мм M12 БЗП станочный профи Атака
Быстрозажимной патрон
Тип посадки: М12 х 1,25
Диаметр сверл: 1 - 10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85">
            <v>1522</v>
          </cell>
          <cell r="G385">
            <v>2024</v>
          </cell>
          <cell r="H385" t="str">
            <v>-</v>
          </cell>
          <cell r="I385">
            <v>1522</v>
          </cell>
          <cell r="J385">
            <v>0</v>
          </cell>
          <cell r="K385">
            <v>0</v>
          </cell>
        </row>
        <row r="386">
          <cell r="A386">
            <v>8080380</v>
          </cell>
          <cell r="B386" t="str">
            <v>Патрон №23 1-13мм 1/2" БЗП станочный Профи Атака</v>
          </cell>
          <cell r="C386" t="str">
            <v>шт</v>
          </cell>
          <cell r="D386">
            <v>1</v>
          </cell>
          <cell r="E386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№23 1-13мм 1/2" БЗП станочный профи Атака
Быстрозажимной патрон
Тип посадки: 1/2" - 20 UNF
Диаметр сверл: 1 - 13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86">
            <v>1703</v>
          </cell>
          <cell r="G386">
            <v>2263</v>
          </cell>
          <cell r="H386" t="str">
            <v>-</v>
          </cell>
          <cell r="I386">
            <v>1703</v>
          </cell>
          <cell r="J386">
            <v>0</v>
          </cell>
          <cell r="K386">
            <v>0</v>
          </cell>
        </row>
        <row r="387">
          <cell r="A387">
            <v>8080390</v>
          </cell>
          <cell r="B387" t="str">
            <v>Патрон №22 1-13мм 3/8" БЗП станочный Профи Атака</v>
          </cell>
          <cell r="C387" t="str">
            <v>шт</v>
          </cell>
          <cell r="D387">
            <v>1</v>
          </cell>
          <cell r="E387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№22 1-13мм 3/8" БЗП станочный профи Атака
Быстрозажимной патрон
Тип посадки: 3/8" - 24 UNF
Диаметр сверл: 1 - 13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87">
            <v>1706</v>
          </cell>
          <cell r="G387">
            <v>2268</v>
          </cell>
          <cell r="H387" t="str">
            <v>-</v>
          </cell>
          <cell r="I387">
            <v>1706</v>
          </cell>
          <cell r="J387">
            <v>0</v>
          </cell>
          <cell r="K387">
            <v>0</v>
          </cell>
        </row>
        <row r="388">
          <cell r="A388">
            <v>8080400</v>
          </cell>
          <cell r="B388" t="str">
            <v>Патрон №21 1-13мм M12 БЗП станочный Профи Атака</v>
          </cell>
          <cell r="C388" t="str">
            <v>шт</v>
          </cell>
          <cell r="D388">
            <v>1</v>
          </cell>
          <cell r="E388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№21 1-13мм M12 БЗП станочный профи Атака
Быстрозажимной патрон
Тип посадки: М12 х 1,25
Диаметр сверл: 1 - 13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88">
            <v>1706</v>
          </cell>
          <cell r="G388">
            <v>2268</v>
          </cell>
          <cell r="H388" t="str">
            <v>-</v>
          </cell>
          <cell r="I388">
            <v>1706</v>
          </cell>
          <cell r="J388">
            <v>0</v>
          </cell>
          <cell r="K388">
            <v>0</v>
          </cell>
        </row>
        <row r="389">
          <cell r="A389">
            <v>8080410</v>
          </cell>
          <cell r="B389" t="str">
            <v>Патрон ключевой станочный №20 Атака 1-10мм конус B12 в кор.(1шт.)</v>
          </cell>
          <cell r="C389" t="str">
            <v>шт</v>
          </cell>
          <cell r="D389">
            <v>1</v>
          </cell>
          <cell r="E389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№20 1-10мм B12 с ключом станочный профи Атака
Тип посадки: B12 конус
Диаметр сверл: 1,5 - 10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89">
            <v>641</v>
          </cell>
          <cell r="G389">
            <v>852</v>
          </cell>
          <cell r="H389" t="str">
            <v>-</v>
          </cell>
          <cell r="I389">
            <v>641</v>
          </cell>
          <cell r="J389">
            <v>0</v>
          </cell>
          <cell r="K389">
            <v>0</v>
          </cell>
        </row>
        <row r="390">
          <cell r="A390">
            <v>8080420</v>
          </cell>
          <cell r="B390" t="str">
            <v>Патрон ключевой станочный №19 Атака 1-13мм конус B16 в кор.(1шт.)</v>
          </cell>
          <cell r="C390" t="str">
            <v>шт</v>
          </cell>
          <cell r="D390">
            <v>1</v>
          </cell>
          <cell r="E390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№19 1-13мм B16  с ключом станочный профи Атака
Тип посадки: B12 конус
Диаметр сверл: 1 - 13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90">
            <v>733</v>
          </cell>
          <cell r="G390">
            <v>970</v>
          </cell>
          <cell r="H390" t="str">
            <v>-</v>
          </cell>
          <cell r="I390">
            <v>733</v>
          </cell>
          <cell r="J390">
            <v>0</v>
          </cell>
          <cell r="K390">
            <v>0</v>
          </cell>
        </row>
        <row r="391">
          <cell r="A391">
            <v>8080430</v>
          </cell>
          <cell r="B391" t="str">
            <v>Патрон ключевой станочный №18 Атака 1-16мм конус B16 в кор.(1шт.)</v>
          </cell>
          <cell r="C391" t="str">
            <v>шт</v>
          </cell>
          <cell r="D391">
            <v>1</v>
          </cell>
          <cell r="E391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№18 1-16мм B16 с ключом станочный профи Атака
Тип посадки: B16 конус
Диаметр сверл: 1 - 16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91">
            <v>806</v>
          </cell>
          <cell r="G391">
            <v>1069</v>
          </cell>
          <cell r="H391" t="str">
            <v>-</v>
          </cell>
          <cell r="I391">
            <v>806</v>
          </cell>
          <cell r="J391">
            <v>0</v>
          </cell>
          <cell r="K391">
            <v>0</v>
          </cell>
        </row>
        <row r="392">
          <cell r="A392">
            <v>8080440</v>
          </cell>
          <cell r="B392" t="str">
            <v>Патрон ключевой станочный №17 Атака 1-16мм конус B18 в кор.(1шт.)</v>
          </cell>
          <cell r="C392" t="str">
            <v>шт</v>
          </cell>
          <cell r="D392">
            <v>1</v>
          </cell>
          <cell r="E392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№17 1-16мм B18 с ключом станочный профи Атака
Тип посадки: B18 конус
Диаметр сверл: 1 - 16 мм
Патрон затягивается ключом, который обеспечивает большее усилие затяжки. Предназначен  для специального использования в стационарных сверлильных станках. 
Имеет более прочный материал для зажимных губок и повышенный ресурс.</v>
          </cell>
          <cell r="F392">
            <v>1011</v>
          </cell>
          <cell r="G392">
            <v>1342</v>
          </cell>
          <cell r="H392" t="str">
            <v>-</v>
          </cell>
          <cell r="I392">
            <v>1011</v>
          </cell>
          <cell r="J392">
            <v>0</v>
          </cell>
          <cell r="K392">
            <v>0</v>
          </cell>
        </row>
        <row r="393">
          <cell r="A393">
            <v>8080450</v>
          </cell>
          <cell r="B393" t="str">
            <v>Патрон ключевой №15 Атака 1,5-10мм 3/8"-24UNF в кор.(1шт.)</v>
          </cell>
          <cell r="C393" t="str">
            <v>шт</v>
          </cell>
          <cell r="D393">
            <v>5</v>
          </cell>
          <cell r="E393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№15 1,5-10мм 3/8" с ключом стандарт Атака
Тип посадки: 3/8" - 24 UNF
Диаметр сверл: 1,5 - 10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93">
            <v>224</v>
          </cell>
          <cell r="G393">
            <v>298</v>
          </cell>
          <cell r="H393" t="str">
            <v>-</v>
          </cell>
          <cell r="I393">
            <v>224</v>
          </cell>
          <cell r="J393">
            <v>0</v>
          </cell>
          <cell r="K393">
            <v>0</v>
          </cell>
        </row>
        <row r="394">
          <cell r="A394">
            <v>8080460</v>
          </cell>
          <cell r="B394" t="str">
            <v>Патрон ключевой №14 Атака 1,5-10мм М12х1,25 в кор.(1шт.)</v>
          </cell>
          <cell r="C394" t="str">
            <v>шт</v>
          </cell>
          <cell r="D394">
            <v>5</v>
          </cell>
          <cell r="E394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№14 1,5-10мм M12 с ключом стандарт Атака
Тип посадки: М12 х 1,25
Диаметр сверл: 1,5 - 10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94">
            <v>210</v>
          </cell>
          <cell r="G394">
            <v>278</v>
          </cell>
          <cell r="H394" t="str">
            <v>+</v>
          </cell>
          <cell r="I394">
            <v>210</v>
          </cell>
          <cell r="J394">
            <v>0</v>
          </cell>
          <cell r="K394">
            <v>0</v>
          </cell>
        </row>
        <row r="395">
          <cell r="A395">
            <v>8080470</v>
          </cell>
          <cell r="B395" t="str">
            <v>Патрон ключевой №12 Атака 1,5-13мм 3/8"-24UNF в кор.(1шт.)</v>
          </cell>
          <cell r="C395" t="str">
            <v>шт</v>
          </cell>
          <cell r="D395">
            <v>5</v>
          </cell>
          <cell r="E395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№12 1,5-13мм 3/8" с ключом стандарт Атака
Тип посадки: 3/8" - 24 UNF
Диаметр сверл: 1,5 - 13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95">
            <v>269</v>
          </cell>
          <cell r="G395">
            <v>357</v>
          </cell>
          <cell r="H395" t="str">
            <v>-</v>
          </cell>
          <cell r="I395">
            <v>269</v>
          </cell>
          <cell r="J395">
            <v>0</v>
          </cell>
          <cell r="K395">
            <v>0</v>
          </cell>
        </row>
        <row r="396">
          <cell r="A396">
            <v>8080480</v>
          </cell>
          <cell r="B396" t="str">
            <v>Патрон ключевой №6 Атака 1,5-13мм конус В12 кор.(1шт.)</v>
          </cell>
          <cell r="C396" t="str">
            <v>шт</v>
          </cell>
          <cell r="D396">
            <v>5</v>
          </cell>
          <cell r="E396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№6 1,5-13мм B12 с ключом стандарт Атака
Тип посадки: В122 конус
Диаметр сверл: 1,5 - 13 мм
Патрон затягивается ключом, который обеспечивает большее усилие затяжки.
Подходит для дрелей,  а также для сверлильных станков</v>
          </cell>
          <cell r="F396">
            <v>266</v>
          </cell>
          <cell r="G396">
            <v>353</v>
          </cell>
          <cell r="H396" t="str">
            <v>-</v>
          </cell>
          <cell r="I396">
            <v>266</v>
          </cell>
          <cell r="J396">
            <v>0</v>
          </cell>
          <cell r="K396">
            <v>0</v>
          </cell>
        </row>
        <row r="397">
          <cell r="A397">
            <v>8080490</v>
          </cell>
          <cell r="B397" t="str">
            <v>Патрон быстрозажимной №13 Атака 0,8-10мм 3/8"-24UNF в кор.(1шт.)</v>
          </cell>
          <cell r="C397" t="str">
            <v>шт</v>
          </cell>
          <cell r="D397">
            <v>5</v>
          </cell>
          <cell r="E397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№13 0,8-10мм 3/8" БЗП стандарт Атака
Быстрозажимной патрон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v>
          </cell>
          <cell r="F397">
            <v>275</v>
          </cell>
          <cell r="G397">
            <v>362</v>
          </cell>
          <cell r="H397" t="str">
            <v>-</v>
          </cell>
          <cell r="I397">
            <v>275</v>
          </cell>
          <cell r="J397">
            <v>0</v>
          </cell>
          <cell r="K397">
            <v>0</v>
          </cell>
        </row>
        <row r="398">
          <cell r="A398">
            <v>8080500</v>
          </cell>
          <cell r="B398" t="str">
            <v>Патрон быстрозажимной №16 Атака 0,8-10мм М12х1,25 в кор.(1шт.)</v>
          </cell>
          <cell r="C398" t="str">
            <v>шт</v>
          </cell>
          <cell r="D398">
            <v>5</v>
          </cell>
          <cell r="E398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№16 0,8-10мм M12 БЗП стандарт Атака
Быстрозажимной патрон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v>
          </cell>
          <cell r="F398">
            <v>275</v>
          </cell>
          <cell r="G398">
            <v>362</v>
          </cell>
          <cell r="H398" t="str">
            <v>-</v>
          </cell>
          <cell r="I398">
            <v>275</v>
          </cell>
          <cell r="J398">
            <v>0</v>
          </cell>
          <cell r="K398">
            <v>0</v>
          </cell>
        </row>
        <row r="399">
          <cell r="A399">
            <v>8080510</v>
          </cell>
          <cell r="B399" t="str">
            <v>Патрон быстрозажимной №11 Атака 2-13мм 3/8"-24UNF в кор.(1шт.)</v>
          </cell>
          <cell r="C399" t="str">
            <v>шт</v>
          </cell>
          <cell r="D399">
            <v>5</v>
          </cell>
          <cell r="E399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Патрон №11 2-13мм 3/8" БЗП стандарт Атака
Быстрозажимной патрон
Тип посадки: 3/8" - 24 UNF
Диаметр сверл: 2 - 13 мм
Для затяжки и ослабления используется металлическая гильза с накаткой (рифлением) или оребрённая пластмассовая гильза. Гильзу вращают рукой без применения инструмента, при этом необходимо удерживать от вращения корпус патрона. 
Подходит для электродрелей всех видов</v>
          </cell>
          <cell r="F399">
            <v>296</v>
          </cell>
          <cell r="G399">
            <v>393</v>
          </cell>
          <cell r="H399" t="str">
            <v>+</v>
          </cell>
          <cell r="I399">
            <v>296</v>
          </cell>
          <cell r="J399">
            <v>0</v>
          </cell>
          <cell r="K399">
            <v>0</v>
          </cell>
        </row>
        <row r="400">
          <cell r="A400">
            <v>8080520</v>
          </cell>
          <cell r="B400" t="str">
            <v>Ключ для патрона 10мм Стандарт Атака</v>
          </cell>
          <cell r="C400" t="str">
            <v>шт</v>
          </cell>
          <cell r="D400">
            <v>1</v>
          </cell>
          <cell r="E400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Ключ для патрона 10мм стандарт Атака
Поставляется в прорезиненой оболочке красного цвета. 
Предназначен для зажима инструмента в патронах кулочкового типа.
Поставляется в блистере. </v>
          </cell>
          <cell r="F400">
            <v>69</v>
          </cell>
          <cell r="G400">
            <v>91</v>
          </cell>
          <cell r="H400" t="str">
            <v>-</v>
          </cell>
          <cell r="I400">
            <v>69</v>
          </cell>
          <cell r="J400">
            <v>0</v>
          </cell>
          <cell r="K400">
            <v>0</v>
          </cell>
        </row>
        <row r="401">
          <cell r="A401">
            <v>8080530</v>
          </cell>
          <cell r="B401" t="str">
            <v>Ключ для патрона 13мм Стандарт Атака</v>
          </cell>
          <cell r="C401" t="str">
            <v>шт</v>
          </cell>
          <cell r="D401">
            <v>1</v>
          </cell>
          <cell r="E401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Ключ для патрона 13мм стандарт Атака
Поставляется в прорезиненой оболочке красного цвета. 
Предназначен для зажима инструмента в патронах кулочкового типа.
Поставляется в блистере. </v>
          </cell>
          <cell r="F401">
            <v>78</v>
          </cell>
          <cell r="G401">
            <v>103</v>
          </cell>
          <cell r="H401" t="str">
            <v>+</v>
          </cell>
          <cell r="I401">
            <v>78</v>
          </cell>
          <cell r="J401">
            <v>0</v>
          </cell>
          <cell r="K401">
            <v>0</v>
          </cell>
        </row>
        <row r="402">
          <cell r="A402">
            <v>8080540</v>
          </cell>
          <cell r="B402" t="str">
            <v>Ключ для патрона 16мм Стандарт Атака</v>
          </cell>
          <cell r="C402" t="str">
            <v>шт</v>
          </cell>
          <cell r="D402">
            <v>1</v>
          </cell>
          <cell r="E402" t="str">
            <v>Патроны для дрелей и сверлильных станков являются важным расходным инструментом. Наибольшее применение они находят в производственных предприятиях, однако достаточно популярны и в быту. 
Патроны Атака подходят для любых дрелей и станков. Их отличает повышенный ресурс работы, надежность крепления сверл и минимальный уровень децентровки.
Ключ для патрона 16мм стандарт Атака
Поставляется в прорезиненой оболочке красного цвета. 
Предназначен для зажима инструмента в патронах кулочкового типа.
Поставляется в блистере. </v>
          </cell>
          <cell r="F402">
            <v>97</v>
          </cell>
          <cell r="G402">
            <v>130</v>
          </cell>
          <cell r="H402" t="str">
            <v>+</v>
          </cell>
          <cell r="I402">
            <v>97</v>
          </cell>
          <cell r="J402">
            <v>0</v>
          </cell>
          <cell r="K402">
            <v>0</v>
          </cell>
        </row>
        <row r="403">
          <cell r="A403" t="str">
            <v>Свёрла</v>
          </cell>
        </row>
        <row r="404">
          <cell r="A404">
            <v>7088990</v>
          </cell>
          <cell r="B404" t="str">
            <v>Сверло п/мет 0,8мм титан 20шт бокс Профи Атака</v>
          </cell>
          <cell r="C404" t="str">
            <v>упак</v>
          </cell>
          <cell r="D404">
            <v>1</v>
          </cell>
          <cell r="E40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D=0,8мм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04">
            <v>272</v>
          </cell>
          <cell r="G404">
            <v>362</v>
          </cell>
          <cell r="H404" t="str">
            <v>+</v>
          </cell>
          <cell r="I404">
            <v>272</v>
          </cell>
          <cell r="J404">
            <v>0</v>
          </cell>
          <cell r="K404">
            <v>0</v>
          </cell>
        </row>
        <row r="405">
          <cell r="A405">
            <v>7089000</v>
          </cell>
          <cell r="B405" t="str">
            <v>Сверло п/мет 0,9мм титан 20шт бокс Профи Атака</v>
          </cell>
          <cell r="C405" t="str">
            <v>упак</v>
          </cell>
          <cell r="D405">
            <v>1</v>
          </cell>
          <cell r="E40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D=0,9мм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05">
            <v>272</v>
          </cell>
          <cell r="G405">
            <v>362</v>
          </cell>
          <cell r="H405" t="str">
            <v>+</v>
          </cell>
          <cell r="I405">
            <v>272</v>
          </cell>
          <cell r="J405">
            <v>0</v>
          </cell>
          <cell r="K405">
            <v>0</v>
          </cell>
        </row>
        <row r="406">
          <cell r="A406">
            <v>7089010</v>
          </cell>
          <cell r="B406" t="str">
            <v>Сверло п/мет 1мм титан 20шт бокс Профи Атака</v>
          </cell>
          <cell r="C406" t="str">
            <v>упак</v>
          </cell>
          <cell r="D406">
            <v>1</v>
          </cell>
          <cell r="E40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06">
            <v>272</v>
          </cell>
          <cell r="G406">
            <v>362</v>
          </cell>
          <cell r="H406" t="str">
            <v>+</v>
          </cell>
          <cell r="I406">
            <v>272</v>
          </cell>
          <cell r="J406">
            <v>0</v>
          </cell>
          <cell r="K406">
            <v>0</v>
          </cell>
        </row>
        <row r="407">
          <cell r="A407">
            <v>7089020</v>
          </cell>
          <cell r="B407" t="str">
            <v>Сверло п/мет 1,1мм титан 20шт бокс Профи Атака</v>
          </cell>
          <cell r="C407" t="str">
            <v>упак</v>
          </cell>
          <cell r="D407">
            <v>1</v>
          </cell>
          <cell r="E40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07">
            <v>289</v>
          </cell>
          <cell r="G407">
            <v>387</v>
          </cell>
          <cell r="H407" t="str">
            <v>+</v>
          </cell>
          <cell r="I407">
            <v>289</v>
          </cell>
          <cell r="J407">
            <v>0</v>
          </cell>
          <cell r="K407">
            <v>0</v>
          </cell>
        </row>
        <row r="408">
          <cell r="A408">
            <v>7089060</v>
          </cell>
          <cell r="B408" t="str">
            <v>Сверло п/мет 1,2мм титан 20шт бокс Профи Атака</v>
          </cell>
          <cell r="C408" t="str">
            <v>упак</v>
          </cell>
          <cell r="D408">
            <v>1</v>
          </cell>
          <cell r="E40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08">
            <v>289</v>
          </cell>
          <cell r="G408">
            <v>387</v>
          </cell>
          <cell r="H408" t="str">
            <v>+</v>
          </cell>
          <cell r="I408">
            <v>289</v>
          </cell>
          <cell r="J408">
            <v>0</v>
          </cell>
          <cell r="K408">
            <v>0</v>
          </cell>
        </row>
        <row r="409">
          <cell r="A409">
            <v>7089070</v>
          </cell>
          <cell r="B409" t="str">
            <v>Сверло п/мет 1,3мм титан 20шт бокс Профи Атака</v>
          </cell>
          <cell r="C409" t="str">
            <v>упак</v>
          </cell>
          <cell r="D409">
            <v>1</v>
          </cell>
          <cell r="E40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09">
            <v>289</v>
          </cell>
          <cell r="G409">
            <v>387</v>
          </cell>
          <cell r="H409" t="str">
            <v>+</v>
          </cell>
          <cell r="I409">
            <v>289</v>
          </cell>
          <cell r="J409">
            <v>0</v>
          </cell>
          <cell r="K409">
            <v>0</v>
          </cell>
        </row>
        <row r="410">
          <cell r="A410">
            <v>7089080</v>
          </cell>
          <cell r="B410" t="str">
            <v>Сверло п/мет 1,4мм титан 20шт бокс Профи Атака</v>
          </cell>
          <cell r="C410" t="str">
            <v>упак</v>
          </cell>
          <cell r="D410">
            <v>1</v>
          </cell>
          <cell r="E41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0">
            <v>289</v>
          </cell>
          <cell r="G410">
            <v>387</v>
          </cell>
          <cell r="H410" t="str">
            <v>+</v>
          </cell>
          <cell r="I410">
            <v>289</v>
          </cell>
          <cell r="J410">
            <v>0</v>
          </cell>
          <cell r="K410">
            <v>0</v>
          </cell>
        </row>
        <row r="411">
          <cell r="A411">
            <v>7089090</v>
          </cell>
          <cell r="B411" t="str">
            <v>Сверло п/мет 1,5мм титан 20шт бокс Профи Атака</v>
          </cell>
          <cell r="C411" t="str">
            <v>упак</v>
          </cell>
          <cell r="D411">
            <v>1</v>
          </cell>
          <cell r="E41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1">
            <v>289</v>
          </cell>
          <cell r="G411">
            <v>387</v>
          </cell>
          <cell r="H411" t="str">
            <v>+</v>
          </cell>
          <cell r="I411">
            <v>289</v>
          </cell>
          <cell r="J411">
            <v>0</v>
          </cell>
          <cell r="K411">
            <v>0</v>
          </cell>
        </row>
        <row r="412">
          <cell r="A412">
            <v>7089100</v>
          </cell>
          <cell r="B412" t="str">
            <v>Сверло п/мет 1,6мм титан 20шт бокс Профи Атака</v>
          </cell>
          <cell r="C412" t="str">
            <v>упак</v>
          </cell>
          <cell r="D412">
            <v>1</v>
          </cell>
          <cell r="E41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2">
            <v>384</v>
          </cell>
          <cell r="G412">
            <v>506</v>
          </cell>
          <cell r="H412" t="str">
            <v>+</v>
          </cell>
          <cell r="I412">
            <v>384</v>
          </cell>
          <cell r="J412">
            <v>0</v>
          </cell>
          <cell r="K412">
            <v>0</v>
          </cell>
        </row>
        <row r="413">
          <cell r="A413">
            <v>7089110</v>
          </cell>
          <cell r="B413" t="str">
            <v>Сверло п/мет 1,7мм титан 20шт бокс Профи Атака</v>
          </cell>
          <cell r="C413" t="str">
            <v>упак</v>
          </cell>
          <cell r="D413">
            <v>1</v>
          </cell>
          <cell r="E41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3">
            <v>384</v>
          </cell>
          <cell r="G413">
            <v>506</v>
          </cell>
          <cell r="H413" t="str">
            <v>+</v>
          </cell>
          <cell r="I413">
            <v>384</v>
          </cell>
          <cell r="J413">
            <v>0</v>
          </cell>
          <cell r="K413">
            <v>0</v>
          </cell>
        </row>
        <row r="414">
          <cell r="A414">
            <v>7089120</v>
          </cell>
          <cell r="B414" t="str">
            <v>Сверло п/мет 1,8мм титан 20шт бокс Профи Атака</v>
          </cell>
          <cell r="C414" t="str">
            <v>упак</v>
          </cell>
          <cell r="D414">
            <v>1</v>
          </cell>
          <cell r="E41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4">
            <v>384</v>
          </cell>
          <cell r="G414">
            <v>506</v>
          </cell>
          <cell r="H414" t="str">
            <v>+</v>
          </cell>
          <cell r="I414">
            <v>384</v>
          </cell>
          <cell r="J414">
            <v>0</v>
          </cell>
          <cell r="K414">
            <v>0</v>
          </cell>
        </row>
        <row r="415">
          <cell r="A415">
            <v>7089130</v>
          </cell>
          <cell r="B415" t="str">
            <v>Сверло п/мет 1,9мм титан 20шт бокс Профи Атака</v>
          </cell>
          <cell r="C415" t="str">
            <v>упак</v>
          </cell>
          <cell r="D415">
            <v>1</v>
          </cell>
          <cell r="E41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5">
            <v>384</v>
          </cell>
          <cell r="G415">
            <v>506</v>
          </cell>
          <cell r="H415" t="str">
            <v>+</v>
          </cell>
          <cell r="I415">
            <v>384</v>
          </cell>
          <cell r="J415">
            <v>0</v>
          </cell>
          <cell r="K415">
            <v>0</v>
          </cell>
        </row>
        <row r="416">
          <cell r="A416">
            <v>7089140</v>
          </cell>
          <cell r="B416" t="str">
            <v>Сверло п/мет 2мм титан 20шт бокс Профи Атака</v>
          </cell>
          <cell r="C416" t="str">
            <v>упак</v>
          </cell>
          <cell r="D416">
            <v>1</v>
          </cell>
          <cell r="E41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6">
            <v>384</v>
          </cell>
          <cell r="G416">
            <v>506</v>
          </cell>
          <cell r="H416" t="str">
            <v>+</v>
          </cell>
          <cell r="I416">
            <v>384</v>
          </cell>
          <cell r="J416">
            <v>0</v>
          </cell>
          <cell r="K416">
            <v>0</v>
          </cell>
        </row>
        <row r="417">
          <cell r="A417">
            <v>7089150</v>
          </cell>
          <cell r="B417" t="str">
            <v>Сверло п/мет 2,1мм титан 20шт бокс Профи Атака</v>
          </cell>
          <cell r="C417" t="str">
            <v>упак</v>
          </cell>
          <cell r="D417">
            <v>1</v>
          </cell>
          <cell r="E41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7">
            <v>501</v>
          </cell>
          <cell r="G417">
            <v>663</v>
          </cell>
          <cell r="H417" t="str">
            <v>+</v>
          </cell>
          <cell r="I417">
            <v>501</v>
          </cell>
          <cell r="J417">
            <v>0</v>
          </cell>
          <cell r="K417">
            <v>0</v>
          </cell>
        </row>
        <row r="418">
          <cell r="A418">
            <v>7089160</v>
          </cell>
          <cell r="B418" t="str">
            <v>Сверло п/мет 2,2мм титан 20шт бокс Профи Атака</v>
          </cell>
          <cell r="C418" t="str">
            <v>упак</v>
          </cell>
          <cell r="D418">
            <v>1</v>
          </cell>
          <cell r="E41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8">
            <v>501</v>
          </cell>
          <cell r="G418">
            <v>663</v>
          </cell>
          <cell r="H418" t="str">
            <v>+</v>
          </cell>
          <cell r="I418">
            <v>501</v>
          </cell>
          <cell r="J418">
            <v>0</v>
          </cell>
          <cell r="K418">
            <v>0</v>
          </cell>
        </row>
        <row r="419">
          <cell r="A419">
            <v>7089170</v>
          </cell>
          <cell r="B419" t="str">
            <v>Сверло п/мет 2,3мм титан 20шт бокс Профи Атака</v>
          </cell>
          <cell r="C419" t="str">
            <v>упак</v>
          </cell>
          <cell r="D419">
            <v>1</v>
          </cell>
          <cell r="E41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19">
            <v>501</v>
          </cell>
          <cell r="G419">
            <v>663</v>
          </cell>
          <cell r="H419" t="str">
            <v>+</v>
          </cell>
          <cell r="I419">
            <v>501</v>
          </cell>
          <cell r="J419">
            <v>0</v>
          </cell>
          <cell r="K419">
            <v>0</v>
          </cell>
        </row>
        <row r="420">
          <cell r="A420">
            <v>7089190</v>
          </cell>
          <cell r="B420" t="str">
            <v>Сверло п/мет 2,4мм титан 20шт бокс Профи Атака</v>
          </cell>
          <cell r="C420" t="str">
            <v>упак</v>
          </cell>
          <cell r="D420">
            <v>1</v>
          </cell>
          <cell r="E42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0">
            <v>501</v>
          </cell>
          <cell r="G420">
            <v>663</v>
          </cell>
          <cell r="H420" t="str">
            <v>+</v>
          </cell>
          <cell r="I420">
            <v>501</v>
          </cell>
          <cell r="J420">
            <v>0</v>
          </cell>
          <cell r="K420">
            <v>0</v>
          </cell>
        </row>
        <row r="421">
          <cell r="A421">
            <v>7089200</v>
          </cell>
          <cell r="B421" t="str">
            <v>Сверло п/мет 2,5мм титан 20шт бокс Профи Атака</v>
          </cell>
          <cell r="C421" t="str">
            <v>упак</v>
          </cell>
          <cell r="D421">
            <v>1</v>
          </cell>
          <cell r="E42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20шт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1">
            <v>522</v>
          </cell>
          <cell r="G421">
            <v>692</v>
          </cell>
          <cell r="H421" t="str">
            <v>+</v>
          </cell>
          <cell r="I421">
            <v>522</v>
          </cell>
          <cell r="J421">
            <v>0</v>
          </cell>
          <cell r="K421">
            <v>0</v>
          </cell>
        </row>
        <row r="422">
          <cell r="A422">
            <v>7089210</v>
          </cell>
          <cell r="B422" t="str">
            <v>Сверло п/мет 2,6мм титан 10шт бокс Профи Атака</v>
          </cell>
          <cell r="C422" t="str">
            <v>упак</v>
          </cell>
          <cell r="D422">
            <v>1</v>
          </cell>
          <cell r="E42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2">
            <v>323</v>
          </cell>
          <cell r="G422">
            <v>426</v>
          </cell>
          <cell r="H422" t="str">
            <v>-</v>
          </cell>
          <cell r="I422">
            <v>323</v>
          </cell>
          <cell r="J422">
            <v>0</v>
          </cell>
          <cell r="K422">
            <v>0</v>
          </cell>
        </row>
        <row r="423">
          <cell r="A423">
            <v>7089220</v>
          </cell>
          <cell r="B423" t="str">
            <v>Сверло п/мет 2,7мм титан 10шт бокс Профи Атака</v>
          </cell>
          <cell r="C423" t="str">
            <v>упак</v>
          </cell>
          <cell r="D423">
            <v>1</v>
          </cell>
          <cell r="E42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3">
            <v>323</v>
          </cell>
          <cell r="G423">
            <v>426</v>
          </cell>
          <cell r="H423" t="str">
            <v>+</v>
          </cell>
          <cell r="I423">
            <v>323</v>
          </cell>
          <cell r="J423">
            <v>0</v>
          </cell>
          <cell r="K423">
            <v>0</v>
          </cell>
        </row>
        <row r="424">
          <cell r="A424">
            <v>7089230</v>
          </cell>
          <cell r="B424" t="str">
            <v>Сверло п/мет 2,8мм титан 10шт бокс Профи Атака</v>
          </cell>
          <cell r="C424" t="str">
            <v>упак</v>
          </cell>
          <cell r="D424">
            <v>1</v>
          </cell>
          <cell r="E42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4">
            <v>323</v>
          </cell>
          <cell r="G424">
            <v>426</v>
          </cell>
          <cell r="H424" t="str">
            <v>+</v>
          </cell>
          <cell r="I424">
            <v>323</v>
          </cell>
          <cell r="J424">
            <v>0</v>
          </cell>
          <cell r="K424">
            <v>0</v>
          </cell>
        </row>
        <row r="425">
          <cell r="A425">
            <v>7089240</v>
          </cell>
          <cell r="B425" t="str">
            <v>Сверло п/мет 2,9мм титан 10шт бокс Профи Атака</v>
          </cell>
          <cell r="C425" t="str">
            <v>упак</v>
          </cell>
          <cell r="D425">
            <v>1</v>
          </cell>
          <cell r="E42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D=2,9мм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5">
            <v>323</v>
          </cell>
          <cell r="G425">
            <v>426</v>
          </cell>
          <cell r="H425" t="str">
            <v>+</v>
          </cell>
          <cell r="I425">
            <v>323</v>
          </cell>
          <cell r="J425">
            <v>0</v>
          </cell>
          <cell r="K425">
            <v>0</v>
          </cell>
        </row>
        <row r="426">
          <cell r="A426">
            <v>7089250</v>
          </cell>
          <cell r="B426" t="str">
            <v>Сверло п/мет 3мм титан 10шт бокс Профи Атака</v>
          </cell>
          <cell r="C426" t="str">
            <v>упак</v>
          </cell>
          <cell r="D426">
            <v>1</v>
          </cell>
          <cell r="E42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6">
            <v>332</v>
          </cell>
          <cell r="G426">
            <v>443</v>
          </cell>
          <cell r="H426" t="str">
            <v>+</v>
          </cell>
          <cell r="I426">
            <v>332</v>
          </cell>
          <cell r="J426">
            <v>0</v>
          </cell>
          <cell r="K426">
            <v>0</v>
          </cell>
        </row>
        <row r="427">
          <cell r="A427">
            <v>7089260</v>
          </cell>
          <cell r="B427" t="str">
            <v>Сверло п/мет 3,1мм титан 10шт бокс Профи Атака</v>
          </cell>
          <cell r="C427" t="str">
            <v>упак</v>
          </cell>
          <cell r="D427">
            <v>1</v>
          </cell>
          <cell r="E42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7">
            <v>363</v>
          </cell>
          <cell r="G427">
            <v>479</v>
          </cell>
          <cell r="H427" t="str">
            <v>+</v>
          </cell>
          <cell r="I427">
            <v>363</v>
          </cell>
          <cell r="J427">
            <v>0</v>
          </cell>
          <cell r="K427">
            <v>0</v>
          </cell>
        </row>
        <row r="428">
          <cell r="A428">
            <v>7089270</v>
          </cell>
          <cell r="B428" t="str">
            <v>Сверло п/мет 3,2мм титан 10шт бокс Профи Атака</v>
          </cell>
          <cell r="C428" t="str">
            <v>упак</v>
          </cell>
          <cell r="D428">
            <v>1</v>
          </cell>
          <cell r="E42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8">
            <v>363</v>
          </cell>
          <cell r="G428">
            <v>479</v>
          </cell>
          <cell r="H428" t="str">
            <v>+</v>
          </cell>
          <cell r="I428">
            <v>363</v>
          </cell>
          <cell r="J428">
            <v>0</v>
          </cell>
          <cell r="K428">
            <v>0</v>
          </cell>
        </row>
        <row r="429">
          <cell r="A429">
            <v>7089280</v>
          </cell>
          <cell r="B429" t="str">
            <v>Сверло п/мет 3,3мм титан 10шт бокс Профи Атака</v>
          </cell>
          <cell r="C429" t="str">
            <v>упак</v>
          </cell>
          <cell r="D429">
            <v>1</v>
          </cell>
          <cell r="E42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29">
            <v>409</v>
          </cell>
          <cell r="G429">
            <v>540</v>
          </cell>
          <cell r="H429" t="str">
            <v>+</v>
          </cell>
          <cell r="I429">
            <v>409</v>
          </cell>
          <cell r="J429">
            <v>0</v>
          </cell>
          <cell r="K429">
            <v>0</v>
          </cell>
        </row>
        <row r="430">
          <cell r="A430">
            <v>7089290</v>
          </cell>
          <cell r="B430" t="str">
            <v>Сверло п/мет 3,4мм титан 10шт бокс Профи Атака</v>
          </cell>
          <cell r="C430" t="str">
            <v>упак</v>
          </cell>
          <cell r="D430">
            <v>1</v>
          </cell>
          <cell r="E43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0">
            <v>418</v>
          </cell>
          <cell r="G430">
            <v>551</v>
          </cell>
          <cell r="H430" t="str">
            <v>+</v>
          </cell>
          <cell r="I430">
            <v>418</v>
          </cell>
          <cell r="J430">
            <v>0</v>
          </cell>
          <cell r="K430">
            <v>0</v>
          </cell>
        </row>
        <row r="431">
          <cell r="A431">
            <v>7089310</v>
          </cell>
          <cell r="B431" t="str">
            <v>Сверло п/мет 3,5мм титан 10шт бокс Профи Атака</v>
          </cell>
          <cell r="C431" t="str">
            <v>упак</v>
          </cell>
          <cell r="D431">
            <v>1</v>
          </cell>
          <cell r="E43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1">
            <v>418</v>
          </cell>
          <cell r="G431">
            <v>551</v>
          </cell>
          <cell r="H431" t="str">
            <v>+</v>
          </cell>
          <cell r="I431">
            <v>418</v>
          </cell>
          <cell r="J431">
            <v>0</v>
          </cell>
          <cell r="K431">
            <v>0</v>
          </cell>
        </row>
        <row r="432">
          <cell r="A432">
            <v>7089320</v>
          </cell>
          <cell r="B432" t="str">
            <v>Сверло п/мет 3,6мм титан 10шт бокс Профи Атака</v>
          </cell>
          <cell r="C432" t="str">
            <v>упак</v>
          </cell>
          <cell r="D432">
            <v>1</v>
          </cell>
          <cell r="E43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2">
            <v>492</v>
          </cell>
          <cell r="G432">
            <v>656</v>
          </cell>
          <cell r="H432" t="str">
            <v>+</v>
          </cell>
          <cell r="I432">
            <v>492</v>
          </cell>
          <cell r="J432">
            <v>0</v>
          </cell>
          <cell r="K432">
            <v>0</v>
          </cell>
        </row>
        <row r="433">
          <cell r="A433">
            <v>7089330</v>
          </cell>
          <cell r="B433" t="str">
            <v>Сверло п/мет 3,7мм титан 10шт бокс Профи Атака</v>
          </cell>
          <cell r="C433" t="str">
            <v>упак</v>
          </cell>
          <cell r="D433">
            <v>1</v>
          </cell>
          <cell r="E43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3">
            <v>492</v>
          </cell>
          <cell r="G433">
            <v>656</v>
          </cell>
          <cell r="H433" t="str">
            <v>+</v>
          </cell>
          <cell r="I433">
            <v>492</v>
          </cell>
          <cell r="J433">
            <v>0</v>
          </cell>
          <cell r="K433">
            <v>0</v>
          </cell>
        </row>
        <row r="434">
          <cell r="A434">
            <v>7089340</v>
          </cell>
          <cell r="B434" t="str">
            <v>Сверло п/мет 3,8мм титан 10шт бокс Профи Атака</v>
          </cell>
          <cell r="C434" t="str">
            <v>упак</v>
          </cell>
          <cell r="D434">
            <v>1</v>
          </cell>
          <cell r="E43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4">
            <v>492</v>
          </cell>
          <cell r="G434">
            <v>656</v>
          </cell>
          <cell r="H434" t="str">
            <v>+</v>
          </cell>
          <cell r="I434">
            <v>492</v>
          </cell>
          <cell r="J434">
            <v>0</v>
          </cell>
          <cell r="K434">
            <v>0</v>
          </cell>
        </row>
        <row r="435">
          <cell r="A435">
            <v>7089350</v>
          </cell>
          <cell r="B435" t="str">
            <v>Сверло п/мет 3,9мм титан 10шт бокс Профи Атака</v>
          </cell>
          <cell r="C435" t="str">
            <v>упак</v>
          </cell>
          <cell r="D435">
            <v>1</v>
          </cell>
          <cell r="E43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D=3,9мм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5">
            <v>492</v>
          </cell>
          <cell r="G435">
            <v>656</v>
          </cell>
          <cell r="H435" t="str">
            <v>+</v>
          </cell>
          <cell r="I435">
            <v>492</v>
          </cell>
          <cell r="J435">
            <v>0</v>
          </cell>
          <cell r="K435">
            <v>0</v>
          </cell>
        </row>
        <row r="436">
          <cell r="A436">
            <v>8076800</v>
          </cell>
          <cell r="B436" t="str">
            <v>Сверло п/мет 4мм титан 10шт бокс Профи Атака</v>
          </cell>
          <cell r="C436" t="str">
            <v>упак</v>
          </cell>
          <cell r="D436">
            <v>1</v>
          </cell>
          <cell r="E43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6">
            <v>492</v>
          </cell>
          <cell r="G436">
            <v>656</v>
          </cell>
          <cell r="H436" t="str">
            <v>+</v>
          </cell>
          <cell r="I436">
            <v>492</v>
          </cell>
          <cell r="J436">
            <v>0</v>
          </cell>
          <cell r="K436">
            <v>0</v>
          </cell>
        </row>
        <row r="437">
          <cell r="A437">
            <v>8076810</v>
          </cell>
          <cell r="B437" t="str">
            <v>Сверло п/мет 4,1мм титан 10шт бокс Профи Атака</v>
          </cell>
          <cell r="C437" t="str">
            <v>упак</v>
          </cell>
          <cell r="D437">
            <v>1</v>
          </cell>
          <cell r="E43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7">
            <v>517</v>
          </cell>
          <cell r="G437">
            <v>687</v>
          </cell>
          <cell r="H437" t="str">
            <v>+</v>
          </cell>
          <cell r="I437">
            <v>517</v>
          </cell>
          <cell r="J437">
            <v>0</v>
          </cell>
          <cell r="K437">
            <v>0</v>
          </cell>
        </row>
        <row r="438">
          <cell r="A438">
            <v>8076820</v>
          </cell>
          <cell r="B438" t="str">
            <v>Сверло п/мет 4,2мм титан 10шт бокс Профи Атака</v>
          </cell>
          <cell r="C438" t="str">
            <v>упак</v>
          </cell>
          <cell r="D438">
            <v>1</v>
          </cell>
          <cell r="E43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8">
            <v>517</v>
          </cell>
          <cell r="G438">
            <v>687</v>
          </cell>
          <cell r="H438" t="str">
            <v>+</v>
          </cell>
          <cell r="I438">
            <v>517</v>
          </cell>
          <cell r="J438">
            <v>0</v>
          </cell>
          <cell r="K438">
            <v>0</v>
          </cell>
        </row>
        <row r="439">
          <cell r="A439">
            <v>8076830</v>
          </cell>
          <cell r="B439" t="str">
            <v>Сверло п/мет 4,3мм титан 10шт бокс Профи Атака</v>
          </cell>
          <cell r="C439" t="str">
            <v>упак</v>
          </cell>
          <cell r="D439">
            <v>1</v>
          </cell>
          <cell r="E43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39">
            <v>583</v>
          </cell>
          <cell r="G439">
            <v>772</v>
          </cell>
          <cell r="H439" t="str">
            <v>+</v>
          </cell>
          <cell r="I439">
            <v>583</v>
          </cell>
          <cell r="J439">
            <v>0</v>
          </cell>
          <cell r="K439">
            <v>0</v>
          </cell>
        </row>
        <row r="440">
          <cell r="A440">
            <v>8076840</v>
          </cell>
          <cell r="B440" t="str">
            <v>Сверло п/мет 4,4мм титан 10шт бокс Профи Атака</v>
          </cell>
          <cell r="C440" t="str">
            <v>упак</v>
          </cell>
          <cell r="D440">
            <v>1</v>
          </cell>
          <cell r="E44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0">
            <v>583</v>
          </cell>
          <cell r="G440">
            <v>772</v>
          </cell>
          <cell r="H440" t="str">
            <v>+</v>
          </cell>
          <cell r="I440">
            <v>583</v>
          </cell>
          <cell r="J440">
            <v>0</v>
          </cell>
          <cell r="K440">
            <v>0</v>
          </cell>
        </row>
        <row r="441">
          <cell r="A441">
            <v>8076850</v>
          </cell>
          <cell r="B441" t="str">
            <v>Сверло п/мет 4,5мм титан 10шт бокс Профи Атака</v>
          </cell>
          <cell r="C441" t="str">
            <v>упак</v>
          </cell>
          <cell r="D441">
            <v>1</v>
          </cell>
          <cell r="E44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1">
            <v>583</v>
          </cell>
          <cell r="G441">
            <v>772</v>
          </cell>
          <cell r="H441" t="str">
            <v>+</v>
          </cell>
          <cell r="I441">
            <v>583</v>
          </cell>
          <cell r="J441">
            <v>0</v>
          </cell>
          <cell r="K441">
            <v>0</v>
          </cell>
        </row>
        <row r="442">
          <cell r="A442">
            <v>8076860</v>
          </cell>
          <cell r="B442" t="str">
            <v>Сверло п/мет 4,6мм титан 10шт бокс Профи Атака</v>
          </cell>
          <cell r="C442" t="str">
            <v>упак</v>
          </cell>
          <cell r="D442">
            <v>1</v>
          </cell>
          <cell r="E44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2">
            <v>663</v>
          </cell>
          <cell r="G442">
            <v>880</v>
          </cell>
          <cell r="H442" t="str">
            <v>-</v>
          </cell>
          <cell r="I442">
            <v>663</v>
          </cell>
          <cell r="J442">
            <v>0</v>
          </cell>
          <cell r="K442">
            <v>0</v>
          </cell>
        </row>
        <row r="443">
          <cell r="A443">
            <v>8076870</v>
          </cell>
          <cell r="B443" t="str">
            <v>Сверло п/мет 4,7мм титан 10шт бокс Профи Атака</v>
          </cell>
          <cell r="C443" t="str">
            <v>упак</v>
          </cell>
          <cell r="D443">
            <v>1</v>
          </cell>
          <cell r="E44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3">
            <v>663</v>
          </cell>
          <cell r="G443">
            <v>880</v>
          </cell>
          <cell r="H443" t="str">
            <v>+</v>
          </cell>
          <cell r="I443">
            <v>663</v>
          </cell>
          <cell r="J443">
            <v>0</v>
          </cell>
          <cell r="K443">
            <v>0</v>
          </cell>
        </row>
        <row r="444">
          <cell r="A444">
            <v>8076880</v>
          </cell>
          <cell r="B444" t="str">
            <v>Сверло п/мет 4,8мм титан 10шт бокс Профи Атака</v>
          </cell>
          <cell r="C444" t="str">
            <v>упак</v>
          </cell>
          <cell r="D444">
            <v>1</v>
          </cell>
          <cell r="E44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4">
            <v>663</v>
          </cell>
          <cell r="G444">
            <v>880</v>
          </cell>
          <cell r="H444" t="str">
            <v>+</v>
          </cell>
          <cell r="I444">
            <v>663</v>
          </cell>
          <cell r="J444">
            <v>0</v>
          </cell>
          <cell r="K444">
            <v>0</v>
          </cell>
        </row>
        <row r="445">
          <cell r="A445">
            <v>8076890</v>
          </cell>
          <cell r="B445" t="str">
            <v>Сверло п/мет 4,9мм титан 10шт бокс Профи Атака</v>
          </cell>
          <cell r="C445" t="str">
            <v>упак</v>
          </cell>
          <cell r="D445">
            <v>1</v>
          </cell>
          <cell r="E44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D=4,9мм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5">
            <v>704</v>
          </cell>
          <cell r="G445">
            <v>936</v>
          </cell>
          <cell r="H445" t="str">
            <v>+</v>
          </cell>
          <cell r="I445">
            <v>704</v>
          </cell>
          <cell r="J445">
            <v>0</v>
          </cell>
          <cell r="K445">
            <v>0</v>
          </cell>
        </row>
        <row r="446">
          <cell r="A446">
            <v>8076900</v>
          </cell>
          <cell r="B446" t="str">
            <v>Сверло п/мет 5мм титан 10шт бокс Профи Атака</v>
          </cell>
          <cell r="C446" t="str">
            <v>упак</v>
          </cell>
          <cell r="D446">
            <v>1</v>
          </cell>
          <cell r="E44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6">
            <v>714</v>
          </cell>
          <cell r="G446">
            <v>951</v>
          </cell>
          <cell r="H446" t="str">
            <v>+</v>
          </cell>
          <cell r="I446">
            <v>714</v>
          </cell>
          <cell r="J446">
            <v>0</v>
          </cell>
          <cell r="K446">
            <v>0</v>
          </cell>
        </row>
        <row r="447">
          <cell r="A447">
            <v>8076910</v>
          </cell>
          <cell r="B447" t="str">
            <v>Сверло п/мет 5,1мм титан 10шт бокс Профи Атака</v>
          </cell>
          <cell r="C447" t="str">
            <v>упак</v>
          </cell>
          <cell r="D447">
            <v>1</v>
          </cell>
          <cell r="E44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7">
            <v>850</v>
          </cell>
          <cell r="G447">
            <v>1129</v>
          </cell>
          <cell r="H447" t="str">
            <v>+</v>
          </cell>
          <cell r="I447">
            <v>850</v>
          </cell>
          <cell r="J447">
            <v>0</v>
          </cell>
          <cell r="K447">
            <v>0</v>
          </cell>
        </row>
        <row r="448">
          <cell r="A448">
            <v>8076920</v>
          </cell>
          <cell r="B448" t="str">
            <v>Сверло п/мет 5,2мм титан 10шт бокс Профи Атака</v>
          </cell>
          <cell r="C448" t="str">
            <v>упак</v>
          </cell>
          <cell r="D448">
            <v>1</v>
          </cell>
          <cell r="E44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8">
            <v>850</v>
          </cell>
          <cell r="G448">
            <v>1129</v>
          </cell>
          <cell r="H448" t="str">
            <v>+</v>
          </cell>
          <cell r="I448">
            <v>850</v>
          </cell>
          <cell r="J448">
            <v>0</v>
          </cell>
          <cell r="K448">
            <v>0</v>
          </cell>
        </row>
        <row r="449">
          <cell r="A449">
            <v>8076930</v>
          </cell>
          <cell r="B449" t="str">
            <v>Сверло п/мет 5,3мм титан 10шт бокс Профи Атака</v>
          </cell>
          <cell r="C449" t="str">
            <v>упак</v>
          </cell>
          <cell r="D449">
            <v>1</v>
          </cell>
          <cell r="E44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49">
            <v>850</v>
          </cell>
          <cell r="G449">
            <v>1129</v>
          </cell>
          <cell r="H449" t="str">
            <v>+</v>
          </cell>
          <cell r="I449">
            <v>850</v>
          </cell>
          <cell r="J449">
            <v>0</v>
          </cell>
          <cell r="K449">
            <v>0</v>
          </cell>
        </row>
        <row r="450">
          <cell r="A450">
            <v>8076940</v>
          </cell>
          <cell r="B450" t="str">
            <v>Сверло п/мет 5,4мм титан 10шт бокс Профи Атака</v>
          </cell>
          <cell r="C450" t="str">
            <v>упак</v>
          </cell>
          <cell r="D450">
            <v>1</v>
          </cell>
          <cell r="E45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0">
            <v>850</v>
          </cell>
          <cell r="G450">
            <v>1129</v>
          </cell>
          <cell r="H450" t="str">
            <v>+</v>
          </cell>
          <cell r="I450">
            <v>850</v>
          </cell>
          <cell r="J450">
            <v>0</v>
          </cell>
          <cell r="K450">
            <v>0</v>
          </cell>
        </row>
        <row r="451">
          <cell r="A451">
            <v>8076950</v>
          </cell>
          <cell r="B451" t="str">
            <v>Сверло п/мет 5,5мм титан 10шт бокс Профи Атака</v>
          </cell>
          <cell r="C451" t="str">
            <v>упак</v>
          </cell>
          <cell r="D451">
            <v>1</v>
          </cell>
          <cell r="E45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1">
            <v>858</v>
          </cell>
          <cell r="G451">
            <v>1139</v>
          </cell>
          <cell r="H451" t="str">
            <v>+</v>
          </cell>
          <cell r="I451">
            <v>858</v>
          </cell>
          <cell r="J451">
            <v>0</v>
          </cell>
          <cell r="K451">
            <v>0</v>
          </cell>
        </row>
        <row r="452">
          <cell r="A452">
            <v>8076960</v>
          </cell>
          <cell r="B452" t="str">
            <v>Сверло п/мет 5,6мм титан 10шт бокс Профи Атака</v>
          </cell>
          <cell r="C452" t="str">
            <v>упак</v>
          </cell>
          <cell r="D452">
            <v>1</v>
          </cell>
          <cell r="E45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2">
            <v>980</v>
          </cell>
          <cell r="G452">
            <v>1305</v>
          </cell>
          <cell r="H452" t="str">
            <v>+</v>
          </cell>
          <cell r="I452">
            <v>980</v>
          </cell>
          <cell r="J452">
            <v>0</v>
          </cell>
          <cell r="K452">
            <v>0</v>
          </cell>
        </row>
        <row r="453">
          <cell r="A453">
            <v>8076970</v>
          </cell>
          <cell r="B453" t="str">
            <v>Сверло п/мет 5,7мм титан 10шт бокс Профи Атака</v>
          </cell>
          <cell r="C453" t="str">
            <v>упак</v>
          </cell>
          <cell r="D453">
            <v>1</v>
          </cell>
          <cell r="E45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3">
            <v>980</v>
          </cell>
          <cell r="G453">
            <v>1305</v>
          </cell>
          <cell r="H453" t="str">
            <v>+</v>
          </cell>
          <cell r="I453">
            <v>980</v>
          </cell>
          <cell r="J453">
            <v>0</v>
          </cell>
          <cell r="K453">
            <v>0</v>
          </cell>
        </row>
        <row r="454">
          <cell r="A454">
            <v>8076980</v>
          </cell>
          <cell r="B454" t="str">
            <v>Сверло п/мет 5,8мм титан 10шт бокс Профи Атака</v>
          </cell>
          <cell r="C454" t="str">
            <v>упак</v>
          </cell>
          <cell r="D454">
            <v>1</v>
          </cell>
          <cell r="E45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4">
            <v>980</v>
          </cell>
          <cell r="G454">
            <v>1305</v>
          </cell>
          <cell r="H454" t="str">
            <v>+</v>
          </cell>
          <cell r="I454">
            <v>980</v>
          </cell>
          <cell r="J454">
            <v>0</v>
          </cell>
          <cell r="K454">
            <v>0</v>
          </cell>
        </row>
        <row r="455">
          <cell r="A455">
            <v>8076990</v>
          </cell>
          <cell r="B455" t="str">
            <v>Сверло п/мет 5,9мм титан 10шт бокс Профи Атака</v>
          </cell>
          <cell r="C455" t="str">
            <v>упак</v>
          </cell>
          <cell r="D455">
            <v>1</v>
          </cell>
          <cell r="E45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D=5,9мм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5">
            <v>980</v>
          </cell>
          <cell r="G455">
            <v>1305</v>
          </cell>
          <cell r="H455" t="str">
            <v>+</v>
          </cell>
          <cell r="I455">
            <v>980</v>
          </cell>
          <cell r="J455">
            <v>0</v>
          </cell>
          <cell r="K455">
            <v>0</v>
          </cell>
        </row>
        <row r="456">
          <cell r="A456">
            <v>8077010</v>
          </cell>
          <cell r="B456" t="str">
            <v>Сверло п/мет 6мм титан 10шт бокс Профи Атака</v>
          </cell>
          <cell r="C456" t="str">
            <v>упак</v>
          </cell>
          <cell r="D456">
            <v>1</v>
          </cell>
          <cell r="E45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6">
            <v>980</v>
          </cell>
          <cell r="G456">
            <v>1305</v>
          </cell>
          <cell r="H456" t="str">
            <v>+</v>
          </cell>
          <cell r="I456">
            <v>980</v>
          </cell>
          <cell r="J456">
            <v>0</v>
          </cell>
          <cell r="K456">
            <v>0</v>
          </cell>
        </row>
        <row r="457">
          <cell r="A457">
            <v>8077020</v>
          </cell>
          <cell r="B457" t="str">
            <v>Сверло п/мет 6,1мм титан 10шт бокс Профи Атака</v>
          </cell>
          <cell r="C457" t="str">
            <v>упак</v>
          </cell>
          <cell r="D457">
            <v>1</v>
          </cell>
          <cell r="E45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7">
            <v>1181</v>
          </cell>
          <cell r="G457">
            <v>1569</v>
          </cell>
          <cell r="H457" t="str">
            <v>-</v>
          </cell>
          <cell r="I457">
            <v>1181</v>
          </cell>
          <cell r="J457">
            <v>0</v>
          </cell>
          <cell r="K457">
            <v>0</v>
          </cell>
        </row>
        <row r="458">
          <cell r="A458">
            <v>8077030</v>
          </cell>
          <cell r="B458" t="str">
            <v>Сверло п/мет 6,2мм титан 10шт бокс Профи Атака</v>
          </cell>
          <cell r="C458" t="str">
            <v>упак</v>
          </cell>
          <cell r="D458">
            <v>1</v>
          </cell>
          <cell r="E45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8">
            <v>1181</v>
          </cell>
          <cell r="G458">
            <v>1569</v>
          </cell>
          <cell r="H458" t="str">
            <v>-</v>
          </cell>
          <cell r="I458">
            <v>1181</v>
          </cell>
          <cell r="J458">
            <v>0</v>
          </cell>
          <cell r="K458">
            <v>0</v>
          </cell>
        </row>
        <row r="459">
          <cell r="A459">
            <v>8077050</v>
          </cell>
          <cell r="B459" t="str">
            <v>Сверло п/мет 6,3мм титан 10шт бокс Профи Атака</v>
          </cell>
          <cell r="C459" t="str">
            <v>упак</v>
          </cell>
          <cell r="D459">
            <v>1</v>
          </cell>
          <cell r="E45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59">
            <v>1181</v>
          </cell>
          <cell r="G459">
            <v>1569</v>
          </cell>
          <cell r="H459" t="str">
            <v>-</v>
          </cell>
          <cell r="I459">
            <v>1181</v>
          </cell>
          <cell r="J459">
            <v>0</v>
          </cell>
          <cell r="K459">
            <v>0</v>
          </cell>
        </row>
        <row r="460">
          <cell r="A460">
            <v>8077060</v>
          </cell>
          <cell r="B460" t="str">
            <v>Сверло п/мет 6,4мм титан 10шт бокс Профи Атака</v>
          </cell>
          <cell r="C460" t="str">
            <v>упак</v>
          </cell>
          <cell r="D460">
            <v>1</v>
          </cell>
          <cell r="E46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0">
            <v>1181</v>
          </cell>
          <cell r="G460">
            <v>1569</v>
          </cell>
          <cell r="H460" t="str">
            <v>+</v>
          </cell>
          <cell r="I460">
            <v>1181</v>
          </cell>
          <cell r="J460">
            <v>0</v>
          </cell>
          <cell r="K460">
            <v>0</v>
          </cell>
        </row>
        <row r="461">
          <cell r="A461">
            <v>8077070</v>
          </cell>
          <cell r="B461" t="str">
            <v>Сверло п/мет 6,5мм титан 10шт бокс Профи Атака</v>
          </cell>
          <cell r="C461" t="str">
            <v>упак</v>
          </cell>
          <cell r="D461">
            <v>1</v>
          </cell>
          <cell r="E46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1">
            <v>1181</v>
          </cell>
          <cell r="G461">
            <v>1569</v>
          </cell>
          <cell r="H461" t="str">
            <v>+</v>
          </cell>
          <cell r="I461">
            <v>1181</v>
          </cell>
          <cell r="J461">
            <v>0</v>
          </cell>
          <cell r="K461">
            <v>0</v>
          </cell>
        </row>
        <row r="462">
          <cell r="A462">
            <v>8077080</v>
          </cell>
          <cell r="B462" t="str">
            <v>Сверло п/мет 6,6мм титан 10шт бокс Профи Атака</v>
          </cell>
          <cell r="C462" t="str">
            <v>упак</v>
          </cell>
          <cell r="D462">
            <v>1</v>
          </cell>
          <cell r="E46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2">
            <v>1384</v>
          </cell>
          <cell r="G462">
            <v>1839</v>
          </cell>
          <cell r="H462" t="str">
            <v>+</v>
          </cell>
          <cell r="I462">
            <v>1384</v>
          </cell>
          <cell r="J462">
            <v>0</v>
          </cell>
          <cell r="K462">
            <v>0</v>
          </cell>
        </row>
        <row r="463">
          <cell r="A463">
            <v>8077090</v>
          </cell>
          <cell r="B463" t="str">
            <v>Сверло п/мет 6,7мм титан 10шт бокс Профи Атака</v>
          </cell>
          <cell r="C463" t="str">
            <v>упак</v>
          </cell>
          <cell r="D463">
            <v>1</v>
          </cell>
          <cell r="E46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3">
            <v>1384</v>
          </cell>
          <cell r="G463">
            <v>1839</v>
          </cell>
          <cell r="H463" t="str">
            <v>-</v>
          </cell>
          <cell r="I463">
            <v>1384</v>
          </cell>
          <cell r="J463">
            <v>0</v>
          </cell>
          <cell r="K463">
            <v>0</v>
          </cell>
        </row>
        <row r="464">
          <cell r="A464">
            <v>8077100</v>
          </cell>
          <cell r="B464" t="str">
            <v>Сверло п/мет 6,8мм титан 10шт бокс Профи Атака</v>
          </cell>
          <cell r="C464" t="str">
            <v>упак</v>
          </cell>
          <cell r="D464">
            <v>1</v>
          </cell>
          <cell r="E46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4">
            <v>1384</v>
          </cell>
          <cell r="G464">
            <v>1839</v>
          </cell>
          <cell r="H464" t="str">
            <v>+</v>
          </cell>
          <cell r="I464">
            <v>1384</v>
          </cell>
          <cell r="J464">
            <v>0</v>
          </cell>
          <cell r="K464">
            <v>0</v>
          </cell>
        </row>
        <row r="465">
          <cell r="A465">
            <v>8077110</v>
          </cell>
          <cell r="B465" t="str">
            <v>Сверло п/мет 6,9мм титан 10шт бокс Профи Атака</v>
          </cell>
          <cell r="C465" t="str">
            <v>упак</v>
          </cell>
          <cell r="D465">
            <v>1</v>
          </cell>
          <cell r="E46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D=6,9мм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5">
            <v>1384</v>
          </cell>
          <cell r="G465">
            <v>1839</v>
          </cell>
          <cell r="H465" t="str">
            <v>+</v>
          </cell>
          <cell r="I465">
            <v>1384</v>
          </cell>
          <cell r="J465">
            <v>0</v>
          </cell>
          <cell r="K465">
            <v>0</v>
          </cell>
        </row>
        <row r="466">
          <cell r="A466">
            <v>8077120</v>
          </cell>
          <cell r="B466" t="str">
            <v>Сверло п/мет 7мм титан 10шт бокс Профи Атака</v>
          </cell>
          <cell r="C466" t="str">
            <v>упак</v>
          </cell>
          <cell r="D466">
            <v>1</v>
          </cell>
          <cell r="E46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6">
            <v>1400</v>
          </cell>
          <cell r="G466">
            <v>1859</v>
          </cell>
          <cell r="H466" t="str">
            <v>+</v>
          </cell>
          <cell r="I466">
            <v>1400</v>
          </cell>
          <cell r="J466">
            <v>0</v>
          </cell>
          <cell r="K466">
            <v>0</v>
          </cell>
        </row>
        <row r="467">
          <cell r="A467">
            <v>8077130</v>
          </cell>
          <cell r="B467" t="str">
            <v>Сверло п/мет 7,1мм титан 10шт бокс Профи Атака</v>
          </cell>
          <cell r="C467" t="str">
            <v>упак</v>
          </cell>
          <cell r="D467">
            <v>1</v>
          </cell>
          <cell r="E46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7">
            <v>1548</v>
          </cell>
          <cell r="G467">
            <v>2058</v>
          </cell>
          <cell r="H467" t="str">
            <v>+</v>
          </cell>
          <cell r="I467">
            <v>1548</v>
          </cell>
          <cell r="J467">
            <v>0</v>
          </cell>
          <cell r="K467">
            <v>0</v>
          </cell>
        </row>
        <row r="468">
          <cell r="A468">
            <v>8077140</v>
          </cell>
          <cell r="B468" t="str">
            <v>Сверло п/мет 7,2мм титан 10шт бокс Профи Атака</v>
          </cell>
          <cell r="C468" t="str">
            <v>упак</v>
          </cell>
          <cell r="D468">
            <v>1</v>
          </cell>
          <cell r="E46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8">
            <v>1548</v>
          </cell>
          <cell r="G468">
            <v>2058</v>
          </cell>
          <cell r="H468" t="str">
            <v>-</v>
          </cell>
          <cell r="I468">
            <v>1548</v>
          </cell>
          <cell r="J468">
            <v>0</v>
          </cell>
          <cell r="K468">
            <v>0</v>
          </cell>
        </row>
        <row r="469">
          <cell r="A469">
            <v>8077150</v>
          </cell>
          <cell r="B469" t="str">
            <v>Сверло п/мет 7,3мм титан 10шт бокс Профи Атака</v>
          </cell>
          <cell r="C469" t="str">
            <v>упак</v>
          </cell>
          <cell r="D469">
            <v>1</v>
          </cell>
          <cell r="E46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69">
            <v>1548</v>
          </cell>
          <cell r="G469">
            <v>2058</v>
          </cell>
          <cell r="H469" t="str">
            <v>+</v>
          </cell>
          <cell r="I469">
            <v>1548</v>
          </cell>
          <cell r="J469">
            <v>0</v>
          </cell>
          <cell r="K469">
            <v>0</v>
          </cell>
        </row>
        <row r="470">
          <cell r="A470">
            <v>8077160</v>
          </cell>
          <cell r="B470" t="str">
            <v>Сверло п/мет 7,4мм титан 10шт бокс Профи Атака</v>
          </cell>
          <cell r="C470" t="str">
            <v>упак</v>
          </cell>
          <cell r="D470">
            <v>1</v>
          </cell>
          <cell r="E47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0">
            <v>1548</v>
          </cell>
          <cell r="G470">
            <v>2058</v>
          </cell>
          <cell r="H470" t="str">
            <v>+</v>
          </cell>
          <cell r="I470">
            <v>1548</v>
          </cell>
          <cell r="J470">
            <v>0</v>
          </cell>
          <cell r="K470">
            <v>0</v>
          </cell>
        </row>
        <row r="471">
          <cell r="A471">
            <v>8077170</v>
          </cell>
          <cell r="B471" t="str">
            <v>Сверло п/мет 7,5мм титан 10шт бокс Профи Атака</v>
          </cell>
          <cell r="C471" t="str">
            <v>упак</v>
          </cell>
          <cell r="D471">
            <v>1</v>
          </cell>
          <cell r="E47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10шт 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1">
            <v>1548</v>
          </cell>
          <cell r="G471">
            <v>2058</v>
          </cell>
          <cell r="H471" t="str">
            <v>+</v>
          </cell>
          <cell r="I471">
            <v>1548</v>
          </cell>
          <cell r="J471">
            <v>0</v>
          </cell>
          <cell r="K471">
            <v>0</v>
          </cell>
        </row>
        <row r="472">
          <cell r="A472">
            <v>8077180</v>
          </cell>
          <cell r="B472" t="str">
            <v>Сверло п/мет 7,6мм титан 8шт бокс Профи Атака</v>
          </cell>
          <cell r="C472" t="str">
            <v>упак</v>
          </cell>
          <cell r="D472">
            <v>1</v>
          </cell>
          <cell r="E47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2">
            <v>1469</v>
          </cell>
          <cell r="G472">
            <v>1952</v>
          </cell>
          <cell r="H472" t="str">
            <v>+</v>
          </cell>
          <cell r="I472">
            <v>1469</v>
          </cell>
          <cell r="J472">
            <v>0</v>
          </cell>
          <cell r="K472">
            <v>0</v>
          </cell>
        </row>
        <row r="473">
          <cell r="A473">
            <v>8077190</v>
          </cell>
          <cell r="B473" t="str">
            <v>Сверло п/мет 7,7мм титан 8шт бокс Профи Атака</v>
          </cell>
          <cell r="C473" t="str">
            <v>упак</v>
          </cell>
          <cell r="D473">
            <v>1</v>
          </cell>
          <cell r="E47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3">
            <v>1469</v>
          </cell>
          <cell r="G473">
            <v>1952</v>
          </cell>
          <cell r="H473" t="str">
            <v>+</v>
          </cell>
          <cell r="I473">
            <v>1469</v>
          </cell>
          <cell r="J473">
            <v>0</v>
          </cell>
          <cell r="K473">
            <v>0</v>
          </cell>
        </row>
        <row r="474">
          <cell r="A474">
            <v>8077200</v>
          </cell>
          <cell r="B474" t="str">
            <v>Сверло п/мет 7,8мм титан 8шт бокс Профи Атака</v>
          </cell>
          <cell r="C474" t="str">
            <v>упак</v>
          </cell>
          <cell r="D474">
            <v>1</v>
          </cell>
          <cell r="E47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4">
            <v>1469</v>
          </cell>
          <cell r="G474">
            <v>1952</v>
          </cell>
          <cell r="H474" t="str">
            <v>+</v>
          </cell>
          <cell r="I474">
            <v>1469</v>
          </cell>
          <cell r="J474">
            <v>0</v>
          </cell>
          <cell r="K474">
            <v>0</v>
          </cell>
        </row>
        <row r="475">
          <cell r="A475">
            <v>8077210</v>
          </cell>
          <cell r="B475" t="str">
            <v>Сверло п/мет 7,9мм титан 8шт бокс Профи Атака</v>
          </cell>
          <cell r="C475" t="str">
            <v>упак</v>
          </cell>
          <cell r="D475">
            <v>1</v>
          </cell>
          <cell r="E47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D=7,9мм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5">
            <v>1469</v>
          </cell>
          <cell r="G475">
            <v>1952</v>
          </cell>
          <cell r="H475" t="str">
            <v>+</v>
          </cell>
          <cell r="I475">
            <v>1469</v>
          </cell>
          <cell r="J475">
            <v>0</v>
          </cell>
          <cell r="K475">
            <v>0</v>
          </cell>
        </row>
        <row r="476">
          <cell r="A476">
            <v>8077230</v>
          </cell>
          <cell r="B476" t="str">
            <v>Сверло п/мет 8мм титан 8шт бокс Профи Атака</v>
          </cell>
          <cell r="C476" t="str">
            <v>упак</v>
          </cell>
          <cell r="D476">
            <v>1</v>
          </cell>
          <cell r="E47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6">
            <v>1469</v>
          </cell>
          <cell r="G476">
            <v>1952</v>
          </cell>
          <cell r="H476" t="str">
            <v>+</v>
          </cell>
          <cell r="I476">
            <v>1469</v>
          </cell>
          <cell r="J476">
            <v>0</v>
          </cell>
          <cell r="K476">
            <v>0</v>
          </cell>
        </row>
        <row r="477">
          <cell r="A477">
            <v>8077240</v>
          </cell>
          <cell r="B477" t="str">
            <v>Сверло п/мет 8,1мм титан 8шт бокс Профи Атака</v>
          </cell>
          <cell r="C477" t="str">
            <v>упак</v>
          </cell>
          <cell r="D477">
            <v>1</v>
          </cell>
          <cell r="E47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7">
            <v>1645</v>
          </cell>
          <cell r="G477">
            <v>2187</v>
          </cell>
          <cell r="H477" t="str">
            <v>+</v>
          </cell>
          <cell r="I477">
            <v>1645</v>
          </cell>
          <cell r="J477">
            <v>0</v>
          </cell>
          <cell r="K477">
            <v>0</v>
          </cell>
        </row>
        <row r="478">
          <cell r="A478">
            <v>8077250</v>
          </cell>
          <cell r="B478" t="str">
            <v>Сверло п/мет 8,2мм титан 8шт бокс Профи Атака</v>
          </cell>
          <cell r="C478" t="str">
            <v>упак</v>
          </cell>
          <cell r="D478">
            <v>1</v>
          </cell>
          <cell r="E47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8">
            <v>1645</v>
          </cell>
          <cell r="G478">
            <v>2187</v>
          </cell>
          <cell r="H478" t="str">
            <v>+</v>
          </cell>
          <cell r="I478">
            <v>1645</v>
          </cell>
          <cell r="J478">
            <v>0</v>
          </cell>
          <cell r="K478">
            <v>0</v>
          </cell>
        </row>
        <row r="479">
          <cell r="A479">
            <v>8077260</v>
          </cell>
          <cell r="B479" t="str">
            <v>Сверло п/мет 8,3мм титан 8шт бокс Профи Атака</v>
          </cell>
          <cell r="C479" t="str">
            <v>упак</v>
          </cell>
          <cell r="D479">
            <v>1</v>
          </cell>
          <cell r="E47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79">
            <v>1645</v>
          </cell>
          <cell r="G479">
            <v>2187</v>
          </cell>
          <cell r="H479" t="str">
            <v>+</v>
          </cell>
          <cell r="I479">
            <v>1645</v>
          </cell>
          <cell r="J479">
            <v>0</v>
          </cell>
          <cell r="K479">
            <v>0</v>
          </cell>
        </row>
        <row r="480">
          <cell r="A480">
            <v>8077270</v>
          </cell>
          <cell r="B480" t="str">
            <v>Сверло п/мет 8,4мм титан 8шт бокс Профи Атака</v>
          </cell>
          <cell r="C480" t="str">
            <v>упак</v>
          </cell>
          <cell r="D480">
            <v>1</v>
          </cell>
          <cell r="E48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0">
            <v>1645</v>
          </cell>
          <cell r="G480">
            <v>2187</v>
          </cell>
          <cell r="H480" t="str">
            <v>+</v>
          </cell>
          <cell r="I480">
            <v>1645</v>
          </cell>
          <cell r="J480">
            <v>0</v>
          </cell>
          <cell r="K480">
            <v>0</v>
          </cell>
        </row>
        <row r="481">
          <cell r="A481">
            <v>8077280</v>
          </cell>
          <cell r="B481" t="str">
            <v>Сверло п/мет 8,5мм титан 8шт бокс Профи Атака</v>
          </cell>
          <cell r="C481" t="str">
            <v>упак</v>
          </cell>
          <cell r="D481">
            <v>1</v>
          </cell>
          <cell r="E48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1">
            <v>1645</v>
          </cell>
          <cell r="G481">
            <v>2187</v>
          </cell>
          <cell r="H481" t="str">
            <v>+</v>
          </cell>
          <cell r="I481">
            <v>1645</v>
          </cell>
          <cell r="J481">
            <v>0</v>
          </cell>
          <cell r="K481">
            <v>0</v>
          </cell>
        </row>
        <row r="482">
          <cell r="A482">
            <v>8077290</v>
          </cell>
          <cell r="B482" t="str">
            <v>Сверло п/мет 8,6мм титан 8шт бокс Профи Атака</v>
          </cell>
          <cell r="C482" t="str">
            <v>упак</v>
          </cell>
          <cell r="D482">
            <v>1</v>
          </cell>
          <cell r="E48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2">
            <v>1902</v>
          </cell>
          <cell r="G482">
            <v>2527</v>
          </cell>
          <cell r="H482" t="str">
            <v>+</v>
          </cell>
          <cell r="I482">
            <v>1902</v>
          </cell>
          <cell r="J482">
            <v>0</v>
          </cell>
          <cell r="K482">
            <v>0</v>
          </cell>
        </row>
        <row r="483">
          <cell r="A483">
            <v>8077300</v>
          </cell>
          <cell r="B483" t="str">
            <v>Сверло п/мет 8,7мм титан 8шт бокс Профи Атака</v>
          </cell>
          <cell r="C483" t="str">
            <v>упак</v>
          </cell>
          <cell r="D483">
            <v>1</v>
          </cell>
          <cell r="E48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3">
            <v>1902</v>
          </cell>
          <cell r="G483">
            <v>2527</v>
          </cell>
          <cell r="H483" t="str">
            <v>+</v>
          </cell>
          <cell r="I483">
            <v>1902</v>
          </cell>
          <cell r="J483">
            <v>0</v>
          </cell>
          <cell r="K483">
            <v>0</v>
          </cell>
        </row>
        <row r="484">
          <cell r="A484">
            <v>8077310</v>
          </cell>
          <cell r="B484" t="str">
            <v>Сверло п/мет 8,8мм титан 8шт бокс Профи Атака</v>
          </cell>
          <cell r="C484" t="str">
            <v>упак</v>
          </cell>
          <cell r="D484">
            <v>1</v>
          </cell>
          <cell r="E48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4">
            <v>1902</v>
          </cell>
          <cell r="G484">
            <v>2527</v>
          </cell>
          <cell r="H484" t="str">
            <v>-</v>
          </cell>
          <cell r="I484">
            <v>1902</v>
          </cell>
          <cell r="J484">
            <v>0</v>
          </cell>
          <cell r="K484">
            <v>0</v>
          </cell>
        </row>
        <row r="485">
          <cell r="A485">
            <v>8077320</v>
          </cell>
          <cell r="B485" t="str">
            <v>Сверло п/мет 8,9мм титан 8шт бокс Профи Атака</v>
          </cell>
          <cell r="C485" t="str">
            <v>упак</v>
          </cell>
          <cell r="D485">
            <v>1</v>
          </cell>
          <cell r="E48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D=8,9мм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5">
            <v>1902</v>
          </cell>
          <cell r="G485">
            <v>2527</v>
          </cell>
          <cell r="H485" t="str">
            <v>-</v>
          </cell>
          <cell r="I485">
            <v>1902</v>
          </cell>
          <cell r="J485">
            <v>0</v>
          </cell>
          <cell r="K485">
            <v>0</v>
          </cell>
        </row>
        <row r="486">
          <cell r="A486">
            <v>8077330</v>
          </cell>
          <cell r="B486" t="str">
            <v>Сверло п/мет 9мм титан 8шт бокс Профи Атака</v>
          </cell>
          <cell r="C486" t="str">
            <v>упак</v>
          </cell>
          <cell r="D486">
            <v>1</v>
          </cell>
          <cell r="E48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8шт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6">
            <v>1943</v>
          </cell>
          <cell r="G486">
            <v>2581</v>
          </cell>
          <cell r="H486" t="str">
            <v>+</v>
          </cell>
          <cell r="I486">
            <v>1943</v>
          </cell>
          <cell r="J486">
            <v>0</v>
          </cell>
          <cell r="K486">
            <v>0</v>
          </cell>
        </row>
        <row r="487">
          <cell r="A487">
            <v>8077340</v>
          </cell>
          <cell r="B487" t="str">
            <v>Сверло п/мет 9,1мм титан 6шт бокс Профи Атака</v>
          </cell>
          <cell r="C487" t="str">
            <v>упак</v>
          </cell>
          <cell r="D487">
            <v>1</v>
          </cell>
          <cell r="E48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7">
            <v>1579</v>
          </cell>
          <cell r="G487">
            <v>2097</v>
          </cell>
          <cell r="H487" t="str">
            <v>+</v>
          </cell>
          <cell r="I487">
            <v>1579</v>
          </cell>
          <cell r="J487">
            <v>0</v>
          </cell>
          <cell r="K487">
            <v>0</v>
          </cell>
        </row>
        <row r="488">
          <cell r="A488">
            <v>8077350</v>
          </cell>
          <cell r="B488" t="str">
            <v>Сверло п/мет 9,2мм титан 6шт бокс Профи Атака</v>
          </cell>
          <cell r="C488" t="str">
            <v>упак</v>
          </cell>
          <cell r="D488">
            <v>1</v>
          </cell>
          <cell r="E48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8">
            <v>1579</v>
          </cell>
          <cell r="G488">
            <v>2097</v>
          </cell>
          <cell r="H488" t="str">
            <v>+</v>
          </cell>
          <cell r="I488">
            <v>1579</v>
          </cell>
          <cell r="J488">
            <v>0</v>
          </cell>
          <cell r="K488">
            <v>0</v>
          </cell>
        </row>
        <row r="489">
          <cell r="A489">
            <v>8077360</v>
          </cell>
          <cell r="B489" t="str">
            <v>Сверло п/мет 9,3мм титан 6шт бокс Профи Атака</v>
          </cell>
          <cell r="C489" t="str">
            <v>упак</v>
          </cell>
          <cell r="D489">
            <v>1</v>
          </cell>
          <cell r="E48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89">
            <v>1579</v>
          </cell>
          <cell r="G489">
            <v>2097</v>
          </cell>
          <cell r="H489" t="str">
            <v>-</v>
          </cell>
          <cell r="I489">
            <v>1579</v>
          </cell>
          <cell r="J489">
            <v>0</v>
          </cell>
          <cell r="K489">
            <v>0</v>
          </cell>
        </row>
        <row r="490">
          <cell r="A490">
            <v>8077370</v>
          </cell>
          <cell r="B490" t="str">
            <v>Сверло п/мет 9,4мм титан 6шт бокс Профи Атака</v>
          </cell>
          <cell r="C490" t="str">
            <v>упак</v>
          </cell>
          <cell r="D490">
            <v>1</v>
          </cell>
          <cell r="E49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90">
            <v>1579</v>
          </cell>
          <cell r="G490">
            <v>2097</v>
          </cell>
          <cell r="H490" t="str">
            <v>+</v>
          </cell>
          <cell r="I490">
            <v>1579</v>
          </cell>
          <cell r="J490">
            <v>0</v>
          </cell>
          <cell r="K490">
            <v>0</v>
          </cell>
        </row>
        <row r="491">
          <cell r="A491">
            <v>8077380</v>
          </cell>
          <cell r="B491" t="str">
            <v>Сверло п/мет 9,5мм титан 6шт бокс Профи Атака</v>
          </cell>
          <cell r="C491" t="str">
            <v>упак</v>
          </cell>
          <cell r="D491">
            <v>1</v>
          </cell>
          <cell r="E49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91">
            <v>1579</v>
          </cell>
          <cell r="G491">
            <v>2097</v>
          </cell>
          <cell r="H491" t="str">
            <v>+</v>
          </cell>
          <cell r="I491">
            <v>1579</v>
          </cell>
          <cell r="J491">
            <v>0</v>
          </cell>
          <cell r="K491">
            <v>0</v>
          </cell>
        </row>
        <row r="492">
          <cell r="A492">
            <v>8077390</v>
          </cell>
          <cell r="B492" t="str">
            <v>Сверло п/мет 9,6мм титан 6шт бокс Профи Атака</v>
          </cell>
          <cell r="C492" t="str">
            <v>упак</v>
          </cell>
          <cell r="D492">
            <v>1</v>
          </cell>
          <cell r="E49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92">
            <v>1801</v>
          </cell>
          <cell r="G492">
            <v>2391</v>
          </cell>
          <cell r="H492" t="str">
            <v>+</v>
          </cell>
          <cell r="I492">
            <v>1801</v>
          </cell>
          <cell r="J492">
            <v>0</v>
          </cell>
          <cell r="K492">
            <v>0</v>
          </cell>
        </row>
        <row r="493">
          <cell r="A493">
            <v>8077400</v>
          </cell>
          <cell r="B493" t="str">
            <v>Сверло п/мет 9,7мм титан 6шт бокс Профи Атака</v>
          </cell>
          <cell r="C493" t="str">
            <v>упак</v>
          </cell>
          <cell r="D493">
            <v>1</v>
          </cell>
          <cell r="E49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93">
            <v>1801</v>
          </cell>
          <cell r="G493">
            <v>2391</v>
          </cell>
          <cell r="H493" t="str">
            <v>+</v>
          </cell>
          <cell r="I493">
            <v>1801</v>
          </cell>
          <cell r="J493">
            <v>0</v>
          </cell>
          <cell r="K493">
            <v>0</v>
          </cell>
        </row>
        <row r="494">
          <cell r="A494">
            <v>8077410</v>
          </cell>
          <cell r="B494" t="str">
            <v>Сверло п/мет 9,8мм титан 6шт бокс Профи Атака</v>
          </cell>
          <cell r="C494" t="str">
            <v>упак</v>
          </cell>
          <cell r="D494">
            <v>1</v>
          </cell>
          <cell r="E49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94">
            <v>1801</v>
          </cell>
          <cell r="G494">
            <v>2391</v>
          </cell>
          <cell r="H494" t="str">
            <v>+</v>
          </cell>
          <cell r="I494">
            <v>1801</v>
          </cell>
          <cell r="J494">
            <v>0</v>
          </cell>
          <cell r="K494">
            <v>0</v>
          </cell>
        </row>
        <row r="495">
          <cell r="A495">
            <v>8077420</v>
          </cell>
          <cell r="B495" t="str">
            <v>Сверло п/мет 9,9мм титан 6шт бокс Профи Атака</v>
          </cell>
          <cell r="C495" t="str">
            <v>упак</v>
          </cell>
          <cell r="D495">
            <v>1</v>
          </cell>
          <cell r="E49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D=9,9мм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станков. Самоцентрирующееся острие с крестообразной подточкой снимает необходимость дополнительного накернивания и засверливания отверстий.</v>
          </cell>
          <cell r="F495">
            <v>1801</v>
          </cell>
          <cell r="G495">
            <v>2391</v>
          </cell>
          <cell r="H495" t="str">
            <v>+</v>
          </cell>
          <cell r="I495">
            <v>1801</v>
          </cell>
          <cell r="J495">
            <v>0</v>
          </cell>
          <cell r="K495">
            <v>0</v>
          </cell>
        </row>
        <row r="496">
          <cell r="A496">
            <v>8077430</v>
          </cell>
          <cell r="B496" t="str">
            <v>Сверло п/мет 10мм титан 6шт бокс Профи Атака</v>
          </cell>
          <cell r="C496" t="str">
            <v>упак</v>
          </cell>
          <cell r="D496">
            <v>1</v>
          </cell>
          <cell r="E49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496">
            <v>1837</v>
          </cell>
          <cell r="G496">
            <v>2442</v>
          </cell>
          <cell r="H496" t="str">
            <v>-</v>
          </cell>
          <cell r="I496">
            <v>1837</v>
          </cell>
          <cell r="J496">
            <v>0</v>
          </cell>
          <cell r="K496">
            <v>0</v>
          </cell>
        </row>
        <row r="497">
          <cell r="A497">
            <v>8077450</v>
          </cell>
          <cell r="B497" t="str">
            <v>Сверло п/мет 10,1мм титан 6шт бокс Профи Атака</v>
          </cell>
          <cell r="C497" t="str">
            <v>упак</v>
          </cell>
          <cell r="D497">
            <v>1</v>
          </cell>
          <cell r="E49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497">
            <v>1960</v>
          </cell>
          <cell r="G497">
            <v>2603</v>
          </cell>
          <cell r="H497" t="str">
            <v>+</v>
          </cell>
          <cell r="I497">
            <v>1960</v>
          </cell>
          <cell r="J497">
            <v>0</v>
          </cell>
          <cell r="K497">
            <v>0</v>
          </cell>
        </row>
        <row r="498">
          <cell r="A498">
            <v>8077460</v>
          </cell>
          <cell r="B498" t="str">
            <v>Сверло п/мет 10,2мм титан 6шт бокс Профи Атака</v>
          </cell>
          <cell r="C498" t="str">
            <v>упак</v>
          </cell>
          <cell r="D498">
            <v>1</v>
          </cell>
          <cell r="E49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498">
            <v>1960</v>
          </cell>
          <cell r="G498">
            <v>2603</v>
          </cell>
          <cell r="H498" t="str">
            <v>+</v>
          </cell>
          <cell r="I498">
            <v>1960</v>
          </cell>
          <cell r="J498">
            <v>0</v>
          </cell>
          <cell r="K498">
            <v>0</v>
          </cell>
        </row>
        <row r="499">
          <cell r="A499">
            <v>8077470</v>
          </cell>
          <cell r="B499" t="str">
            <v>Сверло п/мет 10,3мм титан 6шт бокс Профи Атака</v>
          </cell>
          <cell r="C499" t="str">
            <v>упак</v>
          </cell>
          <cell r="D499">
            <v>1</v>
          </cell>
          <cell r="E49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499">
            <v>2022</v>
          </cell>
          <cell r="G499">
            <v>2688</v>
          </cell>
          <cell r="H499" t="str">
            <v>-</v>
          </cell>
          <cell r="I499">
            <v>2022</v>
          </cell>
          <cell r="J499">
            <v>0</v>
          </cell>
          <cell r="K499">
            <v>0</v>
          </cell>
        </row>
        <row r="500">
          <cell r="A500">
            <v>8077480</v>
          </cell>
          <cell r="B500" t="str">
            <v>Сверло п/мет 10,4мм титан 6шт бокс Профи Атака</v>
          </cell>
          <cell r="C500" t="str">
            <v>упак</v>
          </cell>
          <cell r="D500">
            <v>1</v>
          </cell>
          <cell r="E50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0">
            <v>2022</v>
          </cell>
          <cell r="G500">
            <v>2688</v>
          </cell>
          <cell r="H500" t="str">
            <v>+</v>
          </cell>
          <cell r="I500">
            <v>2022</v>
          </cell>
          <cell r="J500">
            <v>0</v>
          </cell>
          <cell r="K500">
            <v>0</v>
          </cell>
        </row>
        <row r="501">
          <cell r="A501">
            <v>8077490</v>
          </cell>
          <cell r="B501" t="str">
            <v>Сверло п/мет 10,5мм титан 6шт бокс Профи Атака</v>
          </cell>
          <cell r="C501" t="str">
            <v>упак</v>
          </cell>
          <cell r="D501">
            <v>1</v>
          </cell>
          <cell r="E50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1">
            <v>2054</v>
          </cell>
          <cell r="G501">
            <v>2730</v>
          </cell>
          <cell r="H501" t="str">
            <v>+</v>
          </cell>
          <cell r="I501">
            <v>2054</v>
          </cell>
          <cell r="J501">
            <v>0</v>
          </cell>
          <cell r="K501">
            <v>0</v>
          </cell>
        </row>
        <row r="502">
          <cell r="A502">
            <v>8077500</v>
          </cell>
          <cell r="B502" t="str">
            <v>Сверло п/мет 10,6мм титан 6шт бокс Профи Атака</v>
          </cell>
          <cell r="C502" t="str">
            <v>упак</v>
          </cell>
          <cell r="D502">
            <v>1</v>
          </cell>
          <cell r="E50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2">
            <v>2220</v>
          </cell>
          <cell r="G502">
            <v>2950</v>
          </cell>
          <cell r="H502" t="str">
            <v>+</v>
          </cell>
          <cell r="I502">
            <v>2220</v>
          </cell>
          <cell r="J502">
            <v>0</v>
          </cell>
          <cell r="K502">
            <v>0</v>
          </cell>
        </row>
        <row r="503">
          <cell r="A503">
            <v>8077510</v>
          </cell>
          <cell r="B503" t="str">
            <v>Сверло п/мет 10,7мм титан 6шт бокс Профи Атака</v>
          </cell>
          <cell r="C503" t="str">
            <v>упак</v>
          </cell>
          <cell r="D503">
            <v>1</v>
          </cell>
          <cell r="E50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3">
            <v>2220</v>
          </cell>
          <cell r="G503">
            <v>2950</v>
          </cell>
          <cell r="H503" t="str">
            <v>+</v>
          </cell>
          <cell r="I503">
            <v>2220</v>
          </cell>
          <cell r="J503">
            <v>0</v>
          </cell>
          <cell r="K503">
            <v>0</v>
          </cell>
        </row>
        <row r="504">
          <cell r="A504">
            <v>8077520</v>
          </cell>
          <cell r="B504" t="str">
            <v>Сверло п/мет 10,8мм титан 6шт бокс Профи Атака</v>
          </cell>
          <cell r="C504" t="str">
            <v>упак</v>
          </cell>
          <cell r="D504">
            <v>1</v>
          </cell>
          <cell r="E50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4">
            <v>2220</v>
          </cell>
          <cell r="G504">
            <v>2950</v>
          </cell>
          <cell r="H504" t="str">
            <v>-</v>
          </cell>
          <cell r="I504">
            <v>2220</v>
          </cell>
          <cell r="J504">
            <v>0</v>
          </cell>
          <cell r="K504">
            <v>0</v>
          </cell>
        </row>
        <row r="505">
          <cell r="A505">
            <v>8077530</v>
          </cell>
          <cell r="B505" t="str">
            <v>Сверло п/мет 10,9мм титан 6шт бокс Профи Атака</v>
          </cell>
          <cell r="C505" t="str">
            <v>упак</v>
          </cell>
          <cell r="D505">
            <v>1</v>
          </cell>
          <cell r="E50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D=10,9мм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5">
            <v>2074</v>
          </cell>
          <cell r="G505">
            <v>2757</v>
          </cell>
          <cell r="H505" t="str">
            <v>-</v>
          </cell>
          <cell r="I505">
            <v>2074</v>
          </cell>
          <cell r="J505">
            <v>0</v>
          </cell>
          <cell r="K505">
            <v>0</v>
          </cell>
        </row>
        <row r="506">
          <cell r="A506">
            <v>8077540</v>
          </cell>
          <cell r="B506" t="str">
            <v>Сверло п/мет 11мм титан 6шт бокс Профи Атака</v>
          </cell>
          <cell r="C506" t="str">
            <v>упак</v>
          </cell>
          <cell r="D506">
            <v>1</v>
          </cell>
          <cell r="E50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6">
            <v>2280</v>
          </cell>
          <cell r="G506">
            <v>3034</v>
          </cell>
          <cell r="H506" t="str">
            <v>+</v>
          </cell>
          <cell r="I506">
            <v>2280</v>
          </cell>
          <cell r="J506">
            <v>0</v>
          </cell>
          <cell r="K506">
            <v>0</v>
          </cell>
        </row>
        <row r="507">
          <cell r="A507">
            <v>8077550</v>
          </cell>
          <cell r="B507" t="str">
            <v>Сверло п/мет 11,1мм титан 6шт бокс Профи Атака</v>
          </cell>
          <cell r="C507" t="str">
            <v>упак</v>
          </cell>
          <cell r="D507">
            <v>1</v>
          </cell>
          <cell r="E50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7">
            <v>2527</v>
          </cell>
          <cell r="G507">
            <v>3359</v>
          </cell>
          <cell r="H507" t="str">
            <v>+</v>
          </cell>
          <cell r="I507">
            <v>2527</v>
          </cell>
          <cell r="J507">
            <v>0</v>
          </cell>
          <cell r="K507">
            <v>0</v>
          </cell>
        </row>
        <row r="508">
          <cell r="A508">
            <v>8077560</v>
          </cell>
          <cell r="B508" t="str">
            <v>Сверло п/мет 11,2мм титан 6шт бокс Профи Атака</v>
          </cell>
          <cell r="C508" t="str">
            <v>упак</v>
          </cell>
          <cell r="D508">
            <v>1</v>
          </cell>
          <cell r="E50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8">
            <v>2527</v>
          </cell>
          <cell r="G508">
            <v>3359</v>
          </cell>
          <cell r="H508" t="str">
            <v>+</v>
          </cell>
          <cell r="I508">
            <v>2527</v>
          </cell>
          <cell r="J508">
            <v>0</v>
          </cell>
          <cell r="K508">
            <v>0</v>
          </cell>
        </row>
        <row r="509">
          <cell r="A509">
            <v>8077570</v>
          </cell>
          <cell r="B509" t="str">
            <v>Сверло п/мет 11,3мм титан 6шт бокс Профи Атака</v>
          </cell>
          <cell r="C509" t="str">
            <v>упак</v>
          </cell>
          <cell r="D509">
            <v>1</v>
          </cell>
          <cell r="E50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09">
            <v>2362</v>
          </cell>
          <cell r="G509">
            <v>3140</v>
          </cell>
          <cell r="H509" t="str">
            <v>-</v>
          </cell>
          <cell r="I509">
            <v>2362</v>
          </cell>
          <cell r="J509">
            <v>0</v>
          </cell>
          <cell r="K509">
            <v>0</v>
          </cell>
        </row>
        <row r="510">
          <cell r="A510">
            <v>8077580</v>
          </cell>
          <cell r="B510" t="str">
            <v>Сверло п/мет 11,4мм титан 6шт бокс Профи Атака</v>
          </cell>
          <cell r="C510" t="str">
            <v>упак</v>
          </cell>
          <cell r="D510">
            <v>1</v>
          </cell>
          <cell r="E51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10">
            <v>2362</v>
          </cell>
          <cell r="G510">
            <v>3140</v>
          </cell>
          <cell r="H510" t="str">
            <v>+</v>
          </cell>
          <cell r="I510">
            <v>2362</v>
          </cell>
          <cell r="J510">
            <v>0</v>
          </cell>
          <cell r="K510">
            <v>0</v>
          </cell>
        </row>
        <row r="511">
          <cell r="A511">
            <v>8077590</v>
          </cell>
          <cell r="B511" t="str">
            <v>Сверло п/мет 11,5мм титан 6шт бокс Профи Атака</v>
          </cell>
          <cell r="C511" t="str">
            <v>упак</v>
          </cell>
          <cell r="D511">
            <v>1</v>
          </cell>
          <cell r="E51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11">
            <v>2527</v>
          </cell>
          <cell r="G511">
            <v>3359</v>
          </cell>
          <cell r="H511" t="str">
            <v>+</v>
          </cell>
          <cell r="I511">
            <v>2527</v>
          </cell>
          <cell r="J511">
            <v>0</v>
          </cell>
          <cell r="K511">
            <v>0</v>
          </cell>
        </row>
        <row r="512">
          <cell r="A512">
            <v>8077600</v>
          </cell>
          <cell r="B512" t="str">
            <v>Сверло п/мет 11,6мм титан 6шт бокс Профи Атака</v>
          </cell>
          <cell r="C512" t="str">
            <v>упак</v>
          </cell>
          <cell r="D512">
            <v>1</v>
          </cell>
          <cell r="E51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12">
            <v>2829</v>
          </cell>
          <cell r="G512">
            <v>3763</v>
          </cell>
          <cell r="H512" t="str">
            <v>+</v>
          </cell>
          <cell r="I512">
            <v>2829</v>
          </cell>
          <cell r="J512">
            <v>0</v>
          </cell>
          <cell r="K512">
            <v>0</v>
          </cell>
        </row>
        <row r="513">
          <cell r="A513">
            <v>8077610</v>
          </cell>
          <cell r="B513" t="str">
            <v>Сверло п/мет 11,7мм титан 6шт бокс Профи Атака</v>
          </cell>
          <cell r="C513" t="str">
            <v>упак</v>
          </cell>
          <cell r="D513">
            <v>1</v>
          </cell>
          <cell r="E51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13">
            <v>2829</v>
          </cell>
          <cell r="G513">
            <v>3763</v>
          </cell>
          <cell r="H513" t="str">
            <v>+</v>
          </cell>
          <cell r="I513">
            <v>2829</v>
          </cell>
          <cell r="J513">
            <v>0</v>
          </cell>
          <cell r="K513">
            <v>0</v>
          </cell>
        </row>
        <row r="514">
          <cell r="A514">
            <v>8077620</v>
          </cell>
          <cell r="B514" t="str">
            <v>Сверло п/мет 11,8мм титан 6шт бокс Профи Атака</v>
          </cell>
          <cell r="C514" t="str">
            <v>упак</v>
          </cell>
          <cell r="D514">
            <v>1</v>
          </cell>
          <cell r="E51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14">
            <v>2829</v>
          </cell>
          <cell r="G514">
            <v>3763</v>
          </cell>
          <cell r="H514" t="str">
            <v>+</v>
          </cell>
          <cell r="I514">
            <v>2829</v>
          </cell>
          <cell r="J514">
            <v>0</v>
          </cell>
          <cell r="K514">
            <v>0</v>
          </cell>
        </row>
        <row r="515">
          <cell r="A515">
            <v>8077630</v>
          </cell>
          <cell r="B515" t="str">
            <v>Сверло п/мет 11,9мм титан 6шт бокс Профи Атака</v>
          </cell>
          <cell r="C515" t="str">
            <v>упак</v>
          </cell>
          <cell r="D515">
            <v>1</v>
          </cell>
          <cell r="E51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D=11,9мм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15">
            <v>2829</v>
          </cell>
          <cell r="G515">
            <v>3763</v>
          </cell>
          <cell r="H515" t="str">
            <v>+</v>
          </cell>
          <cell r="I515">
            <v>2829</v>
          </cell>
          <cell r="J515">
            <v>0</v>
          </cell>
          <cell r="K515">
            <v>0</v>
          </cell>
        </row>
        <row r="516">
          <cell r="A516">
            <v>8077640</v>
          </cell>
          <cell r="B516" t="str">
            <v>Сверло п/мет 12мм титан 6шт бокс Профи Атака</v>
          </cell>
          <cell r="C516" t="str">
            <v>упак</v>
          </cell>
          <cell r="D516">
            <v>1</v>
          </cell>
          <cell r="E51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6шт 
Подходит для сверления мягких и средних по твердости металлов, используется всеми типами дрелей и станков</v>
          </cell>
          <cell r="F516">
            <v>2829</v>
          </cell>
          <cell r="G516">
            <v>3763</v>
          </cell>
          <cell r="H516" t="str">
            <v>+</v>
          </cell>
          <cell r="I516">
            <v>2829</v>
          </cell>
          <cell r="J516">
            <v>0</v>
          </cell>
          <cell r="K516">
            <v>0</v>
          </cell>
        </row>
        <row r="517">
          <cell r="A517">
            <v>8077650</v>
          </cell>
          <cell r="B517" t="str">
            <v>Сверло п/мет 12,1мм титан 4шт бокс Профи Атака</v>
          </cell>
          <cell r="C517" t="str">
            <v>упак</v>
          </cell>
          <cell r="D517">
            <v>1</v>
          </cell>
          <cell r="E51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D=12,1мм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17">
            <v>2042</v>
          </cell>
          <cell r="G517">
            <v>2717</v>
          </cell>
          <cell r="H517" t="str">
            <v>-</v>
          </cell>
          <cell r="I517">
            <v>2042</v>
          </cell>
          <cell r="J517">
            <v>0</v>
          </cell>
          <cell r="K517">
            <v>0</v>
          </cell>
        </row>
        <row r="518">
          <cell r="A518">
            <v>8077660</v>
          </cell>
          <cell r="B518" t="str">
            <v>Сверло п/мет 12,2мм титан 4шт бокс Профи Атака</v>
          </cell>
          <cell r="C518" t="str">
            <v>упак</v>
          </cell>
          <cell r="D518">
            <v>1</v>
          </cell>
          <cell r="E51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D=12,2мм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18">
            <v>2042</v>
          </cell>
          <cell r="G518">
            <v>2717</v>
          </cell>
          <cell r="H518" t="str">
            <v>+</v>
          </cell>
          <cell r="I518">
            <v>2042</v>
          </cell>
          <cell r="J518">
            <v>0</v>
          </cell>
          <cell r="K518">
            <v>0</v>
          </cell>
        </row>
        <row r="519">
          <cell r="A519">
            <v>8077670</v>
          </cell>
          <cell r="B519" t="str">
            <v>Сверло п/мет 12,3мм титан 4шт бокс Профи Атака</v>
          </cell>
          <cell r="C519" t="str">
            <v>упак</v>
          </cell>
          <cell r="D519">
            <v>1</v>
          </cell>
          <cell r="E51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19">
            <v>2042</v>
          </cell>
          <cell r="G519">
            <v>2717</v>
          </cell>
          <cell r="H519" t="str">
            <v>+</v>
          </cell>
          <cell r="I519">
            <v>2042</v>
          </cell>
          <cell r="J519">
            <v>0</v>
          </cell>
          <cell r="K519">
            <v>0</v>
          </cell>
        </row>
        <row r="520">
          <cell r="A520">
            <v>8077680</v>
          </cell>
          <cell r="B520" t="str">
            <v>Сверло п/мет 12,4мм титан 4шт бокс Профи Атака</v>
          </cell>
          <cell r="C520" t="str">
            <v>упак</v>
          </cell>
          <cell r="D520">
            <v>1</v>
          </cell>
          <cell r="E52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D=12,4мм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20">
            <v>2042</v>
          </cell>
          <cell r="G520">
            <v>2717</v>
          </cell>
          <cell r="H520" t="str">
            <v>-</v>
          </cell>
          <cell r="I520">
            <v>2042</v>
          </cell>
          <cell r="J520">
            <v>0</v>
          </cell>
          <cell r="K520">
            <v>0</v>
          </cell>
        </row>
        <row r="521">
          <cell r="A521">
            <v>8077690</v>
          </cell>
          <cell r="B521" t="str">
            <v>Сверло п/мет 12,5мм титан 4шт бокс Профи Атака</v>
          </cell>
          <cell r="C521" t="str">
            <v>упак</v>
          </cell>
          <cell r="D521">
            <v>1</v>
          </cell>
          <cell r="E52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21">
            <v>2042</v>
          </cell>
          <cell r="G521">
            <v>2717</v>
          </cell>
          <cell r="H521" t="str">
            <v>+</v>
          </cell>
          <cell r="I521">
            <v>2042</v>
          </cell>
          <cell r="J521">
            <v>0</v>
          </cell>
          <cell r="K521">
            <v>0</v>
          </cell>
        </row>
        <row r="522">
          <cell r="A522">
            <v>8077700</v>
          </cell>
          <cell r="B522" t="str">
            <v>Сверло п/мет 12,6мм титан 4шт бокс Профи Атака</v>
          </cell>
          <cell r="C522" t="str">
            <v>упак</v>
          </cell>
          <cell r="D522">
            <v>1</v>
          </cell>
          <cell r="E52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D=12,6мм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22">
            <v>2188</v>
          </cell>
          <cell r="G522">
            <v>2906</v>
          </cell>
          <cell r="H522" t="str">
            <v>+</v>
          </cell>
          <cell r="I522">
            <v>2188</v>
          </cell>
          <cell r="J522">
            <v>0</v>
          </cell>
          <cell r="K522">
            <v>0</v>
          </cell>
        </row>
        <row r="523">
          <cell r="A523">
            <v>8077710</v>
          </cell>
          <cell r="B523" t="str">
            <v>Сверло п/мет 12,7мм титан 4шт бокс Профи Атака</v>
          </cell>
          <cell r="C523" t="str">
            <v>упак</v>
          </cell>
          <cell r="D523">
            <v>1</v>
          </cell>
          <cell r="E52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D=12,7мм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23">
            <v>2188</v>
          </cell>
          <cell r="G523">
            <v>2906</v>
          </cell>
          <cell r="H523" t="str">
            <v>-</v>
          </cell>
          <cell r="I523">
            <v>2188</v>
          </cell>
          <cell r="J523">
            <v>0</v>
          </cell>
          <cell r="K523">
            <v>0</v>
          </cell>
        </row>
        <row r="524">
          <cell r="A524">
            <v>8077720</v>
          </cell>
          <cell r="B524" t="str">
            <v>Сверло п/мет 12,8мм титан 4шт бокс Профи Атака</v>
          </cell>
          <cell r="C524" t="str">
            <v>упак</v>
          </cell>
          <cell r="D524">
            <v>1</v>
          </cell>
          <cell r="E52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D=12,8мм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24">
            <v>2188</v>
          </cell>
          <cell r="G524">
            <v>2906</v>
          </cell>
          <cell r="H524" t="str">
            <v>-</v>
          </cell>
          <cell r="I524">
            <v>2188</v>
          </cell>
          <cell r="J524">
            <v>0</v>
          </cell>
          <cell r="K524">
            <v>0</v>
          </cell>
        </row>
        <row r="525">
          <cell r="A525">
            <v>8077730</v>
          </cell>
          <cell r="B525" t="str">
            <v>Сверло п/мет 12,9мм титан 4шт бокс Профи Атака</v>
          </cell>
          <cell r="C525" t="str">
            <v>упак</v>
          </cell>
          <cell r="D525">
            <v>1</v>
          </cell>
          <cell r="E52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D=12,9мм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25">
            <v>2044</v>
          </cell>
          <cell r="G525">
            <v>2717</v>
          </cell>
          <cell r="H525" t="str">
            <v>-</v>
          </cell>
          <cell r="I525">
            <v>2044</v>
          </cell>
          <cell r="J525">
            <v>0</v>
          </cell>
          <cell r="K525">
            <v>0</v>
          </cell>
        </row>
        <row r="526">
          <cell r="A526">
            <v>8077740</v>
          </cell>
          <cell r="B526" t="str">
            <v>Сверло п/мет 13мм титан 4шт бокс Профи Атака</v>
          </cell>
          <cell r="C526" t="str">
            <v>упак</v>
          </cell>
          <cell r="D526">
            <v>1</v>
          </cell>
          <cell r="E52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металлу D=13мм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бокс, 4шт 
Подходит для сверления мягких и средних по твердости металлов, используется всеми типами дрелей и станков</v>
          </cell>
          <cell r="F526">
            <v>2188</v>
          </cell>
          <cell r="G526">
            <v>2906</v>
          </cell>
          <cell r="H526" t="str">
            <v>+</v>
          </cell>
          <cell r="I526">
            <v>2188</v>
          </cell>
          <cell r="J526">
            <v>0</v>
          </cell>
          <cell r="K526">
            <v>0</v>
          </cell>
        </row>
        <row r="527">
          <cell r="A527">
            <v>8089940</v>
          </cell>
          <cell r="B527" t="str">
            <v>Сверло п/мет ступ. 4-12мм*5ступ. титан бокс профи Атака</v>
          </cell>
          <cell r="C527" t="str">
            <v>шт</v>
          </cell>
          <cell r="D527">
            <v>1</v>
          </cell>
          <cell r="E52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4-12мм 5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27">
            <v>552</v>
          </cell>
          <cell r="G527">
            <v>731</v>
          </cell>
          <cell r="H527" t="str">
            <v>+</v>
          </cell>
          <cell r="I527">
            <v>552</v>
          </cell>
          <cell r="J527">
            <v>0</v>
          </cell>
          <cell r="K527">
            <v>0</v>
          </cell>
        </row>
        <row r="528">
          <cell r="A528">
            <v>8089950</v>
          </cell>
          <cell r="B528" t="str">
            <v>Сверло п/мет ступ. 4-12мм*9ступ. титан бокс профи Атака</v>
          </cell>
          <cell r="C528" t="str">
            <v>шт</v>
          </cell>
          <cell r="D528">
            <v>1</v>
          </cell>
          <cell r="E52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4-12мм 9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28">
            <v>552</v>
          </cell>
          <cell r="G528">
            <v>731</v>
          </cell>
          <cell r="H528" t="str">
            <v>+</v>
          </cell>
          <cell r="I528">
            <v>552</v>
          </cell>
          <cell r="J528">
            <v>0</v>
          </cell>
          <cell r="K528">
            <v>0</v>
          </cell>
        </row>
        <row r="529">
          <cell r="A529">
            <v>8089960</v>
          </cell>
          <cell r="B529" t="str">
            <v>Сверло п/мет ступ. 4-20мм*9ступ. титан бокс профи Атака</v>
          </cell>
          <cell r="C529" t="str">
            <v>шт</v>
          </cell>
          <cell r="D529">
            <v>1</v>
          </cell>
          <cell r="E52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4-20мм 9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29">
            <v>1118</v>
          </cell>
          <cell r="G529">
            <v>1485</v>
          </cell>
          <cell r="H529" t="str">
            <v>-</v>
          </cell>
          <cell r="I529">
            <v>1118</v>
          </cell>
          <cell r="J529">
            <v>0</v>
          </cell>
          <cell r="K529">
            <v>0</v>
          </cell>
        </row>
        <row r="530">
          <cell r="A530">
            <v>8089970</v>
          </cell>
          <cell r="B530" t="str">
            <v>Сверло п/мет ступ. 4-22мм*10ступ. титан бокс профи Атака</v>
          </cell>
          <cell r="C530" t="str">
            <v>шт</v>
          </cell>
          <cell r="D530">
            <v>1</v>
          </cell>
          <cell r="E53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4-22мм 10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0">
            <v>1374</v>
          </cell>
          <cell r="G530">
            <v>1825</v>
          </cell>
          <cell r="H530" t="str">
            <v>+</v>
          </cell>
          <cell r="I530">
            <v>1374</v>
          </cell>
          <cell r="J530">
            <v>0</v>
          </cell>
          <cell r="K530">
            <v>0</v>
          </cell>
        </row>
        <row r="531">
          <cell r="A531">
            <v>8089980</v>
          </cell>
          <cell r="B531" t="str">
            <v>Сверло п/мет ступ. 4-30мм*14ступ. титан бокс профи Атака</v>
          </cell>
          <cell r="C531" t="str">
            <v>шт</v>
          </cell>
          <cell r="D531">
            <v>1</v>
          </cell>
          <cell r="E53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4-30мм 14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1">
            <v>2616</v>
          </cell>
          <cell r="G531">
            <v>3474</v>
          </cell>
          <cell r="H531" t="str">
            <v>+</v>
          </cell>
          <cell r="I531">
            <v>2616</v>
          </cell>
          <cell r="J531">
            <v>0</v>
          </cell>
          <cell r="K531">
            <v>0</v>
          </cell>
        </row>
        <row r="532">
          <cell r="A532">
            <v>8089990</v>
          </cell>
          <cell r="B532" t="str">
            <v>Сверло п/мет ступ. 5-35мм*13ступ. титан бокс профи Атака</v>
          </cell>
          <cell r="C532" t="str">
            <v>шт</v>
          </cell>
          <cell r="D532">
            <v>1</v>
          </cell>
          <cell r="E53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5-35мм 13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2">
            <v>3390</v>
          </cell>
          <cell r="G532">
            <v>4504</v>
          </cell>
          <cell r="H532" t="str">
            <v>+</v>
          </cell>
          <cell r="I532">
            <v>3390</v>
          </cell>
          <cell r="J532">
            <v>0</v>
          </cell>
          <cell r="K532">
            <v>0</v>
          </cell>
        </row>
        <row r="533">
          <cell r="A533">
            <v>8090000</v>
          </cell>
          <cell r="B533" t="str">
            <v>Сверло п/мет ступ. 6-12мм*7ступ. титан бокс профи Атака</v>
          </cell>
          <cell r="C533" t="str">
            <v>шт</v>
          </cell>
          <cell r="D533">
            <v>1</v>
          </cell>
          <cell r="E53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6-12мм 7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3">
            <v>552</v>
          </cell>
          <cell r="G533">
            <v>731</v>
          </cell>
          <cell r="H533" t="str">
            <v>+</v>
          </cell>
          <cell r="I533">
            <v>552</v>
          </cell>
          <cell r="J533">
            <v>0</v>
          </cell>
          <cell r="K533">
            <v>0</v>
          </cell>
        </row>
        <row r="534">
          <cell r="A534">
            <v>8090010</v>
          </cell>
          <cell r="B534" t="str">
            <v>Сверло п/мет ступ. 6-18мм*7ступ. титан бокс профи Атака</v>
          </cell>
          <cell r="C534" t="str">
            <v>шт</v>
          </cell>
          <cell r="D534">
            <v>1</v>
          </cell>
          <cell r="E53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6-18мм 7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4">
            <v>962</v>
          </cell>
          <cell r="G534">
            <v>1278</v>
          </cell>
          <cell r="H534" t="str">
            <v>+</v>
          </cell>
          <cell r="I534">
            <v>962</v>
          </cell>
          <cell r="J534">
            <v>0</v>
          </cell>
          <cell r="K534">
            <v>0</v>
          </cell>
        </row>
        <row r="535">
          <cell r="A535">
            <v>8090020</v>
          </cell>
          <cell r="B535" t="str">
            <v>Сверло п/мет ступ. 6-20мм*8ступ. титан бокс профи Атака</v>
          </cell>
          <cell r="C535" t="str">
            <v>шт</v>
          </cell>
          <cell r="D535">
            <v>1</v>
          </cell>
          <cell r="E53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6-20мм 8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5">
            <v>1063</v>
          </cell>
          <cell r="G535">
            <v>1414</v>
          </cell>
          <cell r="H535" t="str">
            <v>+</v>
          </cell>
          <cell r="I535">
            <v>1063</v>
          </cell>
          <cell r="J535">
            <v>0</v>
          </cell>
          <cell r="K535">
            <v>0</v>
          </cell>
        </row>
        <row r="536">
          <cell r="A536">
            <v>8090030</v>
          </cell>
          <cell r="B536" t="str">
            <v>Сверло п/мет ступ. 10-20мм*11ступ. титан бокс профи Атака</v>
          </cell>
          <cell r="C536" t="str">
            <v>шт</v>
          </cell>
          <cell r="D536">
            <v>1</v>
          </cell>
          <cell r="E53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10-20мм 11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6">
            <v>1118</v>
          </cell>
          <cell r="G536">
            <v>1485</v>
          </cell>
          <cell r="H536" t="str">
            <v>+</v>
          </cell>
          <cell r="I536">
            <v>1118</v>
          </cell>
          <cell r="J536">
            <v>0</v>
          </cell>
          <cell r="K536">
            <v>0</v>
          </cell>
        </row>
        <row r="537">
          <cell r="A537">
            <v>8090040</v>
          </cell>
          <cell r="B537" t="str">
            <v>Сверло п/мет ступ. 14-24мм*6ступ. титан бокс профи Атака</v>
          </cell>
          <cell r="C537" t="str">
            <v>шт</v>
          </cell>
          <cell r="D537">
            <v>1</v>
          </cell>
          <cell r="E53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14-24мм 6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7">
            <v>1427</v>
          </cell>
          <cell r="G537">
            <v>1899</v>
          </cell>
          <cell r="H537" t="str">
            <v>+</v>
          </cell>
          <cell r="I537">
            <v>1427</v>
          </cell>
          <cell r="J537">
            <v>0</v>
          </cell>
          <cell r="K537">
            <v>0</v>
          </cell>
        </row>
        <row r="538">
          <cell r="A538">
            <v>8090050</v>
          </cell>
          <cell r="B538" t="str">
            <v>Сверло п/мет ступ. 20-30мм*11ступ. титан бокс профи Атака</v>
          </cell>
          <cell r="C538" t="str">
            <v>шт</v>
          </cell>
          <cell r="D538">
            <v>1</v>
          </cell>
          <cell r="E53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20-30мм 11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8">
            <v>2616</v>
          </cell>
          <cell r="G538">
            <v>3474</v>
          </cell>
          <cell r="H538" t="str">
            <v>-</v>
          </cell>
          <cell r="I538">
            <v>2616</v>
          </cell>
          <cell r="J538">
            <v>0</v>
          </cell>
          <cell r="K538">
            <v>0</v>
          </cell>
        </row>
        <row r="539">
          <cell r="A539">
            <v>8090060</v>
          </cell>
          <cell r="B539" t="str">
            <v>Сверло п/мет ступ. 20-34мм*8ступ. титан бокс профи Атака</v>
          </cell>
          <cell r="C539" t="str">
            <v>шт</v>
          </cell>
          <cell r="D539">
            <v>1</v>
          </cell>
          <cell r="E53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ступенчатое D= 20-34мм 8 ступеней 
Материал: инструментальная сталь  М2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
Упаковка: бокс  
Применяется для сверления отверстий различных диаметров в листовом металле</v>
          </cell>
          <cell r="F539">
            <v>3656</v>
          </cell>
          <cell r="G539">
            <v>4857</v>
          </cell>
          <cell r="H539" t="str">
            <v>+</v>
          </cell>
          <cell r="I539">
            <v>3656</v>
          </cell>
          <cell r="J539">
            <v>0</v>
          </cell>
          <cell r="K539">
            <v>0</v>
          </cell>
        </row>
        <row r="540">
          <cell r="A540">
            <v>8090070</v>
          </cell>
          <cell r="B540" t="str">
            <v>Сверло п/бет 4*75мм титан 10шт бокс профи Атака</v>
          </cell>
          <cell r="C540" t="str">
            <v>упак</v>
          </cell>
          <cell r="D540">
            <v>1</v>
          </cell>
          <cell r="E54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бетону 4*75мм 
Материал: инструментальная быстрорежущая сталь типа 
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v>
          </cell>
          <cell r="F540">
            <v>230</v>
          </cell>
          <cell r="G540">
            <v>307</v>
          </cell>
          <cell r="H540" t="str">
            <v>+</v>
          </cell>
          <cell r="I540">
            <v>230</v>
          </cell>
          <cell r="J540">
            <v>0</v>
          </cell>
          <cell r="K540">
            <v>0</v>
          </cell>
        </row>
        <row r="541">
          <cell r="A541">
            <v>8090080</v>
          </cell>
          <cell r="B541" t="str">
            <v>Сверло п/бет 5*85мм титан 10шт бокс профи Атака</v>
          </cell>
          <cell r="C541" t="str">
            <v>упак</v>
          </cell>
          <cell r="D541">
            <v>1</v>
          </cell>
          <cell r="E54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бетону 5*85мм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v>
          </cell>
          <cell r="F541">
            <v>289</v>
          </cell>
          <cell r="G541">
            <v>384</v>
          </cell>
          <cell r="H541" t="str">
            <v>+</v>
          </cell>
          <cell r="I541">
            <v>289</v>
          </cell>
          <cell r="J541">
            <v>0</v>
          </cell>
          <cell r="K541">
            <v>0</v>
          </cell>
        </row>
        <row r="542">
          <cell r="A542">
            <v>8090090</v>
          </cell>
          <cell r="B542" t="str">
            <v>Сверло п/бет 6*100мм титан 10шт бокс профи Атака</v>
          </cell>
          <cell r="C542" t="str">
            <v>упак</v>
          </cell>
          <cell r="D542">
            <v>1</v>
          </cell>
          <cell r="E54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бетону 6*100мм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v>
          </cell>
          <cell r="F542">
            <v>405</v>
          </cell>
          <cell r="G542">
            <v>540</v>
          </cell>
          <cell r="H542" t="str">
            <v>+</v>
          </cell>
          <cell r="I542">
            <v>405</v>
          </cell>
          <cell r="J542">
            <v>0</v>
          </cell>
          <cell r="K542">
            <v>0</v>
          </cell>
        </row>
        <row r="543">
          <cell r="A543">
            <v>8090100</v>
          </cell>
          <cell r="B543" t="str">
            <v>Сверло п/бет 6*120мм титан 10шт бокс профи Атака</v>
          </cell>
          <cell r="C543" t="str">
            <v>упак</v>
          </cell>
          <cell r="D543">
            <v>1</v>
          </cell>
          <cell r="E54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бетону 6*120мм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10шт </v>
          </cell>
          <cell r="F543">
            <v>426</v>
          </cell>
          <cell r="G543">
            <v>565</v>
          </cell>
          <cell r="H543" t="str">
            <v>+</v>
          </cell>
          <cell r="I543">
            <v>426</v>
          </cell>
          <cell r="J543">
            <v>0</v>
          </cell>
          <cell r="K543">
            <v>0</v>
          </cell>
        </row>
        <row r="544">
          <cell r="A544">
            <v>8090110</v>
          </cell>
          <cell r="B544" t="str">
            <v>Сверло п/бет 8*120мм титан 6шт бокс профи Атака</v>
          </cell>
          <cell r="C544" t="str">
            <v>упак</v>
          </cell>
          <cell r="D544">
            <v>1</v>
          </cell>
          <cell r="E54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бетону 8*120мм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6шт </v>
          </cell>
          <cell r="F544">
            <v>382</v>
          </cell>
          <cell r="G544">
            <v>507</v>
          </cell>
          <cell r="H544" t="str">
            <v>+</v>
          </cell>
          <cell r="I544">
            <v>382</v>
          </cell>
          <cell r="J544">
            <v>0</v>
          </cell>
          <cell r="K544">
            <v>0</v>
          </cell>
        </row>
        <row r="545">
          <cell r="A545">
            <v>8090120</v>
          </cell>
          <cell r="B545" t="str">
            <v>Сверло п/бет 10*120мм титан 6шт бокс профи Атака</v>
          </cell>
          <cell r="C545" t="str">
            <v>упак</v>
          </cell>
          <cell r="D545">
            <v>1</v>
          </cell>
          <cell r="E54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бетону 10*120мм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6шт </v>
          </cell>
          <cell r="F545">
            <v>541</v>
          </cell>
          <cell r="G545">
            <v>721</v>
          </cell>
          <cell r="H545" t="str">
            <v>+</v>
          </cell>
          <cell r="I545">
            <v>541</v>
          </cell>
          <cell r="J545">
            <v>0</v>
          </cell>
          <cell r="K545">
            <v>0</v>
          </cell>
        </row>
        <row r="546">
          <cell r="A546">
            <v>8090130</v>
          </cell>
          <cell r="B546" t="str">
            <v>Сверло п/бет 12*150мм титан 6шт бокс профи Атака</v>
          </cell>
          <cell r="C546" t="str">
            <v>упак</v>
          </cell>
          <cell r="D546">
            <v>1</v>
          </cell>
          <cell r="E54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бетону 12*150мм 
Материал: инструментальная быстрорежущая сталь типа HSS-G с покрытием из нитрида титана, отличающаяся повышенной стойкостью, низким уровнем радиальных биений и снижением трения на нережущих поверхностях сверла 
Упаковка: бокс, 6шт </v>
          </cell>
          <cell r="F546">
            <v>790</v>
          </cell>
          <cell r="G546">
            <v>1048</v>
          </cell>
          <cell r="H546" t="str">
            <v>+</v>
          </cell>
          <cell r="I546">
            <v>790</v>
          </cell>
          <cell r="J546">
            <v>0</v>
          </cell>
          <cell r="K546">
            <v>0</v>
          </cell>
        </row>
        <row r="547">
          <cell r="A547">
            <v>8090140</v>
          </cell>
          <cell r="B547" t="str">
            <v>Сверло п/дер винт. 6*230мм бокс профи Атака</v>
          </cell>
          <cell r="C547" t="str">
            <v>шт</v>
          </cell>
          <cell r="D547">
            <v>1</v>
          </cell>
          <cell r="E54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6*230мм 
Упаковка: бокс</v>
          </cell>
          <cell r="F547">
            <v>134</v>
          </cell>
          <cell r="G547">
            <v>178</v>
          </cell>
          <cell r="H547" t="str">
            <v>+</v>
          </cell>
          <cell r="I547">
            <v>134</v>
          </cell>
          <cell r="J547">
            <v>0</v>
          </cell>
          <cell r="K547">
            <v>0</v>
          </cell>
        </row>
        <row r="548">
          <cell r="A548">
            <v>8090150</v>
          </cell>
          <cell r="B548" t="str">
            <v>Сверло п/дер винт. 8*230мм бокс профи Атака</v>
          </cell>
          <cell r="C548" t="str">
            <v>шт</v>
          </cell>
          <cell r="D548">
            <v>1</v>
          </cell>
          <cell r="E54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8*230мм 
Упаковка: бокс</v>
          </cell>
          <cell r="F548">
            <v>134</v>
          </cell>
          <cell r="G548">
            <v>178</v>
          </cell>
          <cell r="H548" t="str">
            <v>+</v>
          </cell>
          <cell r="I548">
            <v>134</v>
          </cell>
          <cell r="J548">
            <v>0</v>
          </cell>
          <cell r="K548">
            <v>0</v>
          </cell>
        </row>
        <row r="549">
          <cell r="A549">
            <v>8090170</v>
          </cell>
          <cell r="B549" t="str">
            <v>Сверло п/дер винт. 10*230мм бокс профи Атака</v>
          </cell>
          <cell r="C549" t="str">
            <v>шт</v>
          </cell>
          <cell r="D549">
            <v>1</v>
          </cell>
          <cell r="E54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10*230мм 
Упаковка: бокс</v>
          </cell>
          <cell r="F549">
            <v>146</v>
          </cell>
          <cell r="G549">
            <v>194</v>
          </cell>
          <cell r="H549" t="str">
            <v>+</v>
          </cell>
          <cell r="I549">
            <v>146</v>
          </cell>
          <cell r="J549">
            <v>0</v>
          </cell>
          <cell r="K549">
            <v>0</v>
          </cell>
        </row>
        <row r="550">
          <cell r="A550">
            <v>8090180</v>
          </cell>
          <cell r="B550" t="str">
            <v>Сверло п/дер винт. 10*460мм бокс профи Атака</v>
          </cell>
          <cell r="C550" t="str">
            <v>шт</v>
          </cell>
          <cell r="D550">
            <v>1</v>
          </cell>
          <cell r="E55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10*460мм 
Упаковка: бокс</v>
          </cell>
          <cell r="F550">
            <v>237</v>
          </cell>
          <cell r="G550">
            <v>315</v>
          </cell>
          <cell r="H550" t="str">
            <v>+</v>
          </cell>
          <cell r="I550">
            <v>237</v>
          </cell>
          <cell r="J550">
            <v>0</v>
          </cell>
          <cell r="K550">
            <v>0</v>
          </cell>
        </row>
        <row r="551">
          <cell r="A551">
            <v>8090190</v>
          </cell>
          <cell r="B551" t="str">
            <v>Сверло п/дер винт. 12*230мм бокс профи Атака</v>
          </cell>
          <cell r="C551" t="str">
            <v>шт</v>
          </cell>
          <cell r="D551">
            <v>1</v>
          </cell>
          <cell r="E55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12*230мм 
Упаковка: бокс</v>
          </cell>
          <cell r="F551">
            <v>173</v>
          </cell>
          <cell r="G551">
            <v>228</v>
          </cell>
          <cell r="H551" t="str">
            <v>+</v>
          </cell>
          <cell r="I551">
            <v>173</v>
          </cell>
          <cell r="J551">
            <v>0</v>
          </cell>
          <cell r="K551">
            <v>0</v>
          </cell>
        </row>
        <row r="552">
          <cell r="A552">
            <v>8090200</v>
          </cell>
          <cell r="B552" t="str">
            <v>Сверло п/дер винт. 12*460мм бокс профи Атака</v>
          </cell>
          <cell r="C552" t="str">
            <v>шт</v>
          </cell>
          <cell r="D552">
            <v>1</v>
          </cell>
          <cell r="E55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12*460мм 
Упаковка: бокс</v>
          </cell>
          <cell r="F552">
            <v>281</v>
          </cell>
          <cell r="G552">
            <v>370</v>
          </cell>
          <cell r="H552" t="str">
            <v>+</v>
          </cell>
          <cell r="I552">
            <v>281</v>
          </cell>
          <cell r="J552">
            <v>0</v>
          </cell>
          <cell r="K552">
            <v>0</v>
          </cell>
        </row>
        <row r="553">
          <cell r="A553">
            <v>8090220</v>
          </cell>
          <cell r="B553" t="str">
            <v>Сверло п/дер винт. 16*230мм бокс профи Атака</v>
          </cell>
          <cell r="C553" t="str">
            <v>шт</v>
          </cell>
          <cell r="D553">
            <v>1</v>
          </cell>
          <cell r="E55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16*230мм 
Упаковка: бокс</v>
          </cell>
          <cell r="F553">
            <v>226</v>
          </cell>
          <cell r="G553">
            <v>297</v>
          </cell>
          <cell r="H553" t="str">
            <v>+</v>
          </cell>
          <cell r="I553">
            <v>226</v>
          </cell>
          <cell r="J553">
            <v>0</v>
          </cell>
          <cell r="K553">
            <v>0</v>
          </cell>
        </row>
        <row r="554">
          <cell r="A554">
            <v>8090240</v>
          </cell>
          <cell r="B554" t="str">
            <v>Сверло п/дер винт. 18*230мм бокс профи Атака</v>
          </cell>
          <cell r="C554" t="str">
            <v>шт</v>
          </cell>
          <cell r="D554">
            <v>1</v>
          </cell>
          <cell r="E55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18*230мм 
Упаковка: бокс</v>
          </cell>
          <cell r="F554">
            <v>266</v>
          </cell>
          <cell r="G554">
            <v>355</v>
          </cell>
          <cell r="H554" t="str">
            <v>+</v>
          </cell>
          <cell r="I554">
            <v>266</v>
          </cell>
          <cell r="J554">
            <v>0</v>
          </cell>
          <cell r="K554">
            <v>0</v>
          </cell>
        </row>
        <row r="555">
          <cell r="A555">
            <v>8090250</v>
          </cell>
          <cell r="B555" t="str">
            <v>Сверло п/дер винт. 18*460мм бокс профи Атака</v>
          </cell>
          <cell r="C555" t="str">
            <v>шт</v>
          </cell>
          <cell r="D555">
            <v>1</v>
          </cell>
          <cell r="E555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18*460мм 
Упаковка: бокс</v>
          </cell>
          <cell r="F555">
            <v>473</v>
          </cell>
          <cell r="G555">
            <v>630</v>
          </cell>
          <cell r="H555" t="str">
            <v>+</v>
          </cell>
          <cell r="I555">
            <v>473</v>
          </cell>
          <cell r="J555">
            <v>0</v>
          </cell>
          <cell r="K555">
            <v>0</v>
          </cell>
        </row>
        <row r="556">
          <cell r="A556">
            <v>8090260</v>
          </cell>
          <cell r="B556" t="str">
            <v>Сверло п/дер винт. 20*230мм бокс профи Атака</v>
          </cell>
          <cell r="C556" t="str">
            <v>шт</v>
          </cell>
          <cell r="D556">
            <v>1</v>
          </cell>
          <cell r="E556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20*230мм 
Упаковка: бокс</v>
          </cell>
          <cell r="F556">
            <v>308</v>
          </cell>
          <cell r="G556">
            <v>412</v>
          </cell>
          <cell r="H556" t="str">
            <v>+</v>
          </cell>
          <cell r="I556">
            <v>308</v>
          </cell>
          <cell r="J556">
            <v>0</v>
          </cell>
          <cell r="K556">
            <v>0</v>
          </cell>
        </row>
        <row r="557">
          <cell r="A557">
            <v>8090270</v>
          </cell>
          <cell r="B557" t="str">
            <v>Сверло п/дер винт. 20*460мм бокс профи Атака</v>
          </cell>
          <cell r="C557" t="str">
            <v>шт</v>
          </cell>
          <cell r="D557">
            <v>1</v>
          </cell>
          <cell r="E557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20*460мм 
Упаковка: бокс</v>
          </cell>
          <cell r="F557">
            <v>554</v>
          </cell>
          <cell r="G557">
            <v>735</v>
          </cell>
          <cell r="H557" t="str">
            <v>+</v>
          </cell>
          <cell r="I557">
            <v>554</v>
          </cell>
          <cell r="J557">
            <v>0</v>
          </cell>
          <cell r="K557">
            <v>0</v>
          </cell>
        </row>
        <row r="558">
          <cell r="A558">
            <v>8090210</v>
          </cell>
          <cell r="B558" t="str">
            <v>Сверло п/дер винт. 14*460мм бокс профи Атака</v>
          </cell>
          <cell r="C558" t="str">
            <v>шт</v>
          </cell>
          <cell r="D558">
            <v>1</v>
          </cell>
          <cell r="E558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20*460мм 
Упаковка: бокс</v>
          </cell>
          <cell r="F558">
            <v>318</v>
          </cell>
          <cell r="G558">
            <v>419</v>
          </cell>
          <cell r="H558" t="str">
            <v>+</v>
          </cell>
          <cell r="I558">
            <v>318</v>
          </cell>
          <cell r="J558">
            <v>0</v>
          </cell>
          <cell r="K558">
            <v>0</v>
          </cell>
        </row>
        <row r="559">
          <cell r="A559">
            <v>8090230</v>
          </cell>
          <cell r="B559" t="str">
            <v>Сверло п/дер винт. 16*460мм бокс профи Атака</v>
          </cell>
          <cell r="C559" t="str">
            <v>шт</v>
          </cell>
          <cell r="D559">
            <v>1</v>
          </cell>
          <cell r="E559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дереву винтовое 20*460мм 
Упаковка: бокс</v>
          </cell>
          <cell r="F559">
            <v>390</v>
          </cell>
          <cell r="G559">
            <v>514</v>
          </cell>
          <cell r="H559" t="str">
            <v>+</v>
          </cell>
          <cell r="I559">
            <v>390</v>
          </cell>
          <cell r="J559">
            <v>0</v>
          </cell>
          <cell r="K559">
            <v>0</v>
          </cell>
        </row>
        <row r="560">
          <cell r="A560">
            <v>8090280</v>
          </cell>
          <cell r="B560" t="str">
            <v>Сверло п/кафелю, стеклу 3мм 8шт бокс профи Атака</v>
          </cell>
          <cell r="C560" t="str">
            <v>упак</v>
          </cell>
          <cell r="D560">
            <v>1</v>
          </cell>
          <cell r="E560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3мм 
Упаковка: бокс, 8шт</v>
          </cell>
          <cell r="F560">
            <v>566</v>
          </cell>
          <cell r="G560">
            <v>753</v>
          </cell>
          <cell r="H560" t="str">
            <v>+</v>
          </cell>
          <cell r="I560">
            <v>566</v>
          </cell>
          <cell r="J560">
            <v>0</v>
          </cell>
          <cell r="K560">
            <v>0</v>
          </cell>
        </row>
        <row r="561">
          <cell r="A561">
            <v>8090290</v>
          </cell>
          <cell r="B561" t="str">
            <v>Сверло п/кафелю, стеклу 4мм 8шт бокс профи Атака</v>
          </cell>
          <cell r="C561" t="str">
            <v>упак</v>
          </cell>
          <cell r="D561">
            <v>1</v>
          </cell>
          <cell r="E561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4мм 
Упаковка: бокс, 8шт</v>
          </cell>
          <cell r="F561">
            <v>624</v>
          </cell>
          <cell r="G561">
            <v>829</v>
          </cell>
          <cell r="H561" t="str">
            <v>+</v>
          </cell>
          <cell r="I561">
            <v>624</v>
          </cell>
          <cell r="J561">
            <v>0</v>
          </cell>
          <cell r="K561">
            <v>0</v>
          </cell>
        </row>
        <row r="562">
          <cell r="A562">
            <v>8090300</v>
          </cell>
          <cell r="B562" t="str">
            <v>Сверло п/кафелю, стеклу 5мм 6шт бокс профи Атака</v>
          </cell>
          <cell r="C562" t="str">
            <v>упак</v>
          </cell>
          <cell r="D562">
            <v>1</v>
          </cell>
          <cell r="E562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5мм 
Упаковка: бокс, 6шт</v>
          </cell>
          <cell r="F562">
            <v>534</v>
          </cell>
          <cell r="G562">
            <v>709</v>
          </cell>
          <cell r="H562" t="str">
            <v>+</v>
          </cell>
          <cell r="I562">
            <v>534</v>
          </cell>
          <cell r="J562">
            <v>0</v>
          </cell>
          <cell r="K562">
            <v>0</v>
          </cell>
        </row>
        <row r="563">
          <cell r="A563">
            <v>8090310</v>
          </cell>
          <cell r="B563" t="str">
            <v>Сверло п/кафелю, стеклу 6мм 6шт бокс профи Атака</v>
          </cell>
          <cell r="C563" t="str">
            <v>упак</v>
          </cell>
          <cell r="D563">
            <v>1</v>
          </cell>
          <cell r="E563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6мм 
Упаковка: бокс, 6шт</v>
          </cell>
          <cell r="F563">
            <v>588</v>
          </cell>
          <cell r="G563">
            <v>782</v>
          </cell>
          <cell r="H563" t="str">
            <v>+</v>
          </cell>
          <cell r="I563">
            <v>588</v>
          </cell>
          <cell r="J563">
            <v>0</v>
          </cell>
          <cell r="K563">
            <v>0</v>
          </cell>
        </row>
        <row r="564">
          <cell r="A564">
            <v>8090320</v>
          </cell>
          <cell r="B564" t="str">
            <v>Сверло п/кафелю, стеклу 8мм 6шт бокс профи Атака</v>
          </cell>
          <cell r="C564" t="str">
            <v>упак</v>
          </cell>
          <cell r="D564">
            <v>1</v>
          </cell>
          <cell r="E564" t="str">
            <v>Сверла Атака являются самым популярным расходным инструмекнтом, который с успехом применяется и в быту и в производстве. 
Сверло Профи Атака по по кафелю и стеклу 8мм 
Упаковка: бокс, 6шт</v>
          </cell>
          <cell r="F564">
            <v>722</v>
          </cell>
          <cell r="G564">
            <v>959</v>
          </cell>
          <cell r="H564" t="str">
            <v>+</v>
          </cell>
          <cell r="I564">
            <v>722</v>
          </cell>
          <cell r="J564">
            <v>0</v>
          </cell>
          <cell r="K564">
            <v>0</v>
          </cell>
        </row>
        <row r="565">
          <cell r="A565">
            <v>8090330</v>
          </cell>
          <cell r="B565" t="str">
            <v>Сверло п/кафелю, стеклу 10мм 4шт бокс профи Атака</v>
          </cell>
          <cell r="C565" t="str">
            <v>упак</v>
          </cell>
          <cell r="D565">
            <v>1</v>
          </cell>
          <cell r="F565">
            <v>636</v>
          </cell>
          <cell r="G565">
            <v>844</v>
          </cell>
          <cell r="H565" t="str">
            <v>+</v>
          </cell>
          <cell r="I565">
            <v>636</v>
          </cell>
          <cell r="J565">
            <v>0</v>
          </cell>
          <cell r="K565">
            <v>0</v>
          </cell>
        </row>
        <row r="566">
          <cell r="A566" t="str">
            <v>Свёрла в блистере</v>
          </cell>
        </row>
        <row r="567">
          <cell r="A567" t="str">
            <v>Фрезы</v>
          </cell>
        </row>
        <row r="568">
          <cell r="A568">
            <v>38148</v>
          </cell>
          <cell r="B568" t="str">
            <v>Фреза Атака 001060 пазовая прямая D6/ф8/H16</v>
          </cell>
          <cell r="C568" t="str">
            <v>шт</v>
          </cell>
          <cell r="D568">
            <v>1</v>
          </cell>
          <cell r="E56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001060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68">
            <v>346</v>
          </cell>
          <cell r="G568">
            <v>458</v>
          </cell>
          <cell r="H568" t="str">
            <v>+</v>
          </cell>
          <cell r="I568">
            <v>346</v>
          </cell>
          <cell r="J568">
            <v>0</v>
          </cell>
          <cell r="K568">
            <v>0</v>
          </cell>
        </row>
        <row r="569">
          <cell r="A569">
            <v>38149</v>
          </cell>
          <cell r="B569" t="str">
            <v>Фреза Атака 001080 пазовая прямая D8/ф8/H20</v>
          </cell>
          <cell r="C569" t="str">
            <v>шт</v>
          </cell>
          <cell r="D569">
            <v>1</v>
          </cell>
          <cell r="E56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001080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69">
            <v>355</v>
          </cell>
          <cell r="G569">
            <v>472</v>
          </cell>
          <cell r="H569" t="str">
            <v>+</v>
          </cell>
          <cell r="I569">
            <v>355</v>
          </cell>
          <cell r="J569">
            <v>0</v>
          </cell>
          <cell r="K569">
            <v>0</v>
          </cell>
        </row>
        <row r="570">
          <cell r="A570">
            <v>38150</v>
          </cell>
          <cell r="B570" t="str">
            <v>Фреза Атака 001100 пазовая прямая D10/ф8/H20</v>
          </cell>
          <cell r="C570" t="str">
            <v>шт</v>
          </cell>
          <cell r="D570">
            <v>1</v>
          </cell>
          <cell r="E57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0">
            <v>381</v>
          </cell>
          <cell r="G570">
            <v>503</v>
          </cell>
          <cell r="H570" t="str">
            <v>+</v>
          </cell>
          <cell r="I570">
            <v>381</v>
          </cell>
          <cell r="J570">
            <v>0</v>
          </cell>
          <cell r="K570">
            <v>0</v>
          </cell>
        </row>
        <row r="571">
          <cell r="A571">
            <v>38151</v>
          </cell>
          <cell r="B571" t="str">
            <v>Фреза Атака 001120 пазовая прямая D12/ф8/H20</v>
          </cell>
          <cell r="C571" t="str">
            <v>шт</v>
          </cell>
          <cell r="D571">
            <v>1</v>
          </cell>
          <cell r="E57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001120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1">
            <v>397</v>
          </cell>
          <cell r="G571">
            <v>528</v>
          </cell>
          <cell r="H571" t="str">
            <v>+</v>
          </cell>
          <cell r="I571">
            <v>397</v>
          </cell>
          <cell r="J571">
            <v>0</v>
          </cell>
          <cell r="K571">
            <v>0</v>
          </cell>
        </row>
        <row r="572">
          <cell r="A572">
            <v>38152</v>
          </cell>
          <cell r="B572" t="str">
            <v>Фреза Атака 001160 пазовая прямая D16/ф8/H20</v>
          </cell>
          <cell r="C572" t="str">
            <v>шт</v>
          </cell>
          <cell r="D572">
            <v>1</v>
          </cell>
          <cell r="E57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2">
            <v>427</v>
          </cell>
          <cell r="G572">
            <v>569</v>
          </cell>
          <cell r="H572" t="str">
            <v>+</v>
          </cell>
          <cell r="I572">
            <v>427</v>
          </cell>
          <cell r="J572">
            <v>0</v>
          </cell>
          <cell r="K572">
            <v>0</v>
          </cell>
        </row>
        <row r="573">
          <cell r="A573">
            <v>38153</v>
          </cell>
          <cell r="B573" t="str">
            <v>Фреза Атака 001180 пазовая прямая D18/ф8/H20</v>
          </cell>
          <cell r="C573" t="str">
            <v>шт</v>
          </cell>
          <cell r="D573">
            <v>1</v>
          </cell>
          <cell r="E57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3">
            <v>467</v>
          </cell>
          <cell r="G573">
            <v>621</v>
          </cell>
          <cell r="H573" t="str">
            <v>+</v>
          </cell>
          <cell r="I573">
            <v>467</v>
          </cell>
          <cell r="J573">
            <v>0</v>
          </cell>
          <cell r="K573">
            <v>0</v>
          </cell>
        </row>
        <row r="574">
          <cell r="A574">
            <v>38154</v>
          </cell>
          <cell r="B574" t="str">
            <v>Фреза Атака 002060 пазовая прямая D6/ф12/H16</v>
          </cell>
          <cell r="C574" t="str">
            <v>шт</v>
          </cell>
          <cell r="D574">
            <v>1</v>
          </cell>
          <cell r="E57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002060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4">
            <v>352</v>
          </cell>
          <cell r="G574">
            <v>469</v>
          </cell>
          <cell r="H574" t="str">
            <v>+</v>
          </cell>
          <cell r="I574">
            <v>352</v>
          </cell>
          <cell r="J574">
            <v>0</v>
          </cell>
          <cell r="K574">
            <v>0</v>
          </cell>
        </row>
        <row r="575">
          <cell r="A575">
            <v>38155</v>
          </cell>
          <cell r="B575" t="str">
            <v>Фреза Атака 002080 пазовая прямая D8/ф12/H20</v>
          </cell>
          <cell r="C575" t="str">
            <v>шт</v>
          </cell>
          <cell r="D575">
            <v>1</v>
          </cell>
          <cell r="E57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002080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5">
            <v>362</v>
          </cell>
          <cell r="G575">
            <v>479</v>
          </cell>
          <cell r="H575" t="str">
            <v>+</v>
          </cell>
          <cell r="I575">
            <v>362</v>
          </cell>
          <cell r="J575">
            <v>0</v>
          </cell>
          <cell r="K575">
            <v>0</v>
          </cell>
        </row>
        <row r="576">
          <cell r="A576">
            <v>38156</v>
          </cell>
          <cell r="B576" t="str">
            <v>Фреза Атака 002100 пазовая прямая D10/ф12/H20</v>
          </cell>
          <cell r="C576" t="str">
            <v>шт</v>
          </cell>
          <cell r="D576">
            <v>1</v>
          </cell>
          <cell r="E57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6">
            <v>373</v>
          </cell>
          <cell r="G576">
            <v>497</v>
          </cell>
          <cell r="H576" t="str">
            <v>+</v>
          </cell>
          <cell r="I576">
            <v>373</v>
          </cell>
          <cell r="J576">
            <v>0</v>
          </cell>
          <cell r="K576">
            <v>0</v>
          </cell>
        </row>
        <row r="577">
          <cell r="A577">
            <v>38157</v>
          </cell>
          <cell r="B577" t="str">
            <v>Фреза Атака 002120 пазовая прямая D12/ф12/H20</v>
          </cell>
          <cell r="C577" t="str">
            <v>шт</v>
          </cell>
          <cell r="D577">
            <v>1</v>
          </cell>
          <cell r="E57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002120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7">
            <v>397</v>
          </cell>
          <cell r="G577">
            <v>528</v>
          </cell>
          <cell r="H577" t="str">
            <v>+</v>
          </cell>
          <cell r="I577">
            <v>397</v>
          </cell>
          <cell r="J577">
            <v>0</v>
          </cell>
          <cell r="K577">
            <v>0</v>
          </cell>
        </row>
        <row r="578">
          <cell r="A578">
            <v>38158</v>
          </cell>
          <cell r="B578" t="str">
            <v>Фреза Атака 002160 пазовая прямая D16/ф12/H20</v>
          </cell>
          <cell r="C578" t="str">
            <v>шт</v>
          </cell>
          <cell r="D578">
            <v>1</v>
          </cell>
          <cell r="E57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8">
            <v>426</v>
          </cell>
          <cell r="G578">
            <v>564</v>
          </cell>
          <cell r="H578" t="str">
            <v>+</v>
          </cell>
          <cell r="I578">
            <v>426</v>
          </cell>
          <cell r="J578">
            <v>0</v>
          </cell>
          <cell r="K578">
            <v>0</v>
          </cell>
        </row>
        <row r="579">
          <cell r="A579">
            <v>38159</v>
          </cell>
          <cell r="B579" t="str">
            <v>Фреза Атака 002180 пазовая прямая D18/ф12/H20</v>
          </cell>
          <cell r="C579" t="str">
            <v>шт</v>
          </cell>
          <cell r="D579">
            <v>1</v>
          </cell>
          <cell r="E57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002180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579">
            <v>472</v>
          </cell>
          <cell r="G579">
            <v>626</v>
          </cell>
          <cell r="H579" t="str">
            <v>+</v>
          </cell>
          <cell r="I579">
            <v>472</v>
          </cell>
          <cell r="J579">
            <v>0</v>
          </cell>
          <cell r="K579">
            <v>0</v>
          </cell>
        </row>
        <row r="580">
          <cell r="A580">
            <v>38160</v>
          </cell>
          <cell r="B580" t="str">
            <v>Фреза Атака 101127 пазовая конструкционная D12,7/ф8/H12</v>
          </cell>
          <cell r="C580" t="str">
            <v>шт</v>
          </cell>
          <cell r="D580">
            <v>1</v>
          </cell>
          <cell r="E58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101127 пазовая конструкционная.
Предназначена для выборки пазов прямого профиля типа "ласточкин хвост". Изготовлена из высококачественной стали. Используют для обработки дерева, ДСП и ламината.</v>
          </cell>
          <cell r="F580">
            <v>535</v>
          </cell>
          <cell r="G580">
            <v>710</v>
          </cell>
          <cell r="H580" t="str">
            <v>+</v>
          </cell>
          <cell r="I580">
            <v>535</v>
          </cell>
          <cell r="J580">
            <v>0</v>
          </cell>
          <cell r="K580">
            <v>0</v>
          </cell>
        </row>
        <row r="581">
          <cell r="A581">
            <v>38161</v>
          </cell>
          <cell r="B581" t="str">
            <v>Фреза Атака 102127 пазовая конструкционная D12,7/ф12/H12</v>
          </cell>
          <cell r="C581" t="str">
            <v>шт</v>
          </cell>
          <cell r="D581">
            <v>1</v>
          </cell>
          <cell r="E58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102127 пазовая конструкционная.
Предназначена для выборки пазов прямого профиля типа "ласточкин хвост". Изготовлена из высококачественной стали. Используют для обработки дерева, ДСП и ламината.</v>
          </cell>
          <cell r="F581">
            <v>507</v>
          </cell>
          <cell r="G581">
            <v>675</v>
          </cell>
          <cell r="H581" t="str">
            <v>+</v>
          </cell>
          <cell r="I581">
            <v>507</v>
          </cell>
          <cell r="J581">
            <v>0</v>
          </cell>
          <cell r="K581">
            <v>0</v>
          </cell>
        </row>
        <row r="582">
          <cell r="A582">
            <v>38162</v>
          </cell>
          <cell r="B582" t="str">
            <v>Фреза Атака 111127 пазовая галтельная V-образная-90 D12,7/ф8/H12,7</v>
          </cell>
          <cell r="C582" t="str">
            <v>шт</v>
          </cell>
          <cell r="D582">
            <v>1</v>
          </cell>
          <cell r="E58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111127 пазовая галтельная V-образная 90.
Предназначена для изготовления V-образного паза с целью креплений столярных изделий. Изготовлена из высококачественной стали. Используют для обработки дерева, ДСП и ламината.</v>
          </cell>
          <cell r="F582">
            <v>538</v>
          </cell>
          <cell r="G582">
            <v>712</v>
          </cell>
          <cell r="H582" t="str">
            <v>+</v>
          </cell>
          <cell r="I582">
            <v>538</v>
          </cell>
          <cell r="J582">
            <v>0</v>
          </cell>
          <cell r="K582">
            <v>0</v>
          </cell>
        </row>
        <row r="583">
          <cell r="A583">
            <v>38163</v>
          </cell>
          <cell r="B583" t="str">
            <v>Фреза Атака 112127 пазовая галтельная V-образная-90 D12,7/ф12/H12,7</v>
          </cell>
          <cell r="C583" t="str">
            <v>шт</v>
          </cell>
          <cell r="D583">
            <v>1</v>
          </cell>
          <cell r="E58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112127 пазовая галтельная V-образная 90.
Предназначена для изготовления V-образного паза с целью креплений столярных изделий.  Изготовлена из высококачественной стали. Используют для обработки дерева, ДСП и ламината.</v>
          </cell>
          <cell r="F583">
            <v>545</v>
          </cell>
          <cell r="G583">
            <v>725</v>
          </cell>
          <cell r="H583" t="str">
            <v>+</v>
          </cell>
          <cell r="I583">
            <v>545</v>
          </cell>
          <cell r="J583">
            <v>0</v>
          </cell>
          <cell r="K583">
            <v>0</v>
          </cell>
        </row>
        <row r="584">
          <cell r="A584">
            <v>38166</v>
          </cell>
          <cell r="B584" t="str">
            <v>Фреза Атака 401127 пазовая галтельная D12,7/ф8/H9,5</v>
          </cell>
          <cell r="C584" t="str">
            <v>шт</v>
          </cell>
          <cell r="D584">
            <v>1</v>
          </cell>
          <cell r="E58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401127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v>
          </cell>
          <cell r="F584">
            <v>572</v>
          </cell>
          <cell r="G584">
            <v>756</v>
          </cell>
          <cell r="H584" t="str">
            <v>+</v>
          </cell>
          <cell r="I584">
            <v>572</v>
          </cell>
          <cell r="J584">
            <v>0</v>
          </cell>
          <cell r="K584">
            <v>0</v>
          </cell>
        </row>
        <row r="585">
          <cell r="A585">
            <v>38167</v>
          </cell>
          <cell r="B585" t="str">
            <v>Фреза Атака 401190 пазовая галтельная D19/ф8/H12,7</v>
          </cell>
          <cell r="C585" t="str">
            <v>шт</v>
          </cell>
          <cell r="D585">
            <v>1</v>
          </cell>
          <cell r="E58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401190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v>
          </cell>
          <cell r="F585">
            <v>646</v>
          </cell>
          <cell r="G585">
            <v>858</v>
          </cell>
          <cell r="H585" t="str">
            <v>+</v>
          </cell>
          <cell r="I585">
            <v>646</v>
          </cell>
          <cell r="J585">
            <v>0</v>
          </cell>
          <cell r="K585">
            <v>0</v>
          </cell>
        </row>
        <row r="586">
          <cell r="A586">
            <v>38168</v>
          </cell>
          <cell r="B586" t="str">
            <v>Фреза Атака 402127 пазовая галтельная D12,7/ф12/H9,5</v>
          </cell>
          <cell r="C586" t="str">
            <v>шт</v>
          </cell>
          <cell r="D586">
            <v>1</v>
          </cell>
          <cell r="E58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402127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v>
          </cell>
          <cell r="F586">
            <v>573</v>
          </cell>
          <cell r="G586">
            <v>766</v>
          </cell>
          <cell r="H586" t="str">
            <v>+</v>
          </cell>
          <cell r="I586">
            <v>573</v>
          </cell>
          <cell r="J586">
            <v>0</v>
          </cell>
          <cell r="K586">
            <v>0</v>
          </cell>
        </row>
        <row r="587">
          <cell r="A587">
            <v>38169</v>
          </cell>
          <cell r="B587" t="str">
            <v>Фреза Атака 402190 пазовая галтельная D19/ф12/H12,7</v>
          </cell>
          <cell r="C587" t="str">
            <v>шт</v>
          </cell>
          <cell r="D587">
            <v>1</v>
          </cell>
          <cell r="E58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402190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v>
          </cell>
          <cell r="F587">
            <v>650</v>
          </cell>
          <cell r="G587">
            <v>860</v>
          </cell>
          <cell r="H587" t="str">
            <v>+</v>
          </cell>
          <cell r="I587">
            <v>650</v>
          </cell>
          <cell r="J587">
            <v>0</v>
          </cell>
          <cell r="K587">
            <v>0</v>
          </cell>
        </row>
        <row r="588">
          <cell r="A588">
            <v>38170</v>
          </cell>
          <cell r="B588" t="str">
            <v>Фреза Атака 411255 кромочная калевочная D25,5/ф8/H12,7</v>
          </cell>
          <cell r="C588" t="str">
            <v>шт</v>
          </cell>
          <cell r="D588">
            <v>1</v>
          </cell>
          <cell r="E58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411255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88">
            <v>826</v>
          </cell>
          <cell r="G588">
            <v>1092</v>
          </cell>
          <cell r="H588" t="str">
            <v>+</v>
          </cell>
          <cell r="I588">
            <v>826</v>
          </cell>
          <cell r="J588">
            <v>0</v>
          </cell>
          <cell r="K588">
            <v>0</v>
          </cell>
        </row>
        <row r="589">
          <cell r="A589">
            <v>38171</v>
          </cell>
          <cell r="B589" t="str">
            <v>Фреза Атака 411350 кромочная калевочная D35/ф8/H17,4</v>
          </cell>
          <cell r="C589" t="str">
            <v>шт</v>
          </cell>
          <cell r="D589">
            <v>1</v>
          </cell>
          <cell r="E58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411350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89">
            <v>1140</v>
          </cell>
          <cell r="G589">
            <v>1512</v>
          </cell>
          <cell r="H589" t="str">
            <v>+</v>
          </cell>
          <cell r="I589">
            <v>1140</v>
          </cell>
          <cell r="J589">
            <v>0</v>
          </cell>
          <cell r="K589">
            <v>0</v>
          </cell>
        </row>
        <row r="590">
          <cell r="A590">
            <v>38172</v>
          </cell>
          <cell r="B590" t="str">
            <v>Фреза Атака 412286 кромочная калевочная D28,6/ф12/H12,7</v>
          </cell>
          <cell r="C590" t="str">
            <v>шт</v>
          </cell>
          <cell r="D590">
            <v>1</v>
          </cell>
          <cell r="E59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412286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0">
            <v>941</v>
          </cell>
          <cell r="G590">
            <v>1251</v>
          </cell>
          <cell r="H590" t="str">
            <v>+</v>
          </cell>
          <cell r="I590">
            <v>941</v>
          </cell>
          <cell r="J590">
            <v>0</v>
          </cell>
          <cell r="K590">
            <v>0</v>
          </cell>
        </row>
        <row r="591">
          <cell r="A591">
            <v>38173</v>
          </cell>
          <cell r="B591" t="str">
            <v>Фреза Атака 412381 кромочная калевочная D38,1/ф12/H17,4</v>
          </cell>
          <cell r="C591" t="str">
            <v>шт</v>
          </cell>
          <cell r="D591">
            <v>1</v>
          </cell>
          <cell r="E59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1">
            <v>1163</v>
          </cell>
          <cell r="G591">
            <v>1545</v>
          </cell>
          <cell r="H591" t="str">
            <v>+</v>
          </cell>
          <cell r="I591">
            <v>1163</v>
          </cell>
          <cell r="J591">
            <v>0</v>
          </cell>
          <cell r="K591">
            <v>0</v>
          </cell>
        </row>
        <row r="592">
          <cell r="A592">
            <v>38174</v>
          </cell>
          <cell r="B592" t="str">
            <v>Фреза Атака 591255 кромочная калевочная D25,5/ф8/H13,5</v>
          </cell>
          <cell r="C592" t="str">
            <v>шт</v>
          </cell>
          <cell r="D592">
            <v>1</v>
          </cell>
          <cell r="E59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2">
            <v>816</v>
          </cell>
          <cell r="G592">
            <v>1083</v>
          </cell>
          <cell r="H592" t="str">
            <v>+</v>
          </cell>
          <cell r="I592">
            <v>816</v>
          </cell>
          <cell r="J592">
            <v>0</v>
          </cell>
          <cell r="K592">
            <v>0</v>
          </cell>
        </row>
        <row r="593">
          <cell r="A593">
            <v>38175</v>
          </cell>
          <cell r="B593" t="str">
            <v>Фреза Атака 591286 кромочная калевочная D28,6/ф8/H16</v>
          </cell>
          <cell r="C593" t="str">
            <v>шт</v>
          </cell>
          <cell r="D593">
            <v>1</v>
          </cell>
          <cell r="E59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3">
            <v>939</v>
          </cell>
          <cell r="G593">
            <v>1248</v>
          </cell>
          <cell r="H593" t="str">
            <v>+</v>
          </cell>
          <cell r="I593">
            <v>939</v>
          </cell>
          <cell r="J593">
            <v>0</v>
          </cell>
          <cell r="K593">
            <v>0</v>
          </cell>
        </row>
        <row r="594">
          <cell r="A594">
            <v>38176</v>
          </cell>
          <cell r="B594" t="str">
            <v>Фреза Атака 591318 кромочная калевочная D31,8/ф8/H16,6</v>
          </cell>
          <cell r="C594" t="str">
            <v>шт</v>
          </cell>
          <cell r="D594">
            <v>1</v>
          </cell>
          <cell r="E59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4">
            <v>940</v>
          </cell>
          <cell r="G594">
            <v>1252</v>
          </cell>
          <cell r="H594" t="str">
            <v>+</v>
          </cell>
          <cell r="I594">
            <v>940</v>
          </cell>
          <cell r="J594">
            <v>0</v>
          </cell>
          <cell r="K594">
            <v>0</v>
          </cell>
        </row>
        <row r="595">
          <cell r="A595">
            <v>38177</v>
          </cell>
          <cell r="B595" t="str">
            <v>Фреза Атака 591381 кромочная калевочная D38,1/ф8/H19</v>
          </cell>
          <cell r="C595" t="str">
            <v>шт</v>
          </cell>
          <cell r="D595">
            <v>1</v>
          </cell>
          <cell r="E59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5">
            <v>1125</v>
          </cell>
          <cell r="G595">
            <v>1495</v>
          </cell>
          <cell r="H595" t="str">
            <v>+</v>
          </cell>
          <cell r="I595">
            <v>1125</v>
          </cell>
          <cell r="J595">
            <v>0</v>
          </cell>
          <cell r="K595">
            <v>0</v>
          </cell>
        </row>
        <row r="596">
          <cell r="A596">
            <v>38178</v>
          </cell>
          <cell r="B596" t="str">
            <v>Фреза Атака 592255 кромочная калевочная D25,5/ф12/H13,5</v>
          </cell>
          <cell r="C596" t="str">
            <v>шт</v>
          </cell>
          <cell r="D596">
            <v>1</v>
          </cell>
          <cell r="E59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6">
            <v>826</v>
          </cell>
          <cell r="G596">
            <v>1100</v>
          </cell>
          <cell r="H596" t="str">
            <v>+</v>
          </cell>
          <cell r="I596">
            <v>826</v>
          </cell>
          <cell r="J596">
            <v>0</v>
          </cell>
          <cell r="K596">
            <v>0</v>
          </cell>
        </row>
        <row r="597">
          <cell r="A597">
            <v>38179</v>
          </cell>
          <cell r="B597" t="str">
            <v>Фреза Атака 592286 кромочная калевочная D28,6/ф12/H16</v>
          </cell>
          <cell r="C597" t="str">
            <v>шт</v>
          </cell>
          <cell r="D597">
            <v>1</v>
          </cell>
          <cell r="E59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7">
            <v>829</v>
          </cell>
          <cell r="G597">
            <v>1101</v>
          </cell>
          <cell r="H597" t="str">
            <v>+</v>
          </cell>
          <cell r="I597">
            <v>829</v>
          </cell>
          <cell r="J597">
            <v>0</v>
          </cell>
          <cell r="K597">
            <v>0</v>
          </cell>
        </row>
        <row r="598">
          <cell r="A598">
            <v>38180</v>
          </cell>
          <cell r="B598" t="str">
            <v>Фреза Атака 592318 кромочная калевочная D31,8/ф12/H16,6</v>
          </cell>
          <cell r="C598" t="str">
            <v>шт</v>
          </cell>
          <cell r="D598">
            <v>1</v>
          </cell>
          <cell r="E59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8">
            <v>944</v>
          </cell>
          <cell r="G598">
            <v>1254</v>
          </cell>
          <cell r="H598" t="str">
            <v>+</v>
          </cell>
          <cell r="I598">
            <v>944</v>
          </cell>
          <cell r="J598">
            <v>0</v>
          </cell>
          <cell r="K598">
            <v>0</v>
          </cell>
        </row>
        <row r="599">
          <cell r="A599">
            <v>38181</v>
          </cell>
          <cell r="B599" t="str">
            <v>Фреза Атака 592381 кромочная калевочная D38,1/ф12/H19</v>
          </cell>
          <cell r="C599" t="str">
            <v>шт</v>
          </cell>
          <cell r="D599">
            <v>1</v>
          </cell>
          <cell r="E59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599">
            <v>1129</v>
          </cell>
          <cell r="G599">
            <v>1495</v>
          </cell>
          <cell r="H599" t="str">
            <v>+</v>
          </cell>
          <cell r="I599">
            <v>1129</v>
          </cell>
          <cell r="J599">
            <v>0</v>
          </cell>
          <cell r="K599">
            <v>0</v>
          </cell>
        </row>
        <row r="600">
          <cell r="A600">
            <v>38182</v>
          </cell>
          <cell r="B600" t="str">
            <v>Фреза Атака 601255 кромочная калевочная D25,5/ф8/H13,5</v>
          </cell>
          <cell r="C600" t="str">
            <v>шт</v>
          </cell>
          <cell r="D600">
            <v>1</v>
          </cell>
          <cell r="E60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0">
            <v>816</v>
          </cell>
          <cell r="G600">
            <v>1083</v>
          </cell>
          <cell r="H600" t="str">
            <v>+</v>
          </cell>
          <cell r="I600">
            <v>816</v>
          </cell>
          <cell r="J600">
            <v>0</v>
          </cell>
          <cell r="K600">
            <v>0</v>
          </cell>
        </row>
        <row r="601">
          <cell r="A601">
            <v>38183</v>
          </cell>
          <cell r="B601" t="str">
            <v>Фреза Атака 601286 кромочная калевочная D28,6/ф8/H16</v>
          </cell>
          <cell r="C601" t="str">
            <v>шт</v>
          </cell>
          <cell r="D601">
            <v>1</v>
          </cell>
          <cell r="E60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1">
            <v>889</v>
          </cell>
          <cell r="G601">
            <v>1182</v>
          </cell>
          <cell r="H601" t="str">
            <v>+</v>
          </cell>
          <cell r="I601">
            <v>889</v>
          </cell>
          <cell r="J601">
            <v>0</v>
          </cell>
          <cell r="K601">
            <v>0</v>
          </cell>
        </row>
        <row r="602">
          <cell r="A602">
            <v>38184</v>
          </cell>
          <cell r="B602" t="str">
            <v>Фреза Атака 601318 кромочная калевочная D31,8/ф8/H16,6</v>
          </cell>
          <cell r="C602" t="str">
            <v>шт</v>
          </cell>
          <cell r="D602">
            <v>1</v>
          </cell>
          <cell r="E60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2">
            <v>944</v>
          </cell>
          <cell r="G602">
            <v>1254</v>
          </cell>
          <cell r="H602" t="str">
            <v>+</v>
          </cell>
          <cell r="I602">
            <v>944</v>
          </cell>
          <cell r="J602">
            <v>0</v>
          </cell>
          <cell r="K602">
            <v>0</v>
          </cell>
        </row>
        <row r="603">
          <cell r="A603">
            <v>38185</v>
          </cell>
          <cell r="B603" t="str">
            <v>Фреза Атака 602255 кромочная калевочная D25,5/ф12/H13,5</v>
          </cell>
          <cell r="C603" t="str">
            <v>шт</v>
          </cell>
          <cell r="D603">
            <v>1</v>
          </cell>
          <cell r="E60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602255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3">
            <v>826</v>
          </cell>
          <cell r="G603">
            <v>1100</v>
          </cell>
          <cell r="H603" t="str">
            <v>+</v>
          </cell>
          <cell r="I603">
            <v>826</v>
          </cell>
          <cell r="J603">
            <v>0</v>
          </cell>
          <cell r="K603">
            <v>0</v>
          </cell>
        </row>
        <row r="604">
          <cell r="A604">
            <v>38186</v>
          </cell>
          <cell r="B604" t="str">
            <v>Фреза Атака 602286 кромочная калевочная D28,6/ф12/H16</v>
          </cell>
          <cell r="C604" t="str">
            <v>шт</v>
          </cell>
          <cell r="D604">
            <v>1</v>
          </cell>
          <cell r="E60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602286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4">
            <v>827</v>
          </cell>
          <cell r="G604">
            <v>1098</v>
          </cell>
          <cell r="H604" t="str">
            <v>+</v>
          </cell>
          <cell r="I604">
            <v>827</v>
          </cell>
          <cell r="J604">
            <v>0</v>
          </cell>
          <cell r="K604">
            <v>0</v>
          </cell>
        </row>
        <row r="605">
          <cell r="A605">
            <v>38189</v>
          </cell>
          <cell r="B605" t="str">
            <v>Фреза Атака 602381 кромочная калевочная D38,1/ф12/H19</v>
          </cell>
          <cell r="C605" t="str">
            <v>шт</v>
          </cell>
          <cell r="D605">
            <v>1</v>
          </cell>
          <cell r="E60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5">
            <v>1118</v>
          </cell>
          <cell r="G605">
            <v>1486</v>
          </cell>
          <cell r="H605" t="str">
            <v>+</v>
          </cell>
          <cell r="I605">
            <v>1118</v>
          </cell>
          <cell r="J605">
            <v>0</v>
          </cell>
          <cell r="K605">
            <v>0</v>
          </cell>
        </row>
        <row r="606">
          <cell r="A606">
            <v>38190</v>
          </cell>
          <cell r="B606" t="str">
            <v>Фреза Атака 561222 кромочная калевочная D22,2/ф8/H13</v>
          </cell>
          <cell r="C606" t="str">
            <v>шт</v>
          </cell>
          <cell r="D606">
            <v>1</v>
          </cell>
          <cell r="E60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561222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6">
            <v>794</v>
          </cell>
          <cell r="G606">
            <v>1056</v>
          </cell>
          <cell r="H606" t="str">
            <v>+</v>
          </cell>
          <cell r="I606">
            <v>794</v>
          </cell>
          <cell r="J606">
            <v>0</v>
          </cell>
          <cell r="K606">
            <v>0</v>
          </cell>
        </row>
        <row r="607">
          <cell r="A607">
            <v>38191</v>
          </cell>
          <cell r="B607" t="str">
            <v>Фреза Атака 561285 кромочная калевочная D28,5/ф8/H14</v>
          </cell>
          <cell r="C607" t="str">
            <v>шт</v>
          </cell>
          <cell r="D607">
            <v>1</v>
          </cell>
          <cell r="E60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561285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7">
            <v>957</v>
          </cell>
          <cell r="G607">
            <v>1275</v>
          </cell>
          <cell r="H607" t="str">
            <v>+</v>
          </cell>
          <cell r="I607">
            <v>957</v>
          </cell>
          <cell r="J607">
            <v>0</v>
          </cell>
          <cell r="K607">
            <v>0</v>
          </cell>
        </row>
        <row r="608">
          <cell r="A608">
            <v>38192</v>
          </cell>
          <cell r="B608" t="str">
            <v>Фреза Атака 561350 кромочная калевочная D35/ф8/H16</v>
          </cell>
          <cell r="C608" t="str">
            <v>шт</v>
          </cell>
          <cell r="D608">
            <v>1</v>
          </cell>
          <cell r="E60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561350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8">
            <v>1073</v>
          </cell>
          <cell r="G608">
            <v>1424</v>
          </cell>
          <cell r="H608" t="str">
            <v>+</v>
          </cell>
          <cell r="I608">
            <v>1073</v>
          </cell>
          <cell r="J608">
            <v>0</v>
          </cell>
          <cell r="K608">
            <v>0</v>
          </cell>
        </row>
        <row r="609">
          <cell r="A609">
            <v>38193</v>
          </cell>
          <cell r="B609" t="str">
            <v>Фреза Атака 562255 кромочная калевочная D25,5/ф12/H12,7</v>
          </cell>
          <cell r="C609" t="str">
            <v>шт</v>
          </cell>
          <cell r="D609">
            <v>1</v>
          </cell>
          <cell r="E60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562255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09">
            <v>844</v>
          </cell>
          <cell r="G609">
            <v>1120</v>
          </cell>
          <cell r="H609" t="str">
            <v>+</v>
          </cell>
          <cell r="I609">
            <v>844</v>
          </cell>
          <cell r="J609">
            <v>0</v>
          </cell>
          <cell r="K609">
            <v>0</v>
          </cell>
        </row>
        <row r="610">
          <cell r="A610">
            <v>38194</v>
          </cell>
          <cell r="B610" t="str">
            <v>Фреза Атака 562318 кромочная калевочная D31,8/ф12/H14</v>
          </cell>
          <cell r="C610" t="str">
            <v>шт</v>
          </cell>
          <cell r="D610">
            <v>1</v>
          </cell>
          <cell r="E61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562318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0">
            <v>896</v>
          </cell>
          <cell r="G610">
            <v>1192</v>
          </cell>
          <cell r="H610" t="str">
            <v>+</v>
          </cell>
          <cell r="I610">
            <v>896</v>
          </cell>
          <cell r="J610">
            <v>0</v>
          </cell>
          <cell r="K610">
            <v>0</v>
          </cell>
        </row>
        <row r="611">
          <cell r="A611">
            <v>38195</v>
          </cell>
          <cell r="B611" t="str">
            <v>Фреза Атака 562381 кромочная калевочная D38,1/ф12/H16</v>
          </cell>
          <cell r="C611" t="str">
            <v>шт</v>
          </cell>
          <cell r="D611">
            <v>1</v>
          </cell>
          <cell r="E61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562381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1">
            <v>989</v>
          </cell>
          <cell r="G611">
            <v>1314</v>
          </cell>
          <cell r="H611" t="str">
            <v>+</v>
          </cell>
          <cell r="I611">
            <v>989</v>
          </cell>
          <cell r="J611">
            <v>0</v>
          </cell>
          <cell r="K611">
            <v>0</v>
          </cell>
        </row>
        <row r="612">
          <cell r="A612">
            <v>38196</v>
          </cell>
          <cell r="B612" t="str">
            <v>Фреза Атака 151285 кромочная фальцевая D28,5/ф8/H17,4</v>
          </cell>
          <cell r="C612" t="str">
            <v>шт</v>
          </cell>
          <cell r="D612">
            <v>1</v>
          </cell>
          <cell r="E61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151285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2">
            <v>852</v>
          </cell>
          <cell r="G612">
            <v>1129</v>
          </cell>
          <cell r="H612" t="str">
            <v>+</v>
          </cell>
          <cell r="I612">
            <v>852</v>
          </cell>
          <cell r="J612">
            <v>0</v>
          </cell>
          <cell r="K612">
            <v>0</v>
          </cell>
        </row>
        <row r="613">
          <cell r="A613">
            <v>38197</v>
          </cell>
          <cell r="B613" t="str">
            <v>Фреза Атака 152318 кромочная фальцевая D31,8/ф12/H17,4</v>
          </cell>
          <cell r="C613" t="str">
            <v>шт</v>
          </cell>
          <cell r="D613">
            <v>1</v>
          </cell>
          <cell r="E61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152318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3">
            <v>936</v>
          </cell>
          <cell r="G613">
            <v>1243</v>
          </cell>
          <cell r="H613" t="str">
            <v>+</v>
          </cell>
          <cell r="I613">
            <v>936</v>
          </cell>
          <cell r="J613">
            <v>0</v>
          </cell>
          <cell r="K613">
            <v>0</v>
          </cell>
        </row>
        <row r="614">
          <cell r="A614">
            <v>38198</v>
          </cell>
          <cell r="B614" t="str">
            <v>Фреза Атака 131320 кромочная конусная 45 D32/ф8/H15</v>
          </cell>
          <cell r="C614" t="str">
            <v>шт</v>
          </cell>
          <cell r="D614">
            <v>1</v>
          </cell>
          <cell r="E61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131320 кромочная конусная 45.
Фреза кромочная конусная 45. Изготовлена из высококачественной стали. Используют для обработки дерева, ДСП и ламината.</v>
          </cell>
          <cell r="F614">
            <v>740</v>
          </cell>
          <cell r="G614">
            <v>980</v>
          </cell>
          <cell r="H614" t="str">
            <v>+</v>
          </cell>
          <cell r="I614">
            <v>740</v>
          </cell>
          <cell r="J614">
            <v>0</v>
          </cell>
          <cell r="K614">
            <v>0</v>
          </cell>
        </row>
        <row r="615">
          <cell r="A615">
            <v>38199</v>
          </cell>
          <cell r="B615" t="str">
            <v>Фреза Атака 132320 кромочная конусная 45 D32/ф12/H15</v>
          </cell>
          <cell r="C615" t="str">
            <v>шт</v>
          </cell>
          <cell r="D615">
            <v>1</v>
          </cell>
          <cell r="E61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132320 кромочная конусная 45.
Фреза кромочная конусная 45. Изготовлена из высококачественной стали. Используют для обработки дерева, ДСП и ламината.</v>
          </cell>
          <cell r="F615">
            <v>753</v>
          </cell>
          <cell r="G615">
            <v>998</v>
          </cell>
          <cell r="H615" t="str">
            <v>+</v>
          </cell>
          <cell r="I615">
            <v>753</v>
          </cell>
          <cell r="J615">
            <v>0</v>
          </cell>
          <cell r="K615">
            <v>0</v>
          </cell>
        </row>
        <row r="616">
          <cell r="A616">
            <v>38200</v>
          </cell>
          <cell r="B616" t="str">
            <v>Фреза Атака 422318 кромочная калевочная D31,8/ф12/H12,7</v>
          </cell>
          <cell r="C616" t="str">
            <v>шт</v>
          </cell>
          <cell r="D616">
            <v>1</v>
          </cell>
          <cell r="E61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422318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6">
            <v>908</v>
          </cell>
          <cell r="G616">
            <v>1205</v>
          </cell>
          <cell r="H616" t="str">
            <v>+</v>
          </cell>
          <cell r="I616">
            <v>908</v>
          </cell>
          <cell r="J616">
            <v>0</v>
          </cell>
          <cell r="K616">
            <v>0</v>
          </cell>
        </row>
        <row r="617">
          <cell r="A617">
            <v>38202</v>
          </cell>
          <cell r="B617" t="str">
            <v>Фреза Атака 422381 кромочная калевочная D38,1/ф8/H17</v>
          </cell>
          <cell r="C617" t="str">
            <v>шт</v>
          </cell>
          <cell r="D617">
            <v>1</v>
          </cell>
          <cell r="E61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422381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7">
            <v>1089</v>
          </cell>
          <cell r="G617">
            <v>1444</v>
          </cell>
          <cell r="H617" t="str">
            <v>+</v>
          </cell>
          <cell r="I617">
            <v>1089</v>
          </cell>
          <cell r="J617">
            <v>0</v>
          </cell>
          <cell r="K617">
            <v>0</v>
          </cell>
        </row>
        <row r="618">
          <cell r="A618">
            <v>38203</v>
          </cell>
          <cell r="B618" t="str">
            <v>Фреза Атака 421318 кромочная калевочная D31,8/ф8/H12,7</v>
          </cell>
          <cell r="C618" t="str">
            <v>шт</v>
          </cell>
          <cell r="D618">
            <v>1</v>
          </cell>
          <cell r="E61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421318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8">
            <v>963</v>
          </cell>
          <cell r="G618">
            <v>1278</v>
          </cell>
          <cell r="H618" t="str">
            <v>+</v>
          </cell>
          <cell r="I618">
            <v>963</v>
          </cell>
          <cell r="J618">
            <v>0</v>
          </cell>
          <cell r="K618">
            <v>0</v>
          </cell>
        </row>
        <row r="619">
          <cell r="A619">
            <v>38204</v>
          </cell>
          <cell r="B619" t="str">
            <v>Фреза Атака 421381 кромочная калевочная D38,1/ф8/H15,9</v>
          </cell>
          <cell r="C619" t="str">
            <v>шт</v>
          </cell>
          <cell r="D619">
            <v>1</v>
          </cell>
          <cell r="E61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421381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19">
            <v>1086</v>
          </cell>
          <cell r="G619">
            <v>1442</v>
          </cell>
          <cell r="H619" t="str">
            <v>+</v>
          </cell>
          <cell r="I619">
            <v>1086</v>
          </cell>
          <cell r="J619">
            <v>0</v>
          </cell>
          <cell r="K619">
            <v>0</v>
          </cell>
        </row>
        <row r="620">
          <cell r="A620">
            <v>38208</v>
          </cell>
          <cell r="B620" t="str">
            <v>Фреза Атака 601381 кромочная калевочная D38,1/ф8/H19</v>
          </cell>
          <cell r="C620" t="str">
            <v>шт</v>
          </cell>
          <cell r="D620">
            <v>1</v>
          </cell>
          <cell r="E62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601381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20">
            <v>1129</v>
          </cell>
          <cell r="G620">
            <v>1500</v>
          </cell>
          <cell r="H620" t="str">
            <v>+</v>
          </cell>
          <cell r="I620">
            <v>1129</v>
          </cell>
          <cell r="J620">
            <v>0</v>
          </cell>
          <cell r="K620">
            <v>0</v>
          </cell>
        </row>
        <row r="621">
          <cell r="A621">
            <v>476310</v>
          </cell>
          <cell r="B621" t="str">
            <v>Фреза Атака 021100 пазовая прямая концевая D10/ф8/H20</v>
          </cell>
          <cell r="C621" t="str">
            <v>шт</v>
          </cell>
          <cell r="D621">
            <v>1</v>
          </cell>
          <cell r="E62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1">
            <v>466</v>
          </cell>
          <cell r="G621">
            <v>618</v>
          </cell>
          <cell r="H621" t="str">
            <v>+</v>
          </cell>
          <cell r="I621">
            <v>466</v>
          </cell>
          <cell r="J621">
            <v>0</v>
          </cell>
          <cell r="K621">
            <v>0</v>
          </cell>
        </row>
        <row r="622">
          <cell r="A622">
            <v>476320</v>
          </cell>
          <cell r="B622" t="str">
            <v>Фреза Атака 021120 пазовая прямая концевая D12/ф8/H20</v>
          </cell>
          <cell r="C622" t="str">
            <v>шт</v>
          </cell>
          <cell r="D622">
            <v>1</v>
          </cell>
          <cell r="E62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021120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2">
            <v>479</v>
          </cell>
          <cell r="G622">
            <v>634</v>
          </cell>
          <cell r="H622" t="str">
            <v>+</v>
          </cell>
          <cell r="I622">
            <v>479</v>
          </cell>
          <cell r="J622">
            <v>0</v>
          </cell>
          <cell r="K622">
            <v>0</v>
          </cell>
        </row>
        <row r="623">
          <cell r="A623">
            <v>476330</v>
          </cell>
          <cell r="B623" t="str">
            <v>Фреза Атака 021140 пазовая прямая концевая D14/ф8/H20</v>
          </cell>
          <cell r="C623" t="str">
            <v>шт</v>
          </cell>
          <cell r="D623">
            <v>1</v>
          </cell>
          <cell r="E62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021140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3">
            <v>496</v>
          </cell>
          <cell r="G623">
            <v>655</v>
          </cell>
          <cell r="H623" t="str">
            <v>+</v>
          </cell>
          <cell r="I623">
            <v>496</v>
          </cell>
          <cell r="J623">
            <v>0</v>
          </cell>
          <cell r="K623">
            <v>0</v>
          </cell>
        </row>
        <row r="624">
          <cell r="A624">
            <v>476340</v>
          </cell>
          <cell r="B624" t="str">
            <v>Фреза Атака 021150 пазовая прямая концевая D15/ф8/H20</v>
          </cell>
          <cell r="C624" t="str">
            <v>шт</v>
          </cell>
          <cell r="D624">
            <v>1</v>
          </cell>
          <cell r="E62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021150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4">
            <v>511</v>
          </cell>
          <cell r="G624">
            <v>678</v>
          </cell>
          <cell r="H624" t="str">
            <v>+</v>
          </cell>
          <cell r="I624">
            <v>511</v>
          </cell>
          <cell r="J624">
            <v>0</v>
          </cell>
          <cell r="K624">
            <v>0</v>
          </cell>
        </row>
        <row r="625">
          <cell r="A625">
            <v>476350</v>
          </cell>
          <cell r="B625" t="str">
            <v>Фреза Атака 021160 пазовая прямая концевая D16/ф8/H20</v>
          </cell>
          <cell r="C625" t="str">
            <v>шт</v>
          </cell>
          <cell r="D625">
            <v>1</v>
          </cell>
          <cell r="E62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5">
            <v>545</v>
          </cell>
          <cell r="G625">
            <v>725</v>
          </cell>
          <cell r="H625" t="str">
            <v>+</v>
          </cell>
          <cell r="I625">
            <v>545</v>
          </cell>
          <cell r="J625">
            <v>0</v>
          </cell>
          <cell r="K625">
            <v>0</v>
          </cell>
        </row>
        <row r="626">
          <cell r="A626">
            <v>476360</v>
          </cell>
          <cell r="B626" t="str">
            <v>Фреза Атака 021180 пазовая прямая концевая D18/ф8/H20</v>
          </cell>
          <cell r="C626" t="str">
            <v>шт</v>
          </cell>
          <cell r="D626">
            <v>1</v>
          </cell>
          <cell r="E62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6">
            <v>562</v>
          </cell>
          <cell r="G626">
            <v>746</v>
          </cell>
          <cell r="H626" t="str">
            <v>+</v>
          </cell>
          <cell r="I626">
            <v>562</v>
          </cell>
          <cell r="J626">
            <v>0</v>
          </cell>
          <cell r="K626">
            <v>0</v>
          </cell>
        </row>
        <row r="627">
          <cell r="A627">
            <v>476380</v>
          </cell>
          <cell r="B627" t="str">
            <v>Фреза Атака 021200 пазовая прямая концевая D20/ф8/H20</v>
          </cell>
          <cell r="C627" t="str">
            <v>шт</v>
          </cell>
          <cell r="D627">
            <v>1</v>
          </cell>
          <cell r="E62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021200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7">
            <v>642</v>
          </cell>
          <cell r="G627">
            <v>850</v>
          </cell>
          <cell r="H627" t="str">
            <v>+</v>
          </cell>
          <cell r="I627">
            <v>642</v>
          </cell>
          <cell r="J627">
            <v>0</v>
          </cell>
          <cell r="K627">
            <v>0</v>
          </cell>
        </row>
        <row r="628">
          <cell r="A628">
            <v>476390</v>
          </cell>
          <cell r="B628" t="str">
            <v>Фреза Атака 031060 пазовая прямая концевая D6/ф8/H16</v>
          </cell>
          <cell r="C628" t="str">
            <v>шт</v>
          </cell>
          <cell r="D628">
            <v>1</v>
          </cell>
          <cell r="E62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031060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8">
            <v>369</v>
          </cell>
          <cell r="G628">
            <v>490</v>
          </cell>
          <cell r="H628" t="str">
            <v>+</v>
          </cell>
          <cell r="I628">
            <v>369</v>
          </cell>
          <cell r="J628">
            <v>0</v>
          </cell>
          <cell r="K628">
            <v>0</v>
          </cell>
        </row>
        <row r="629">
          <cell r="A629">
            <v>476400</v>
          </cell>
          <cell r="B629" t="str">
            <v>Фреза Атака 031080 пазовая прямая концевая D8/ф8/H20</v>
          </cell>
          <cell r="C629" t="str">
            <v>шт</v>
          </cell>
          <cell r="D629">
            <v>1</v>
          </cell>
          <cell r="E62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031080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29">
            <v>381</v>
          </cell>
          <cell r="G629">
            <v>503</v>
          </cell>
          <cell r="H629" t="str">
            <v>+</v>
          </cell>
          <cell r="I629">
            <v>381</v>
          </cell>
          <cell r="J629">
            <v>0</v>
          </cell>
          <cell r="K629">
            <v>0</v>
          </cell>
        </row>
        <row r="630">
          <cell r="A630">
            <v>476410</v>
          </cell>
          <cell r="B630" t="str">
            <v>Фреза Атака 301095 кромочная прямая D9,5/ф8/H13</v>
          </cell>
          <cell r="C630" t="str">
            <v>шт</v>
          </cell>
          <cell r="D630">
            <v>1</v>
          </cell>
          <cell r="E63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301095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30">
            <v>503</v>
          </cell>
          <cell r="G630">
            <v>669</v>
          </cell>
          <cell r="H630" t="str">
            <v>+</v>
          </cell>
          <cell r="I630">
            <v>503</v>
          </cell>
          <cell r="J630">
            <v>0</v>
          </cell>
          <cell r="K630">
            <v>0</v>
          </cell>
        </row>
        <row r="631">
          <cell r="A631">
            <v>476420</v>
          </cell>
          <cell r="B631" t="str">
            <v>Фреза Атака 301095-1 кромочная прямая D9,5/ф8/H25</v>
          </cell>
          <cell r="C631" t="str">
            <v>шт</v>
          </cell>
          <cell r="D631">
            <v>1</v>
          </cell>
          <cell r="E63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301095-1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31">
            <v>517</v>
          </cell>
          <cell r="G631">
            <v>688</v>
          </cell>
          <cell r="H631" t="str">
            <v>+</v>
          </cell>
          <cell r="I631">
            <v>517</v>
          </cell>
          <cell r="J631">
            <v>0</v>
          </cell>
          <cell r="K631">
            <v>0</v>
          </cell>
        </row>
        <row r="632">
          <cell r="A632">
            <v>476430</v>
          </cell>
          <cell r="B632" t="str">
            <v>Фреза Атака 301127-1 кромочная прямая D12,7/ф8/H25</v>
          </cell>
          <cell r="C632" t="str">
            <v>шт</v>
          </cell>
          <cell r="D632">
            <v>1</v>
          </cell>
          <cell r="E63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301127-1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32">
            <v>553</v>
          </cell>
          <cell r="G632">
            <v>732</v>
          </cell>
          <cell r="H632" t="str">
            <v>+</v>
          </cell>
          <cell r="I632">
            <v>553</v>
          </cell>
          <cell r="J632">
            <v>0</v>
          </cell>
          <cell r="K632">
            <v>0</v>
          </cell>
        </row>
        <row r="633">
          <cell r="A633">
            <v>476440</v>
          </cell>
          <cell r="B633" t="str">
            <v>Фреза Атака 301127-2 кромочная прямая D12,7/ф8/H32</v>
          </cell>
          <cell r="C633" t="str">
            <v>шт</v>
          </cell>
          <cell r="D633">
            <v>1</v>
          </cell>
          <cell r="E63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301127-2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33">
            <v>753</v>
          </cell>
          <cell r="G633">
            <v>998</v>
          </cell>
          <cell r="H633" t="str">
            <v>+</v>
          </cell>
          <cell r="I633">
            <v>753</v>
          </cell>
          <cell r="J633">
            <v>0</v>
          </cell>
          <cell r="K633">
            <v>0</v>
          </cell>
        </row>
        <row r="634">
          <cell r="A634">
            <v>476450</v>
          </cell>
          <cell r="B634" t="str">
            <v>Фреза Атака 301160 кромочная прямая D16/ф8/H25</v>
          </cell>
          <cell r="C634" t="str">
            <v>шт</v>
          </cell>
          <cell r="D634">
            <v>1</v>
          </cell>
          <cell r="E63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301160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34">
            <v>584</v>
          </cell>
          <cell r="G634">
            <v>773</v>
          </cell>
          <cell r="H634" t="str">
            <v>+</v>
          </cell>
          <cell r="I634">
            <v>584</v>
          </cell>
          <cell r="J634">
            <v>0</v>
          </cell>
          <cell r="K634">
            <v>0</v>
          </cell>
        </row>
        <row r="635">
          <cell r="A635">
            <v>659630</v>
          </cell>
          <cell r="B635" t="str">
            <v>Фреза Атака 001140 пазовая прямая D14/ф8/H20</v>
          </cell>
          <cell r="C635" t="str">
            <v>шт</v>
          </cell>
          <cell r="D635">
            <v>1</v>
          </cell>
          <cell r="E63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001140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35">
            <v>404</v>
          </cell>
          <cell r="G635">
            <v>539</v>
          </cell>
          <cell r="H635" t="str">
            <v>+</v>
          </cell>
          <cell r="I635">
            <v>404</v>
          </cell>
          <cell r="J635">
            <v>0</v>
          </cell>
          <cell r="K635">
            <v>0</v>
          </cell>
        </row>
        <row r="636">
          <cell r="A636">
            <v>659670</v>
          </cell>
          <cell r="B636" t="str">
            <v>Фреза Атака 021120-1 пазовая прямая D12/ф8/H38</v>
          </cell>
          <cell r="C636" t="str">
            <v>шт</v>
          </cell>
          <cell r="D636">
            <v>1</v>
          </cell>
          <cell r="E63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021120-1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36">
            <v>858</v>
          </cell>
          <cell r="G636">
            <v>1140</v>
          </cell>
          <cell r="H636" t="str">
            <v>+</v>
          </cell>
          <cell r="I636">
            <v>858</v>
          </cell>
          <cell r="J636">
            <v>0</v>
          </cell>
          <cell r="K636">
            <v>0</v>
          </cell>
        </row>
        <row r="637">
          <cell r="A637">
            <v>659710</v>
          </cell>
          <cell r="B637" t="str">
            <v>Фреза Атака 322220 пазовая прямая с подшипником D22/ф12/H25</v>
          </cell>
          <cell r="C637" t="str">
            <v>шт</v>
          </cell>
          <cell r="D637">
            <v>1</v>
          </cell>
          <cell r="E63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322220 пазовая прямая с подшипником.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37">
            <v>880</v>
          </cell>
          <cell r="G637">
            <v>1166</v>
          </cell>
          <cell r="H637" t="str">
            <v>+</v>
          </cell>
          <cell r="I637">
            <v>880</v>
          </cell>
          <cell r="J637">
            <v>0</v>
          </cell>
          <cell r="K637">
            <v>0</v>
          </cell>
        </row>
        <row r="638">
          <cell r="A638">
            <v>659730</v>
          </cell>
          <cell r="B638" t="str">
            <v>Фреза Атака 022200В-2 пазовая прямая с подрезателем D20/ф12/H38</v>
          </cell>
          <cell r="C638" t="str">
            <v>шт</v>
          </cell>
          <cell r="D638">
            <v>1</v>
          </cell>
          <cell r="E63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022200В-2 пазовая прямая с подрезателем.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38">
            <v>1362</v>
          </cell>
          <cell r="G638">
            <v>1813</v>
          </cell>
          <cell r="H638" t="str">
            <v>+</v>
          </cell>
          <cell r="I638">
            <v>1362</v>
          </cell>
          <cell r="J638">
            <v>0</v>
          </cell>
          <cell r="K638">
            <v>0</v>
          </cell>
        </row>
        <row r="639">
          <cell r="A639">
            <v>671190</v>
          </cell>
          <cell r="B639" t="str">
            <v>Фреза Атака 022120В-3 пазовая прямая с подрезателем D12/ф12/H38</v>
          </cell>
          <cell r="C639" t="str">
            <v>шт</v>
          </cell>
          <cell r="D639">
            <v>1</v>
          </cell>
          <cell r="E63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022120В-3 пазовая прямая с подрезателем.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39">
            <v>888</v>
          </cell>
          <cell r="G639">
            <v>1181</v>
          </cell>
          <cell r="H639" t="str">
            <v>+</v>
          </cell>
          <cell r="I639">
            <v>888</v>
          </cell>
          <cell r="J639">
            <v>0</v>
          </cell>
          <cell r="K639">
            <v>0</v>
          </cell>
        </row>
        <row r="640">
          <cell r="A640">
            <v>671210</v>
          </cell>
          <cell r="B640" t="str">
            <v>Фреза Атака 322190-2 пазовая прямая с подшипником D19/ф12/H38</v>
          </cell>
          <cell r="C640" t="str">
            <v>шт</v>
          </cell>
          <cell r="D640">
            <v>1</v>
          </cell>
          <cell r="E64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322190-2 пазовая прямая с подшипником.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40">
            <v>830</v>
          </cell>
          <cell r="G640">
            <v>1104</v>
          </cell>
          <cell r="H640" t="str">
            <v>+</v>
          </cell>
          <cell r="I640">
            <v>830</v>
          </cell>
          <cell r="J640">
            <v>0</v>
          </cell>
          <cell r="K640">
            <v>0</v>
          </cell>
        </row>
        <row r="641">
          <cell r="A641">
            <v>671220</v>
          </cell>
          <cell r="B641" t="str">
            <v>Фреза Атака 302127-3 кромочная прямая D12,7/ф12/H38</v>
          </cell>
          <cell r="C641" t="str">
            <v>шт</v>
          </cell>
          <cell r="D641">
            <v>1</v>
          </cell>
          <cell r="E64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302127-3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41">
            <v>934</v>
          </cell>
          <cell r="G641">
            <v>1242</v>
          </cell>
          <cell r="H641" t="str">
            <v>+</v>
          </cell>
          <cell r="I641">
            <v>934</v>
          </cell>
          <cell r="J641">
            <v>0</v>
          </cell>
          <cell r="K641">
            <v>0</v>
          </cell>
        </row>
        <row r="642">
          <cell r="A642">
            <v>671250</v>
          </cell>
          <cell r="B642" t="str">
            <v>Фреза Атака 302127-4 кромочная прямая D12,7/ф12/H50,8</v>
          </cell>
          <cell r="C642" t="str">
            <v>шт</v>
          </cell>
          <cell r="D642">
            <v>1</v>
          </cell>
          <cell r="E64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302127-4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42">
            <v>1206</v>
          </cell>
          <cell r="G642">
            <v>1605</v>
          </cell>
          <cell r="H642" t="str">
            <v>+</v>
          </cell>
          <cell r="I642">
            <v>1206</v>
          </cell>
          <cell r="J642">
            <v>0</v>
          </cell>
          <cell r="K642">
            <v>0</v>
          </cell>
        </row>
        <row r="643">
          <cell r="A643">
            <v>671270</v>
          </cell>
          <cell r="B643" t="str">
            <v>Фреза Атака 302190L-1 кромочная прямая скошенное лезвие D19/ф12/H38</v>
          </cell>
          <cell r="C643" t="str">
            <v>шт</v>
          </cell>
          <cell r="D643">
            <v>1</v>
          </cell>
          <cell r="E64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302190L-1 кромочная прямая со скошенной поверхностью.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43">
            <v>1031</v>
          </cell>
          <cell r="G643">
            <v>1369</v>
          </cell>
          <cell r="H643" t="str">
            <v>+</v>
          </cell>
          <cell r="I643">
            <v>1031</v>
          </cell>
          <cell r="J643">
            <v>0</v>
          </cell>
          <cell r="K643">
            <v>0</v>
          </cell>
        </row>
        <row r="644">
          <cell r="A644">
            <v>671280</v>
          </cell>
          <cell r="B644" t="str">
            <v>Фреза Атака 302190L-2 кромочная прямая скошенное лезвие D19/ф12/H50,8</v>
          </cell>
          <cell r="C644" t="str">
            <v>шт</v>
          </cell>
          <cell r="D644">
            <v>1</v>
          </cell>
          <cell r="E64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302190L-2 кромочная прямая со скошенной поверхностью.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44">
            <v>1403</v>
          </cell>
          <cell r="G644">
            <v>1866</v>
          </cell>
          <cell r="H644" t="str">
            <v>+</v>
          </cell>
          <cell r="I644">
            <v>1403</v>
          </cell>
          <cell r="J644">
            <v>0</v>
          </cell>
          <cell r="K644">
            <v>0</v>
          </cell>
        </row>
        <row r="645">
          <cell r="A645">
            <v>671290</v>
          </cell>
          <cell r="B645" t="str">
            <v>Набор фрез Атака VM0701-8 для поперечного сращивания 6шт</v>
          </cell>
          <cell r="C645" t="str">
            <v>упак</v>
          </cell>
          <cell r="D645">
            <v>1</v>
          </cell>
          <cell r="E64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Набор фрез Атака VM0701-8 для поперечного сращивания 6шт.
Набор фрез для поперечного сращивания. Изготовлены из высококачественной стали. Используют для обработки дерева, ДСП и ламината.</v>
          </cell>
          <cell r="F645">
            <v>4742</v>
          </cell>
          <cell r="G645">
            <v>6306</v>
          </cell>
          <cell r="H645" t="str">
            <v>+</v>
          </cell>
          <cell r="I645">
            <v>4742</v>
          </cell>
          <cell r="J645">
            <v>0</v>
          </cell>
          <cell r="K645">
            <v>0</v>
          </cell>
        </row>
        <row r="646">
          <cell r="A646">
            <v>671300</v>
          </cell>
          <cell r="B646" t="str">
            <v>Набор фрез Атака VRMB06-A для выборки четверти 7шт</v>
          </cell>
          <cell r="C646" t="str">
            <v>упак</v>
          </cell>
          <cell r="D646">
            <v>1</v>
          </cell>
          <cell r="E64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Набор фрез Атака VRMB06-A для выборки четверти 7шт.
Набор фрез для выборки четверти 6шт. Изготовлена из высококачественной стали. Используют для обработки дерева, ДСП и ламината.</v>
          </cell>
          <cell r="F646">
            <v>2830</v>
          </cell>
          <cell r="G646">
            <v>3758</v>
          </cell>
          <cell r="H646" t="str">
            <v>+</v>
          </cell>
          <cell r="I646">
            <v>2830</v>
          </cell>
          <cell r="J646">
            <v>0</v>
          </cell>
          <cell r="K646">
            <v>0</v>
          </cell>
        </row>
        <row r="647">
          <cell r="A647">
            <v>2516700</v>
          </cell>
          <cell r="B647" t="str">
            <v>Фреза Атака 411286 кромочная калевочная D28,6/ф8/H12,7</v>
          </cell>
          <cell r="C647" t="str">
            <v>шт</v>
          </cell>
          <cell r="D647">
            <v>1</v>
          </cell>
          <cell r="E64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411286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47">
            <v>938</v>
          </cell>
          <cell r="G647">
            <v>1247</v>
          </cell>
          <cell r="H647" t="str">
            <v>+</v>
          </cell>
          <cell r="I647">
            <v>938</v>
          </cell>
          <cell r="J647">
            <v>0</v>
          </cell>
          <cell r="K647">
            <v>0</v>
          </cell>
        </row>
        <row r="648">
          <cell r="A648">
            <v>2516710</v>
          </cell>
          <cell r="B648" t="str">
            <v>Фреза Атака 591190 кромочная калевочная D19/ф8/H10</v>
          </cell>
          <cell r="C648" t="str">
            <v>шт</v>
          </cell>
          <cell r="D648">
            <v>1</v>
          </cell>
          <cell r="E64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591190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48">
            <v>766</v>
          </cell>
          <cell r="G648">
            <v>1019</v>
          </cell>
          <cell r="H648" t="str">
            <v>+</v>
          </cell>
          <cell r="I648">
            <v>766</v>
          </cell>
          <cell r="J648">
            <v>0</v>
          </cell>
          <cell r="K648">
            <v>0</v>
          </cell>
        </row>
        <row r="649">
          <cell r="A649">
            <v>2516720</v>
          </cell>
          <cell r="B649" t="str">
            <v>Фреза Атака 591222 кромочная калевочная D22,2/ф8/H12,7</v>
          </cell>
          <cell r="C649" t="str">
            <v>шт</v>
          </cell>
          <cell r="D649">
            <v>1</v>
          </cell>
          <cell r="E64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591222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49">
            <v>907</v>
          </cell>
          <cell r="G649">
            <v>1201</v>
          </cell>
          <cell r="H649" t="str">
            <v>+</v>
          </cell>
          <cell r="I649">
            <v>907</v>
          </cell>
          <cell r="J649">
            <v>0</v>
          </cell>
          <cell r="K649">
            <v>0</v>
          </cell>
        </row>
        <row r="650">
          <cell r="A650">
            <v>2516750</v>
          </cell>
          <cell r="B650" t="str">
            <v>Фреза Атака 592445 кромочная калевочная D44,5/ф12/H22,2</v>
          </cell>
          <cell r="C650" t="str">
            <v>шт</v>
          </cell>
          <cell r="D650">
            <v>1</v>
          </cell>
          <cell r="E65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592445 кромочная калевочная.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50">
            <v>1593</v>
          </cell>
          <cell r="G650">
            <v>2116</v>
          </cell>
          <cell r="H650" t="str">
            <v>+</v>
          </cell>
          <cell r="I650">
            <v>1593</v>
          </cell>
          <cell r="J650">
            <v>0</v>
          </cell>
          <cell r="K650">
            <v>0</v>
          </cell>
        </row>
        <row r="651">
          <cell r="A651">
            <v>2516810</v>
          </cell>
          <cell r="B651" t="str">
            <v>Фреза Атака 301190L кромочная прямая D19/ф8/H25,4</v>
          </cell>
          <cell r="C651" t="str">
            <v>шт</v>
          </cell>
          <cell r="D651">
            <v>1</v>
          </cell>
          <cell r="E65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301190L кромочная прямая.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51">
            <v>1061</v>
          </cell>
          <cell r="G651">
            <v>1413</v>
          </cell>
          <cell r="H651" t="str">
            <v>+</v>
          </cell>
          <cell r="I651">
            <v>1061</v>
          </cell>
          <cell r="J651">
            <v>0</v>
          </cell>
          <cell r="K651">
            <v>0</v>
          </cell>
        </row>
        <row r="652">
          <cell r="A652">
            <v>2516940</v>
          </cell>
          <cell r="B652" t="str">
            <v>Фреза Атака 151254 кромочная фальцевая D25,4/ф8/H10</v>
          </cell>
          <cell r="C652" t="str">
            <v>шт</v>
          </cell>
          <cell r="D652">
            <v>1</v>
          </cell>
          <cell r="E652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151254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52">
            <v>806</v>
          </cell>
          <cell r="G652">
            <v>1071</v>
          </cell>
          <cell r="H652" t="str">
            <v>+</v>
          </cell>
          <cell r="I652">
            <v>806</v>
          </cell>
          <cell r="J652">
            <v>0</v>
          </cell>
          <cell r="K652">
            <v>0</v>
          </cell>
        </row>
        <row r="653">
          <cell r="A653">
            <v>2516950</v>
          </cell>
          <cell r="B653" t="str">
            <v>Фреза Атака 151318 кромочная фальцевая D31,8/ф8/H12,7</v>
          </cell>
          <cell r="C653" t="str">
            <v>шт</v>
          </cell>
          <cell r="D653">
            <v>1</v>
          </cell>
          <cell r="E653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151318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53">
            <v>934</v>
          </cell>
          <cell r="G653">
            <v>1242</v>
          </cell>
          <cell r="H653" t="str">
            <v>+</v>
          </cell>
          <cell r="I653">
            <v>934</v>
          </cell>
          <cell r="J653">
            <v>0</v>
          </cell>
          <cell r="K653">
            <v>0</v>
          </cell>
        </row>
        <row r="654">
          <cell r="A654">
            <v>2516960</v>
          </cell>
          <cell r="B654" t="str">
            <v>Фреза Атака 151381 кромочная фальцевая D38,1/ф8/H10</v>
          </cell>
          <cell r="C654" t="str">
            <v>шт</v>
          </cell>
          <cell r="D654">
            <v>1</v>
          </cell>
          <cell r="E654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151381 кромочная фальцевая.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54">
            <v>1201</v>
          </cell>
          <cell r="G654">
            <v>1599</v>
          </cell>
          <cell r="H654" t="str">
            <v>+</v>
          </cell>
          <cell r="I654">
            <v>1201</v>
          </cell>
          <cell r="J654">
            <v>0</v>
          </cell>
          <cell r="K654">
            <v>0</v>
          </cell>
        </row>
        <row r="655">
          <cell r="A655">
            <v>2516970</v>
          </cell>
          <cell r="B655" t="str">
            <v>Фреза Атака 692222А кромочная  фигурная D22,2/ф12/H28,6</v>
          </cell>
          <cell r="C655" t="str">
            <v>шт</v>
          </cell>
          <cell r="D655">
            <v>1</v>
          </cell>
          <cell r="E655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692222А кромочная  фигурная.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55">
            <v>1846</v>
          </cell>
          <cell r="G655">
            <v>2455</v>
          </cell>
          <cell r="H655" t="str">
            <v>+</v>
          </cell>
          <cell r="I655">
            <v>1846</v>
          </cell>
          <cell r="J655">
            <v>0</v>
          </cell>
          <cell r="K655">
            <v>0</v>
          </cell>
        </row>
        <row r="656">
          <cell r="A656">
            <v>2516980</v>
          </cell>
          <cell r="B656" t="str">
            <v>Фреза Атака 692222С кромочная  фигурная D22,2/ф12/H28,6</v>
          </cell>
          <cell r="C656" t="str">
            <v>шт</v>
          </cell>
          <cell r="D656">
            <v>1</v>
          </cell>
          <cell r="E656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692222С кромочная  фигурная.
Предназначена для декоративной обработки кромок и торцов столярных изделий. Изготовлена из высококачественной стали. Используют для обработки дерева, ДСП и ламината.</v>
          </cell>
          <cell r="F656">
            <v>1846</v>
          </cell>
          <cell r="G656">
            <v>2455</v>
          </cell>
          <cell r="H656" t="str">
            <v>-</v>
          </cell>
          <cell r="I656">
            <v>1846</v>
          </cell>
          <cell r="J656">
            <v>0</v>
          </cell>
          <cell r="K656">
            <v>0</v>
          </cell>
        </row>
        <row r="657">
          <cell r="A657">
            <v>2516990</v>
          </cell>
          <cell r="B657" t="str">
            <v>Фреза Атака 401095 пазовая галтельная D9,5/ф8/H9,5</v>
          </cell>
          <cell r="C657" t="str">
            <v>шт</v>
          </cell>
          <cell r="D657">
            <v>1</v>
          </cell>
          <cell r="E657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401095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v>
          </cell>
          <cell r="F657">
            <v>545</v>
          </cell>
          <cell r="G657">
            <v>725</v>
          </cell>
          <cell r="H657" t="str">
            <v>+</v>
          </cell>
          <cell r="I657">
            <v>545</v>
          </cell>
          <cell r="J657">
            <v>0</v>
          </cell>
          <cell r="K657">
            <v>0</v>
          </cell>
        </row>
        <row r="658">
          <cell r="A658">
            <v>2517000</v>
          </cell>
          <cell r="B658" t="str">
            <v>Фреза Атака 401159 пазовая галтельная D15,9/ф8/H12,7</v>
          </cell>
          <cell r="C658" t="str">
            <v>шт</v>
          </cell>
          <cell r="D658">
            <v>1</v>
          </cell>
          <cell r="E658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401159 пазовая галтельная.
Предназначена для декоративной обработки и резьбы на столярных изделиях и для обработки кромок. Изготовлена из высококачественной стали. Используют для обработки дерева, ДСП и ламината.</v>
          </cell>
          <cell r="F658">
            <v>615</v>
          </cell>
          <cell r="G658">
            <v>816</v>
          </cell>
          <cell r="H658" t="str">
            <v>+</v>
          </cell>
          <cell r="I658">
            <v>615</v>
          </cell>
          <cell r="J658">
            <v>0</v>
          </cell>
          <cell r="K658">
            <v>0</v>
          </cell>
        </row>
        <row r="659">
          <cell r="A659">
            <v>2517010</v>
          </cell>
          <cell r="B659" t="str">
            <v>Фреза Атака 111095 пазовая галтельная V-образная-90 D9,5/ф8/H12,7</v>
          </cell>
          <cell r="C659" t="str">
            <v>шт</v>
          </cell>
          <cell r="D659">
            <v>1</v>
          </cell>
          <cell r="E659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111095 пазовая галтельная V-образная 90.
Предназначена для декоративной работы и работ по кромке изделий Изготовлена из высококачественной стали. Используют для обработки дерева, ДСП и ламината.</v>
          </cell>
          <cell r="F659">
            <v>532</v>
          </cell>
          <cell r="G659">
            <v>705</v>
          </cell>
          <cell r="H659" t="str">
            <v>+</v>
          </cell>
          <cell r="I659">
            <v>532</v>
          </cell>
          <cell r="J659">
            <v>0</v>
          </cell>
          <cell r="K659">
            <v>0</v>
          </cell>
        </row>
        <row r="660">
          <cell r="A660">
            <v>2517020</v>
          </cell>
          <cell r="B660" t="str">
            <v>Фреза Атака 001250-1 пазовая прямая D25/ф8/H25</v>
          </cell>
          <cell r="C660" t="str">
            <v>шт</v>
          </cell>
          <cell r="D660">
            <v>1</v>
          </cell>
          <cell r="E660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001250-1 пазовая прямая.
Предназначена для выборки пазов прямого профиля требуемой ширины и глубины. Изготовлена из высококачественной стали. Используют для обработки дерева, ДСП и ламината.</v>
          </cell>
          <cell r="F660">
            <v>819</v>
          </cell>
          <cell r="G660">
            <v>1090</v>
          </cell>
          <cell r="H660" t="str">
            <v>+</v>
          </cell>
          <cell r="I660">
            <v>819</v>
          </cell>
          <cell r="J660">
            <v>0</v>
          </cell>
          <cell r="K660">
            <v>0</v>
          </cell>
        </row>
        <row r="661">
          <cell r="A661">
            <v>2517060</v>
          </cell>
          <cell r="B661" t="str">
            <v>Фреза Атака 321160 пазовая прямая с подшипником D16/ф8/H20</v>
          </cell>
          <cell r="C661" t="str">
            <v>шт</v>
          </cell>
          <cell r="D661">
            <v>1</v>
          </cell>
          <cell r="E661" t="str">
            <v>Ассортимент фрез Атака включает в себя большое количество концевых фрез различных конфигураций и предназначения, применяемых как на ручных фрезах, так и на фрезерных станках. Фрезы Атака отличаются  повышенным ресурсом и оптимальным сочетанием высокой скорости обработки с точностью обрабатываемой поверхности.
Фреза Атака 321160 пазовая прямая с подшипником.
Предназначена для обработки торцов и кромок столярных изделий для получения прямого паза. Изготовлена из высококачественной стали. Используют для обработки дерева, ДСП и ламината.</v>
          </cell>
          <cell r="F661">
            <v>693</v>
          </cell>
          <cell r="G661">
            <v>919</v>
          </cell>
          <cell r="H661" t="str">
            <v>+</v>
          </cell>
          <cell r="I661">
            <v>693</v>
          </cell>
          <cell r="J661">
            <v>0</v>
          </cell>
          <cell r="K661">
            <v>0</v>
          </cell>
        </row>
        <row r="662">
          <cell r="A662">
            <v>8140920</v>
          </cell>
          <cell r="B662" t="str">
            <v>Фреза Атака кромочная замковая D41,3/ф12/H22 (8140920)</v>
          </cell>
          <cell r="C662" t="str">
            <v>шт</v>
          </cell>
          <cell r="D662">
            <v>1</v>
          </cell>
          <cell r="F662">
            <v>2683</v>
          </cell>
          <cell r="G662">
            <v>3568</v>
          </cell>
          <cell r="H662" t="str">
            <v>+</v>
          </cell>
          <cell r="I662">
            <v>2683</v>
          </cell>
          <cell r="J662">
            <v>0</v>
          </cell>
          <cell r="K662">
            <v>0</v>
          </cell>
        </row>
        <row r="663">
          <cell r="A663">
            <v>8140930</v>
          </cell>
          <cell r="B663" t="str">
            <v>Фреза Атака кромочная замковая D41,3/ф12/H22</v>
          </cell>
          <cell r="C663" t="str">
            <v>шт</v>
          </cell>
          <cell r="D663">
            <v>1</v>
          </cell>
          <cell r="F663">
            <v>2683</v>
          </cell>
          <cell r="G663">
            <v>3568</v>
          </cell>
          <cell r="H663" t="str">
            <v>+</v>
          </cell>
          <cell r="I663">
            <v>2683</v>
          </cell>
          <cell r="J663">
            <v>0</v>
          </cell>
          <cell r="K663">
            <v>0</v>
          </cell>
        </row>
        <row r="664">
          <cell r="A664">
            <v>8140940</v>
          </cell>
          <cell r="B664" t="str">
            <v>Фреза Атака кромочная замковая D41,3/ф12/H22 (8140940)</v>
          </cell>
          <cell r="C664" t="str">
            <v>шт</v>
          </cell>
          <cell r="D664">
            <v>1</v>
          </cell>
          <cell r="F664">
            <v>2683</v>
          </cell>
          <cell r="G664">
            <v>3568</v>
          </cell>
          <cell r="H664" t="str">
            <v>+</v>
          </cell>
          <cell r="I664">
            <v>2683</v>
          </cell>
          <cell r="J664">
            <v>0</v>
          </cell>
          <cell r="K664">
            <v>0</v>
          </cell>
        </row>
        <row r="665">
          <cell r="A665">
            <v>8140960</v>
          </cell>
          <cell r="B665" t="str">
            <v>Фреза Атака кромочная калевочная D50,8/ф12/H25</v>
          </cell>
          <cell r="C665" t="str">
            <v>шт</v>
          </cell>
          <cell r="D665">
            <v>1</v>
          </cell>
          <cell r="F665">
            <v>2244</v>
          </cell>
          <cell r="G665">
            <v>2982</v>
          </cell>
          <cell r="H665" t="str">
            <v>+</v>
          </cell>
          <cell r="I665">
            <v>2244</v>
          </cell>
          <cell r="J665">
            <v>0</v>
          </cell>
          <cell r="K665">
            <v>0</v>
          </cell>
        </row>
        <row r="666">
          <cell r="A666">
            <v>8140970</v>
          </cell>
          <cell r="B666" t="str">
            <v>Фреза Атака кромочная калевочная D19/ф8/H10</v>
          </cell>
          <cell r="C666" t="str">
            <v>шт</v>
          </cell>
          <cell r="D666">
            <v>1</v>
          </cell>
          <cell r="F666">
            <v>793</v>
          </cell>
          <cell r="G666">
            <v>1054</v>
          </cell>
          <cell r="H666" t="str">
            <v>+</v>
          </cell>
          <cell r="I666">
            <v>793</v>
          </cell>
          <cell r="J666">
            <v>0</v>
          </cell>
          <cell r="K666">
            <v>0</v>
          </cell>
        </row>
        <row r="667">
          <cell r="A667">
            <v>8140990</v>
          </cell>
          <cell r="B667" t="str">
            <v>Фреза Атака кромочная калевочная D44,5/ф12/H22 (8140990)</v>
          </cell>
          <cell r="C667" t="str">
            <v>шт</v>
          </cell>
          <cell r="D667">
            <v>1</v>
          </cell>
          <cell r="F667">
            <v>1706</v>
          </cell>
          <cell r="G667">
            <v>2268</v>
          </cell>
          <cell r="H667" t="str">
            <v>+</v>
          </cell>
          <cell r="I667">
            <v>1706</v>
          </cell>
          <cell r="J667">
            <v>0</v>
          </cell>
          <cell r="K667">
            <v>0</v>
          </cell>
        </row>
        <row r="668">
          <cell r="A668">
            <v>8141000</v>
          </cell>
          <cell r="B668" t="str">
            <v>Фреза Атака кромочная калевочная D28,6/ф8/H13 (8141000)</v>
          </cell>
          <cell r="C668" t="str">
            <v>шт</v>
          </cell>
          <cell r="D668">
            <v>1</v>
          </cell>
          <cell r="F668">
            <v>1012</v>
          </cell>
          <cell r="G668">
            <v>1344</v>
          </cell>
          <cell r="H668" t="str">
            <v>+</v>
          </cell>
          <cell r="I668">
            <v>1012</v>
          </cell>
          <cell r="J668">
            <v>0</v>
          </cell>
          <cell r="K668">
            <v>0</v>
          </cell>
        </row>
        <row r="669">
          <cell r="A669">
            <v>8141020</v>
          </cell>
          <cell r="B669" t="str">
            <v>Фреза Атака кромочная калевочная D33,3/ф8/H16</v>
          </cell>
          <cell r="C669" t="str">
            <v>шт</v>
          </cell>
          <cell r="D669">
            <v>1</v>
          </cell>
          <cell r="F669">
            <v>1181</v>
          </cell>
          <cell r="G669">
            <v>1570</v>
          </cell>
          <cell r="H669" t="str">
            <v>+</v>
          </cell>
          <cell r="I669">
            <v>1181</v>
          </cell>
          <cell r="J669">
            <v>0</v>
          </cell>
          <cell r="K669">
            <v>0</v>
          </cell>
        </row>
        <row r="670">
          <cell r="A670">
            <v>8141030</v>
          </cell>
          <cell r="B670" t="str">
            <v>Фреза Атака кромочная калевочная D28,6/ф8/H13 (8141030)</v>
          </cell>
          <cell r="C670" t="str">
            <v>шт</v>
          </cell>
          <cell r="D670">
            <v>1</v>
          </cell>
          <cell r="F670">
            <v>1012</v>
          </cell>
          <cell r="G670">
            <v>1344</v>
          </cell>
          <cell r="H670" t="str">
            <v>+</v>
          </cell>
          <cell r="I670">
            <v>1012</v>
          </cell>
          <cell r="J670">
            <v>0</v>
          </cell>
          <cell r="K670">
            <v>0</v>
          </cell>
        </row>
        <row r="671">
          <cell r="A671">
            <v>8141040</v>
          </cell>
          <cell r="B671" t="str">
            <v>Фреза Атака кромочная калевочная D33,3/ф8/H13</v>
          </cell>
          <cell r="C671" t="str">
            <v>шт</v>
          </cell>
          <cell r="D671">
            <v>1</v>
          </cell>
          <cell r="F671">
            <v>1147</v>
          </cell>
          <cell r="G671">
            <v>1524</v>
          </cell>
          <cell r="H671" t="str">
            <v>+</v>
          </cell>
          <cell r="I671">
            <v>1147</v>
          </cell>
          <cell r="J671">
            <v>0</v>
          </cell>
          <cell r="K671">
            <v>0</v>
          </cell>
        </row>
        <row r="672">
          <cell r="A672">
            <v>8141050</v>
          </cell>
          <cell r="B672" t="str">
            <v>Фреза Атака кромочная калевочная D42,8/ф8/H19</v>
          </cell>
          <cell r="C672" t="str">
            <v>шт</v>
          </cell>
          <cell r="D672">
            <v>1</v>
          </cell>
          <cell r="F672">
            <v>1612</v>
          </cell>
          <cell r="G672">
            <v>2144</v>
          </cell>
          <cell r="H672" t="str">
            <v>+</v>
          </cell>
          <cell r="I672">
            <v>1612</v>
          </cell>
          <cell r="J672">
            <v>0</v>
          </cell>
          <cell r="K672">
            <v>0</v>
          </cell>
        </row>
        <row r="673">
          <cell r="A673">
            <v>8141060</v>
          </cell>
          <cell r="B673" t="str">
            <v>Фреза Атака кромочная калевочная D34,9/ф8/H13</v>
          </cell>
          <cell r="C673" t="str">
            <v>шт</v>
          </cell>
          <cell r="D673">
            <v>1</v>
          </cell>
          <cell r="F673">
            <v>1126</v>
          </cell>
          <cell r="G673">
            <v>1498</v>
          </cell>
          <cell r="H673" t="str">
            <v>+</v>
          </cell>
          <cell r="I673">
            <v>1126</v>
          </cell>
          <cell r="J673">
            <v>0</v>
          </cell>
          <cell r="K673">
            <v>0</v>
          </cell>
        </row>
        <row r="674">
          <cell r="A674">
            <v>8141070</v>
          </cell>
          <cell r="B674" t="str">
            <v>Фреза Атака кромочная калевочная D28,6/ф8/H13 (8141070)</v>
          </cell>
          <cell r="C674" t="str">
            <v>шт</v>
          </cell>
          <cell r="D674">
            <v>1</v>
          </cell>
          <cell r="F674">
            <v>912</v>
          </cell>
          <cell r="G674">
            <v>1215</v>
          </cell>
          <cell r="H674" t="str">
            <v>+</v>
          </cell>
          <cell r="I674">
            <v>912</v>
          </cell>
          <cell r="J674">
            <v>0</v>
          </cell>
          <cell r="K674">
            <v>0</v>
          </cell>
        </row>
        <row r="675">
          <cell r="A675">
            <v>8141080</v>
          </cell>
          <cell r="B675" t="str">
            <v>Фреза Атака кромочная калевочная D28,6/ф8/H14</v>
          </cell>
          <cell r="C675" t="str">
            <v>шт</v>
          </cell>
          <cell r="D675">
            <v>1</v>
          </cell>
          <cell r="F675">
            <v>1067</v>
          </cell>
          <cell r="G675">
            <v>1418</v>
          </cell>
          <cell r="H675" t="str">
            <v>+</v>
          </cell>
          <cell r="I675">
            <v>1067</v>
          </cell>
          <cell r="J675">
            <v>0</v>
          </cell>
          <cell r="K675">
            <v>0</v>
          </cell>
        </row>
        <row r="676">
          <cell r="A676">
            <v>8141090</v>
          </cell>
          <cell r="B676" t="str">
            <v>Фреза Атака кромочная профилирующая D28,6/ф8/H19</v>
          </cell>
          <cell r="C676" t="str">
            <v>шт</v>
          </cell>
          <cell r="D676">
            <v>1</v>
          </cell>
          <cell r="F676">
            <v>1678</v>
          </cell>
          <cell r="G676">
            <v>2230</v>
          </cell>
          <cell r="H676" t="str">
            <v>+</v>
          </cell>
          <cell r="I676">
            <v>1678</v>
          </cell>
          <cell r="J676">
            <v>0</v>
          </cell>
          <cell r="K676">
            <v>0</v>
          </cell>
        </row>
        <row r="677">
          <cell r="A677">
            <v>8141100</v>
          </cell>
          <cell r="B677" t="str">
            <v>Фреза Атака кромочная профилирующая D22,2/ф12/H25,4</v>
          </cell>
          <cell r="C677" t="str">
            <v>шт</v>
          </cell>
          <cell r="D677">
            <v>1</v>
          </cell>
          <cell r="F677">
            <v>1732</v>
          </cell>
          <cell r="G677">
            <v>2302</v>
          </cell>
          <cell r="H677" t="str">
            <v>+</v>
          </cell>
          <cell r="I677">
            <v>1732</v>
          </cell>
          <cell r="J677">
            <v>0</v>
          </cell>
          <cell r="K677">
            <v>0</v>
          </cell>
        </row>
        <row r="678">
          <cell r="A678">
            <v>8141110</v>
          </cell>
          <cell r="B678" t="str">
            <v>Фреза Атака кромочная профилирующая D25,4/ф12/H31,8</v>
          </cell>
          <cell r="C678" t="str">
            <v>шт</v>
          </cell>
          <cell r="D678">
            <v>1</v>
          </cell>
          <cell r="F678">
            <v>2058</v>
          </cell>
          <cell r="G678">
            <v>2737</v>
          </cell>
          <cell r="H678" t="str">
            <v>+</v>
          </cell>
          <cell r="I678">
            <v>2058</v>
          </cell>
          <cell r="J678">
            <v>0</v>
          </cell>
          <cell r="K678">
            <v>0</v>
          </cell>
        </row>
        <row r="679">
          <cell r="A679">
            <v>8141120</v>
          </cell>
          <cell r="B679" t="str">
            <v>Фреза Атака кромочная профилирующая D31,8/ф12/H44,5</v>
          </cell>
          <cell r="C679" t="str">
            <v>шт</v>
          </cell>
          <cell r="D679">
            <v>1</v>
          </cell>
          <cell r="F679">
            <v>2651</v>
          </cell>
          <cell r="G679">
            <v>3525</v>
          </cell>
          <cell r="H679" t="str">
            <v>+</v>
          </cell>
          <cell r="I679">
            <v>2651</v>
          </cell>
          <cell r="J679">
            <v>0</v>
          </cell>
          <cell r="K679">
            <v>0</v>
          </cell>
        </row>
        <row r="680">
          <cell r="A680">
            <v>8141130</v>
          </cell>
          <cell r="B680" t="str">
            <v>Фреза Атака кромочная профилирующая D28,6/ф8/H25</v>
          </cell>
          <cell r="C680" t="str">
            <v>шт</v>
          </cell>
          <cell r="D680">
            <v>1</v>
          </cell>
          <cell r="F680">
            <v>1678</v>
          </cell>
          <cell r="G680">
            <v>2230</v>
          </cell>
          <cell r="H680" t="str">
            <v>+</v>
          </cell>
          <cell r="I680">
            <v>1678</v>
          </cell>
          <cell r="J680">
            <v>0</v>
          </cell>
          <cell r="K680">
            <v>0</v>
          </cell>
        </row>
        <row r="681">
          <cell r="A681">
            <v>8141140</v>
          </cell>
          <cell r="B681" t="str">
            <v>Фреза Атака кромочная прямая D22,2/ф12/H26</v>
          </cell>
          <cell r="C681" t="str">
            <v>шт</v>
          </cell>
          <cell r="D681">
            <v>1</v>
          </cell>
          <cell r="F681">
            <v>1038</v>
          </cell>
          <cell r="G681">
            <v>1379</v>
          </cell>
          <cell r="H681" t="str">
            <v>+</v>
          </cell>
          <cell r="I681">
            <v>1038</v>
          </cell>
          <cell r="J681">
            <v>0</v>
          </cell>
          <cell r="K681">
            <v>0</v>
          </cell>
        </row>
        <row r="682">
          <cell r="A682">
            <v>8141150</v>
          </cell>
          <cell r="B682" t="str">
            <v>Фреза Атака кромочная прямая D12,7/ф12/H25</v>
          </cell>
          <cell r="C682" t="str">
            <v>шт</v>
          </cell>
          <cell r="D682">
            <v>1</v>
          </cell>
          <cell r="F682">
            <v>585</v>
          </cell>
          <cell r="G682">
            <v>776</v>
          </cell>
          <cell r="H682" t="str">
            <v>+</v>
          </cell>
          <cell r="I682">
            <v>585</v>
          </cell>
          <cell r="J682">
            <v>0</v>
          </cell>
          <cell r="K682">
            <v>0</v>
          </cell>
        </row>
        <row r="683">
          <cell r="A683">
            <v>8141160</v>
          </cell>
          <cell r="B683" t="str">
            <v>Фреза Атака кромочная фальцевая D38,1/ф12/H13</v>
          </cell>
          <cell r="C683" t="str">
            <v>шт</v>
          </cell>
          <cell r="D683">
            <v>1</v>
          </cell>
          <cell r="F683">
            <v>1181</v>
          </cell>
          <cell r="G683">
            <v>1571</v>
          </cell>
          <cell r="H683" t="str">
            <v>-</v>
          </cell>
          <cell r="I683">
            <v>1181</v>
          </cell>
          <cell r="J683">
            <v>0</v>
          </cell>
          <cell r="K683">
            <v>0</v>
          </cell>
        </row>
        <row r="684">
          <cell r="A684">
            <v>8141170</v>
          </cell>
          <cell r="B684" t="str">
            <v>Фреза Атака кромочная фальцевая дисковая D50,8/ф8/H2</v>
          </cell>
          <cell r="C684" t="str">
            <v>шт</v>
          </cell>
          <cell r="D684">
            <v>1</v>
          </cell>
          <cell r="F684">
            <v>991</v>
          </cell>
          <cell r="G684">
            <v>1316</v>
          </cell>
          <cell r="H684" t="str">
            <v>+</v>
          </cell>
          <cell r="I684">
            <v>991</v>
          </cell>
          <cell r="J684">
            <v>0</v>
          </cell>
          <cell r="K684">
            <v>0</v>
          </cell>
        </row>
        <row r="685">
          <cell r="A685">
            <v>8141180</v>
          </cell>
          <cell r="B685" t="str">
            <v>Фреза Атака кромочная фальцевая дисковая D50,8/ф8/H3</v>
          </cell>
          <cell r="C685" t="str">
            <v>шт</v>
          </cell>
          <cell r="D685">
            <v>1</v>
          </cell>
          <cell r="F685">
            <v>991</v>
          </cell>
          <cell r="G685">
            <v>1316</v>
          </cell>
          <cell r="H685" t="str">
            <v>+</v>
          </cell>
          <cell r="I685">
            <v>991</v>
          </cell>
          <cell r="J685">
            <v>0</v>
          </cell>
          <cell r="K685">
            <v>0</v>
          </cell>
        </row>
        <row r="686">
          <cell r="A686">
            <v>8141190</v>
          </cell>
          <cell r="B686" t="str">
            <v>Фреза Атака кромочная фальцевая дисковая D50,8/ф8/H4</v>
          </cell>
          <cell r="C686" t="str">
            <v>шт</v>
          </cell>
          <cell r="D686">
            <v>1</v>
          </cell>
          <cell r="F686">
            <v>1005</v>
          </cell>
          <cell r="G686">
            <v>1336</v>
          </cell>
          <cell r="H686" t="str">
            <v>+</v>
          </cell>
          <cell r="I686">
            <v>1005</v>
          </cell>
          <cell r="J686">
            <v>0</v>
          </cell>
          <cell r="K686">
            <v>0</v>
          </cell>
        </row>
        <row r="687">
          <cell r="A687">
            <v>8141200</v>
          </cell>
          <cell r="B687" t="str">
            <v>Фреза Атака кромочная фальцевая дисковая D50,8/ф8/H5</v>
          </cell>
          <cell r="C687" t="str">
            <v>шт</v>
          </cell>
          <cell r="D687">
            <v>1</v>
          </cell>
          <cell r="F687">
            <v>999</v>
          </cell>
          <cell r="G687">
            <v>1326</v>
          </cell>
          <cell r="H687" t="str">
            <v>+</v>
          </cell>
          <cell r="I687">
            <v>999</v>
          </cell>
          <cell r="J687">
            <v>0</v>
          </cell>
          <cell r="K687">
            <v>0</v>
          </cell>
        </row>
        <row r="688">
          <cell r="A688">
            <v>8141210</v>
          </cell>
          <cell r="B688" t="str">
            <v>Фреза Атака кромочная фальцевая дисковая D50,8/ф8/H6</v>
          </cell>
          <cell r="C688" t="str">
            <v>шт</v>
          </cell>
          <cell r="D688">
            <v>1</v>
          </cell>
          <cell r="F688">
            <v>1080</v>
          </cell>
          <cell r="G688">
            <v>1435</v>
          </cell>
          <cell r="H688" t="str">
            <v>+</v>
          </cell>
          <cell r="I688">
            <v>1080</v>
          </cell>
          <cell r="J688">
            <v>0</v>
          </cell>
          <cell r="K688">
            <v>0</v>
          </cell>
        </row>
        <row r="689">
          <cell r="A689">
            <v>8141220</v>
          </cell>
          <cell r="B689" t="str">
            <v>Фреза Атака кромочная фигурная D22,2/ф12/H41</v>
          </cell>
          <cell r="C689" t="str">
            <v>шт</v>
          </cell>
          <cell r="D689">
            <v>1</v>
          </cell>
          <cell r="F689">
            <v>2812</v>
          </cell>
          <cell r="G689">
            <v>3737</v>
          </cell>
          <cell r="H689" t="str">
            <v>+</v>
          </cell>
          <cell r="I689">
            <v>2812</v>
          </cell>
          <cell r="J689">
            <v>0</v>
          </cell>
          <cell r="K689">
            <v>0</v>
          </cell>
        </row>
        <row r="690">
          <cell r="A690">
            <v>8141230</v>
          </cell>
          <cell r="B690" t="str">
            <v>Фреза Атака кромочная фигурная D25,4/ф12/H35</v>
          </cell>
          <cell r="C690" t="str">
            <v>шт</v>
          </cell>
          <cell r="D690">
            <v>1</v>
          </cell>
          <cell r="F690">
            <v>2699</v>
          </cell>
          <cell r="G690">
            <v>3589</v>
          </cell>
          <cell r="H690" t="str">
            <v>+</v>
          </cell>
          <cell r="I690">
            <v>2699</v>
          </cell>
          <cell r="J690">
            <v>0</v>
          </cell>
          <cell r="K690">
            <v>0</v>
          </cell>
        </row>
        <row r="691">
          <cell r="A691">
            <v>8141240</v>
          </cell>
          <cell r="B691" t="str">
            <v>Фреза Атака кромочная фигурная D28,6/ф12/H41</v>
          </cell>
          <cell r="C691" t="str">
            <v>шт</v>
          </cell>
          <cell r="D691">
            <v>1</v>
          </cell>
          <cell r="F691">
            <v>2812</v>
          </cell>
          <cell r="G691">
            <v>3737</v>
          </cell>
          <cell r="H691" t="str">
            <v>+</v>
          </cell>
          <cell r="I691">
            <v>2812</v>
          </cell>
          <cell r="J691">
            <v>0</v>
          </cell>
          <cell r="K691">
            <v>0</v>
          </cell>
        </row>
        <row r="692">
          <cell r="A692">
            <v>8141250</v>
          </cell>
          <cell r="B692" t="str">
            <v>Фреза Атака кромочная фигурная D25,4/ф12/H41</v>
          </cell>
          <cell r="C692" t="str">
            <v>шт</v>
          </cell>
          <cell r="D692">
            <v>1</v>
          </cell>
          <cell r="F692">
            <v>2812</v>
          </cell>
          <cell r="G692">
            <v>3737</v>
          </cell>
          <cell r="H692" t="str">
            <v>+</v>
          </cell>
          <cell r="I692">
            <v>2812</v>
          </cell>
          <cell r="J692">
            <v>0</v>
          </cell>
          <cell r="K692">
            <v>0</v>
          </cell>
        </row>
        <row r="693">
          <cell r="A693">
            <v>8141260</v>
          </cell>
          <cell r="B693" t="str">
            <v>Фреза Атака кромочная филенчатая D63,5/ф12,7/H19 (8141260)</v>
          </cell>
          <cell r="C693" t="str">
            <v>шт</v>
          </cell>
          <cell r="D693">
            <v>1</v>
          </cell>
          <cell r="F693">
            <v>2781</v>
          </cell>
          <cell r="G693">
            <v>3695</v>
          </cell>
          <cell r="H693" t="str">
            <v>+</v>
          </cell>
          <cell r="I693">
            <v>2781</v>
          </cell>
          <cell r="J693">
            <v>0</v>
          </cell>
          <cell r="K693">
            <v>0</v>
          </cell>
        </row>
        <row r="694">
          <cell r="A694">
            <v>8141260</v>
          </cell>
          <cell r="B694" t="str">
            <v>Фреза Атака кромочная филенчатая D63,5/ф12,7/H19 (8141260)</v>
          </cell>
          <cell r="C694" t="str">
            <v>шт</v>
          </cell>
          <cell r="D694">
            <v>1</v>
          </cell>
          <cell r="F694">
            <v>2781</v>
          </cell>
          <cell r="G694">
            <v>3695</v>
          </cell>
          <cell r="H694" t="str">
            <v>+</v>
          </cell>
          <cell r="I694">
            <v>2781</v>
          </cell>
          <cell r="J694">
            <v>0</v>
          </cell>
          <cell r="K694">
            <v>0</v>
          </cell>
        </row>
        <row r="695">
          <cell r="A695">
            <v>8141280</v>
          </cell>
          <cell r="B695" t="str">
            <v>Фреза Атака кромочная филенчатая D38,1/ф12,7/H17</v>
          </cell>
          <cell r="C695" t="str">
            <v>шт</v>
          </cell>
          <cell r="D695">
            <v>1</v>
          </cell>
          <cell r="F695">
            <v>1522</v>
          </cell>
          <cell r="G695">
            <v>2024</v>
          </cell>
          <cell r="H695" t="str">
            <v>+</v>
          </cell>
          <cell r="I695">
            <v>1522</v>
          </cell>
          <cell r="J695">
            <v>0</v>
          </cell>
          <cell r="K695">
            <v>0</v>
          </cell>
        </row>
        <row r="696">
          <cell r="A696">
            <v>8141290</v>
          </cell>
          <cell r="B696" t="str">
            <v>Фреза Атака кромочная филенчатая D50,8/ф12,7/H13</v>
          </cell>
          <cell r="C696" t="str">
            <v>шт</v>
          </cell>
          <cell r="D696">
            <v>1</v>
          </cell>
          <cell r="F696">
            <v>2160</v>
          </cell>
          <cell r="G696">
            <v>2872</v>
          </cell>
          <cell r="H696" t="str">
            <v>+</v>
          </cell>
          <cell r="I696">
            <v>2160</v>
          </cell>
          <cell r="J696">
            <v>0</v>
          </cell>
          <cell r="K696">
            <v>0</v>
          </cell>
        </row>
        <row r="697">
          <cell r="A697">
            <v>8141300</v>
          </cell>
          <cell r="B697" t="str">
            <v>Фреза Атака кромочная филенчатая D89/ф12,7/H19</v>
          </cell>
          <cell r="C697" t="str">
            <v>шт</v>
          </cell>
          <cell r="D697">
            <v>1</v>
          </cell>
          <cell r="F697">
            <v>4231</v>
          </cell>
          <cell r="G697">
            <v>5622</v>
          </cell>
          <cell r="H697" t="str">
            <v>+</v>
          </cell>
          <cell r="I697">
            <v>4231</v>
          </cell>
          <cell r="J697">
            <v>0</v>
          </cell>
          <cell r="K697">
            <v>0</v>
          </cell>
        </row>
        <row r="698">
          <cell r="A698">
            <v>8141310</v>
          </cell>
          <cell r="B698" t="str">
            <v>Фреза Атака кромочная филенчатая D79,4/ф16/H25,4</v>
          </cell>
          <cell r="C698" t="str">
            <v>шт</v>
          </cell>
          <cell r="D698">
            <v>1</v>
          </cell>
          <cell r="F698">
            <v>4030</v>
          </cell>
          <cell r="G698">
            <v>5362</v>
          </cell>
          <cell r="H698" t="str">
            <v>+</v>
          </cell>
          <cell r="I698">
            <v>4030</v>
          </cell>
          <cell r="J698">
            <v>0</v>
          </cell>
          <cell r="K698">
            <v>0</v>
          </cell>
        </row>
        <row r="699">
          <cell r="A699">
            <v>8141320</v>
          </cell>
          <cell r="B699" t="str">
            <v>Фреза Атака пазовая галтельная D6,4/ф8/H13</v>
          </cell>
          <cell r="C699" t="str">
            <v>шт</v>
          </cell>
          <cell r="D699">
            <v>1</v>
          </cell>
          <cell r="F699">
            <v>456</v>
          </cell>
          <cell r="G699">
            <v>605</v>
          </cell>
          <cell r="H699" t="str">
            <v>+</v>
          </cell>
          <cell r="I699">
            <v>456</v>
          </cell>
          <cell r="J699">
            <v>0</v>
          </cell>
          <cell r="K699">
            <v>0</v>
          </cell>
        </row>
        <row r="700">
          <cell r="A700">
            <v>8141330</v>
          </cell>
          <cell r="B700" t="str">
            <v>Фреза Атака пазовая галтельная D12,7/ф8/H25</v>
          </cell>
          <cell r="C700" t="str">
            <v>шт</v>
          </cell>
          <cell r="D700">
            <v>1</v>
          </cell>
          <cell r="F700">
            <v>849</v>
          </cell>
          <cell r="G700">
            <v>1126</v>
          </cell>
          <cell r="H700" t="str">
            <v>+</v>
          </cell>
          <cell r="I700">
            <v>849</v>
          </cell>
          <cell r="J700">
            <v>0</v>
          </cell>
          <cell r="K700">
            <v>0</v>
          </cell>
        </row>
        <row r="701">
          <cell r="A701">
            <v>8141340</v>
          </cell>
          <cell r="B701" t="str">
            <v>Фреза Атака пазовая галтельная D25,4/ф8/H16</v>
          </cell>
          <cell r="C701" t="str">
            <v>шт</v>
          </cell>
          <cell r="D701">
            <v>1</v>
          </cell>
          <cell r="F701">
            <v>1165</v>
          </cell>
          <cell r="G701">
            <v>1547</v>
          </cell>
          <cell r="H701" t="str">
            <v>+</v>
          </cell>
          <cell r="I701">
            <v>1165</v>
          </cell>
          <cell r="J701">
            <v>0</v>
          </cell>
          <cell r="K701">
            <v>0</v>
          </cell>
        </row>
        <row r="702">
          <cell r="A702">
            <v>8141350</v>
          </cell>
          <cell r="B702" t="str">
            <v>Фреза Атака пазовая галтельная V-образная D19/ф12/H9,5</v>
          </cell>
          <cell r="C702" t="str">
            <v>шт</v>
          </cell>
          <cell r="D702">
            <v>1</v>
          </cell>
          <cell r="F702">
            <v>830</v>
          </cell>
          <cell r="G702">
            <v>1103</v>
          </cell>
          <cell r="H702" t="str">
            <v>+</v>
          </cell>
          <cell r="I702">
            <v>830</v>
          </cell>
          <cell r="J702">
            <v>0</v>
          </cell>
          <cell r="K702">
            <v>0</v>
          </cell>
        </row>
        <row r="703">
          <cell r="A703">
            <v>8141360</v>
          </cell>
          <cell r="B703" t="str">
            <v>Фреза Атака пазовая галтельная V-образная D25,4/ф12/H12,7</v>
          </cell>
          <cell r="C703" t="str">
            <v>шт</v>
          </cell>
          <cell r="D703">
            <v>1</v>
          </cell>
          <cell r="F703">
            <v>1172</v>
          </cell>
          <cell r="G703">
            <v>1558</v>
          </cell>
          <cell r="H703" t="str">
            <v>+</v>
          </cell>
          <cell r="I703">
            <v>1172</v>
          </cell>
          <cell r="J703">
            <v>0</v>
          </cell>
          <cell r="K703">
            <v>0</v>
          </cell>
        </row>
        <row r="704">
          <cell r="A704">
            <v>8141380</v>
          </cell>
          <cell r="B704" t="str">
            <v>Фреза Атака пазовая галтельная V-образная D15,8/ф8/H7,9</v>
          </cell>
          <cell r="C704" t="str">
            <v>шт</v>
          </cell>
          <cell r="D704">
            <v>1</v>
          </cell>
          <cell r="F704">
            <v>746</v>
          </cell>
          <cell r="G704">
            <v>992</v>
          </cell>
          <cell r="H704" t="str">
            <v>+</v>
          </cell>
          <cell r="I704">
            <v>746</v>
          </cell>
          <cell r="J704">
            <v>0</v>
          </cell>
          <cell r="K704">
            <v>0</v>
          </cell>
        </row>
        <row r="705">
          <cell r="A705">
            <v>8141390</v>
          </cell>
          <cell r="B705" t="str">
            <v>Фреза Атака пазовая прямая D3/ф8/H6</v>
          </cell>
          <cell r="C705" t="str">
            <v>шт</v>
          </cell>
          <cell r="D705">
            <v>1</v>
          </cell>
          <cell r="F705">
            <v>999</v>
          </cell>
          <cell r="G705">
            <v>1326</v>
          </cell>
          <cell r="H705" t="str">
            <v>+</v>
          </cell>
          <cell r="I705">
            <v>999</v>
          </cell>
          <cell r="J705">
            <v>0</v>
          </cell>
          <cell r="K705">
            <v>0</v>
          </cell>
        </row>
        <row r="706">
          <cell r="A706">
            <v>8141400</v>
          </cell>
          <cell r="B706" t="str">
            <v>Фреза Атака пазовая прямая D4/ф8/H13</v>
          </cell>
          <cell r="C706" t="str">
            <v>шт</v>
          </cell>
          <cell r="D706">
            <v>1</v>
          </cell>
          <cell r="F706">
            <v>1129</v>
          </cell>
          <cell r="G706">
            <v>1495</v>
          </cell>
          <cell r="H706" t="str">
            <v>+</v>
          </cell>
          <cell r="I706">
            <v>1129</v>
          </cell>
          <cell r="J706">
            <v>0</v>
          </cell>
          <cell r="K706">
            <v>0</v>
          </cell>
        </row>
        <row r="707">
          <cell r="A707">
            <v>8141410</v>
          </cell>
          <cell r="B707" t="str">
            <v>Фреза Атака пазовая прямая D12/ф12/H51</v>
          </cell>
          <cell r="C707" t="str">
            <v>шт</v>
          </cell>
          <cell r="D707">
            <v>1</v>
          </cell>
          <cell r="F707">
            <v>1323</v>
          </cell>
          <cell r="G707">
            <v>1761</v>
          </cell>
          <cell r="H707" t="str">
            <v>+</v>
          </cell>
          <cell r="I707">
            <v>1323</v>
          </cell>
          <cell r="J707">
            <v>0</v>
          </cell>
          <cell r="K707">
            <v>0</v>
          </cell>
        </row>
        <row r="708">
          <cell r="A708">
            <v>8141420</v>
          </cell>
          <cell r="B708" t="str">
            <v>Фреза Атака пазовая прямая D15/ф8/H25</v>
          </cell>
          <cell r="C708" t="str">
            <v>шт</v>
          </cell>
          <cell r="D708">
            <v>1</v>
          </cell>
          <cell r="F708">
            <v>564</v>
          </cell>
          <cell r="G708">
            <v>751</v>
          </cell>
          <cell r="H708" t="str">
            <v>+</v>
          </cell>
          <cell r="I708">
            <v>564</v>
          </cell>
          <cell r="J708">
            <v>0</v>
          </cell>
          <cell r="K708">
            <v>0</v>
          </cell>
        </row>
        <row r="709">
          <cell r="A709">
            <v>8141430</v>
          </cell>
          <cell r="B709" t="str">
            <v>Фреза Атака пазовая прямая D20/ф8/H19</v>
          </cell>
          <cell r="C709" t="str">
            <v>шт</v>
          </cell>
          <cell r="D709">
            <v>1</v>
          </cell>
          <cell r="F709">
            <v>642</v>
          </cell>
          <cell r="G709">
            <v>850</v>
          </cell>
          <cell r="H709" t="str">
            <v>+</v>
          </cell>
          <cell r="I709">
            <v>642</v>
          </cell>
          <cell r="J709">
            <v>0</v>
          </cell>
          <cell r="K709">
            <v>0</v>
          </cell>
        </row>
        <row r="710">
          <cell r="A710">
            <v>8141440</v>
          </cell>
          <cell r="B710" t="str">
            <v>Фреза Атака пазовая прямая D22/ф8/H22</v>
          </cell>
          <cell r="C710" t="str">
            <v>шт</v>
          </cell>
          <cell r="D710">
            <v>1</v>
          </cell>
          <cell r="F710">
            <v>793</v>
          </cell>
          <cell r="G710">
            <v>1054</v>
          </cell>
          <cell r="H710" t="str">
            <v>+</v>
          </cell>
          <cell r="I710">
            <v>793</v>
          </cell>
          <cell r="J710">
            <v>0</v>
          </cell>
          <cell r="K710">
            <v>0</v>
          </cell>
        </row>
        <row r="711">
          <cell r="A711">
            <v>8141450</v>
          </cell>
          <cell r="B711" t="str">
            <v>Фреза Атака пазовая прямая D24/ф8/H25</v>
          </cell>
          <cell r="C711" t="str">
            <v>шт</v>
          </cell>
          <cell r="D711">
            <v>1</v>
          </cell>
          <cell r="F711">
            <v>852</v>
          </cell>
          <cell r="G711">
            <v>1129</v>
          </cell>
          <cell r="H711" t="str">
            <v>+</v>
          </cell>
          <cell r="I711">
            <v>852</v>
          </cell>
          <cell r="J711">
            <v>0</v>
          </cell>
          <cell r="K711">
            <v>0</v>
          </cell>
        </row>
        <row r="712">
          <cell r="A712">
            <v>8141460</v>
          </cell>
          <cell r="B712" t="str">
            <v>Фреза Атака пазовая прямая D6/ф8/H19</v>
          </cell>
          <cell r="C712" t="str">
            <v>шт</v>
          </cell>
          <cell r="D712">
            <v>1</v>
          </cell>
          <cell r="F712">
            <v>398</v>
          </cell>
          <cell r="G712">
            <v>530</v>
          </cell>
          <cell r="H712" t="str">
            <v>+</v>
          </cell>
          <cell r="I712">
            <v>398</v>
          </cell>
          <cell r="J712">
            <v>0</v>
          </cell>
          <cell r="K712">
            <v>0</v>
          </cell>
        </row>
        <row r="713">
          <cell r="A713">
            <v>8141470</v>
          </cell>
          <cell r="B713" t="str">
            <v>Фреза Атака пазовая прямая D8/ф8/H25</v>
          </cell>
          <cell r="C713" t="str">
            <v>шт</v>
          </cell>
          <cell r="D713">
            <v>1</v>
          </cell>
          <cell r="F713">
            <v>445</v>
          </cell>
          <cell r="G713">
            <v>592</v>
          </cell>
          <cell r="H713" t="str">
            <v>+</v>
          </cell>
          <cell r="I713">
            <v>445</v>
          </cell>
          <cell r="J713">
            <v>0</v>
          </cell>
          <cell r="K713">
            <v>0</v>
          </cell>
        </row>
        <row r="714">
          <cell r="A714">
            <v>8141480</v>
          </cell>
          <cell r="B714" t="str">
            <v>Фреза Атака пазовая прямая D10/ф8/H25</v>
          </cell>
          <cell r="C714" t="str">
            <v>шт</v>
          </cell>
          <cell r="D714">
            <v>1</v>
          </cell>
          <cell r="F714">
            <v>489</v>
          </cell>
          <cell r="G714">
            <v>649</v>
          </cell>
          <cell r="H714" t="str">
            <v>+</v>
          </cell>
          <cell r="I714">
            <v>489</v>
          </cell>
          <cell r="J714">
            <v>0</v>
          </cell>
          <cell r="K714">
            <v>0</v>
          </cell>
        </row>
        <row r="715">
          <cell r="A715">
            <v>8141490</v>
          </cell>
          <cell r="B715" t="str">
            <v>Фреза Атака пазовая прямая D35/ф12/H32</v>
          </cell>
          <cell r="C715" t="str">
            <v>шт</v>
          </cell>
          <cell r="D715">
            <v>1</v>
          </cell>
          <cell r="F715">
            <v>1764</v>
          </cell>
          <cell r="G715">
            <v>2344</v>
          </cell>
          <cell r="H715" t="str">
            <v>+</v>
          </cell>
          <cell r="I715">
            <v>1764</v>
          </cell>
          <cell r="J715">
            <v>0</v>
          </cell>
          <cell r="K715">
            <v>0</v>
          </cell>
        </row>
        <row r="716">
          <cell r="A716">
            <v>8141500</v>
          </cell>
          <cell r="B716" t="str">
            <v>Фреза Атака пазовая прямая D14/ф12/H51</v>
          </cell>
          <cell r="C716" t="str">
            <v>шт</v>
          </cell>
          <cell r="D716">
            <v>1</v>
          </cell>
          <cell r="F716">
            <v>1379</v>
          </cell>
          <cell r="G716">
            <v>1834</v>
          </cell>
          <cell r="H716" t="str">
            <v>+</v>
          </cell>
          <cell r="I716">
            <v>1379</v>
          </cell>
          <cell r="J716">
            <v>0</v>
          </cell>
          <cell r="K716">
            <v>0</v>
          </cell>
        </row>
        <row r="717">
          <cell r="A717">
            <v>8141510</v>
          </cell>
          <cell r="B717" t="str">
            <v>Фреза Атака пазовая прямая D16/ф12/H51</v>
          </cell>
          <cell r="C717" t="str">
            <v>шт</v>
          </cell>
          <cell r="D717">
            <v>1</v>
          </cell>
          <cell r="F717">
            <v>1548</v>
          </cell>
          <cell r="G717">
            <v>2061</v>
          </cell>
          <cell r="H717" t="str">
            <v>+</v>
          </cell>
          <cell r="I717">
            <v>1548</v>
          </cell>
          <cell r="J717">
            <v>0</v>
          </cell>
          <cell r="K717">
            <v>0</v>
          </cell>
        </row>
        <row r="718">
          <cell r="A718">
            <v>8141520</v>
          </cell>
          <cell r="B718" t="str">
            <v>Фреза Атака пазовая прямая с подшипником D6,35/ф8/H19</v>
          </cell>
          <cell r="C718" t="str">
            <v>шт</v>
          </cell>
          <cell r="D718">
            <v>1</v>
          </cell>
          <cell r="F718">
            <v>672</v>
          </cell>
          <cell r="G718">
            <v>892</v>
          </cell>
          <cell r="H718" t="str">
            <v>+</v>
          </cell>
          <cell r="I718">
            <v>672</v>
          </cell>
          <cell r="J718">
            <v>0</v>
          </cell>
          <cell r="K718">
            <v>0</v>
          </cell>
        </row>
        <row r="719">
          <cell r="A719">
            <v>8141530</v>
          </cell>
          <cell r="B719" t="str">
            <v>Фреза Атака пазовая прямая с подшипником D12,7/ф8/H26</v>
          </cell>
          <cell r="C719" t="str">
            <v>шт</v>
          </cell>
          <cell r="D719">
            <v>1</v>
          </cell>
          <cell r="F719">
            <v>731</v>
          </cell>
          <cell r="G719">
            <v>971</v>
          </cell>
          <cell r="H719" t="str">
            <v>+</v>
          </cell>
          <cell r="I719">
            <v>731</v>
          </cell>
          <cell r="J719">
            <v>0</v>
          </cell>
          <cell r="K719">
            <v>0</v>
          </cell>
        </row>
        <row r="720">
          <cell r="A720">
            <v>8141540</v>
          </cell>
          <cell r="B720" t="str">
            <v>Фреза Атака пазовая прямая с подшипником D15,8/ф8/H26</v>
          </cell>
          <cell r="C720" t="str">
            <v>шт</v>
          </cell>
          <cell r="D720">
            <v>1</v>
          </cell>
          <cell r="F720">
            <v>853</v>
          </cell>
          <cell r="G720">
            <v>1132</v>
          </cell>
          <cell r="H720" t="str">
            <v>+</v>
          </cell>
          <cell r="I720">
            <v>853</v>
          </cell>
          <cell r="J720">
            <v>0</v>
          </cell>
          <cell r="K720">
            <v>0</v>
          </cell>
        </row>
        <row r="721">
          <cell r="A721">
            <v>8141560</v>
          </cell>
          <cell r="B721" t="str">
            <v>Фреза Атака пазовая прямая с подшипником D28,6/ф12/H38</v>
          </cell>
          <cell r="C721" t="str">
            <v>шт</v>
          </cell>
          <cell r="D721">
            <v>1</v>
          </cell>
          <cell r="F721">
            <v>1833</v>
          </cell>
          <cell r="G721">
            <v>2436</v>
          </cell>
          <cell r="H721" t="str">
            <v>+</v>
          </cell>
          <cell r="I721">
            <v>1833</v>
          </cell>
          <cell r="J721">
            <v>0</v>
          </cell>
          <cell r="K721">
            <v>0</v>
          </cell>
        </row>
        <row r="722">
          <cell r="A722">
            <v>8141570</v>
          </cell>
          <cell r="B722" t="str">
            <v>Фреза Атака пазовая фасонная D9,5/ф8/H8</v>
          </cell>
          <cell r="C722" t="str">
            <v>шт</v>
          </cell>
          <cell r="D722">
            <v>1</v>
          </cell>
          <cell r="F722">
            <v>543</v>
          </cell>
          <cell r="G722">
            <v>720</v>
          </cell>
          <cell r="H722" t="str">
            <v>+</v>
          </cell>
          <cell r="I722">
            <v>543</v>
          </cell>
          <cell r="J722">
            <v>0</v>
          </cell>
          <cell r="K722">
            <v>0</v>
          </cell>
        </row>
        <row r="723">
          <cell r="A723">
            <v>8141580</v>
          </cell>
          <cell r="B723" t="str">
            <v>Фреза Атака пазовая фасонная D22,2/ф12/H15</v>
          </cell>
          <cell r="C723" t="str">
            <v>шт</v>
          </cell>
          <cell r="D723">
            <v>1</v>
          </cell>
          <cell r="F723">
            <v>1024</v>
          </cell>
          <cell r="G723">
            <v>1362</v>
          </cell>
          <cell r="H723" t="str">
            <v>+</v>
          </cell>
          <cell r="I723">
            <v>1024</v>
          </cell>
          <cell r="J723">
            <v>0</v>
          </cell>
          <cell r="K723">
            <v>0</v>
          </cell>
        </row>
        <row r="724">
          <cell r="A724">
            <v>8141590</v>
          </cell>
          <cell r="B724" t="str">
            <v>Фреза Атака пазовая фасонная D12,7/ф8/H10</v>
          </cell>
          <cell r="C724" t="str">
            <v>шт</v>
          </cell>
          <cell r="D724">
            <v>1</v>
          </cell>
          <cell r="F724">
            <v>796</v>
          </cell>
          <cell r="G724">
            <v>1059</v>
          </cell>
          <cell r="H724" t="str">
            <v>+</v>
          </cell>
          <cell r="I724">
            <v>796</v>
          </cell>
          <cell r="J724">
            <v>0</v>
          </cell>
          <cell r="K724">
            <v>0</v>
          </cell>
        </row>
        <row r="725">
          <cell r="A725">
            <v>8141600</v>
          </cell>
          <cell r="B725" t="str">
            <v>Фреза Атака пазовая фасонная D19/ф12/H16</v>
          </cell>
          <cell r="C725" t="str">
            <v>шт</v>
          </cell>
          <cell r="D725">
            <v>1</v>
          </cell>
          <cell r="F725">
            <v>1109</v>
          </cell>
          <cell r="G725">
            <v>1477</v>
          </cell>
          <cell r="H725" t="str">
            <v>+</v>
          </cell>
          <cell r="I725">
            <v>1109</v>
          </cell>
          <cell r="J725">
            <v>0</v>
          </cell>
          <cell r="K725">
            <v>0</v>
          </cell>
        </row>
        <row r="726">
          <cell r="A726">
            <v>8141610</v>
          </cell>
          <cell r="B726" t="str">
            <v>Фреза Атака пазовая фасонная D28,6/ф8/H13</v>
          </cell>
          <cell r="C726" t="str">
            <v>шт</v>
          </cell>
          <cell r="D726">
            <v>1</v>
          </cell>
          <cell r="F726">
            <v>1163</v>
          </cell>
          <cell r="G726">
            <v>1545</v>
          </cell>
          <cell r="H726" t="str">
            <v>+</v>
          </cell>
          <cell r="I726">
            <v>1163</v>
          </cell>
          <cell r="J726">
            <v>0</v>
          </cell>
          <cell r="K726">
            <v>0</v>
          </cell>
        </row>
        <row r="727">
          <cell r="A727">
            <v>8141620</v>
          </cell>
          <cell r="B727" t="str">
            <v>Фреза Атака пазовая фасонная D19/ф8/H14</v>
          </cell>
          <cell r="C727" t="str">
            <v>шт</v>
          </cell>
          <cell r="D727">
            <v>1</v>
          </cell>
          <cell r="F727">
            <v>1437</v>
          </cell>
          <cell r="G727">
            <v>1908</v>
          </cell>
          <cell r="H727" t="str">
            <v>+</v>
          </cell>
          <cell r="I727">
            <v>1437</v>
          </cell>
          <cell r="J727">
            <v>0</v>
          </cell>
          <cell r="K727">
            <v>0</v>
          </cell>
        </row>
        <row r="728">
          <cell r="A728">
            <v>8141630</v>
          </cell>
          <cell r="B728" t="str">
            <v>Фреза Атака пазовая фасонная D19/ф12/H16</v>
          </cell>
          <cell r="C728" t="str">
            <v>шт</v>
          </cell>
          <cell r="D728">
            <v>1</v>
          </cell>
          <cell r="F728">
            <v>955</v>
          </cell>
          <cell r="G728">
            <v>1270</v>
          </cell>
          <cell r="H728" t="str">
            <v>+</v>
          </cell>
          <cell r="I728">
            <v>955</v>
          </cell>
          <cell r="J728">
            <v>0</v>
          </cell>
          <cell r="K728">
            <v>0</v>
          </cell>
        </row>
        <row r="729">
          <cell r="A729">
            <v>8141640</v>
          </cell>
          <cell r="B729" t="str">
            <v>Фреза Атака пазовая фасонная D31,3/ф8/H16</v>
          </cell>
          <cell r="C729" t="str">
            <v>шт</v>
          </cell>
          <cell r="D729">
            <v>1</v>
          </cell>
          <cell r="F729">
            <v>1406</v>
          </cell>
          <cell r="G729">
            <v>1868</v>
          </cell>
          <cell r="H729" t="str">
            <v>+</v>
          </cell>
          <cell r="I729">
            <v>1406</v>
          </cell>
          <cell r="J729">
            <v>0</v>
          </cell>
          <cell r="K729">
            <v>0</v>
          </cell>
        </row>
        <row r="730">
          <cell r="A730">
            <v>8141650</v>
          </cell>
          <cell r="B730" t="str">
            <v>Фреза Атака пазовая фасонная D19/ф8/H11</v>
          </cell>
          <cell r="C730" t="str">
            <v>шт</v>
          </cell>
          <cell r="D730">
            <v>1</v>
          </cell>
          <cell r="F730">
            <v>770</v>
          </cell>
          <cell r="G730">
            <v>1019</v>
          </cell>
          <cell r="H730" t="str">
            <v>+</v>
          </cell>
          <cell r="I730">
            <v>770</v>
          </cell>
          <cell r="J730">
            <v>0</v>
          </cell>
          <cell r="K730">
            <v>0</v>
          </cell>
        </row>
        <row r="731">
          <cell r="A731">
            <v>8141660</v>
          </cell>
          <cell r="B731" t="str">
            <v>Фреза Атака пазовая фасонная D25,4/ф8/H14</v>
          </cell>
          <cell r="C731" t="str">
            <v>шт</v>
          </cell>
          <cell r="D731">
            <v>1</v>
          </cell>
          <cell r="F731">
            <v>813</v>
          </cell>
          <cell r="G731">
            <v>1080</v>
          </cell>
          <cell r="H731" t="str">
            <v>+</v>
          </cell>
          <cell r="I731">
            <v>813</v>
          </cell>
          <cell r="J731">
            <v>0</v>
          </cell>
          <cell r="K731">
            <v>0</v>
          </cell>
        </row>
        <row r="732">
          <cell r="A732">
            <v>8141670</v>
          </cell>
          <cell r="B732" t="str">
            <v>Фреза Атака пазовая фасонная D31,8/ф8/H16</v>
          </cell>
          <cell r="C732" t="str">
            <v>шт</v>
          </cell>
          <cell r="D732">
            <v>1</v>
          </cell>
          <cell r="F732">
            <v>940</v>
          </cell>
          <cell r="G732">
            <v>1250</v>
          </cell>
          <cell r="H732" t="str">
            <v>+</v>
          </cell>
          <cell r="I732">
            <v>940</v>
          </cell>
          <cell r="J732">
            <v>0</v>
          </cell>
          <cell r="K732">
            <v>0</v>
          </cell>
        </row>
        <row r="733">
          <cell r="A733">
            <v>8141270</v>
          </cell>
          <cell r="B733" t="str">
            <v>Фреза Атака кромочная филенчатая D63,5/ф12,7/H19 (8141270)</v>
          </cell>
          <cell r="C733" t="str">
            <v>шт</v>
          </cell>
          <cell r="D733">
            <v>1</v>
          </cell>
          <cell r="F733">
            <v>2781</v>
          </cell>
          <cell r="G733">
            <v>3695</v>
          </cell>
          <cell r="H733" t="str">
            <v>+</v>
          </cell>
          <cell r="I733">
            <v>2781</v>
          </cell>
          <cell r="J733">
            <v>0</v>
          </cell>
          <cell r="K733">
            <v>0</v>
          </cell>
        </row>
        <row r="734">
          <cell r="A734">
            <v>8142420</v>
          </cell>
          <cell r="B734" t="str">
            <v>Фреза АТАКА пазовая прямая D8/ф6/H20</v>
          </cell>
          <cell r="C734" t="str">
            <v>шт</v>
          </cell>
          <cell r="D734">
            <v>1</v>
          </cell>
          <cell r="F734">
            <v>344</v>
          </cell>
          <cell r="G734">
            <v>456</v>
          </cell>
          <cell r="H734" t="str">
            <v>+</v>
          </cell>
          <cell r="I734">
            <v>344</v>
          </cell>
          <cell r="J734">
            <v>0</v>
          </cell>
          <cell r="K734">
            <v>0</v>
          </cell>
        </row>
        <row r="735">
          <cell r="A735">
            <v>8142430</v>
          </cell>
          <cell r="B735" t="str">
            <v>Фреза АТАКА пазовая прямая D10/ф6/H20</v>
          </cell>
          <cell r="C735" t="str">
            <v>шт</v>
          </cell>
          <cell r="D735">
            <v>1</v>
          </cell>
          <cell r="F735">
            <v>368</v>
          </cell>
          <cell r="G735">
            <v>485</v>
          </cell>
          <cell r="H735" t="str">
            <v>-</v>
          </cell>
          <cell r="I735">
            <v>368</v>
          </cell>
          <cell r="J735">
            <v>0</v>
          </cell>
          <cell r="K735">
            <v>0</v>
          </cell>
        </row>
        <row r="736">
          <cell r="A736">
            <v>8142510</v>
          </cell>
          <cell r="B736" t="str">
            <v>Фреза АТАКА кромочная калевочная D22,2/ф6/H11,1 (8142510)</v>
          </cell>
          <cell r="C736" t="str">
            <v>шт</v>
          </cell>
          <cell r="D736">
            <v>1</v>
          </cell>
          <cell r="F736">
            <v>755</v>
          </cell>
          <cell r="G736">
            <v>1003</v>
          </cell>
          <cell r="H736" t="str">
            <v>+</v>
          </cell>
          <cell r="I736">
            <v>755</v>
          </cell>
          <cell r="J736">
            <v>0</v>
          </cell>
          <cell r="K736">
            <v>0</v>
          </cell>
        </row>
        <row r="737">
          <cell r="A737">
            <v>8142520</v>
          </cell>
          <cell r="B737" t="str">
            <v>Фреза АТАКА кромочная калевочная D19/ф9/H10,3</v>
          </cell>
          <cell r="C737" t="str">
            <v>шт</v>
          </cell>
          <cell r="D737">
            <v>1</v>
          </cell>
          <cell r="F737">
            <v>742</v>
          </cell>
          <cell r="G737">
            <v>985</v>
          </cell>
          <cell r="H737" t="str">
            <v>+</v>
          </cell>
          <cell r="I737">
            <v>742</v>
          </cell>
          <cell r="J737">
            <v>0</v>
          </cell>
          <cell r="K737">
            <v>0</v>
          </cell>
        </row>
        <row r="738">
          <cell r="A738">
            <v>8142410</v>
          </cell>
          <cell r="B738" t="str">
            <v>Фреза АТАКА пазовая прямая D6/ф6/H20</v>
          </cell>
          <cell r="C738" t="str">
            <v>шт</v>
          </cell>
          <cell r="D738">
            <v>1</v>
          </cell>
          <cell r="F738">
            <v>357</v>
          </cell>
          <cell r="G738">
            <v>476</v>
          </cell>
          <cell r="H738" t="str">
            <v>-</v>
          </cell>
          <cell r="I738">
            <v>357</v>
          </cell>
          <cell r="J738">
            <v>0</v>
          </cell>
          <cell r="K738">
            <v>0</v>
          </cell>
        </row>
        <row r="739">
          <cell r="A739">
            <v>8142440</v>
          </cell>
          <cell r="B739" t="str">
            <v>Фреза АТАКА пазовая прямая D12/ф6/H20</v>
          </cell>
          <cell r="C739" t="str">
            <v>шт</v>
          </cell>
          <cell r="D739">
            <v>1</v>
          </cell>
          <cell r="F739">
            <v>372</v>
          </cell>
          <cell r="G739">
            <v>494</v>
          </cell>
          <cell r="H739" t="str">
            <v>+</v>
          </cell>
          <cell r="I739">
            <v>372</v>
          </cell>
          <cell r="J739">
            <v>0</v>
          </cell>
          <cell r="K739">
            <v>0</v>
          </cell>
        </row>
        <row r="740">
          <cell r="A740">
            <v>8142450</v>
          </cell>
          <cell r="B740" t="str">
            <v>Фреза АТАКА кромочная прямая D9,5/ф6/H25</v>
          </cell>
          <cell r="C740" t="str">
            <v>шт</v>
          </cell>
          <cell r="D740">
            <v>1</v>
          </cell>
          <cell r="F740">
            <v>483</v>
          </cell>
          <cell r="G740">
            <v>644</v>
          </cell>
          <cell r="H740" t="str">
            <v>-</v>
          </cell>
          <cell r="I740">
            <v>483</v>
          </cell>
          <cell r="J740">
            <v>0</v>
          </cell>
          <cell r="K740">
            <v>0</v>
          </cell>
        </row>
        <row r="741">
          <cell r="A741">
            <v>8142490</v>
          </cell>
          <cell r="B741" t="str">
            <v>Фреза АТАКА кромочная фальцевая D19/ф6/H12,7</v>
          </cell>
          <cell r="C741" t="str">
            <v>шт</v>
          </cell>
          <cell r="D741">
            <v>1</v>
          </cell>
          <cell r="F741">
            <v>725</v>
          </cell>
          <cell r="G741">
            <v>964</v>
          </cell>
          <cell r="H741" t="str">
            <v>-</v>
          </cell>
          <cell r="I741">
            <v>725</v>
          </cell>
          <cell r="J741">
            <v>0</v>
          </cell>
          <cell r="K741">
            <v>0</v>
          </cell>
        </row>
        <row r="742">
          <cell r="A742">
            <v>8142500</v>
          </cell>
          <cell r="B742" t="str">
            <v>Фреза АТАКА кромочная калевочная D19/ф6/H10,3</v>
          </cell>
          <cell r="C742" t="str">
            <v>шт</v>
          </cell>
          <cell r="D742">
            <v>1</v>
          </cell>
          <cell r="F742">
            <v>742</v>
          </cell>
          <cell r="G742">
            <v>985</v>
          </cell>
          <cell r="H742" t="str">
            <v>-</v>
          </cell>
          <cell r="I742">
            <v>742</v>
          </cell>
          <cell r="J742">
            <v>0</v>
          </cell>
          <cell r="K742">
            <v>0</v>
          </cell>
        </row>
        <row r="743">
          <cell r="A743">
            <v>8142530</v>
          </cell>
          <cell r="B743" t="str">
            <v>Фреза АТАКА кромочная калевочная D22,2/ф6/H11,1 (8142530)</v>
          </cell>
          <cell r="C743" t="str">
            <v>шт</v>
          </cell>
          <cell r="D743">
            <v>1</v>
          </cell>
          <cell r="F743">
            <v>755</v>
          </cell>
          <cell r="G743">
            <v>1003</v>
          </cell>
          <cell r="H743" t="str">
            <v>+</v>
          </cell>
          <cell r="I743">
            <v>755</v>
          </cell>
          <cell r="J743">
            <v>0</v>
          </cell>
          <cell r="K743">
            <v>0</v>
          </cell>
        </row>
        <row r="744">
          <cell r="A744" t="str">
            <v>Щётки</v>
          </cell>
        </row>
        <row r="745">
          <cell r="A745">
            <v>21773</v>
          </cell>
          <cell r="B745" t="str">
            <v>Щётка №001; 107514120 d- 75 М14 чашеобразная гофрир.</v>
          </cell>
          <cell r="C745" t="str">
            <v>шт</v>
          </cell>
          <cell r="D745">
            <v>1</v>
          </cell>
          <cell r="E74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№001.
Навинчивается, резьба М14
Диаметр щетки 75мм
Материал - гофрированная сталь
Толщина проволоки - 0,30мм (обработка средней интенсивности)</v>
          </cell>
          <cell r="F745">
            <v>224</v>
          </cell>
          <cell r="G745">
            <v>296</v>
          </cell>
          <cell r="H745" t="str">
            <v>+</v>
          </cell>
          <cell r="I745">
            <v>224</v>
          </cell>
          <cell r="J745">
            <v>0</v>
          </cell>
          <cell r="K745">
            <v>0</v>
          </cell>
        </row>
        <row r="746">
          <cell r="A746">
            <v>21776</v>
          </cell>
          <cell r="B746" t="str">
            <v>Щётка №002; 110014120 d-100 М14 чашеобразная гофрир.</v>
          </cell>
          <cell r="C746" t="str">
            <v>шт</v>
          </cell>
          <cell r="D746">
            <v>1</v>
          </cell>
          <cell r="E74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№002.
Навинчивается, резьба М14
Диаметр щетки 100мм
Материал - гофрированная сталь
Толщина проволоки - 0,30мм (обработка средней интенсивности)</v>
          </cell>
          <cell r="F746">
            <v>434</v>
          </cell>
          <cell r="G746">
            <v>575</v>
          </cell>
          <cell r="H746" t="str">
            <v>+</v>
          </cell>
          <cell r="I746">
            <v>434</v>
          </cell>
          <cell r="J746">
            <v>0</v>
          </cell>
          <cell r="K746">
            <v>0</v>
          </cell>
        </row>
        <row r="747">
          <cell r="A747">
            <v>21777</v>
          </cell>
          <cell r="B747" t="str">
            <v>Щётка №003; 112514120 d-125 М14 чашеобразная гофрир.</v>
          </cell>
          <cell r="C747" t="str">
            <v>шт</v>
          </cell>
          <cell r="D747">
            <v>1</v>
          </cell>
          <cell r="E74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№003.
Навинчивается, резьба М14
Диаметр щетки 125мм
Материал - гофрированная сталь
Толщина проволоки - 0,30мм (обработка средней интенсивности)</v>
          </cell>
          <cell r="F747">
            <v>576</v>
          </cell>
          <cell r="G747">
            <v>763</v>
          </cell>
          <cell r="H747" t="str">
            <v>-</v>
          </cell>
          <cell r="I747">
            <v>576</v>
          </cell>
          <cell r="J747">
            <v>0</v>
          </cell>
          <cell r="K747">
            <v>0</v>
          </cell>
        </row>
        <row r="748">
          <cell r="A748">
            <v>21778</v>
          </cell>
          <cell r="B748" t="str">
            <v>Щётка №021; 210014120 d-100 М14 вогнутая, гофрир.</v>
          </cell>
          <cell r="C748" t="str">
            <v>шт</v>
          </cell>
          <cell r="D748">
            <v>1</v>
          </cell>
          <cell r="E74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№021.
Навинчивается, резьба М14
Диаметр щетки 100мм
Материал - гофрированная сталь
Толщина проволоки - 0,20мм (щадящая обработка)</v>
          </cell>
          <cell r="F748">
            <v>323</v>
          </cell>
          <cell r="G748">
            <v>430</v>
          </cell>
          <cell r="H748" t="str">
            <v>+</v>
          </cell>
          <cell r="I748">
            <v>323</v>
          </cell>
          <cell r="J748">
            <v>0</v>
          </cell>
          <cell r="K748">
            <v>0</v>
          </cell>
        </row>
        <row r="749">
          <cell r="A749">
            <v>21779</v>
          </cell>
          <cell r="B749" t="str">
            <v>Щётка №022; 210014320 d-100 М14 вогнутая, гофрир.латун.</v>
          </cell>
          <cell r="C749" t="str">
            <v>шт</v>
          </cell>
          <cell r="D749">
            <v>1</v>
          </cell>
          <cell r="E74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№022.
Навинчивается, резьба М14
Диаметр щетки 100мм
Материал - гофрированная латунь
Толщина проволоки - 0,20мм (щадящая обработка)</v>
          </cell>
          <cell r="F749">
            <v>511</v>
          </cell>
          <cell r="G749">
            <v>677</v>
          </cell>
          <cell r="H749" t="str">
            <v>+</v>
          </cell>
          <cell r="I749">
            <v>511</v>
          </cell>
          <cell r="J749">
            <v>0</v>
          </cell>
          <cell r="K749">
            <v>0</v>
          </cell>
        </row>
        <row r="750">
          <cell r="A750">
            <v>21780</v>
          </cell>
          <cell r="B750" t="str">
            <v>Щётка №023; 211514120 d-115 М14 вогнутая, гофрир.</v>
          </cell>
          <cell r="C750" t="str">
            <v>шт</v>
          </cell>
          <cell r="D750">
            <v>1</v>
          </cell>
          <cell r="E75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№023.
Навинчивается, резьба М14
Диаметр щетки 115мм
Материал - гофрированная сталь
Толщина проволоки - 0,20мм (щадящая обработка)</v>
          </cell>
          <cell r="F750">
            <v>324</v>
          </cell>
          <cell r="G750">
            <v>434</v>
          </cell>
          <cell r="H750" t="str">
            <v>-</v>
          </cell>
          <cell r="I750">
            <v>324</v>
          </cell>
          <cell r="J750">
            <v>0</v>
          </cell>
          <cell r="K750">
            <v>0</v>
          </cell>
        </row>
        <row r="751">
          <cell r="A751">
            <v>21781</v>
          </cell>
          <cell r="B751" t="str">
            <v>Щётка №024; 211514320 d-115 М14 вогнутая, гофрир.латун.</v>
          </cell>
          <cell r="C751" t="str">
            <v>шт</v>
          </cell>
          <cell r="D751">
            <v>1</v>
          </cell>
          <cell r="E75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№024.
Навинчивается, резьба М14
Диаметр щетки 115мм
Материал - гофрированная латунь
Толщина проволоки - 0,20мм (щадящая обработка)</v>
          </cell>
          <cell r="F751">
            <v>524</v>
          </cell>
          <cell r="G751">
            <v>697</v>
          </cell>
          <cell r="H751" t="str">
            <v>+</v>
          </cell>
          <cell r="I751">
            <v>524</v>
          </cell>
          <cell r="J751">
            <v>0</v>
          </cell>
          <cell r="K751">
            <v>0</v>
          </cell>
        </row>
        <row r="752">
          <cell r="A752">
            <v>21782</v>
          </cell>
          <cell r="B752" t="str">
            <v>Щётка №013; 1108014135 d- 80 М14 чашеобразная с кольцом, витая</v>
          </cell>
          <cell r="C752" t="str">
            <v>шт</v>
          </cell>
          <cell r="D752">
            <v>1</v>
          </cell>
          <cell r="E75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№013.
Навинчивается, резьба М14
Диаметр щетки 80мм
Материал - витая сталь
Толщина проволоки - 0,35мм (грубая обработка)</v>
          </cell>
          <cell r="F752">
            <v>636</v>
          </cell>
          <cell r="G752">
            <v>844</v>
          </cell>
          <cell r="H752" t="str">
            <v>+</v>
          </cell>
          <cell r="I752">
            <v>636</v>
          </cell>
          <cell r="J752">
            <v>0</v>
          </cell>
          <cell r="K752">
            <v>0</v>
          </cell>
        </row>
        <row r="753">
          <cell r="A753">
            <v>22208</v>
          </cell>
          <cell r="B753" t="str">
            <v>Щётка №014; 1110014135 d-100 М-14 чашеобразная с кольцом</v>
          </cell>
          <cell r="C753" t="str">
            <v>шт</v>
          </cell>
          <cell r="D753">
            <v>1</v>
          </cell>
          <cell r="E75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№014.
Навинчивается, резьба М14
Диаметр щетки 100мм
Материал - витая сталь
Толщина проволоки - 0,35мм (грубая обработка)</v>
          </cell>
          <cell r="F753">
            <v>858</v>
          </cell>
          <cell r="G753">
            <v>1137</v>
          </cell>
          <cell r="H753" t="str">
            <v>+</v>
          </cell>
          <cell r="I753">
            <v>858</v>
          </cell>
          <cell r="J753">
            <v>0</v>
          </cell>
          <cell r="K753">
            <v>0</v>
          </cell>
        </row>
        <row r="754">
          <cell r="A754">
            <v>22218</v>
          </cell>
          <cell r="B754" t="str">
            <v>Щётка №025; 1210014135 d-100 M-14 вогнутая,витая</v>
          </cell>
          <cell r="C754" t="str">
            <v>шт</v>
          </cell>
          <cell r="D754">
            <v>1</v>
          </cell>
          <cell r="E75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№025.
Навинчивается, резьба М14
Диаметр щетки 100мм
Материал - витая сталь
Толщина проволоки - 0,50мм (грубая интенсивная обработка)</v>
          </cell>
          <cell r="F754">
            <v>294</v>
          </cell>
          <cell r="G754">
            <v>390</v>
          </cell>
          <cell r="H754" t="str">
            <v>+</v>
          </cell>
          <cell r="I754">
            <v>294</v>
          </cell>
          <cell r="J754">
            <v>0</v>
          </cell>
          <cell r="K754">
            <v>0</v>
          </cell>
        </row>
        <row r="755">
          <cell r="A755">
            <v>22219</v>
          </cell>
          <cell r="B755" t="str">
            <v>Щётка №026; 1211514135 d-115 M-14 вогнутая,витая</v>
          </cell>
          <cell r="C755" t="str">
            <v>шт</v>
          </cell>
          <cell r="D755">
            <v>1</v>
          </cell>
          <cell r="E75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УШМ, модель №026.
Навинчивается, резьба М14
Диаметр щетки 115мм
Материал - витая сталь
Толщина проволоки - 0,50мм (грубая интенсивная обработка)</v>
          </cell>
          <cell r="F755">
            <v>393</v>
          </cell>
          <cell r="G755">
            <v>522</v>
          </cell>
          <cell r="H755" t="str">
            <v>+</v>
          </cell>
          <cell r="I755">
            <v>393</v>
          </cell>
          <cell r="J755">
            <v>0</v>
          </cell>
          <cell r="K755">
            <v>0</v>
          </cell>
        </row>
        <row r="756">
          <cell r="A756">
            <v>22220</v>
          </cell>
          <cell r="B756" t="str">
            <v>Щётка №004; 2106514135 d- 65 M-14 чашеобразная,витая</v>
          </cell>
          <cell r="C756" t="str">
            <v>шт</v>
          </cell>
          <cell r="D756">
            <v>1</v>
          </cell>
          <cell r="E75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№004.
Навинчивается, резьба М14
Диаметр щетки 65мм
Материал - витая сталь
Толщина проволоки - 0,50мм (грубая интенсивная обработка)</v>
          </cell>
          <cell r="F756">
            <v>262</v>
          </cell>
          <cell r="G756">
            <v>344</v>
          </cell>
          <cell r="H756" t="str">
            <v>-</v>
          </cell>
          <cell r="I756">
            <v>262</v>
          </cell>
          <cell r="J756">
            <v>0</v>
          </cell>
          <cell r="K756">
            <v>0</v>
          </cell>
        </row>
        <row r="757">
          <cell r="A757">
            <v>22221</v>
          </cell>
          <cell r="B757" t="str">
            <v>Щётка №006; 2108014135 d- 80 M-14 чашеобразная,витая</v>
          </cell>
          <cell r="C757" t="str">
            <v>шт</v>
          </cell>
          <cell r="D757">
            <v>1</v>
          </cell>
          <cell r="E75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№006.
Навинчивается, резьба М14
Диаметр щетки 80мм
Материал - витая сталь
Толщина проволоки - 0,50мм (грубая интенсивная обработка)</v>
          </cell>
          <cell r="F757">
            <v>312</v>
          </cell>
          <cell r="G757">
            <v>415</v>
          </cell>
          <cell r="H757" t="str">
            <v>-</v>
          </cell>
          <cell r="I757">
            <v>312</v>
          </cell>
          <cell r="J757">
            <v>0</v>
          </cell>
          <cell r="K757">
            <v>0</v>
          </cell>
        </row>
        <row r="758">
          <cell r="A758">
            <v>22222</v>
          </cell>
          <cell r="B758" t="str">
            <v>Щётка №008; 2110014135 d-100 M-14 чашеобразная,витая</v>
          </cell>
          <cell r="C758" t="str">
            <v>шт</v>
          </cell>
          <cell r="D758">
            <v>1</v>
          </cell>
          <cell r="E75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№008.
Навинчивается, резьба М14
Диаметр щетки 100мм
Материал - витая сталь
Толщина проволоки - 0,50мм (грубая интенсивная обработка)</v>
          </cell>
          <cell r="F758">
            <v>528</v>
          </cell>
          <cell r="G758">
            <v>700</v>
          </cell>
          <cell r="H758" t="str">
            <v>+</v>
          </cell>
          <cell r="I758">
            <v>528</v>
          </cell>
          <cell r="J758">
            <v>0</v>
          </cell>
          <cell r="K758">
            <v>0</v>
          </cell>
        </row>
        <row r="759">
          <cell r="A759">
            <v>22223</v>
          </cell>
          <cell r="B759" t="str">
            <v>Щётка №010; 2112014135 d-120 M-14 чашеобразная,витая</v>
          </cell>
          <cell r="C759" t="str">
            <v>шт</v>
          </cell>
          <cell r="D759">
            <v>1</v>
          </cell>
          <cell r="E75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№010.
Навинчивается, резьба М14
Диаметр щетки 120мм
Материал - витая сталь
Толщина проволоки - 0,50мм (грубая интенсивная обработка)</v>
          </cell>
          <cell r="F759">
            <v>728</v>
          </cell>
          <cell r="G759">
            <v>969</v>
          </cell>
          <cell r="H759" t="str">
            <v>-</v>
          </cell>
          <cell r="I759">
            <v>728</v>
          </cell>
          <cell r="J759">
            <v>0</v>
          </cell>
          <cell r="K759">
            <v>0</v>
          </cell>
        </row>
        <row r="760">
          <cell r="A760">
            <v>22225</v>
          </cell>
          <cell r="B760" t="str">
            <v>Щётка №031; 310030120 d-100 круглая д/точила,гофриров.</v>
          </cell>
          <cell r="C760" t="str">
            <v>шт</v>
          </cell>
          <cell r="D760">
            <v>1</v>
          </cell>
          <cell r="E76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№150.
Диаметр щетки 100мм
Материал - гофрированная сталь
Толщина проволоки - 0,30мм (обработка средней интенсивности)</v>
          </cell>
          <cell r="F760">
            <v>415</v>
          </cell>
          <cell r="G760">
            <v>551</v>
          </cell>
          <cell r="H760" t="str">
            <v>+</v>
          </cell>
          <cell r="I760">
            <v>415</v>
          </cell>
          <cell r="J760">
            <v>0</v>
          </cell>
          <cell r="K760">
            <v>0</v>
          </cell>
        </row>
        <row r="761">
          <cell r="A761">
            <v>22226</v>
          </cell>
          <cell r="B761" t="str">
            <v>Щётка №032; 312530120 d-125 круглая д/точила,гофриров.</v>
          </cell>
          <cell r="C761" t="str">
            <v>шт</v>
          </cell>
          <cell r="D761">
            <v>1</v>
          </cell>
          <cell r="E76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№151.
Диаметр щетки 125мм
Материал - гофрированная сталь
Толщина проволоки - 0,30мм (обработка средней интенсивности)</v>
          </cell>
          <cell r="F761">
            <v>485</v>
          </cell>
          <cell r="G761">
            <v>642</v>
          </cell>
          <cell r="H761" t="str">
            <v>+</v>
          </cell>
          <cell r="I761">
            <v>485</v>
          </cell>
          <cell r="J761">
            <v>0</v>
          </cell>
          <cell r="K761">
            <v>0</v>
          </cell>
        </row>
        <row r="762">
          <cell r="A762">
            <v>22227</v>
          </cell>
          <cell r="B762" t="str">
            <v>Щётка №033; 315050120 d-150 круглая д/точила,гофриров.</v>
          </cell>
          <cell r="C762" t="str">
            <v>шт</v>
          </cell>
          <cell r="D762">
            <v>1</v>
          </cell>
          <cell r="E76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№152.
Диаметр щетки 150мм
Материал - гофрированная сталь
Толщина проволоки - 0,30мм (обработка средней интенсивности)</v>
          </cell>
          <cell r="F762">
            <v>622</v>
          </cell>
          <cell r="G762">
            <v>828</v>
          </cell>
          <cell r="H762" t="str">
            <v>+</v>
          </cell>
          <cell r="I762">
            <v>622</v>
          </cell>
          <cell r="J762">
            <v>0</v>
          </cell>
          <cell r="K762">
            <v>0</v>
          </cell>
        </row>
        <row r="763">
          <cell r="A763">
            <v>22228</v>
          </cell>
          <cell r="B763" t="str">
            <v>Щётка №034; 317550120 d-175 круглая д/точила,гофриров.</v>
          </cell>
          <cell r="C763" t="str">
            <v>шт</v>
          </cell>
          <cell r="D763">
            <v>1</v>
          </cell>
          <cell r="E76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№153.
Диаметр щетки 175мм
Материал - гофрированная сталь
Толщина проволоки - 0,30мм (обработка средней интенсивности)</v>
          </cell>
          <cell r="F763">
            <v>753</v>
          </cell>
          <cell r="G763">
            <v>999</v>
          </cell>
          <cell r="H763" t="str">
            <v>+</v>
          </cell>
          <cell r="I763">
            <v>753</v>
          </cell>
          <cell r="J763">
            <v>0</v>
          </cell>
          <cell r="K763">
            <v>0</v>
          </cell>
        </row>
        <row r="764">
          <cell r="A764">
            <v>22229</v>
          </cell>
          <cell r="B764" t="str">
            <v>Щётка №035; 320050120 d-200 круглая д/точила,гофриров.</v>
          </cell>
          <cell r="C764" t="str">
            <v>шт</v>
          </cell>
          <cell r="D764">
            <v>1</v>
          </cell>
          <cell r="E76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№160.
Диаметр щетки 200мм
Материал - гофрированная сталь
Толщина проволоки - 0,30мм (обработка средней интенсивности)</v>
          </cell>
          <cell r="F764">
            <v>931</v>
          </cell>
          <cell r="G764">
            <v>1238</v>
          </cell>
          <cell r="H764" t="str">
            <v>+</v>
          </cell>
          <cell r="I764">
            <v>931</v>
          </cell>
          <cell r="J764">
            <v>0</v>
          </cell>
          <cell r="K764">
            <v>0</v>
          </cell>
        </row>
        <row r="765">
          <cell r="A765">
            <v>22340</v>
          </cell>
          <cell r="B765" t="str">
            <v>Щётка №047; 5305006120 d-50 для дрели гофрирован.</v>
          </cell>
          <cell r="C765" t="str">
            <v>шт</v>
          </cell>
          <cell r="D765">
            <v>1</v>
          </cell>
          <cell r="E76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№161.
Хвостовик, d=6мм
Диаметр щетки 50мм
Материал - гофрированная сталь
Толщина проволоки - 0,30мм (обработка средней интенсивности)</v>
          </cell>
          <cell r="F765">
            <v>90</v>
          </cell>
          <cell r="G765">
            <v>116</v>
          </cell>
          <cell r="H765" t="str">
            <v>-</v>
          </cell>
          <cell r="I765">
            <v>90</v>
          </cell>
          <cell r="J765">
            <v>0</v>
          </cell>
          <cell r="K765">
            <v>0</v>
          </cell>
        </row>
        <row r="766">
          <cell r="A766">
            <v>22341</v>
          </cell>
          <cell r="B766" t="str">
            <v>Щётка №052; 5305006320 d-50 для дрели  гофрирован.латун.</v>
          </cell>
          <cell r="C766" t="str">
            <v>шт</v>
          </cell>
          <cell r="D766">
            <v>1</v>
          </cell>
          <cell r="E76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№162.
Хвостовик, d=6мм
Диаметр щетки 50мм
Материал - гофрированная латунь
Толщина проволоки - 0,30мм (обработка средней интенсивности)</v>
          </cell>
          <cell r="F766">
            <v>177</v>
          </cell>
          <cell r="G766">
            <v>231</v>
          </cell>
          <cell r="H766" t="str">
            <v>+</v>
          </cell>
          <cell r="I766">
            <v>177</v>
          </cell>
          <cell r="J766">
            <v>0</v>
          </cell>
          <cell r="K766">
            <v>0</v>
          </cell>
        </row>
        <row r="767">
          <cell r="A767">
            <v>22342</v>
          </cell>
          <cell r="B767" t="str">
            <v>Щётка №048; 5306306120 d-65 для дрели  гофрирован.</v>
          </cell>
          <cell r="C767" t="str">
            <v>шт</v>
          </cell>
          <cell r="D767">
            <v>1</v>
          </cell>
          <cell r="E76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№163.
Хвостовик, d=6мм
Диаметр щетки 65мм
Материал - гофрированная сталь
Толщина проволоки - 0,30мм (обработка средней интенсивности)</v>
          </cell>
          <cell r="F767">
            <v>107</v>
          </cell>
          <cell r="G767">
            <v>139</v>
          </cell>
          <cell r="H767" t="str">
            <v>+</v>
          </cell>
          <cell r="I767">
            <v>107</v>
          </cell>
          <cell r="J767">
            <v>0</v>
          </cell>
          <cell r="K767">
            <v>0</v>
          </cell>
        </row>
        <row r="768">
          <cell r="A768">
            <v>22343</v>
          </cell>
          <cell r="B768" t="str">
            <v>Щётка №053; 5306306320 d-65 для дрели  гофрирован.латун.</v>
          </cell>
          <cell r="C768" t="str">
            <v>шт</v>
          </cell>
          <cell r="D768">
            <v>1</v>
          </cell>
          <cell r="E76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№170.
Хвостовик, d=6мм
Диаметр щетки 65мм
Материал - гофрированная латунь
Толщина проволоки - 0,30мм (обработка средней интенсивности)</v>
          </cell>
          <cell r="F768">
            <v>224</v>
          </cell>
          <cell r="G768">
            <v>297</v>
          </cell>
          <cell r="H768" t="str">
            <v>+</v>
          </cell>
          <cell r="I768">
            <v>224</v>
          </cell>
          <cell r="J768">
            <v>0</v>
          </cell>
          <cell r="K768">
            <v>0</v>
          </cell>
        </row>
        <row r="769">
          <cell r="A769">
            <v>22344</v>
          </cell>
          <cell r="B769" t="str">
            <v>Щётка №049; 5307506120 d-75 для дрели  гофрирован.</v>
          </cell>
          <cell r="C769" t="str">
            <v>шт</v>
          </cell>
          <cell r="D769">
            <v>1</v>
          </cell>
          <cell r="E76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№015.
Хвостовик, d=6мм
Диаметр щетки 75мм
Материал - гофрированная сталь
Толщина проволоки - 0,30мм (обработка средней интенсивности)</v>
          </cell>
          <cell r="F769">
            <v>115</v>
          </cell>
          <cell r="G769">
            <v>153</v>
          </cell>
          <cell r="H769" t="str">
            <v>+</v>
          </cell>
          <cell r="I769">
            <v>115</v>
          </cell>
          <cell r="J769">
            <v>0</v>
          </cell>
          <cell r="K769">
            <v>0</v>
          </cell>
        </row>
        <row r="770">
          <cell r="A770">
            <v>22345</v>
          </cell>
          <cell r="B770" t="str">
            <v>Щётка №054; 5307506320 d-75 для дрели  гофрирован.латун.</v>
          </cell>
          <cell r="C770" t="str">
            <v>шт</v>
          </cell>
          <cell r="D770">
            <v>1</v>
          </cell>
          <cell r="E77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№054.
Хвостовик, d=6мм
Диаметр щетки 75мм
Материал - гофрированная латунь
Толщина проволоки - 0,30мм (обработка средней интенсивности)</v>
          </cell>
          <cell r="F770">
            <v>269</v>
          </cell>
          <cell r="G770">
            <v>357</v>
          </cell>
          <cell r="H770" t="str">
            <v>+</v>
          </cell>
          <cell r="I770">
            <v>269</v>
          </cell>
          <cell r="J770">
            <v>0</v>
          </cell>
          <cell r="K770">
            <v>0</v>
          </cell>
        </row>
        <row r="771">
          <cell r="A771">
            <v>22378</v>
          </cell>
          <cell r="B771" t="str">
            <v>Щётка №061; 3105006120 d-50 для дрели чашеобразная,гофрирован.</v>
          </cell>
          <cell r="C771" t="str">
            <v>шт</v>
          </cell>
          <cell r="D771">
            <v>1</v>
          </cell>
          <cell r="E77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№061.
Хвостовик, d=6мм
Диаметр щетки 50мм
Материал - гофрированная сталь
Толщина проволоки - 0,30мм (обработка средней интенсивности)</v>
          </cell>
          <cell r="F771">
            <v>112</v>
          </cell>
          <cell r="G771">
            <v>149</v>
          </cell>
          <cell r="H771" t="str">
            <v>+</v>
          </cell>
          <cell r="I771">
            <v>112</v>
          </cell>
          <cell r="J771">
            <v>0</v>
          </cell>
          <cell r="K771">
            <v>0</v>
          </cell>
        </row>
        <row r="772">
          <cell r="A772">
            <v>22379</v>
          </cell>
          <cell r="B772" t="str">
            <v>Щётка №062; 3106306120 d-63 для дрели чашеобразная,гофрирован.</v>
          </cell>
          <cell r="C772" t="str">
            <v>шт</v>
          </cell>
          <cell r="D772">
            <v>1</v>
          </cell>
          <cell r="E77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№062.
Хвостовик, d=6мм
Диаметр щетки 63мм
Материал - гофрированная сталь
Толщина проволоки - 0,30мм (обработка средней интенсивности)</v>
          </cell>
          <cell r="F772">
            <v>141</v>
          </cell>
          <cell r="G772">
            <v>187</v>
          </cell>
          <cell r="H772" t="str">
            <v>+</v>
          </cell>
          <cell r="I772">
            <v>141</v>
          </cell>
          <cell r="J772">
            <v>0</v>
          </cell>
          <cell r="K772">
            <v>0</v>
          </cell>
        </row>
        <row r="773">
          <cell r="A773">
            <v>22381</v>
          </cell>
          <cell r="B773" t="str">
            <v>Щётка №063; 3107506120 d-75 для дрели чашеобразная,гофрирован.</v>
          </cell>
          <cell r="C773" t="str">
            <v>шт</v>
          </cell>
          <cell r="D773">
            <v>1</v>
          </cell>
          <cell r="E77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№063.
Хвостовик, d=6мм
Диаметр щетки 75мм
Материал - гофрированная сталь
Толщина проволоки - 0,30мм (обработка средней интенсивности)</v>
          </cell>
          <cell r="F773">
            <v>167</v>
          </cell>
          <cell r="G773">
            <v>220</v>
          </cell>
          <cell r="H773" t="str">
            <v>+</v>
          </cell>
          <cell r="I773">
            <v>167</v>
          </cell>
          <cell r="J773">
            <v>0</v>
          </cell>
          <cell r="K773">
            <v>0</v>
          </cell>
        </row>
        <row r="774">
          <cell r="A774">
            <v>22382</v>
          </cell>
          <cell r="B774" t="str">
            <v>Щётка №064; 210006120 d-100 для дрели вогнутая,гофрирован.</v>
          </cell>
          <cell r="C774" t="str">
            <v>шт</v>
          </cell>
          <cell r="D774">
            <v>1</v>
          </cell>
          <cell r="E77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дрели, модель №064.
Хвостовик, d=6мм
Диаметр щетки 100мм
Материал - гофрированная сталь
Толщина проволоки - 0,20мм (щадящая обработка)</v>
          </cell>
          <cell r="F774">
            <v>245</v>
          </cell>
          <cell r="G774">
            <v>323</v>
          </cell>
          <cell r="H774" t="str">
            <v>+</v>
          </cell>
          <cell r="I774">
            <v>245</v>
          </cell>
          <cell r="J774">
            <v>0</v>
          </cell>
          <cell r="K774">
            <v>0</v>
          </cell>
        </row>
        <row r="775">
          <cell r="A775">
            <v>22383</v>
          </cell>
          <cell r="B775" t="str">
            <v>Щётка №070; 402406130 d-24 для дрели кисть,гофрирован.</v>
          </cell>
          <cell r="C775" t="str">
            <v>шт</v>
          </cell>
          <cell r="D775">
            <v>1</v>
          </cell>
          <cell r="E77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№070.
Хвостовик, d=6мм
Диаметр щетки 24мм
Материал - гофрированная сталь
Толщина проволоки - 0,30мм (обработка средней интенсивности)</v>
          </cell>
          <cell r="F775">
            <v>99</v>
          </cell>
          <cell r="G775">
            <v>133</v>
          </cell>
          <cell r="H775" t="str">
            <v>-</v>
          </cell>
          <cell r="I775">
            <v>99</v>
          </cell>
          <cell r="J775">
            <v>0</v>
          </cell>
          <cell r="K775">
            <v>0</v>
          </cell>
        </row>
        <row r="776">
          <cell r="A776">
            <v>22384</v>
          </cell>
          <cell r="B776" t="str">
            <v>Щётка №071; 403006130 d-30 для дрели кисть,гофрирован.</v>
          </cell>
          <cell r="C776" t="str">
            <v>шт</v>
          </cell>
          <cell r="D776">
            <v>1</v>
          </cell>
          <cell r="E77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№071.
Хвостовик, d=6мм
Диаметр щетки 30мм
Материал - гофрированная сталь
Толщина проволоки - 0,30мм (обработка средней интенсивности)</v>
          </cell>
          <cell r="F776">
            <v>112</v>
          </cell>
          <cell r="G776">
            <v>149</v>
          </cell>
          <cell r="H776" t="str">
            <v>-</v>
          </cell>
          <cell r="I776">
            <v>112</v>
          </cell>
          <cell r="J776">
            <v>0</v>
          </cell>
          <cell r="K776">
            <v>0</v>
          </cell>
        </row>
        <row r="777">
          <cell r="A777">
            <v>22385</v>
          </cell>
          <cell r="B777" t="str">
            <v>Щётка №081; 5405006120 d-50 для дрели дисковая,гофрирован.шестигран.</v>
          </cell>
          <cell r="C777" t="str">
            <v>шт</v>
          </cell>
          <cell r="D777">
            <v>1</v>
          </cell>
          <cell r="E77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 для дрели, модель №081.
Шестигранник, 6мм
Диаметр щетки 50мм
Материал - латунь
Толщина проволоки - 0,30мм (обработка средней интенсивности)</v>
          </cell>
          <cell r="F777">
            <v>107</v>
          </cell>
          <cell r="G777">
            <v>139</v>
          </cell>
          <cell r="H777" t="str">
            <v>-</v>
          </cell>
          <cell r="I777">
            <v>107</v>
          </cell>
          <cell r="J777">
            <v>0</v>
          </cell>
          <cell r="K777">
            <v>0</v>
          </cell>
        </row>
        <row r="778">
          <cell r="A778">
            <v>22386</v>
          </cell>
          <cell r="B778" t="str">
            <v>Щётка №082; 5407506120 d-75 для дрели дисковая,гофрирован.шестигран.</v>
          </cell>
          <cell r="C778" t="str">
            <v>шт</v>
          </cell>
          <cell r="D778">
            <v>1</v>
          </cell>
          <cell r="E77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№082.
Шестигранник, 6мм
Диаметр щетки 75мм
Материал - гофрированная сталь
Толщина проволоки - 0,30мм (обработка средней интенсивности)</v>
          </cell>
          <cell r="F778">
            <v>135</v>
          </cell>
          <cell r="G778">
            <v>180</v>
          </cell>
          <cell r="H778" t="str">
            <v>+</v>
          </cell>
          <cell r="I778">
            <v>135</v>
          </cell>
          <cell r="J778">
            <v>0</v>
          </cell>
          <cell r="K778">
            <v>0</v>
          </cell>
        </row>
        <row r="779">
          <cell r="A779">
            <v>22387</v>
          </cell>
          <cell r="B779" t="str">
            <v>Щётка №083; 5410006120 d-100 для дрели дисковая,гофрирован.шестигран.</v>
          </cell>
          <cell r="C779" t="str">
            <v>шт</v>
          </cell>
          <cell r="D779">
            <v>1</v>
          </cell>
          <cell r="E77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№083.
Шестигранник, 6мм
Диаметр щетки 100мм
Материал - гофрированная сталь
Толщина проволоки - 0,30мм (обработка средней интенсивности)</v>
          </cell>
          <cell r="F779">
            <v>161</v>
          </cell>
          <cell r="G779">
            <v>216</v>
          </cell>
          <cell r="H779" t="str">
            <v>+</v>
          </cell>
          <cell r="I779">
            <v>161</v>
          </cell>
          <cell r="J779">
            <v>0</v>
          </cell>
          <cell r="K779">
            <v>0</v>
          </cell>
        </row>
        <row r="780">
          <cell r="A780">
            <v>22388</v>
          </cell>
          <cell r="B780" t="str">
            <v>Щётка №084; 3205006120 d-50 для дрели чашеобразная,гофрирован.шестигран.</v>
          </cell>
          <cell r="C780" t="str">
            <v>шт</v>
          </cell>
          <cell r="D780">
            <v>1</v>
          </cell>
          <cell r="E78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№084.
Шестигранник, 6мм
Диаметр щетки 50мм
Материал - гофрированная сталь
Толщина проволоки - 0,20мм (щадящая обработка)</v>
          </cell>
          <cell r="F780">
            <v>115</v>
          </cell>
          <cell r="G780">
            <v>153</v>
          </cell>
          <cell r="H780" t="str">
            <v>+</v>
          </cell>
          <cell r="I780">
            <v>115</v>
          </cell>
          <cell r="J780">
            <v>0</v>
          </cell>
          <cell r="K780">
            <v>0</v>
          </cell>
        </row>
        <row r="781">
          <cell r="A781">
            <v>22389</v>
          </cell>
          <cell r="B781" t="str">
            <v>Щётка №085; 3207506120 d-75 для дрели чашеобразная,гофрирован.шестигран.</v>
          </cell>
          <cell r="C781" t="str">
            <v>шт</v>
          </cell>
          <cell r="D781">
            <v>1</v>
          </cell>
          <cell r="E78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№085.
Шестигранник, 6мм
Диаметр щетки 75мм
Материал - гофрированная сталь
Толщина проволоки - 0,20мм (щадящая обработка)</v>
          </cell>
          <cell r="F781">
            <v>161</v>
          </cell>
          <cell r="G781">
            <v>216</v>
          </cell>
          <cell r="H781" t="str">
            <v>+</v>
          </cell>
          <cell r="I781">
            <v>161</v>
          </cell>
          <cell r="J781">
            <v>0</v>
          </cell>
          <cell r="K781">
            <v>0</v>
          </cell>
        </row>
        <row r="782">
          <cell r="A782">
            <v>22390</v>
          </cell>
          <cell r="B782" t="str">
            <v>Щётка №086; 1307506135 d-75 для дрели дисковая,витая</v>
          </cell>
          <cell r="C782" t="str">
            <v>шт</v>
          </cell>
          <cell r="D782">
            <v>1</v>
          </cell>
          <cell r="E78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 для дрели, модель №086.
Хвостовик, d=6мм
Диаметр щетки 75мм
Материал - витая сталь
Толщина проволоки - 0,35мм (грубая обработка)</v>
          </cell>
          <cell r="F782">
            <v>303</v>
          </cell>
          <cell r="G782">
            <v>405</v>
          </cell>
          <cell r="H782" t="str">
            <v>-</v>
          </cell>
          <cell r="I782">
            <v>303</v>
          </cell>
          <cell r="J782">
            <v>0</v>
          </cell>
          <cell r="K782">
            <v>0</v>
          </cell>
        </row>
        <row r="783">
          <cell r="A783">
            <v>22391</v>
          </cell>
          <cell r="B783" t="str">
            <v>Щётка №065 2107506135 d-75 для дрели чашеобразная,витая</v>
          </cell>
          <cell r="C783" t="str">
            <v>шт</v>
          </cell>
          <cell r="D783">
            <v>1</v>
          </cell>
          <cell r="E78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№065.
Хвостовик, d=6мм
Диаметр щетки 75мм
Материал - витая сталь
Толщина проволоки - 0,50мм (грубая интенсивная обработка)</v>
          </cell>
          <cell r="F783">
            <v>301</v>
          </cell>
          <cell r="G783">
            <v>402</v>
          </cell>
          <cell r="H783" t="str">
            <v>+</v>
          </cell>
          <cell r="I783">
            <v>301</v>
          </cell>
          <cell r="J783">
            <v>0</v>
          </cell>
          <cell r="K783">
            <v>0</v>
          </cell>
        </row>
        <row r="784">
          <cell r="A784">
            <v>22392</v>
          </cell>
          <cell r="B784" t="str">
            <v>Щётка №103; 1207506135 d-75 для дрели вогнутая,витая</v>
          </cell>
          <cell r="C784" t="str">
            <v>шт</v>
          </cell>
          <cell r="D784">
            <v>1</v>
          </cell>
          <cell r="E78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вогнутая для дрели, модель №103.
Хвостовик, d=6мм
Диаметр щетки 75мм
Материал - витая сталь
Толщина проволоки - 0,35мм (грубая обработка)</v>
          </cell>
          <cell r="F784">
            <v>351</v>
          </cell>
          <cell r="G784">
            <v>465</v>
          </cell>
          <cell r="H784" t="str">
            <v>+</v>
          </cell>
          <cell r="I784">
            <v>351</v>
          </cell>
          <cell r="J784">
            <v>0</v>
          </cell>
          <cell r="K784">
            <v>0</v>
          </cell>
        </row>
        <row r="785">
          <cell r="A785">
            <v>22393</v>
          </cell>
          <cell r="B785" t="str">
            <v>Щётка №093; 6306306555 d-63 для дрели круглая,абразивная</v>
          </cell>
          <cell r="C785" t="str">
            <v>шт</v>
          </cell>
          <cell r="D785">
            <v>1</v>
          </cell>
          <cell r="E78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№093.
Хвостовик, d=6мм
Диаметр щетки 63мм
Материал - абразив
Для мягкой обработки поверхностей</v>
          </cell>
          <cell r="F785">
            <v>238</v>
          </cell>
          <cell r="G785">
            <v>317</v>
          </cell>
          <cell r="H785" t="str">
            <v>+</v>
          </cell>
          <cell r="I785">
            <v>238</v>
          </cell>
          <cell r="J785">
            <v>0</v>
          </cell>
          <cell r="K785">
            <v>0</v>
          </cell>
        </row>
        <row r="786">
          <cell r="A786">
            <v>22394</v>
          </cell>
          <cell r="B786" t="str">
            <v>Щётка №096; 4105006555 d-50 для дрели чашеобразная,абразивная</v>
          </cell>
          <cell r="C786" t="str">
            <v>шт</v>
          </cell>
          <cell r="D786">
            <v>1</v>
          </cell>
          <cell r="E78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№096.
Хвостовик, d=6мм
Диаметр щетки 50мм
Материал - абразив
Для мягкой обработки поверхностей</v>
          </cell>
          <cell r="F786">
            <v>260</v>
          </cell>
          <cell r="G786">
            <v>344</v>
          </cell>
          <cell r="H786" t="str">
            <v>+</v>
          </cell>
          <cell r="I786">
            <v>260</v>
          </cell>
          <cell r="J786">
            <v>0</v>
          </cell>
          <cell r="K786">
            <v>0</v>
          </cell>
        </row>
        <row r="787">
          <cell r="A787">
            <v>22395</v>
          </cell>
          <cell r="B787" t="str">
            <v>Щётка №097; 4106306555 d-63 для дрели чашеобразная,абразивная</v>
          </cell>
          <cell r="C787" t="str">
            <v>шт</v>
          </cell>
          <cell r="D787">
            <v>1</v>
          </cell>
          <cell r="E78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№097.
Хвостовик, d=6мм
Диаметр щетки 63мм
Материал - абразив
Для мягкой обработки поверхностей</v>
          </cell>
          <cell r="F787">
            <v>275</v>
          </cell>
          <cell r="G787">
            <v>364</v>
          </cell>
          <cell r="H787" t="str">
            <v>+</v>
          </cell>
          <cell r="I787">
            <v>275</v>
          </cell>
          <cell r="J787">
            <v>0</v>
          </cell>
          <cell r="K787">
            <v>0</v>
          </cell>
        </row>
        <row r="788">
          <cell r="A788">
            <v>22396</v>
          </cell>
          <cell r="B788" t="str">
            <v>Щётка №098; 4107506555 d-75 для дрели чашеобразная,абразивная</v>
          </cell>
          <cell r="C788" t="str">
            <v>шт</v>
          </cell>
          <cell r="D788">
            <v>1</v>
          </cell>
          <cell r="E78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№098.
Хвостовик, d=6мм
Диаметр щетки 75мм
Материал - абразив
Для мягкой обработки поверхностей</v>
          </cell>
          <cell r="F788">
            <v>378</v>
          </cell>
          <cell r="G788">
            <v>501</v>
          </cell>
          <cell r="H788" t="str">
            <v>+</v>
          </cell>
          <cell r="I788">
            <v>378</v>
          </cell>
          <cell r="J788">
            <v>0</v>
          </cell>
          <cell r="K788">
            <v>0</v>
          </cell>
        </row>
        <row r="789">
          <cell r="A789">
            <v>22397</v>
          </cell>
          <cell r="B789" t="str">
            <v>Щётка №100; 3401706555 d-17 для дрели кисть,абразивная</v>
          </cell>
          <cell r="C789" t="str">
            <v>шт</v>
          </cell>
          <cell r="D789">
            <v>1</v>
          </cell>
          <cell r="E78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№100.
Хвостовик, d=6мм
Диаметр щетки 17мм
Материал - абразив
Для мягкой обработки поверхностей</v>
          </cell>
          <cell r="F789">
            <v>196</v>
          </cell>
          <cell r="G789">
            <v>259</v>
          </cell>
          <cell r="H789" t="str">
            <v>+</v>
          </cell>
          <cell r="I789">
            <v>196</v>
          </cell>
          <cell r="J789">
            <v>0</v>
          </cell>
          <cell r="K789">
            <v>0</v>
          </cell>
        </row>
        <row r="790">
          <cell r="A790">
            <v>22398</v>
          </cell>
          <cell r="B790" t="str">
            <v>Щётка №101; 3402406555 d-24 для дрели кисть,абразивная</v>
          </cell>
          <cell r="C790" t="str">
            <v>шт</v>
          </cell>
          <cell r="D790">
            <v>1</v>
          </cell>
          <cell r="E79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№101.
Хвостовик, d=6мм
Диаметр щетки 24мм
Материал - абразив
Для мягкой обработки поверхностей</v>
          </cell>
          <cell r="F790">
            <v>236</v>
          </cell>
          <cell r="G790">
            <v>311</v>
          </cell>
          <cell r="H790" t="str">
            <v>-</v>
          </cell>
          <cell r="I790">
            <v>236</v>
          </cell>
          <cell r="J790">
            <v>0</v>
          </cell>
          <cell r="K790">
            <v>0</v>
          </cell>
        </row>
        <row r="791">
          <cell r="A791">
            <v>22399</v>
          </cell>
          <cell r="B791" t="str">
            <v>Щётка №102; 3403006555 d-30 для дрели кисть,абразивная</v>
          </cell>
          <cell r="C791" t="str">
            <v>шт</v>
          </cell>
          <cell r="D791">
            <v>1</v>
          </cell>
          <cell r="E79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Щетка-кисть для дрели, модель №102.
Хвостовик, d=6мм
Диаметр щетки 30мм
Материал - абразив
Для мягкой обработки поверхностей</v>
          </cell>
          <cell r="F791">
            <v>269</v>
          </cell>
          <cell r="G791">
            <v>353</v>
          </cell>
          <cell r="H791" t="str">
            <v>+</v>
          </cell>
          <cell r="I791">
            <v>269</v>
          </cell>
          <cell r="J791">
            <v>0</v>
          </cell>
          <cell r="K791">
            <v>0</v>
          </cell>
        </row>
        <row r="792">
          <cell r="A792">
            <v>22400</v>
          </cell>
          <cell r="B792" t="str">
            <v>Щётка №116; 7133004 с деревянной ручкой 4-х рядная</v>
          </cell>
          <cell r="C792" t="str">
            <v>шт</v>
          </cell>
          <cell r="D792">
            <v>1</v>
          </cell>
          <cell r="E79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№116.
Материал - сталь
Толщина проволоки - 0,30мм (обработка средней интенсивности)</v>
          </cell>
          <cell r="F792">
            <v>128</v>
          </cell>
          <cell r="G792">
            <v>170</v>
          </cell>
          <cell r="H792" t="str">
            <v>+</v>
          </cell>
          <cell r="I792">
            <v>128</v>
          </cell>
          <cell r="J792">
            <v>0</v>
          </cell>
          <cell r="K792">
            <v>0</v>
          </cell>
        </row>
        <row r="793">
          <cell r="A793">
            <v>22401</v>
          </cell>
          <cell r="B793" t="str">
            <v>Щётка №111; 17130001 с пластиковой ручкой стальная</v>
          </cell>
          <cell r="C793" t="str">
            <v>шт</v>
          </cell>
          <cell r="D793">
            <v>1</v>
          </cell>
          <cell r="E79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№111.
Материал - витая сталь
Толщина проволоки - 0,30мм (обработка средней интенсивности)</v>
          </cell>
          <cell r="F793">
            <v>103</v>
          </cell>
          <cell r="G793">
            <v>136</v>
          </cell>
          <cell r="H793" t="str">
            <v>+</v>
          </cell>
          <cell r="I793">
            <v>103</v>
          </cell>
          <cell r="J793">
            <v>0</v>
          </cell>
          <cell r="K793">
            <v>0</v>
          </cell>
        </row>
        <row r="794">
          <cell r="A794">
            <v>22402</v>
          </cell>
          <cell r="B794" t="str">
            <v>Щётка №112; 17230001 с пластиковой ручкой омедненная</v>
          </cell>
          <cell r="C794" t="str">
            <v>шт</v>
          </cell>
          <cell r="D794">
            <v>1</v>
          </cell>
          <cell r="E79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№112.
Материал - латунь
Толщина проволоки - 0,30мм (обработка средней интенсивности)</v>
          </cell>
          <cell r="F794">
            <v>103</v>
          </cell>
          <cell r="G794">
            <v>136</v>
          </cell>
          <cell r="H794" t="str">
            <v>+</v>
          </cell>
          <cell r="I794">
            <v>103</v>
          </cell>
          <cell r="J794">
            <v>0</v>
          </cell>
          <cell r="K794">
            <v>0</v>
          </cell>
        </row>
        <row r="795">
          <cell r="A795">
            <v>22403</v>
          </cell>
          <cell r="B795" t="str">
            <v>Щётка №113; 17430001 с пластиковой ручкой латунная</v>
          </cell>
          <cell r="C795" t="str">
            <v>шт</v>
          </cell>
          <cell r="D795">
            <v>1</v>
          </cell>
          <cell r="E79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№113.
Материал - латунь
Толщина проволоки - 0,30мм (обработка средней интенсивности)</v>
          </cell>
          <cell r="F795">
            <v>171</v>
          </cell>
          <cell r="G795">
            <v>227</v>
          </cell>
          <cell r="H795" t="str">
            <v>+</v>
          </cell>
          <cell r="I795">
            <v>171</v>
          </cell>
          <cell r="J795">
            <v>0</v>
          </cell>
          <cell r="K795">
            <v>0</v>
          </cell>
        </row>
        <row r="796">
          <cell r="A796">
            <v>22419</v>
          </cell>
          <cell r="B796" t="str">
            <v>Щётка №087; 1310006135 d-100 для дрели витая</v>
          </cell>
          <cell r="C796" t="str">
            <v>шт</v>
          </cell>
          <cell r="D796">
            <v>1</v>
          </cell>
          <cell r="E79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№087.
Хвостовик, d=6мм
Диаметр щетки 100мм
Материал - витая сталь
Толщина проволоки - 0,30мм (обработка средней интенсивности)</v>
          </cell>
          <cell r="F796">
            <v>449</v>
          </cell>
          <cell r="G796">
            <v>597</v>
          </cell>
          <cell r="H796" t="str">
            <v>+</v>
          </cell>
          <cell r="I796">
            <v>449</v>
          </cell>
          <cell r="J796">
            <v>0</v>
          </cell>
          <cell r="K796">
            <v>0</v>
          </cell>
        </row>
        <row r="797">
          <cell r="A797">
            <v>26584</v>
          </cell>
          <cell r="B797" t="str">
            <v>Щётка №130 1060141d-60мм чашеобразная гофрир.провол.</v>
          </cell>
          <cell r="C797" t="str">
            <v>шт</v>
          </cell>
          <cell r="D797">
            <v>1</v>
          </cell>
          <cell r="E79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№130.
Посадка, диск d=22,2мм
Диаметр щетки 60мм
Материал - гофрированная сталь
Толщина проволоки - 0,30мм (обработка средней интенсивности)</v>
          </cell>
          <cell r="F797">
            <v>197</v>
          </cell>
          <cell r="G797">
            <v>263</v>
          </cell>
          <cell r="H797" t="str">
            <v>+</v>
          </cell>
          <cell r="I797">
            <v>197</v>
          </cell>
          <cell r="J797">
            <v>0</v>
          </cell>
          <cell r="K797">
            <v>0</v>
          </cell>
        </row>
        <row r="798">
          <cell r="A798">
            <v>26585</v>
          </cell>
          <cell r="B798" t="str">
            <v>Щётка №131 11065141 d-65мм чашеобразная с кольцом,витая</v>
          </cell>
          <cell r="C798" t="str">
            <v>шт</v>
          </cell>
          <cell r="D798">
            <v>1</v>
          </cell>
          <cell r="E79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дрели, модель №131.
Хвостовик, d=6мм
Диаметр щетки 65мм
Материал - витая сталь
Толщина проволоки - 0,35мм (грубая обработка)</v>
          </cell>
          <cell r="F798">
            <v>433</v>
          </cell>
          <cell r="G798">
            <v>574</v>
          </cell>
          <cell r="H798" t="str">
            <v>+</v>
          </cell>
          <cell r="I798">
            <v>433</v>
          </cell>
          <cell r="J798">
            <v>0</v>
          </cell>
          <cell r="K798">
            <v>0</v>
          </cell>
        </row>
        <row r="799">
          <cell r="A799">
            <v>26586</v>
          </cell>
          <cell r="B799" t="str">
            <v>Щётка №132 13075131 d-75мм круглая для УШМ, витая</v>
          </cell>
          <cell r="C799" t="str">
            <v>шт</v>
          </cell>
          <cell r="D799">
            <v>1</v>
          </cell>
          <cell r="E79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№132.
Посадка, диск d=22,2мм
Диаметр щетки 75мм
Материал - витая сталь
Толщина проволоки - 0,50мм (грубая интенсивная обработка)</v>
          </cell>
          <cell r="F799">
            <v>252</v>
          </cell>
          <cell r="G799">
            <v>334</v>
          </cell>
          <cell r="H799" t="str">
            <v>+</v>
          </cell>
          <cell r="I799">
            <v>252</v>
          </cell>
          <cell r="J799">
            <v>0</v>
          </cell>
          <cell r="K799">
            <v>0</v>
          </cell>
        </row>
        <row r="800">
          <cell r="A800">
            <v>26587</v>
          </cell>
          <cell r="B800" t="str">
            <v>Щётка №133 13100331 d-100мм круглая для УШМ.витая</v>
          </cell>
          <cell r="C800" t="str">
            <v>шт</v>
          </cell>
          <cell r="D800">
            <v>1</v>
          </cell>
          <cell r="E80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№133.
Посадка, диск d=22,2мм
Диаметр щетки 100мм
Материал - витая сталь
Толщина проволоки - 0,50мм (грубая интенсивная обработка)</v>
          </cell>
          <cell r="F800">
            <v>355</v>
          </cell>
          <cell r="G800">
            <v>473</v>
          </cell>
          <cell r="H800" t="str">
            <v>+</v>
          </cell>
          <cell r="I800">
            <v>355</v>
          </cell>
          <cell r="J800">
            <v>0</v>
          </cell>
          <cell r="K800">
            <v>0</v>
          </cell>
        </row>
        <row r="801">
          <cell r="A801">
            <v>26588</v>
          </cell>
          <cell r="B801" t="str">
            <v>Щётка №134 13115221 d-115мм круглая для УШМ , витая</v>
          </cell>
          <cell r="C801" t="str">
            <v>шт</v>
          </cell>
          <cell r="D801">
            <v>1</v>
          </cell>
          <cell r="E80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№134.
Посадка, диск d=22,2мм
Диаметр щетки 115мм
Материал - витая сталь
Толщина проволоки - 0,50мм (грубая интенсивная обработка)</v>
          </cell>
          <cell r="F801">
            <v>455</v>
          </cell>
          <cell r="G801">
            <v>606</v>
          </cell>
          <cell r="H801" t="str">
            <v>+</v>
          </cell>
          <cell r="I801">
            <v>455</v>
          </cell>
          <cell r="J801">
            <v>0</v>
          </cell>
          <cell r="K801">
            <v>0</v>
          </cell>
        </row>
        <row r="802">
          <cell r="A802">
            <v>26589</v>
          </cell>
          <cell r="B802" t="str">
            <v>Щётка №135 13150221 d-150мм круглая для УШМ , витая</v>
          </cell>
          <cell r="C802" t="str">
            <v>шт</v>
          </cell>
          <cell r="D802">
            <v>1</v>
          </cell>
          <cell r="E80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№135.
Посадка, диск d=22,2мм
Диаметр щетки 150мм
Материал - витая сталь
Толщина проволоки - 0,50мм (грубая интенсивная обработка)</v>
          </cell>
          <cell r="F802">
            <v>670</v>
          </cell>
          <cell r="G802">
            <v>890</v>
          </cell>
          <cell r="H802" t="str">
            <v>+</v>
          </cell>
          <cell r="I802">
            <v>670</v>
          </cell>
          <cell r="J802">
            <v>0</v>
          </cell>
          <cell r="K802">
            <v>0</v>
          </cell>
        </row>
        <row r="803">
          <cell r="A803">
            <v>26590</v>
          </cell>
          <cell r="B803" t="str">
            <v>Щётка №136 13178221 d-178мм круглая для УШМ , витая</v>
          </cell>
          <cell r="C803" t="str">
            <v>шт</v>
          </cell>
          <cell r="D803">
            <v>1</v>
          </cell>
          <cell r="E80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№136.
Посадка, диск d=22,2мм
Диаметр щетки 178мм
Материал - витая сталь
Толщина проволоки - 0,50мм (грубая интенсивная обработка)</v>
          </cell>
          <cell r="F803">
            <v>788</v>
          </cell>
          <cell r="G803">
            <v>1046</v>
          </cell>
          <cell r="H803" t="str">
            <v>+</v>
          </cell>
          <cell r="I803">
            <v>788</v>
          </cell>
          <cell r="J803">
            <v>0</v>
          </cell>
          <cell r="K803">
            <v>0</v>
          </cell>
        </row>
        <row r="804">
          <cell r="A804">
            <v>26591</v>
          </cell>
          <cell r="B804" t="str">
            <v>Щётка №137 13200221 d-200мм круглая для УШМ , витая</v>
          </cell>
          <cell r="C804" t="str">
            <v>шт</v>
          </cell>
          <cell r="D804">
            <v>1</v>
          </cell>
          <cell r="E80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№137.
Посадка, диск d=22,2мм
Диаметр щетки 200мм
Материал - витая сталь
Толщина проволоки - 0,50мм (грубая интенсивная обработка)</v>
          </cell>
          <cell r="F804">
            <v>1004</v>
          </cell>
          <cell r="G804">
            <v>1333</v>
          </cell>
          <cell r="H804" t="str">
            <v>+</v>
          </cell>
          <cell r="I804">
            <v>1004</v>
          </cell>
          <cell r="J804">
            <v>0</v>
          </cell>
          <cell r="K804">
            <v>0</v>
          </cell>
        </row>
        <row r="805">
          <cell r="A805">
            <v>26592</v>
          </cell>
          <cell r="B805" t="str">
            <v>Щётка №138 713303 с деревянной ручкой 3-х рядная</v>
          </cell>
          <cell r="C805" t="str">
            <v>шт</v>
          </cell>
          <cell r="D805">
            <v>1</v>
          </cell>
          <cell r="E80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№138.
Материал - сталь
Толщина проволоки - 0,30мм (обработка средней интенсивности)</v>
          </cell>
          <cell r="F805">
            <v>114</v>
          </cell>
          <cell r="G805">
            <v>150</v>
          </cell>
          <cell r="H805" t="str">
            <v>+</v>
          </cell>
          <cell r="I805">
            <v>114</v>
          </cell>
          <cell r="J805">
            <v>0</v>
          </cell>
          <cell r="K805">
            <v>0</v>
          </cell>
        </row>
        <row r="806">
          <cell r="A806">
            <v>26593</v>
          </cell>
          <cell r="B806" t="str">
            <v>Щётка №139 53038061 d-38мм для дрели гофрированная</v>
          </cell>
          <cell r="C806" t="str">
            <v>шт</v>
          </cell>
          <cell r="D806">
            <v>1</v>
          </cell>
          <cell r="E80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дрели, модель №139.
Хвостовик, d=6мм
Диаметр щетки 38мм
Материал - гофрированная сталь
Толщина проволоки - 0,30мм (обработка средней интенсивности)</v>
          </cell>
          <cell r="F806">
            <v>67</v>
          </cell>
          <cell r="G806">
            <v>88</v>
          </cell>
          <cell r="H806" t="str">
            <v>-</v>
          </cell>
          <cell r="I806">
            <v>67</v>
          </cell>
          <cell r="J806">
            <v>0</v>
          </cell>
          <cell r="K806">
            <v>0</v>
          </cell>
        </row>
        <row r="807">
          <cell r="A807">
            <v>27581</v>
          </cell>
          <cell r="B807" t="str">
            <v>Щётка №145 7133005 с деревянной ручкой 5-ти рядная</v>
          </cell>
          <cell r="C807" t="str">
            <v>шт</v>
          </cell>
          <cell r="D807">
            <v>1</v>
          </cell>
          <cell r="E80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ручная , модель №145.
Материал - сталь
Толщина проволоки - 0,30мм (обработка средней интенсивности)</v>
          </cell>
          <cell r="F807">
            <v>134</v>
          </cell>
          <cell r="G807">
            <v>177</v>
          </cell>
          <cell r="H807" t="str">
            <v>+</v>
          </cell>
          <cell r="I807">
            <v>134</v>
          </cell>
          <cell r="J807">
            <v>0</v>
          </cell>
          <cell r="K807">
            <v>0</v>
          </cell>
        </row>
        <row r="808">
          <cell r="A808">
            <v>34720</v>
          </cell>
          <cell r="B808" t="str">
            <v>Щётка №150 0106014430 d-60 М14 чашеобразная, гофрир.,нерж.</v>
          </cell>
          <cell r="C808" t="str">
            <v>шт</v>
          </cell>
          <cell r="D808">
            <v>1</v>
          </cell>
          <cell r="E80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№150.
Навинчивается, резьба М14
Диаметр щетки 60мм
Материал - нержавеющая гофрированная сталь
Толщина проволоки - 0,30мм (обработка средней интенсивности)</v>
          </cell>
          <cell r="F808">
            <v>308</v>
          </cell>
          <cell r="G808">
            <v>412</v>
          </cell>
          <cell r="H808" t="str">
            <v>+</v>
          </cell>
          <cell r="I808">
            <v>308</v>
          </cell>
          <cell r="J808">
            <v>0</v>
          </cell>
          <cell r="K808">
            <v>0</v>
          </cell>
        </row>
        <row r="809">
          <cell r="A809">
            <v>34721</v>
          </cell>
          <cell r="B809" t="str">
            <v>Щётка №151 0107514430 d-75 M14 чашеобразная, гофрир.,нерж.</v>
          </cell>
          <cell r="C809" t="str">
            <v>шт</v>
          </cell>
          <cell r="D809">
            <v>1</v>
          </cell>
          <cell r="E80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№151.
Навинчивается, резьба М14
Диаметр щетки 75мм
Материал - нержавеющая гофрированная сталь
Толщина проволоки - 0,30мм (обработка средней интенсивности)</v>
          </cell>
          <cell r="F809">
            <v>368</v>
          </cell>
          <cell r="G809">
            <v>492</v>
          </cell>
          <cell r="H809" t="str">
            <v>+</v>
          </cell>
          <cell r="I809">
            <v>368</v>
          </cell>
          <cell r="J809">
            <v>0</v>
          </cell>
          <cell r="K809">
            <v>0</v>
          </cell>
        </row>
        <row r="810">
          <cell r="A810">
            <v>34722</v>
          </cell>
          <cell r="B810" t="str">
            <v>Щётка №152 0110014430 d-100 M14 чашеобразная, гофрир.,нерж.</v>
          </cell>
          <cell r="C810" t="str">
            <v>шт</v>
          </cell>
          <cell r="D810">
            <v>1</v>
          </cell>
          <cell r="E81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№152.
Навинчивается, резьба М14
Диаметр щетки 100мм
Материал - нержавеющая гофрированная сталь
Толщина проволоки - 0,30мм (обработка средней интенсивности)</v>
          </cell>
          <cell r="F810">
            <v>681</v>
          </cell>
          <cell r="G810">
            <v>903</v>
          </cell>
          <cell r="H810" t="str">
            <v>+</v>
          </cell>
          <cell r="I810">
            <v>681</v>
          </cell>
          <cell r="J810">
            <v>0</v>
          </cell>
          <cell r="K810">
            <v>0</v>
          </cell>
        </row>
        <row r="811">
          <cell r="A811">
            <v>34723</v>
          </cell>
          <cell r="B811" t="str">
            <v>Щётка №153 0112514430 d-125 M14 чашеобразная, гофрир.,нерж.</v>
          </cell>
          <cell r="C811" t="str">
            <v>шт</v>
          </cell>
          <cell r="D811">
            <v>1</v>
          </cell>
          <cell r="E81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№153.
Навинчивается, резьба М14
Диаметр щетки 125мм
Материал - нержавеющая гофрированная сталь
Толщина проволоки - 0,30мм (обработка средней интенсивности)</v>
          </cell>
          <cell r="F811">
            <v>936</v>
          </cell>
          <cell r="G811">
            <v>1244</v>
          </cell>
          <cell r="H811" t="str">
            <v>+</v>
          </cell>
          <cell r="I811">
            <v>936</v>
          </cell>
          <cell r="J811">
            <v>0</v>
          </cell>
          <cell r="K811">
            <v>0</v>
          </cell>
        </row>
        <row r="812">
          <cell r="A812">
            <v>34724</v>
          </cell>
          <cell r="B812" t="str">
            <v>Щётка №160 2106514450 d-65 M14 чашеобразная,витая,нерж.</v>
          </cell>
          <cell r="C812" t="str">
            <v>шт</v>
          </cell>
          <cell r="D812">
            <v>1</v>
          </cell>
          <cell r="E81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№160.
Навинчивается, резьба М14
Диаметр щетки 65мм
Материал - витая сталь
Толщина проволоки - 0,35мм (грубая обработка)</v>
          </cell>
          <cell r="F812">
            <v>446</v>
          </cell>
          <cell r="G812">
            <v>592</v>
          </cell>
          <cell r="H812" t="str">
            <v>+</v>
          </cell>
          <cell r="I812">
            <v>446</v>
          </cell>
          <cell r="J812">
            <v>0</v>
          </cell>
          <cell r="K812">
            <v>0</v>
          </cell>
        </row>
        <row r="813">
          <cell r="A813">
            <v>34725</v>
          </cell>
          <cell r="B813" t="str">
            <v>Щётка №161 2108014450 d-80 M14 чашеобразная,витая,нерж.</v>
          </cell>
          <cell r="C813" t="str">
            <v>шт</v>
          </cell>
          <cell r="D813">
            <v>1</v>
          </cell>
          <cell r="E81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№161.
Навинчивается, резьба М14
Диаметр щетки 80мм
Материал - витая сталь
Толщина проволоки - 0,50мм (грубая интенсивная обработка)</v>
          </cell>
          <cell r="F813">
            <v>500</v>
          </cell>
          <cell r="G813">
            <v>663</v>
          </cell>
          <cell r="H813" t="str">
            <v>+</v>
          </cell>
          <cell r="I813">
            <v>500</v>
          </cell>
          <cell r="J813">
            <v>0</v>
          </cell>
          <cell r="K813">
            <v>0</v>
          </cell>
        </row>
        <row r="814">
          <cell r="A814">
            <v>34726</v>
          </cell>
          <cell r="B814" t="str">
            <v>Щётка №162 2110014450 d-100 M14 чашеобразная, витая, нерж.</v>
          </cell>
          <cell r="C814" t="str">
            <v>шт</v>
          </cell>
          <cell r="D814">
            <v>1</v>
          </cell>
          <cell r="E81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№162.
Навинчивается, резьба М14
Диаметр щетки 100мм
Материал - витая сталь
Толщина проволоки - 0,35мм (грубая обработка)</v>
          </cell>
          <cell r="F814">
            <v>748</v>
          </cell>
          <cell r="G814">
            <v>996</v>
          </cell>
          <cell r="H814" t="str">
            <v>+</v>
          </cell>
          <cell r="I814">
            <v>748</v>
          </cell>
          <cell r="J814">
            <v>0</v>
          </cell>
          <cell r="K814">
            <v>0</v>
          </cell>
        </row>
        <row r="815">
          <cell r="A815">
            <v>34727</v>
          </cell>
          <cell r="B815" t="str">
            <v>Щётка №163 2112014450 d-120 M14 чашеобразная,витая,нерж.</v>
          </cell>
          <cell r="C815" t="str">
            <v>шт</v>
          </cell>
          <cell r="D815">
            <v>1</v>
          </cell>
          <cell r="E81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№163.
Навинчивается, резьба М14
Диаметр щетки 120мм
Материал - витая сталь
Толщина проволоки - 0,35мм (грубая обработка)</v>
          </cell>
          <cell r="F815">
            <v>1050</v>
          </cell>
          <cell r="G815">
            <v>1395</v>
          </cell>
          <cell r="H815" t="str">
            <v>+</v>
          </cell>
          <cell r="I815">
            <v>1050</v>
          </cell>
          <cell r="J815">
            <v>0</v>
          </cell>
          <cell r="K815">
            <v>0</v>
          </cell>
        </row>
        <row r="816">
          <cell r="A816">
            <v>34728</v>
          </cell>
          <cell r="B816" t="str">
            <v>Щётка №170 1807514555 d-75 M14 чашеобразная,абразивная</v>
          </cell>
          <cell r="C816" t="str">
            <v>шт</v>
          </cell>
          <cell r="D816">
            <v>1</v>
          </cell>
          <cell r="E816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УШМ, модель №170.
Навинчивается, резьба М14
Диаметр щетки 75мм
Материал - витая сталь
Толщина проволоки - 0,50мм (грубая интенсивная обработка)</v>
          </cell>
          <cell r="F816">
            <v>881</v>
          </cell>
          <cell r="G816">
            <v>1171</v>
          </cell>
          <cell r="H816" t="str">
            <v>+</v>
          </cell>
          <cell r="I816">
            <v>881</v>
          </cell>
          <cell r="J816">
            <v>0</v>
          </cell>
          <cell r="K816">
            <v>0</v>
          </cell>
        </row>
        <row r="817">
          <cell r="A817">
            <v>34729</v>
          </cell>
          <cell r="B817" t="str">
            <v>Щётка №171 1810014555 d-100 M14 чашеобразная,абразивная</v>
          </cell>
          <cell r="C817" t="str">
            <v>шт</v>
          </cell>
          <cell r="D817">
            <v>1</v>
          </cell>
          <cell r="E817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№171.
Хвостовик, d=6мм
Диаметр щетки 100мм
Материал - абразив
Для мягкой обработки поверхностей</v>
          </cell>
          <cell r="F817">
            <v>1474</v>
          </cell>
          <cell r="G817">
            <v>1958</v>
          </cell>
          <cell r="H817" t="str">
            <v>+</v>
          </cell>
          <cell r="I817">
            <v>1474</v>
          </cell>
          <cell r="J817">
            <v>0</v>
          </cell>
          <cell r="K817">
            <v>0</v>
          </cell>
        </row>
        <row r="818">
          <cell r="A818">
            <v>34730</v>
          </cell>
          <cell r="B818" t="str">
            <v>Щётка №172 1812514555 d-125 M14 чашеобразная,абразивная</v>
          </cell>
          <cell r="C818" t="str">
            <v>шт</v>
          </cell>
          <cell r="D818">
            <v>1</v>
          </cell>
          <cell r="E818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для дрели, модель №172.
Хвостовик, d=6мм
Диаметр щетки 125мм
Материал - абразив
Для мягкой обработки поверхностей</v>
          </cell>
          <cell r="F818">
            <v>2012</v>
          </cell>
          <cell r="G818">
            <v>2673</v>
          </cell>
          <cell r="H818" t="str">
            <v>+</v>
          </cell>
          <cell r="I818">
            <v>2012</v>
          </cell>
          <cell r="J818">
            <v>0</v>
          </cell>
          <cell r="K818">
            <v>0</v>
          </cell>
        </row>
        <row r="819">
          <cell r="A819">
            <v>34731</v>
          </cell>
          <cell r="B819" t="str">
            <v>Щётка №180 0310020430 d-100 круглая д/точила,гофрир.,нерж.</v>
          </cell>
          <cell r="C819" t="str">
            <v>шт</v>
          </cell>
          <cell r="D819">
            <v>1</v>
          </cell>
          <cell r="E819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№180.
Диаметр щетки 100мм
Материал - нержавеющая гофрированная сталь
Толщина проволоки - 0,30мм (обработка средней интенсивности)</v>
          </cell>
          <cell r="F819">
            <v>621</v>
          </cell>
          <cell r="G819">
            <v>826</v>
          </cell>
          <cell r="H819" t="str">
            <v>+</v>
          </cell>
          <cell r="I819">
            <v>621</v>
          </cell>
          <cell r="J819">
            <v>0</v>
          </cell>
          <cell r="K819">
            <v>0</v>
          </cell>
        </row>
        <row r="820">
          <cell r="A820">
            <v>34732</v>
          </cell>
          <cell r="B820" t="str">
            <v>Щётка №181 0312520430 d-125 круглая д/точила,гофрир.,нерж.</v>
          </cell>
          <cell r="C820" t="str">
            <v>шт</v>
          </cell>
          <cell r="D820">
            <v>1</v>
          </cell>
          <cell r="E820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№181.
Диаметр щетки 125мм
Материал - нержавеющая гофрированная сталь
Толщина проволоки - 0,30мм (обработка средней интенсивности)</v>
          </cell>
          <cell r="F820">
            <v>776</v>
          </cell>
          <cell r="G820">
            <v>1035</v>
          </cell>
          <cell r="H820" t="str">
            <v>+</v>
          </cell>
          <cell r="I820">
            <v>776</v>
          </cell>
          <cell r="J820">
            <v>0</v>
          </cell>
          <cell r="K820">
            <v>0</v>
          </cell>
        </row>
        <row r="821">
          <cell r="A821">
            <v>34733</v>
          </cell>
          <cell r="B821" t="str">
            <v>Щётка №182 0315032430 d-150 круглая д/точила,гофрир.,нерж.</v>
          </cell>
          <cell r="C821" t="str">
            <v>шт</v>
          </cell>
          <cell r="D821">
            <v>1</v>
          </cell>
          <cell r="E821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№182.
Диаметр щетки 150мм
Материал - нержавеющая гофрированная сталь
Толщина проволоки - 0,30мм (обработка средней интенсивности)</v>
          </cell>
          <cell r="F821">
            <v>1088</v>
          </cell>
          <cell r="G821">
            <v>1444</v>
          </cell>
          <cell r="H821" t="str">
            <v>-</v>
          </cell>
          <cell r="I821">
            <v>1088</v>
          </cell>
          <cell r="J821">
            <v>0</v>
          </cell>
          <cell r="K821">
            <v>0</v>
          </cell>
        </row>
        <row r="822">
          <cell r="A822">
            <v>34734</v>
          </cell>
          <cell r="B822" t="str">
            <v>Щётка №183 0317532430 d-175 круглая д/точила,гофрир.,нерж.</v>
          </cell>
          <cell r="C822" t="str">
            <v>шт</v>
          </cell>
          <cell r="D822">
            <v>1</v>
          </cell>
          <cell r="E822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№183.
Диаметр щетки 175мм
Материал - нержавеющая гофрированная сталь
Толщина проволоки - 0,30мм (обработка средней интенсивности)</v>
          </cell>
          <cell r="F822">
            <v>1256</v>
          </cell>
          <cell r="G822">
            <v>1669</v>
          </cell>
          <cell r="H822" t="str">
            <v>-</v>
          </cell>
          <cell r="I822">
            <v>1256</v>
          </cell>
          <cell r="J822">
            <v>0</v>
          </cell>
          <cell r="K822">
            <v>0</v>
          </cell>
        </row>
        <row r="823">
          <cell r="A823">
            <v>34735</v>
          </cell>
          <cell r="B823" t="str">
            <v>Щётка №184 0320032430 d-200 круглая д/точила,гофрир.,нерж.</v>
          </cell>
          <cell r="C823" t="str">
            <v>шт</v>
          </cell>
          <cell r="D823">
            <v>1</v>
          </cell>
          <cell r="E823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точила, модель №184.
Диаметр щетки 200мм
Материал - нержавеющая гофрированная сталь
Толщина проволоки - 0,30мм (обработка средней интенсивности)</v>
          </cell>
          <cell r="F823">
            <v>1547</v>
          </cell>
          <cell r="G823">
            <v>2056</v>
          </cell>
          <cell r="H823" t="str">
            <v>+</v>
          </cell>
          <cell r="I823">
            <v>1547</v>
          </cell>
          <cell r="J823">
            <v>0</v>
          </cell>
          <cell r="K823">
            <v>0</v>
          </cell>
        </row>
        <row r="824">
          <cell r="A824">
            <v>2067360</v>
          </cell>
          <cell r="B824" t="str">
            <v>Щётка №015; 1112014150 d-120 M-14 чашеобразная с кольцом, витая</v>
          </cell>
          <cell r="C824" t="str">
            <v>шт</v>
          </cell>
          <cell r="D824">
            <v>1</v>
          </cell>
          <cell r="E824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чашеобразная с кольцом для УШМ, модель №015.
Навинчивается, резьба М14
Диаметр щетки 120мм
Материал - витая сталь
Толщина проволоки - 0,35мм (грубая обработка)</v>
          </cell>
          <cell r="F824">
            <v>962</v>
          </cell>
          <cell r="G824">
            <v>1278</v>
          </cell>
          <cell r="H824" t="str">
            <v>+</v>
          </cell>
          <cell r="I824">
            <v>962</v>
          </cell>
          <cell r="J824">
            <v>0</v>
          </cell>
          <cell r="K824">
            <v>0</v>
          </cell>
        </row>
        <row r="825">
          <cell r="A825">
            <v>2067420</v>
          </cell>
          <cell r="B825" t="str">
            <v>Щётка №125 1512522150 d-125мм круглая для УШМ, витая</v>
          </cell>
          <cell r="C825" t="str">
            <v>шт</v>
          </cell>
          <cell r="D825">
            <v>1</v>
          </cell>
          <cell r="E825" t="str">
            <v>Щеточный расходный инструмент предназначен для обработки различных поверхностей, очистки от различных покрытий, ржавчины и загрязнений. 
В ассортименте Атака представлены щетки для работы со всем инструментом: угловые шлифмашины, дрели, точильные станки, а также ручные щетки.  
Щетка круглая для УШМ, модель №125.
Посадка, диск d=22,2мм
Диаметр щетки 125мм
Материал - витая сталь
Толщина проволоки - 0,50мм (грубая интенсивная обработка)</v>
          </cell>
          <cell r="F825">
            <v>562</v>
          </cell>
          <cell r="G825">
            <v>747</v>
          </cell>
          <cell r="H825" t="str">
            <v>+</v>
          </cell>
          <cell r="I825">
            <v>562</v>
          </cell>
          <cell r="J825">
            <v>0</v>
          </cell>
          <cell r="K825">
            <v>0</v>
          </cell>
        </row>
        <row r="826">
          <cell r="A826" t="str">
            <v>Миксер - насадки</v>
          </cell>
        </row>
        <row r="827">
          <cell r="A827" t="str">
            <v>УТ-99840</v>
          </cell>
          <cell r="B827" t="str">
            <v>Насадка для миксера Атака, д/красок и легких смесей, 60 х 400мм, оцинк., шестигр. хвостовик 7 мм</v>
          </cell>
          <cell r="C827" t="str">
            <v>шт</v>
          </cell>
          <cell r="D827">
            <v>1</v>
          </cell>
          <cell r="F827">
            <v>165</v>
          </cell>
          <cell r="G827">
            <v>230</v>
          </cell>
          <cell r="H827" t="str">
            <v>-</v>
          </cell>
          <cell r="I827">
            <v>165</v>
          </cell>
          <cell r="J827">
            <v>0</v>
          </cell>
          <cell r="K827">
            <v>0</v>
          </cell>
        </row>
        <row r="828">
          <cell r="A828" t="str">
            <v>УТ-99841</v>
          </cell>
          <cell r="B828" t="str">
            <v>Насадка для миксера Атака, д/красок и легких смесей, 80 х 400мм, оцинк., шестигр. хвостовик  8 мм</v>
          </cell>
          <cell r="C828" t="str">
            <v>шт</v>
          </cell>
          <cell r="D828">
            <v>1</v>
          </cell>
          <cell r="F828">
            <v>191</v>
          </cell>
          <cell r="G828">
            <v>268</v>
          </cell>
          <cell r="H828" t="str">
            <v>-</v>
          </cell>
          <cell r="I828">
            <v>191</v>
          </cell>
          <cell r="J828">
            <v>0</v>
          </cell>
          <cell r="K828">
            <v>0</v>
          </cell>
        </row>
        <row r="829">
          <cell r="A829" t="str">
            <v>УТ-99842</v>
          </cell>
          <cell r="B829" t="str">
            <v>Насадка для миксера Атака, д/красок и легких смесей, 100 х 550мм, оцинк., шестигр. хвостовик  8 мм</v>
          </cell>
          <cell r="C829" t="str">
            <v>шт</v>
          </cell>
          <cell r="D829">
            <v>1</v>
          </cell>
          <cell r="F829">
            <v>223</v>
          </cell>
          <cell r="G829">
            <v>312</v>
          </cell>
          <cell r="H829" t="str">
            <v>-</v>
          </cell>
          <cell r="I829">
            <v>223</v>
          </cell>
          <cell r="J829">
            <v>0</v>
          </cell>
          <cell r="K829">
            <v>0</v>
          </cell>
        </row>
        <row r="830">
          <cell r="A830" t="str">
            <v>УТ-99837</v>
          </cell>
          <cell r="B830" t="str">
            <v>Насадка для миксера Атака, д/легких растворов, 120 х 590мм, оцинк., хвостовик М14</v>
          </cell>
          <cell r="C830" t="str">
            <v>шт</v>
          </cell>
          <cell r="D830">
            <v>1</v>
          </cell>
          <cell r="F830">
            <v>615</v>
          </cell>
          <cell r="G830">
            <v>861</v>
          </cell>
          <cell r="H830" t="str">
            <v>+</v>
          </cell>
          <cell r="I830">
            <v>615</v>
          </cell>
          <cell r="J830">
            <v>0</v>
          </cell>
          <cell r="K830">
            <v>0</v>
          </cell>
        </row>
        <row r="831">
          <cell r="A831" t="str">
            <v>УТ-99838</v>
          </cell>
          <cell r="B831" t="str">
            <v>Насадка для миксера Атака, д/легких растворов, 140 х 590мм, оцинк., хвостовик М14</v>
          </cell>
          <cell r="C831" t="str">
            <v>шт</v>
          </cell>
          <cell r="D831">
            <v>1</v>
          </cell>
          <cell r="F831">
            <v>674</v>
          </cell>
          <cell r="G831">
            <v>943</v>
          </cell>
          <cell r="H831" t="str">
            <v>+</v>
          </cell>
          <cell r="I831">
            <v>674</v>
          </cell>
          <cell r="J831">
            <v>0</v>
          </cell>
          <cell r="K831">
            <v>0</v>
          </cell>
        </row>
        <row r="832">
          <cell r="A832" t="str">
            <v>УТ-99839</v>
          </cell>
          <cell r="B832" t="str">
            <v>Насадка для миксера Атака, д/легких растворов, 160 х 590мм, оцинк., хвостовик М14</v>
          </cell>
          <cell r="C832" t="str">
            <v>шт</v>
          </cell>
          <cell r="D832">
            <v>1</v>
          </cell>
          <cell r="F832">
            <v>732</v>
          </cell>
          <cell r="G832">
            <v>1025</v>
          </cell>
          <cell r="H832" t="str">
            <v>+</v>
          </cell>
          <cell r="I832">
            <v>732</v>
          </cell>
          <cell r="J832">
            <v>0</v>
          </cell>
          <cell r="K832">
            <v>0</v>
          </cell>
        </row>
        <row r="833">
          <cell r="A833" t="str">
            <v>УТ-99834</v>
          </cell>
          <cell r="B833" t="str">
            <v>Насадка для миксера Атака, д/тяжелых растворов, 120 х 590мм, оцинк., хвостовик М14</v>
          </cell>
          <cell r="C833" t="str">
            <v>шт</v>
          </cell>
          <cell r="D833">
            <v>1</v>
          </cell>
          <cell r="F833">
            <v>615</v>
          </cell>
          <cell r="G833">
            <v>861</v>
          </cell>
          <cell r="H833" t="str">
            <v>+</v>
          </cell>
          <cell r="I833">
            <v>615</v>
          </cell>
          <cell r="J833">
            <v>0</v>
          </cell>
          <cell r="K833">
            <v>0</v>
          </cell>
        </row>
        <row r="834">
          <cell r="A834" t="str">
            <v>УТ-99835</v>
          </cell>
          <cell r="B834" t="str">
            <v>Насадка для миксера Атака, д/тяжелых растворов, 140 х 590мм, оцинк., хвостовик М14</v>
          </cell>
          <cell r="C834" t="str">
            <v>шт</v>
          </cell>
          <cell r="D834">
            <v>1</v>
          </cell>
          <cell r="F834">
            <v>674</v>
          </cell>
          <cell r="G834">
            <v>943</v>
          </cell>
          <cell r="H834" t="str">
            <v>+</v>
          </cell>
          <cell r="I834">
            <v>674</v>
          </cell>
          <cell r="J834">
            <v>0</v>
          </cell>
          <cell r="K834">
            <v>0</v>
          </cell>
        </row>
        <row r="835">
          <cell r="A835" t="str">
            <v>УТ-99836</v>
          </cell>
          <cell r="B835" t="str">
            <v>Насадка для миксера Атака, д/тяжелых растворов, 160 х 590 мм, оцинк., хвостовик М14</v>
          </cell>
          <cell r="C835" t="str">
            <v>шт</v>
          </cell>
          <cell r="D835">
            <v>1</v>
          </cell>
          <cell r="F835">
            <v>732</v>
          </cell>
          <cell r="G835">
            <v>1025</v>
          </cell>
          <cell r="H835" t="str">
            <v>+</v>
          </cell>
          <cell r="I835">
            <v>732</v>
          </cell>
          <cell r="J835">
            <v>0</v>
          </cell>
          <cell r="K835">
            <v>0</v>
          </cell>
        </row>
        <row r="836">
          <cell r="A836" t="str">
            <v>УТ-99843</v>
          </cell>
          <cell r="B836" t="str">
            <v>Насадка для миксера Атака, д/песчано-гравийных смесей, 60 х 400 мм, оцинк., шестигр. хвостовик 7 мм</v>
          </cell>
          <cell r="C836" t="str">
            <v>шт</v>
          </cell>
          <cell r="D836">
            <v>1</v>
          </cell>
          <cell r="F836">
            <v>156</v>
          </cell>
          <cell r="G836">
            <v>219</v>
          </cell>
          <cell r="H836" t="str">
            <v>-</v>
          </cell>
          <cell r="I836">
            <v>156</v>
          </cell>
          <cell r="J836">
            <v>0</v>
          </cell>
          <cell r="K836">
            <v>0</v>
          </cell>
        </row>
        <row r="837">
          <cell r="A837" t="str">
            <v>УТ-99844</v>
          </cell>
          <cell r="B837" t="str">
            <v>Насадка для миксера Атака, д/песчано-гравийных смесей, 80 х 400мм, оцинк., шестигр. хвостовик  7 мм</v>
          </cell>
          <cell r="C837" t="str">
            <v>шт</v>
          </cell>
          <cell r="D837">
            <v>1</v>
          </cell>
          <cell r="F837">
            <v>176</v>
          </cell>
          <cell r="G837">
            <v>247</v>
          </cell>
          <cell r="H837" t="str">
            <v>-</v>
          </cell>
          <cell r="I837">
            <v>176</v>
          </cell>
          <cell r="J837">
            <v>0</v>
          </cell>
          <cell r="K837">
            <v>0</v>
          </cell>
        </row>
        <row r="838">
          <cell r="A838" t="str">
            <v>УТ-99845</v>
          </cell>
          <cell r="B838" t="str">
            <v>Насадка для миксера Атака, д/песчано-гравийных смесей,100 х 450мм, оцинк., шестигр. хвостовик  8 мм</v>
          </cell>
          <cell r="C838" t="str">
            <v>шт</v>
          </cell>
          <cell r="D838">
            <v>1</v>
          </cell>
          <cell r="F838">
            <v>215</v>
          </cell>
          <cell r="G838">
            <v>301</v>
          </cell>
          <cell r="H838" t="str">
            <v>-</v>
          </cell>
          <cell r="I838">
            <v>215</v>
          </cell>
          <cell r="J838">
            <v>0</v>
          </cell>
          <cell r="K838">
            <v>0</v>
          </cell>
        </row>
        <row r="839">
          <cell r="A839" t="str">
            <v>УТ-99846</v>
          </cell>
          <cell r="B839" t="str">
            <v>Насадка для миксера Атака, д/песчано-гравийных смесей, 120 х 500мм, оцинк., шестигр. хвостовик  8 мм</v>
          </cell>
          <cell r="C839" t="str">
            <v>шт</v>
          </cell>
          <cell r="D839">
            <v>1</v>
          </cell>
          <cell r="F839">
            <v>235</v>
          </cell>
          <cell r="G839">
            <v>329</v>
          </cell>
          <cell r="H839" t="str">
            <v>-</v>
          </cell>
          <cell r="I839">
            <v>235</v>
          </cell>
          <cell r="J839">
            <v>0</v>
          </cell>
          <cell r="K839">
            <v>0</v>
          </cell>
        </row>
        <row r="840">
          <cell r="A840" t="str">
            <v>УТ-99847</v>
          </cell>
          <cell r="B840" t="str">
            <v>Насадка для миксера Атака, д/гипсовых смесей и наливных полов, 120 х 590мм, оцинк., хвостовик М14</v>
          </cell>
          <cell r="C840" t="str">
            <v>шт</v>
          </cell>
          <cell r="D840">
            <v>1</v>
          </cell>
          <cell r="F840">
            <v>474</v>
          </cell>
          <cell r="G840">
            <v>701</v>
          </cell>
          <cell r="H840" t="str">
            <v>-</v>
          </cell>
          <cell r="I840">
            <v>474</v>
          </cell>
          <cell r="J840">
            <v>0</v>
          </cell>
          <cell r="K840">
            <v>0</v>
          </cell>
        </row>
        <row r="841">
          <cell r="A841" t="str">
            <v>УТ-99848</v>
          </cell>
          <cell r="B841" t="str">
            <v>Насадки для миксера (комплект 2шт.) Атака, д/легких растворов (краска, грунтовка, штукатурка, наливной пол, затирка) 110 х 590 мм, оцинк., хвостовик М27.</v>
          </cell>
          <cell r="C841" t="str">
            <v>шт</v>
          </cell>
          <cell r="D841">
            <v>1</v>
          </cell>
          <cell r="F841">
            <v>1895</v>
          </cell>
          <cell r="G841">
            <v>2646</v>
          </cell>
          <cell r="H841" t="str">
            <v>-</v>
          </cell>
          <cell r="I841">
            <v>1895</v>
          </cell>
          <cell r="J841">
            <v>0</v>
          </cell>
          <cell r="K841">
            <v>0</v>
          </cell>
        </row>
      </sheetData>
      <sheetData sheetId="9">
        <row r="7">
          <cell r="A7" t="str">
            <v>Код</v>
          </cell>
          <cell r="B7" t="str">
            <v>Наименование продукции</v>
          </cell>
          <cell r="C7" t="str">
            <v>Ед. изм.</v>
          </cell>
          <cell r="D7" t="str">
            <v>Характеристики</v>
          </cell>
          <cell r="E7" t="str">
            <v>Статус</v>
          </cell>
          <cell r="F7" t="str">
            <v>Опт</v>
          </cell>
          <cell r="G7" t="str">
            <v>Рек. Розница</v>
          </cell>
          <cell r="H7" t="str">
            <v>Наличие на складе</v>
          </cell>
          <cell r="I7" t="str">
            <v>Ваша скидка по теме</v>
          </cell>
          <cell r="J7" t="str">
            <v>Заказ</v>
          </cell>
          <cell r="K7" t="str">
            <v>Сумма</v>
          </cell>
        </row>
        <row r="8">
          <cell r="I8">
            <v>0</v>
          </cell>
        </row>
        <row r="9">
          <cell r="A9" t="str">
            <v>Тепловое оборудование ПРОФТЕПЛО</v>
          </cell>
        </row>
        <row r="10">
          <cell r="A10" t="str">
            <v>ГАЗОВЫЕ ТЕПЛОВЫЕ ПУШКИ НА СЖИЖЕННОМ ГАЗЕ</v>
          </cell>
        </row>
        <row r="11">
          <cell r="A11">
            <v>4110680</v>
          </cell>
          <cell r="B11" t="str">
            <v>Калорифер газовый  КГ-10 апельсин Хит</v>
          </cell>
          <cell r="C11" t="str">
            <v>шт</v>
          </cell>
          <cell r="D11" t="str">
            <v>, Расход топлива: 0,7 кг/ч, Производит. по воздуху: 300 м3/ч</v>
          </cell>
          <cell r="E11" t="str">
            <v>Товар под заказ</v>
          </cell>
          <cell r="F11">
            <v>4622</v>
          </cell>
          <cell r="G11">
            <v>5031</v>
          </cell>
          <cell r="H11" t="str">
            <v>-</v>
          </cell>
          <cell r="I11">
            <v>4622</v>
          </cell>
          <cell r="J11">
            <v>0</v>
          </cell>
          <cell r="K11">
            <v>0</v>
          </cell>
        </row>
        <row r="12">
          <cell r="A12">
            <v>4110800</v>
          </cell>
          <cell r="B12" t="str">
            <v>Калорифер газовый  КГ-18 апельсин Хит</v>
          </cell>
          <cell r="C12" t="str">
            <v>шт</v>
          </cell>
          <cell r="D12" t="str">
            <v>, Расход топлива: 1,2 кг/ч, Производит. по воздуху: 500 м3/ч</v>
          </cell>
          <cell r="E12" t="str">
            <v>Товар под заказ</v>
          </cell>
          <cell r="F12">
            <v>5441</v>
          </cell>
          <cell r="G12">
            <v>5923</v>
          </cell>
          <cell r="H12" t="str">
            <v>-</v>
          </cell>
          <cell r="I12">
            <v>5441</v>
          </cell>
          <cell r="J12">
            <v>0</v>
          </cell>
          <cell r="K12">
            <v>0</v>
          </cell>
        </row>
        <row r="13">
          <cell r="A13">
            <v>8142220</v>
          </cell>
          <cell r="B13" t="str">
            <v>Калорифер газовый Профтепло КГ-30 апельсин</v>
          </cell>
          <cell r="C13" t="str">
            <v>шт</v>
          </cell>
          <cell r="E13" t="str">
            <v>Товар под заказ</v>
          </cell>
          <cell r="F13">
            <v>7253</v>
          </cell>
          <cell r="G13">
            <v>7895</v>
          </cell>
          <cell r="H13" t="str">
            <v>-</v>
          </cell>
          <cell r="I13">
            <v>7253</v>
          </cell>
          <cell r="J13">
            <v>0</v>
          </cell>
          <cell r="K13">
            <v>0</v>
          </cell>
        </row>
        <row r="14">
          <cell r="A14">
            <v>4110940</v>
          </cell>
          <cell r="B14" t="str">
            <v>Калорифер газовый  КГ-57 апельсин</v>
          </cell>
          <cell r="C14" t="str">
            <v>шт</v>
          </cell>
          <cell r="D14" t="str">
            <v>, Расход топлива: 2,9-4,1 кг/ч, Производит. по воздуху: 3000 м3/ч</v>
          </cell>
          <cell r="E14" t="str">
            <v>Товар под заказ</v>
          </cell>
          <cell r="F14">
            <v>9398</v>
          </cell>
          <cell r="G14">
            <v>10230</v>
          </cell>
          <cell r="H14" t="str">
            <v>+</v>
          </cell>
          <cell r="I14">
            <v>9398</v>
          </cell>
          <cell r="J14">
            <v>0</v>
          </cell>
          <cell r="K14">
            <v>0</v>
          </cell>
        </row>
        <row r="15">
          <cell r="A15">
            <v>4110990</v>
          </cell>
          <cell r="B15" t="str">
            <v>Калорифер газовый  КГ-81 апельсин</v>
          </cell>
          <cell r="C15" t="str">
            <v>шт</v>
          </cell>
          <cell r="D15" t="str">
            <v>, Расход топлива: 3,9-5,6 кг/ч, Производит. по воздуху: 3000 м3/ч</v>
          </cell>
          <cell r="E15" t="str">
            <v>Товар под заказ</v>
          </cell>
          <cell r="F15">
            <v>10752</v>
          </cell>
          <cell r="G15">
            <v>11703</v>
          </cell>
          <cell r="H15" t="str">
            <v>-</v>
          </cell>
          <cell r="I15">
            <v>10752</v>
          </cell>
          <cell r="J15">
            <v>0</v>
          </cell>
          <cell r="K15">
            <v>0</v>
          </cell>
        </row>
        <row r="16">
          <cell r="A16" t="str">
            <v>ГАЗОВЫЕ ТЕПЛОВЫЕ ПУШКИ НА ПРИРОДНОМ ГАЗЕ</v>
          </cell>
        </row>
        <row r="17">
          <cell r="A17">
            <v>4111070</v>
          </cell>
          <cell r="B17" t="str">
            <v>Калорифер газовый  КГ-18ПГ красная</v>
          </cell>
          <cell r="C17" t="str">
            <v>шт</v>
          </cell>
          <cell r="D17" t="str">
            <v>, Расход топлива: 1,53 кг/ч, Производит. по воздуху: 850 м3/ч</v>
          </cell>
          <cell r="E17" t="str">
            <v>Товар под заказ</v>
          </cell>
          <cell r="F17">
            <v>44280</v>
          </cell>
          <cell r="G17">
            <v>45468</v>
          </cell>
          <cell r="H17" t="str">
            <v>-</v>
          </cell>
          <cell r="I17">
            <v>44280</v>
          </cell>
          <cell r="J17">
            <v>0</v>
          </cell>
          <cell r="K17">
            <v>0</v>
          </cell>
        </row>
        <row r="18">
          <cell r="A18">
            <v>8095490</v>
          </cell>
          <cell r="B18" t="str">
            <v>Калорифер газовый  КГ-100ПГ</v>
          </cell>
          <cell r="C18" t="str">
            <v>шт</v>
          </cell>
          <cell r="D18" t="str">
            <v>Мощность: 103 кВт</v>
          </cell>
          <cell r="E18" t="str">
            <v>Товар под заказ</v>
          </cell>
          <cell r="F18">
            <v>75144</v>
          </cell>
          <cell r="G18">
            <v>77160</v>
          </cell>
          <cell r="H18" t="str">
            <v>-</v>
          </cell>
          <cell r="I18">
            <v>75144</v>
          </cell>
          <cell r="J18">
            <v>0</v>
          </cell>
          <cell r="K18">
            <v>0</v>
          </cell>
        </row>
        <row r="19">
          <cell r="A19" t="str">
            <v>ДИЗЕЛЬНЫЕ ТЕПЛОВЫЕ ПУШКИ ПРЯМОГО НАГРЕВА</v>
          </cell>
        </row>
        <row r="20">
          <cell r="A20">
            <v>8093540</v>
          </cell>
          <cell r="B20" t="str">
            <v>Калорифер дизельный ДК-15П апельсин New</v>
          </cell>
          <cell r="C20" t="str">
            <v>шт</v>
          </cell>
          <cell r="D20" t="str">
            <v>Мощность: 15 кВт</v>
          </cell>
          <cell r="E20" t="str">
            <v>Товар под заказ</v>
          </cell>
          <cell r="F20">
            <v>14317</v>
          </cell>
          <cell r="G20">
            <v>15730</v>
          </cell>
          <cell r="H20" t="str">
            <v>-</v>
          </cell>
          <cell r="I20">
            <v>14317</v>
          </cell>
          <cell r="J20">
            <v>0</v>
          </cell>
          <cell r="K20">
            <v>0</v>
          </cell>
        </row>
        <row r="21">
          <cell r="A21">
            <v>4111680</v>
          </cell>
          <cell r="B21" t="str">
            <v>Калорифер дизельный ДК-20П апельсин</v>
          </cell>
          <cell r="C21" t="str">
            <v>шт</v>
          </cell>
          <cell r="D21" t="str">
            <v>, Расход топлива: 2 кг/ч, Производит. по воздуху: 450 м3/ч, Объем бака: 19 л</v>
          </cell>
          <cell r="E21" t="str">
            <v>Товар под заказ</v>
          </cell>
          <cell r="F21">
            <v>14526</v>
          </cell>
          <cell r="G21">
            <v>15960</v>
          </cell>
          <cell r="H21" t="str">
            <v>-</v>
          </cell>
          <cell r="I21">
            <v>14526</v>
          </cell>
          <cell r="J21">
            <v>0</v>
          </cell>
          <cell r="K21">
            <v>0</v>
          </cell>
        </row>
        <row r="22">
          <cell r="A22">
            <v>8093560</v>
          </cell>
          <cell r="B22" t="str">
            <v>Калорифер дизельный ДК-30П апельсин New</v>
          </cell>
          <cell r="C22" t="str">
            <v>шт</v>
          </cell>
          <cell r="D22" t="str">
            <v>Мощность: 30 кВт</v>
          </cell>
          <cell r="E22" t="str">
            <v>Товар под заказ</v>
          </cell>
          <cell r="F22">
            <v>15378</v>
          </cell>
          <cell r="G22">
            <v>16896</v>
          </cell>
          <cell r="H22" t="str">
            <v>-</v>
          </cell>
          <cell r="I22">
            <v>15378</v>
          </cell>
          <cell r="J22">
            <v>0</v>
          </cell>
          <cell r="K22">
            <v>0</v>
          </cell>
        </row>
        <row r="23">
          <cell r="A23">
            <v>8093590</v>
          </cell>
          <cell r="B23" t="str">
            <v>Калорифер дизельный ДК-45П апельсин New</v>
          </cell>
          <cell r="C23" t="str">
            <v>шт</v>
          </cell>
          <cell r="D23" t="str">
            <v>Мощность: 45 кВт</v>
          </cell>
          <cell r="E23" t="str">
            <v>Товар под заказ</v>
          </cell>
          <cell r="F23">
            <v>20016</v>
          </cell>
          <cell r="G23">
            <v>21992</v>
          </cell>
          <cell r="H23" t="str">
            <v>-</v>
          </cell>
          <cell r="I23">
            <v>20016</v>
          </cell>
          <cell r="J23">
            <v>0</v>
          </cell>
          <cell r="K23">
            <v>0</v>
          </cell>
        </row>
        <row r="24">
          <cell r="A24">
            <v>8095590</v>
          </cell>
          <cell r="B24" t="str">
            <v>Калорифер дизельный Профтепло ДК-45П апельсин с дисплеем New</v>
          </cell>
          <cell r="C24" t="str">
            <v>шт</v>
          </cell>
          <cell r="D24" t="str">
            <v>Мощность: 45 кВт</v>
          </cell>
          <cell r="E24" t="str">
            <v>Товар под заказ</v>
          </cell>
          <cell r="F24">
            <v>22767</v>
          </cell>
          <cell r="G24">
            <v>25014</v>
          </cell>
          <cell r="H24" t="str">
            <v>-</v>
          </cell>
          <cell r="I24">
            <v>22767</v>
          </cell>
          <cell r="J24">
            <v>0</v>
          </cell>
          <cell r="K24">
            <v>0</v>
          </cell>
        </row>
        <row r="25">
          <cell r="A25">
            <v>8093620</v>
          </cell>
          <cell r="B25" t="str">
            <v>Калорифер дизельный ДН-65П апельсин New</v>
          </cell>
          <cell r="C25" t="str">
            <v>шт</v>
          </cell>
          <cell r="D25" t="str">
            <v>Мощность: 65 кВт</v>
          </cell>
          <cell r="E25" t="str">
            <v>Товар под заказ</v>
          </cell>
          <cell r="F25">
            <v>39577</v>
          </cell>
          <cell r="G25">
            <v>40638</v>
          </cell>
          <cell r="H25" t="str">
            <v>-</v>
          </cell>
          <cell r="I25">
            <v>39577</v>
          </cell>
          <cell r="J25">
            <v>0</v>
          </cell>
          <cell r="K25">
            <v>0</v>
          </cell>
        </row>
        <row r="26">
          <cell r="A26">
            <v>8095610</v>
          </cell>
          <cell r="B26" t="str">
            <v>Калорифер дизельный 
ДК-65П апельсин с дисплеем New</v>
          </cell>
          <cell r="C26" t="str">
            <v>шт</v>
          </cell>
          <cell r="D26" t="str">
            <v>Мощность: 65 кВт</v>
          </cell>
          <cell r="E26" t="str">
            <v>Товар под заказ</v>
          </cell>
          <cell r="F26">
            <v>40655</v>
          </cell>
          <cell r="G26">
            <v>41745</v>
          </cell>
          <cell r="H26" t="str">
            <v>-</v>
          </cell>
          <cell r="I26">
            <v>40655</v>
          </cell>
          <cell r="J26">
            <v>0</v>
          </cell>
          <cell r="K26">
            <v>0</v>
          </cell>
        </row>
        <row r="27">
          <cell r="A27">
            <v>4111880</v>
          </cell>
          <cell r="B27" t="str">
            <v>Калорифер дизельный  ДН-105П апельсин</v>
          </cell>
          <cell r="C27" t="str">
            <v>шт</v>
          </cell>
          <cell r="D27" t="str">
            <v>Расход топлива: 8,9 кг/ч, Производит. по воздуху: 3300 м3/ч, Объем бака: 145 л, Мощность: 105 кВт</v>
          </cell>
          <cell r="E27" t="str">
            <v>Товар под заказ</v>
          </cell>
          <cell r="F27">
            <v>63769</v>
          </cell>
          <cell r="G27">
            <v>65480</v>
          </cell>
          <cell r="H27" t="str">
            <v>-</v>
          </cell>
          <cell r="I27">
            <v>63769</v>
          </cell>
          <cell r="J27">
            <v>0</v>
          </cell>
          <cell r="K27">
            <v>0</v>
          </cell>
        </row>
        <row r="28">
          <cell r="A28">
            <v>8095870</v>
          </cell>
          <cell r="B28" t="str">
            <v>Калорифер дизельный 
 ДК-105П апельсин с дисплеем New</v>
          </cell>
          <cell r="C28" t="str">
            <v>шт</v>
          </cell>
          <cell r="D28" t="str">
            <v>Мощность: 105 кВт</v>
          </cell>
          <cell r="E28" t="str">
            <v>Товар под заказ</v>
          </cell>
          <cell r="F28">
            <v>64949</v>
          </cell>
          <cell r="G28">
            <v>66692</v>
          </cell>
          <cell r="H28" t="str">
            <v>-</v>
          </cell>
          <cell r="I28">
            <v>64949</v>
          </cell>
          <cell r="J28">
            <v>0</v>
          </cell>
          <cell r="K28">
            <v>0</v>
          </cell>
        </row>
        <row r="29">
          <cell r="A29" t="str">
            <v>ДИЗЕЛЬНЫЕ ТЕПЛОВЫЕ ПУШКИ ПРЯМОГО НАГРЕВА (СО СЪЕМНЫМИ КАНИСТРАМИ)</v>
          </cell>
        </row>
        <row r="30">
          <cell r="A30">
            <v>4111760</v>
          </cell>
          <cell r="B30" t="str">
            <v>Калорифер дизельный ДК-14ПК апельсин Хит</v>
          </cell>
          <cell r="C30" t="str">
            <v>шт</v>
          </cell>
          <cell r="D30" t="str">
            <v>, Расход топлива: 1,56 кг/ч, Производит. по воздуху: 230 м3/ч, Объем бака: 5 л</v>
          </cell>
          <cell r="E30" t="str">
            <v>Товар под заказ</v>
          </cell>
          <cell r="F30">
            <v>12672</v>
          </cell>
          <cell r="G30">
            <v>13923</v>
          </cell>
          <cell r="H30" t="str">
            <v>-</v>
          </cell>
          <cell r="I30">
            <v>12672</v>
          </cell>
          <cell r="J30">
            <v>0</v>
          </cell>
          <cell r="K30">
            <v>0</v>
          </cell>
        </row>
        <row r="31">
          <cell r="A31">
            <v>4111810</v>
          </cell>
          <cell r="B31" t="str">
            <v>Калорифер дизельный ДК-26ПК апельсин</v>
          </cell>
          <cell r="C31" t="str">
            <v>шт</v>
          </cell>
          <cell r="D31" t="str">
            <v>, Расход топлива: 2,2 кг/ч, Производит. по воздуху: 400 м3/ч, Объем бака: 5х2 л</v>
          </cell>
          <cell r="E31" t="str">
            <v>Товар под заказ</v>
          </cell>
          <cell r="F31">
            <v>13402</v>
          </cell>
          <cell r="G31">
            <v>14724</v>
          </cell>
          <cell r="H31" t="str">
            <v>-</v>
          </cell>
          <cell r="I31">
            <v>13402</v>
          </cell>
          <cell r="J31">
            <v>0</v>
          </cell>
          <cell r="K31">
            <v>0</v>
          </cell>
        </row>
        <row r="32">
          <cell r="A32" t="str">
            <v>НЕПРЯМОЙ НАГРЕВ, ДИЗЕЛЬНЫЕ ТЕПЛОВЫЕ ПУШКИ</v>
          </cell>
        </row>
        <row r="33">
          <cell r="A33">
            <v>4111210</v>
          </cell>
          <cell r="B33" t="str">
            <v>Калорифер дизельный ДК-21Н апельсин Хит</v>
          </cell>
          <cell r="C33" t="str">
            <v>шт</v>
          </cell>
          <cell r="D33" t="str">
            <v>, Расход топлива: 1,96 кг/ч, Производит. по воздуху: 1000 м3/ч, Объем бака: 41 л</v>
          </cell>
          <cell r="E33" t="str">
            <v>Товар под заказ</v>
          </cell>
          <cell r="F33">
            <v>30981</v>
          </cell>
          <cell r="G33">
            <v>36584</v>
          </cell>
          <cell r="H33" t="str">
            <v>-</v>
          </cell>
          <cell r="I33">
            <v>30981</v>
          </cell>
          <cell r="J33">
            <v>0</v>
          </cell>
          <cell r="K33">
            <v>0</v>
          </cell>
        </row>
        <row r="34">
          <cell r="A34">
            <v>8095650</v>
          </cell>
          <cell r="B34" t="str">
            <v>Калорифер дизельный  
ДК-21Н апельсин с дисплеем New</v>
          </cell>
          <cell r="C34" t="str">
            <v>шт</v>
          </cell>
          <cell r="D34" t="str">
            <v>Мощность: 21 кВт</v>
          </cell>
          <cell r="E34" t="str">
            <v>Товар под заказ</v>
          </cell>
          <cell r="F34">
            <v>32304</v>
          </cell>
          <cell r="G34">
            <v>38146</v>
          </cell>
          <cell r="H34" t="str">
            <v>-</v>
          </cell>
          <cell r="I34">
            <v>32304</v>
          </cell>
          <cell r="J34">
            <v>0</v>
          </cell>
          <cell r="K34">
            <v>0</v>
          </cell>
        </row>
        <row r="35">
          <cell r="A35">
            <v>4111270</v>
          </cell>
          <cell r="B35" t="str">
            <v>Калорифер дизельный ДН-52Н апельсин</v>
          </cell>
          <cell r="C35" t="str">
            <v>шт</v>
          </cell>
          <cell r="D35" t="str">
            <v>, Расход топлива: 4,32 кг/ч, Производит. по воздуху: 1800 м3/ч, Объем бака: 41 л</v>
          </cell>
          <cell r="E35" t="str">
            <v>Товар под заказ</v>
          </cell>
          <cell r="F35">
            <v>49025</v>
          </cell>
          <cell r="G35">
            <v>57891</v>
          </cell>
          <cell r="H35" t="str">
            <v>-</v>
          </cell>
          <cell r="I35">
            <v>49025</v>
          </cell>
          <cell r="J35">
            <v>0</v>
          </cell>
          <cell r="K35">
            <v>0</v>
          </cell>
        </row>
        <row r="36">
          <cell r="A36">
            <v>8095680</v>
          </cell>
          <cell r="B36" t="str">
            <v>Калорифер дизельный 
ДН-52Н апельсин с дисплеем New</v>
          </cell>
          <cell r="C36" t="str">
            <v>шт</v>
          </cell>
          <cell r="D36" t="str">
            <v>Мощность: 52 кВт</v>
          </cell>
          <cell r="E36" t="str">
            <v>Товар под заказ</v>
          </cell>
          <cell r="F36">
            <v>49704</v>
          </cell>
          <cell r="G36">
            <v>58693</v>
          </cell>
          <cell r="H36" t="str">
            <v>-</v>
          </cell>
          <cell r="I36">
            <v>49704</v>
          </cell>
          <cell r="J36">
            <v>0</v>
          </cell>
          <cell r="K36">
            <v>0</v>
          </cell>
        </row>
        <row r="37">
          <cell r="A37">
            <v>4111330</v>
          </cell>
          <cell r="B37" t="str">
            <v>Калорифер дизельный ДН-80Н апельсин</v>
          </cell>
          <cell r="C37" t="str">
            <v>шт</v>
          </cell>
          <cell r="D37" t="str">
            <v>, Расход топлива: 7,4 кг/ч, Производит. по воздуху: 3300 м3/ч, Объем бака: 145 л</v>
          </cell>
          <cell r="E37" t="str">
            <v>Товар под заказ</v>
          </cell>
          <cell r="F37">
            <v>72703</v>
          </cell>
          <cell r="G37">
            <v>85851</v>
          </cell>
          <cell r="H37" t="str">
            <v>-</v>
          </cell>
          <cell r="I37">
            <v>72703</v>
          </cell>
          <cell r="J37">
            <v>0</v>
          </cell>
          <cell r="K37">
            <v>0</v>
          </cell>
        </row>
        <row r="38">
          <cell r="A38">
            <v>8095700</v>
          </cell>
          <cell r="B38" t="str">
            <v>Калорифер дизельный 
ДН-80Н апельсин с дисплеем New</v>
          </cell>
          <cell r="C38" t="str">
            <v>шт</v>
          </cell>
          <cell r="D38" t="str">
            <v>Мощность: 80 кВт</v>
          </cell>
          <cell r="E38" t="str">
            <v>Товар под заказ</v>
          </cell>
          <cell r="F38">
            <v>74078</v>
          </cell>
          <cell r="G38">
            <v>87474</v>
          </cell>
          <cell r="H38" t="str">
            <v>-</v>
          </cell>
          <cell r="I38">
            <v>74078</v>
          </cell>
          <cell r="J38">
            <v>0</v>
          </cell>
          <cell r="K38">
            <v>0</v>
          </cell>
        </row>
        <row r="39">
          <cell r="A39" t="str">
            <v>ТЕПЛОВЕНТИЛЯТОРЫ В КРУГЛОМ КОРПУСЕ</v>
          </cell>
        </row>
        <row r="40">
          <cell r="A40">
            <v>8105560</v>
          </cell>
          <cell r="B40" t="str">
            <v>Тепловентилятор Профтепло ТТ-2</v>
          </cell>
          <cell r="C40" t="str">
            <v>шт</v>
          </cell>
          <cell r="E40" t="str">
            <v>Товар под заказ</v>
          </cell>
          <cell r="F40">
            <v>2954</v>
          </cell>
          <cell r="G40">
            <v>3184</v>
          </cell>
          <cell r="H40" t="str">
            <v>-</v>
          </cell>
          <cell r="I40">
            <v>2954</v>
          </cell>
          <cell r="J40">
            <v>0</v>
          </cell>
          <cell r="K40">
            <v>0</v>
          </cell>
        </row>
        <row r="41">
          <cell r="A41">
            <v>4110060</v>
          </cell>
          <cell r="B41" t="str">
            <v>Тепловентилятор  ТТ-3 апельсин Хит</v>
          </cell>
          <cell r="C41" t="str">
            <v>шт</v>
          </cell>
          <cell r="D41" t="str">
            <v>, Напряжение: 220 В, Производит. по воздуху: 500 м3/ч</v>
          </cell>
          <cell r="E41" t="str">
            <v>Товар под заказ</v>
          </cell>
          <cell r="F41">
            <v>2474</v>
          </cell>
          <cell r="G41">
            <v>2668</v>
          </cell>
          <cell r="H41" t="str">
            <v>+</v>
          </cell>
          <cell r="I41">
            <v>2474</v>
          </cell>
          <cell r="J41">
            <v>0</v>
          </cell>
          <cell r="K41">
            <v>0</v>
          </cell>
        </row>
        <row r="42">
          <cell r="A42">
            <v>8145010</v>
          </cell>
          <cell r="B42" t="str">
            <v>Тепловентилятор Профтепло ТТ-5 апельсин</v>
          </cell>
          <cell r="C42" t="str">
            <v>шт</v>
          </cell>
          <cell r="E42" t="str">
            <v>Товар под заказ</v>
          </cell>
          <cell r="F42">
            <v>3615</v>
          </cell>
          <cell r="G42">
            <v>3897</v>
          </cell>
          <cell r="H42" t="str">
            <v>-</v>
          </cell>
          <cell r="I42">
            <v>3615</v>
          </cell>
          <cell r="J42">
            <v>0</v>
          </cell>
          <cell r="K42">
            <v>0</v>
          </cell>
        </row>
        <row r="43">
          <cell r="A43">
            <v>8145060</v>
          </cell>
          <cell r="B43" t="str">
            <v>Тепловентилятор Профтепло ТТ-15 апельсин</v>
          </cell>
          <cell r="C43" t="str">
            <v>шт</v>
          </cell>
          <cell r="E43" t="str">
            <v>Товар под заказ</v>
          </cell>
          <cell r="F43">
            <v>10165</v>
          </cell>
          <cell r="G43">
            <v>10959</v>
          </cell>
          <cell r="H43" t="str">
            <v>-</v>
          </cell>
          <cell r="I43">
            <v>10165</v>
          </cell>
          <cell r="J43">
            <v>0</v>
          </cell>
          <cell r="K43">
            <v>0</v>
          </cell>
        </row>
        <row r="44">
          <cell r="A44">
            <v>8145070</v>
          </cell>
          <cell r="B44" t="str">
            <v>Тепловентилятор Профтепло ТТ-18 апельсин</v>
          </cell>
          <cell r="C44" t="str">
            <v>шт</v>
          </cell>
          <cell r="E44" t="str">
            <v>Товар под заказ</v>
          </cell>
          <cell r="F44">
            <v>11419</v>
          </cell>
          <cell r="G44">
            <v>12312</v>
          </cell>
          <cell r="H44" t="str">
            <v>-</v>
          </cell>
          <cell r="I44">
            <v>11419</v>
          </cell>
          <cell r="J44">
            <v>0</v>
          </cell>
          <cell r="K44">
            <v>0</v>
          </cell>
        </row>
        <row r="45">
          <cell r="A45" t="str">
            <v>ТЕПЛОВЕНТИЛЯТОРЫ В КРУГЛОМ КОРПУСЕ С КАПИЛЯРНЫМ ТЕРМОСТАТОМ</v>
          </cell>
        </row>
        <row r="46">
          <cell r="A46">
            <v>8145080</v>
          </cell>
          <cell r="B46" t="str">
            <v>Тепловентилятор Профтепло ТТ-2Т апельсин</v>
          </cell>
          <cell r="C46" t="str">
            <v>шт</v>
          </cell>
          <cell r="E46" t="str">
            <v>Товар под заказ</v>
          </cell>
          <cell r="F46">
            <v>3083</v>
          </cell>
          <cell r="G46">
            <v>3324</v>
          </cell>
          <cell r="H46" t="str">
            <v>-</v>
          </cell>
          <cell r="I46">
            <v>3083</v>
          </cell>
          <cell r="J46">
            <v>0</v>
          </cell>
          <cell r="K46">
            <v>0</v>
          </cell>
        </row>
        <row r="47">
          <cell r="A47">
            <v>4110280</v>
          </cell>
          <cell r="B47" t="str">
            <v>Тепловентилятор  ТТ-3Т апельсин Хит</v>
          </cell>
          <cell r="C47" t="str">
            <v>шт</v>
          </cell>
          <cell r="D47" t="str">
            <v>, Напряжение: 220 В, Производит. по воздуху: 500 м3/ч</v>
          </cell>
          <cell r="E47" t="str">
            <v>Товар под заказ</v>
          </cell>
          <cell r="F47">
            <v>3154</v>
          </cell>
          <cell r="G47">
            <v>3401</v>
          </cell>
          <cell r="H47" t="str">
            <v>-</v>
          </cell>
          <cell r="I47">
            <v>3154</v>
          </cell>
          <cell r="J47">
            <v>0</v>
          </cell>
          <cell r="K47">
            <v>0</v>
          </cell>
        </row>
        <row r="48">
          <cell r="A48">
            <v>8145020</v>
          </cell>
          <cell r="B48" t="str">
            <v>Тепловентилятор Профтепло ТТ-5Т апельсин</v>
          </cell>
          <cell r="C48" t="str">
            <v>шт</v>
          </cell>
          <cell r="E48" t="str">
            <v>Товар под заказ</v>
          </cell>
          <cell r="F48">
            <v>3753</v>
          </cell>
          <cell r="G48">
            <v>4046</v>
          </cell>
          <cell r="H48" t="str">
            <v>-</v>
          </cell>
          <cell r="I48">
            <v>3753</v>
          </cell>
          <cell r="J48">
            <v>0</v>
          </cell>
          <cell r="K48">
            <v>0</v>
          </cell>
        </row>
        <row r="49">
          <cell r="A49">
            <v>4110490</v>
          </cell>
          <cell r="B49" t="str">
            <v>Тепловентилятор  ТТ-6Т апельсин</v>
          </cell>
          <cell r="C49" t="str">
            <v>шт</v>
          </cell>
          <cell r="D49" t="str">
            <v>, Напряжение: 380 В, Производит. по воздуху: 800 м3/ч</v>
          </cell>
          <cell r="E49" t="str">
            <v>Товар под заказ</v>
          </cell>
          <cell r="F49">
            <v>5409</v>
          </cell>
          <cell r="G49">
            <v>5832</v>
          </cell>
          <cell r="H49" t="str">
            <v>-</v>
          </cell>
          <cell r="I49">
            <v>5409</v>
          </cell>
          <cell r="J49">
            <v>0</v>
          </cell>
          <cell r="K49">
            <v>0</v>
          </cell>
        </row>
        <row r="50">
          <cell r="A50">
            <v>4110540</v>
          </cell>
          <cell r="B50" t="str">
            <v>Тепловентилятор  ТТ-9Т апельсин</v>
          </cell>
          <cell r="C50" t="str">
            <v>шт</v>
          </cell>
          <cell r="D50" t="str">
            <v>, Напряжение: 380 В, Производит. по воздуху: 800 м3/ч</v>
          </cell>
          <cell r="E50" t="str">
            <v>Товар под заказ</v>
          </cell>
          <cell r="F50">
            <v>5682</v>
          </cell>
          <cell r="G50">
            <v>6126</v>
          </cell>
          <cell r="H50" t="str">
            <v>-</v>
          </cell>
          <cell r="I50">
            <v>5682</v>
          </cell>
          <cell r="J50">
            <v>0</v>
          </cell>
          <cell r="K50">
            <v>0</v>
          </cell>
        </row>
        <row r="51">
          <cell r="A51">
            <v>4110770</v>
          </cell>
          <cell r="B51" t="str">
            <v>Тепловентилятор  ТТ-15Т апельсин</v>
          </cell>
          <cell r="C51" t="str">
            <v>шт</v>
          </cell>
          <cell r="D51" t="str">
            <v>, Напряжение: 380 В, Производит. по воздуху: 850 м3/ч</v>
          </cell>
          <cell r="E51" t="str">
            <v>Товар под заказ</v>
          </cell>
          <cell r="F51">
            <v>10287</v>
          </cell>
          <cell r="G51">
            <v>11091</v>
          </cell>
          <cell r="H51" t="str">
            <v>-</v>
          </cell>
          <cell r="I51">
            <v>10287</v>
          </cell>
          <cell r="J51">
            <v>0</v>
          </cell>
          <cell r="K51">
            <v>0</v>
          </cell>
        </row>
        <row r="52">
          <cell r="A52">
            <v>4110820</v>
          </cell>
          <cell r="B52" t="str">
            <v>Тепловентилятор  ТТ-18Т апельсин</v>
          </cell>
          <cell r="C52" t="str">
            <v>шт</v>
          </cell>
          <cell r="D52" t="str">
            <v>, Напряжение: 380 В, Производит. по воздуху: 850 м3/ч</v>
          </cell>
          <cell r="E52" t="str">
            <v>Товар под заказ</v>
          </cell>
          <cell r="F52">
            <v>11778</v>
          </cell>
          <cell r="G52">
            <v>12698</v>
          </cell>
          <cell r="H52" t="str">
            <v>-</v>
          </cell>
          <cell r="I52">
            <v>11778</v>
          </cell>
          <cell r="J52">
            <v>0</v>
          </cell>
          <cell r="K52">
            <v>0</v>
          </cell>
        </row>
        <row r="53">
          <cell r="A53" t="str">
            <v>ТЕПЛОВЕНТИЛЯТОРЫ В КВАДРАТНОМ КОРПУСЕ</v>
          </cell>
        </row>
        <row r="54">
          <cell r="A54">
            <v>8145090</v>
          </cell>
          <cell r="B54" t="str">
            <v>Тепловентилятор Профтепло ТТ-30Т апельсин</v>
          </cell>
          <cell r="C54" t="str">
            <v>шт</v>
          </cell>
          <cell r="E54" t="str">
            <v>Товар под заказ</v>
          </cell>
          <cell r="F54">
            <v>20576</v>
          </cell>
          <cell r="G54">
            <v>22184</v>
          </cell>
          <cell r="H54" t="str">
            <v>-</v>
          </cell>
          <cell r="I54">
            <v>20576</v>
          </cell>
          <cell r="J54">
            <v>0</v>
          </cell>
          <cell r="K54">
            <v>0</v>
          </cell>
        </row>
        <row r="55">
          <cell r="A55" t="str">
            <v>ИНФРАКРАСНЫЕ ОБОГРЕВАТЕЛИ</v>
          </cell>
        </row>
        <row r="56">
          <cell r="A56">
            <v>81450100</v>
          </cell>
          <cell r="B56" t="str">
            <v>Обогреватель инфракрасный Профтепло ICT-0,8</v>
          </cell>
          <cell r="C56" t="str">
            <v>шт</v>
          </cell>
          <cell r="E56" t="str">
            <v>Товар под заказ</v>
          </cell>
          <cell r="F56">
            <v>2131</v>
          </cell>
          <cell r="G56">
            <v>2407</v>
          </cell>
          <cell r="H56" t="str">
            <v>-</v>
          </cell>
          <cell r="I56">
            <v>2131</v>
          </cell>
          <cell r="J56">
            <v>0</v>
          </cell>
          <cell r="K56">
            <v>0</v>
          </cell>
        </row>
        <row r="57">
          <cell r="A57">
            <v>81450110</v>
          </cell>
          <cell r="B57" t="str">
            <v>Обогреватель инфракрасный Профтепло ICT-1,0</v>
          </cell>
          <cell r="C57" t="str">
            <v>шт</v>
          </cell>
          <cell r="E57" t="str">
            <v>Товар под заказ</v>
          </cell>
          <cell r="F57">
            <v>2832</v>
          </cell>
          <cell r="G57">
            <v>3198</v>
          </cell>
          <cell r="H57" t="str">
            <v>-</v>
          </cell>
          <cell r="I57">
            <v>2832</v>
          </cell>
          <cell r="J57">
            <v>0</v>
          </cell>
          <cell r="K57">
            <v>0</v>
          </cell>
        </row>
        <row r="58">
          <cell r="A58">
            <v>81450120</v>
          </cell>
          <cell r="B58" t="str">
            <v>Обогреватель инфракрасный Профтепло ICT-1,4</v>
          </cell>
          <cell r="C58" t="str">
            <v>шт</v>
          </cell>
          <cell r="E58" t="str">
            <v>Товар под заказ</v>
          </cell>
          <cell r="F58">
            <v>3048</v>
          </cell>
          <cell r="G58">
            <v>3442</v>
          </cell>
          <cell r="H58" t="str">
            <v>-</v>
          </cell>
          <cell r="I58">
            <v>3048</v>
          </cell>
          <cell r="J58">
            <v>0</v>
          </cell>
          <cell r="K58">
            <v>0</v>
          </cell>
        </row>
        <row r="59">
          <cell r="A59">
            <v>81450130</v>
          </cell>
          <cell r="B59" t="str">
            <v>Обогреватель инфракрасный Профтепло ICT-2,0</v>
          </cell>
          <cell r="C59" t="str">
            <v>шт</v>
          </cell>
          <cell r="E59" t="str">
            <v>Товар под заказ</v>
          </cell>
          <cell r="F59">
            <v>5239</v>
          </cell>
          <cell r="G59">
            <v>5918</v>
          </cell>
          <cell r="H59" t="str">
            <v>-</v>
          </cell>
          <cell r="I59">
            <v>5239</v>
          </cell>
          <cell r="J59">
            <v>0</v>
          </cell>
          <cell r="K59">
            <v>0</v>
          </cell>
        </row>
        <row r="60">
          <cell r="A60" t="str">
            <v>ТЕПЛОВЫЕ ЗАВЕСЫ (СТИЧ)</v>
          </cell>
        </row>
        <row r="61">
          <cell r="A61">
            <v>81450160</v>
          </cell>
          <cell r="B61" t="str">
            <v>Тепловая завеса Профтепло НТT 306</v>
          </cell>
          <cell r="C61" t="str">
            <v>шт</v>
          </cell>
          <cell r="E61" t="str">
            <v>Товар под заказ</v>
          </cell>
          <cell r="F61">
            <v>3942</v>
          </cell>
          <cell r="G61">
            <v>5262</v>
          </cell>
          <cell r="H61" t="str">
            <v>-</v>
          </cell>
          <cell r="I61">
            <v>3942</v>
          </cell>
          <cell r="J61">
            <v>0</v>
          </cell>
          <cell r="K61">
            <v>0</v>
          </cell>
        </row>
        <row r="62">
          <cell r="A62">
            <v>81450170</v>
          </cell>
          <cell r="B62" t="str">
            <v>Тепловая завеса Профтепло НТT 508</v>
          </cell>
          <cell r="C62" t="str">
            <v>шт</v>
          </cell>
          <cell r="E62" t="str">
            <v>Товар под заказ</v>
          </cell>
          <cell r="F62">
            <v>7216</v>
          </cell>
          <cell r="G62">
            <v>9632</v>
          </cell>
          <cell r="H62" t="str">
            <v>-</v>
          </cell>
          <cell r="I62">
            <v>7216</v>
          </cell>
          <cell r="J62">
            <v>0</v>
          </cell>
          <cell r="K62">
            <v>0</v>
          </cell>
        </row>
        <row r="63">
          <cell r="A63">
            <v>81450180</v>
          </cell>
          <cell r="B63" t="str">
            <v>Тепловая завеса Профтепло НТT 610</v>
          </cell>
          <cell r="C63" t="str">
            <v>шт</v>
          </cell>
          <cell r="E63" t="str">
            <v>Товар под заказ</v>
          </cell>
          <cell r="F63">
            <v>9743</v>
          </cell>
          <cell r="G63">
            <v>13006</v>
          </cell>
          <cell r="H63" t="str">
            <v>-</v>
          </cell>
          <cell r="I63">
            <v>9743</v>
          </cell>
          <cell r="J63">
            <v>0</v>
          </cell>
          <cell r="K63">
            <v>0</v>
          </cell>
        </row>
      </sheetData>
      <sheetData sheetId="10">
        <row r="7">
          <cell r="A7" t="str">
            <v>Код</v>
          </cell>
          <cell r="B7" t="str">
            <v>Наименование продукции</v>
          </cell>
          <cell r="C7" t="str">
            <v>Ед. изм.</v>
          </cell>
          <cell r="D7" t="str">
            <v>Характеристики</v>
          </cell>
          <cell r="E7" t="str">
            <v>Статус</v>
          </cell>
          <cell r="F7" t="str">
            <v>Опт</v>
          </cell>
          <cell r="G7" t="str">
            <v>Рек. Розница</v>
          </cell>
          <cell r="H7" t="str">
            <v>Наличие на складе</v>
          </cell>
          <cell r="I7" t="str">
            <v>Ваша скидка по теме</v>
          </cell>
          <cell r="J7" t="str">
            <v>Заказ</v>
          </cell>
          <cell r="K7" t="str">
            <v>Сумма</v>
          </cell>
        </row>
        <row r="8">
          <cell r="I8">
            <v>0</v>
          </cell>
        </row>
        <row r="9">
          <cell r="A9" t="str">
            <v>Бетоносмесители ПРОФМАШ</v>
          </cell>
        </row>
        <row r="10">
          <cell r="A10" t="str">
            <v>БЕТОНОСМЕСИТЕЛИ</v>
          </cell>
        </row>
        <row r="11">
          <cell r="A11" t="str">
            <v>00-00000011</v>
          </cell>
          <cell r="B11" t="str">
            <v>Бетоносмеситель Б-120  "ПРОФМАШ"</v>
          </cell>
          <cell r="C11" t="str">
            <v>шт</v>
          </cell>
          <cell r="E11" t="str">
            <v>Товар под заказ</v>
          </cell>
          <cell r="F11">
            <v>12657</v>
          </cell>
          <cell r="G11">
            <v>14215</v>
          </cell>
          <cell r="H11" t="str">
            <v>+</v>
          </cell>
          <cell r="I11">
            <v>12657</v>
          </cell>
          <cell r="J11">
            <v>0</v>
          </cell>
          <cell r="K11">
            <v>0</v>
          </cell>
        </row>
        <row r="12">
          <cell r="A12" t="str">
            <v>00-00000012</v>
          </cell>
          <cell r="B12" t="str">
            <v>Бетоносмеситель Б-120  "ПРОФМАШ" с чугунным венцом</v>
          </cell>
          <cell r="C12" t="str">
            <v>шт</v>
          </cell>
          <cell r="E12" t="str">
            <v>Товар под заказ</v>
          </cell>
          <cell r="F12">
            <v>14590</v>
          </cell>
          <cell r="G12">
            <v>16385</v>
          </cell>
          <cell r="H12" t="str">
            <v>-</v>
          </cell>
          <cell r="I12">
            <v>14590</v>
          </cell>
          <cell r="J12">
            <v>0</v>
          </cell>
          <cell r="K12">
            <v>0</v>
          </cell>
        </row>
        <row r="13">
          <cell r="A13">
            <v>3936520</v>
          </cell>
          <cell r="B13" t="str">
            <v>Бетоносмеситель Б-130  "ПРОФМАШ" с чугунным венцом</v>
          </cell>
          <cell r="C13" t="str">
            <v>шт</v>
          </cell>
          <cell r="E13" t="str">
            <v>Товар под заказ</v>
          </cell>
          <cell r="F13">
            <v>16428</v>
          </cell>
          <cell r="G13">
            <v>18450</v>
          </cell>
          <cell r="H13" t="str">
            <v>-</v>
          </cell>
          <cell r="I13">
            <v>16428</v>
          </cell>
          <cell r="J13">
            <v>0</v>
          </cell>
          <cell r="K13">
            <v>0</v>
          </cell>
        </row>
        <row r="14">
          <cell r="A14">
            <v>8293</v>
          </cell>
          <cell r="B14" t="str">
            <v>Бетоносмеситель Б-130  "ПРОФМАШ" Хит</v>
          </cell>
          <cell r="C14" t="str">
            <v>шт</v>
          </cell>
          <cell r="D14" t="str">
            <v>, Вес: 50 кг, Напряжение: 220 В, Объем барабана: 130 л</v>
          </cell>
          <cell r="E14" t="str">
            <v>Товар под заказ</v>
          </cell>
          <cell r="F14">
            <v>14936</v>
          </cell>
          <cell r="G14">
            <v>16775</v>
          </cell>
          <cell r="H14" t="str">
            <v>-</v>
          </cell>
          <cell r="I14">
            <v>14936</v>
          </cell>
          <cell r="J14">
            <v>0</v>
          </cell>
          <cell r="K14">
            <v>0</v>
          </cell>
        </row>
        <row r="15">
          <cell r="A15">
            <v>7061990</v>
          </cell>
          <cell r="B15" t="str">
            <v>Бетоносмеситель Б-130P МАКСИМ "ПРОФМАШ"</v>
          </cell>
          <cell r="C15" t="str">
            <v>шт</v>
          </cell>
          <cell r="E15" t="str">
            <v>Товар под заказ</v>
          </cell>
          <cell r="F15">
            <v>24004</v>
          </cell>
          <cell r="G15">
            <v>26959</v>
          </cell>
          <cell r="H15" t="str">
            <v>+</v>
          </cell>
          <cell r="I15">
            <v>24004</v>
          </cell>
          <cell r="J15">
            <v>0</v>
          </cell>
          <cell r="K15">
            <v>0</v>
          </cell>
        </row>
        <row r="16">
          <cell r="A16" t="str">
            <v>00-00000013</v>
          </cell>
          <cell r="B16" t="str">
            <v>Бетоносмеситель Б-140  "ПРОФМАШ"</v>
          </cell>
          <cell r="C16" t="str">
            <v>шт</v>
          </cell>
          <cell r="E16" t="str">
            <v>Товар под заказ</v>
          </cell>
          <cell r="F16">
            <v>14432</v>
          </cell>
          <cell r="G16">
            <v>16209</v>
          </cell>
          <cell r="H16" t="str">
            <v>-</v>
          </cell>
          <cell r="I16">
            <v>14432</v>
          </cell>
          <cell r="J16">
            <v>0</v>
          </cell>
          <cell r="K16">
            <v>0</v>
          </cell>
        </row>
        <row r="17">
          <cell r="A17" t="str">
            <v>00-00000014</v>
          </cell>
          <cell r="B17" t="str">
            <v>Бетоносмеситель Б-140  "ПРОФМАШ" с чугунным венцом</v>
          </cell>
          <cell r="C17" t="str">
            <v>шт</v>
          </cell>
          <cell r="E17" t="str">
            <v>Товар под заказ</v>
          </cell>
          <cell r="F17">
            <v>15987</v>
          </cell>
          <cell r="G17">
            <v>17955</v>
          </cell>
          <cell r="H17" t="str">
            <v>-</v>
          </cell>
          <cell r="I17">
            <v>15987</v>
          </cell>
          <cell r="J17">
            <v>0</v>
          </cell>
          <cell r="K17">
            <v>0</v>
          </cell>
        </row>
        <row r="18">
          <cell r="A18" t="str">
            <v>УТ-00000258</v>
          </cell>
          <cell r="B18" t="str">
            <v>'Бетоносмеситель Б-160  "ПРОФМАШ"</v>
          </cell>
          <cell r="C18" t="str">
            <v>шт</v>
          </cell>
          <cell r="E18" t="str">
            <v>Товар под заказ</v>
          </cell>
          <cell r="F18">
            <v>15163</v>
          </cell>
          <cell r="G18">
            <v>17029</v>
          </cell>
          <cell r="H18" t="str">
            <v>-</v>
          </cell>
          <cell r="I18">
            <v>15163</v>
          </cell>
          <cell r="J18">
            <v>0</v>
          </cell>
          <cell r="K18">
            <v>0</v>
          </cell>
        </row>
        <row r="19">
          <cell r="A19" t="str">
            <v>УТ-00000261</v>
          </cell>
          <cell r="B19" t="str">
            <v>Бетоносмеситель Б-160  "ПРОФМАШ" с чугунным венцом</v>
          </cell>
          <cell r="C19" t="str">
            <v>шт</v>
          </cell>
          <cell r="E19" t="str">
            <v>Товар под заказ</v>
          </cell>
          <cell r="F19">
            <v>16497</v>
          </cell>
          <cell r="G19">
            <v>18528</v>
          </cell>
          <cell r="H19" t="str">
            <v>-</v>
          </cell>
          <cell r="I19">
            <v>16497</v>
          </cell>
          <cell r="J19">
            <v>0</v>
          </cell>
          <cell r="K19">
            <v>0</v>
          </cell>
        </row>
        <row r="20">
          <cell r="A20">
            <v>3936660</v>
          </cell>
          <cell r="B20" t="str">
            <v>Бетоносмеситель Б-180  "ПРОФМАШ" с чугунным венцом</v>
          </cell>
          <cell r="C20" t="str">
            <v>шт</v>
          </cell>
          <cell r="E20" t="str">
            <v>Товар под заказ</v>
          </cell>
          <cell r="F20">
            <v>17635</v>
          </cell>
          <cell r="G20">
            <v>19806</v>
          </cell>
          <cell r="H20" t="str">
            <v>-</v>
          </cell>
          <cell r="I20">
            <v>17635</v>
          </cell>
          <cell r="J20">
            <v>0</v>
          </cell>
          <cell r="K20">
            <v>0</v>
          </cell>
        </row>
        <row r="21">
          <cell r="A21">
            <v>37036</v>
          </cell>
          <cell r="B21" t="str">
            <v>Бетоносмеситель Б-180  "ПРОФМАШ" Хит</v>
          </cell>
          <cell r="C21" t="str">
            <v>шт</v>
          </cell>
          <cell r="D21" t="str">
            <v>, Вес: 57 кг, Напряжение: 220 В, Объем барабана: 180 л</v>
          </cell>
          <cell r="E21" t="str">
            <v>Товар под заказ</v>
          </cell>
          <cell r="F21">
            <v>15615</v>
          </cell>
          <cell r="G21">
            <v>17537</v>
          </cell>
          <cell r="H21" t="str">
            <v>+</v>
          </cell>
          <cell r="I21">
            <v>15615</v>
          </cell>
          <cell r="J21">
            <v>0</v>
          </cell>
          <cell r="K21">
            <v>0</v>
          </cell>
        </row>
        <row r="22">
          <cell r="A22" t="str">
            <v>УТ-00000081</v>
          </cell>
          <cell r="B22" t="str">
            <v>Бетоносмеситель Б-200  "ПРОФМАШ"</v>
          </cell>
          <cell r="C22" t="str">
            <v>шт</v>
          </cell>
          <cell r="E22" t="str">
            <v>Товар под заказ</v>
          </cell>
          <cell r="F22">
            <v>17153</v>
          </cell>
          <cell r="G22">
            <v>19264</v>
          </cell>
          <cell r="H22" t="str">
            <v>-</v>
          </cell>
          <cell r="I22">
            <v>17153</v>
          </cell>
          <cell r="J22">
            <v>0</v>
          </cell>
          <cell r="K22">
            <v>0</v>
          </cell>
        </row>
        <row r="23">
          <cell r="A23" t="str">
            <v>УТ-00000082</v>
          </cell>
          <cell r="B23" t="str">
            <v>Бетоносмеситель Б-200  "ПРОФМАШ" с чугунным венцом</v>
          </cell>
          <cell r="C23" t="str">
            <v>шт</v>
          </cell>
          <cell r="E23" t="str">
            <v>Товар под заказ</v>
          </cell>
          <cell r="F23">
            <v>19054</v>
          </cell>
          <cell r="G23">
            <v>21399</v>
          </cell>
          <cell r="H23" t="str">
            <v>-</v>
          </cell>
          <cell r="I23">
            <v>19054</v>
          </cell>
          <cell r="J23">
            <v>0</v>
          </cell>
          <cell r="K23">
            <v>0</v>
          </cell>
        </row>
        <row r="24">
          <cell r="A24" t="str">
            <v>УТ-00000259</v>
          </cell>
          <cell r="B24" t="str">
            <v>Бетоносмеситель Б-220  "ПРОФМАШ"</v>
          </cell>
          <cell r="C24" t="str">
            <v>шт</v>
          </cell>
          <cell r="E24" t="str">
            <v>Товар под заказ</v>
          </cell>
          <cell r="F24">
            <v>17681</v>
          </cell>
          <cell r="G24">
            <v>19857</v>
          </cell>
          <cell r="H24" t="str">
            <v>-</v>
          </cell>
          <cell r="I24">
            <v>17681</v>
          </cell>
          <cell r="J24">
            <v>0</v>
          </cell>
          <cell r="K24">
            <v>0</v>
          </cell>
        </row>
        <row r="25">
          <cell r="A25" t="str">
            <v>УТ-00000262</v>
          </cell>
          <cell r="B25" t="str">
            <v>Бетоносмеситель Б-220  "ПРОФМАШ" с чугунным венцом</v>
          </cell>
          <cell r="C25" t="str">
            <v>шт</v>
          </cell>
          <cell r="E25" t="str">
            <v>Товар под заказ</v>
          </cell>
          <cell r="F25">
            <v>19341</v>
          </cell>
          <cell r="G25">
            <v>21722</v>
          </cell>
          <cell r="H25" t="str">
            <v>-</v>
          </cell>
          <cell r="I25">
            <v>19341</v>
          </cell>
          <cell r="J25">
            <v>0</v>
          </cell>
          <cell r="K25">
            <v>0</v>
          </cell>
        </row>
        <row r="26">
          <cell r="A26" t="str">
            <v>АКСЕСУАРЫ К ОТБОЙНОМУ МОЛОТКУ 4613 МО 1У</v>
          </cell>
        </row>
        <row r="27">
          <cell r="A27" t="str">
            <v>УТ-00000191</v>
          </cell>
          <cell r="B27" t="str">
            <v>Ковш штукатурный КШ-4</v>
          </cell>
          <cell r="C27" t="str">
            <v>шт</v>
          </cell>
          <cell r="E27" t="str">
            <v>Товар под заказ</v>
          </cell>
          <cell r="F27">
            <v>3750</v>
          </cell>
          <cell r="G27">
            <v>4143</v>
          </cell>
          <cell r="H27" t="str">
            <v>-</v>
          </cell>
          <cell r="I27">
            <v>3750</v>
          </cell>
          <cell r="J27">
            <v>0</v>
          </cell>
          <cell r="K27">
            <v>0</v>
          </cell>
        </row>
        <row r="28">
          <cell r="A28">
            <v>9229</v>
          </cell>
          <cell r="B28" t="str">
            <v>Краскопульт СО-20 В "ПРОФМАШ"</v>
          </cell>
          <cell r="C28" t="str">
            <v>шт</v>
          </cell>
          <cell r="E28" t="str">
            <v>Товар под заказ</v>
          </cell>
          <cell r="F28">
            <v>5950</v>
          </cell>
          <cell r="G28">
            <v>6985</v>
          </cell>
          <cell r="H28" t="str">
            <v>-</v>
          </cell>
          <cell r="I28">
            <v>5950</v>
          </cell>
          <cell r="J28">
            <v>0</v>
          </cell>
          <cell r="K28">
            <v>0</v>
          </cell>
        </row>
        <row r="29">
          <cell r="A29" t="str">
            <v>УТ-99867   </v>
          </cell>
          <cell r="B29" t="str">
            <v>ПРОСЕИВАТЕЛЬ (для Б-120, Б-130, Б-140, Б-160)</v>
          </cell>
          <cell r="C29" t="str">
            <v>шт</v>
          </cell>
          <cell r="E29" t="str">
            <v>Товар под заказ</v>
          </cell>
          <cell r="F29">
            <v>2657</v>
          </cell>
          <cell r="G29">
            <v>2984</v>
          </cell>
          <cell r="H29" t="str">
            <v>-</v>
          </cell>
          <cell r="I29">
            <v>2657</v>
          </cell>
          <cell r="J29">
            <v>0</v>
          </cell>
          <cell r="K29">
            <v>0</v>
          </cell>
        </row>
        <row r="30">
          <cell r="A30" t="str">
            <v>Бетоносмесители ЭНТУЗИАСТ</v>
          </cell>
        </row>
        <row r="31">
          <cell r="A31" t="str">
            <v>УТ-251     </v>
          </cell>
          <cell r="B31" t="str">
            <v>Бетоносмеситель Б-150  "ЭНТУЗИАСТ"</v>
          </cell>
          <cell r="C31" t="str">
            <v>шт</v>
          </cell>
          <cell r="E31" t="str">
            <v>Товар под заказ</v>
          </cell>
          <cell r="F31">
            <v>18035</v>
          </cell>
          <cell r="G31">
            <v>20255</v>
          </cell>
          <cell r="H31" t="str">
            <v>-</v>
          </cell>
          <cell r="I31">
            <v>18035</v>
          </cell>
          <cell r="J31">
            <v>0</v>
          </cell>
          <cell r="K31">
            <v>0</v>
          </cell>
        </row>
        <row r="32">
          <cell r="A32" t="str">
            <v>УТ-252     </v>
          </cell>
          <cell r="B32" t="str">
            <v>Бетоносмеситель Б-180  "ЭНТУЗИАСТ"</v>
          </cell>
          <cell r="C32" t="str">
            <v>шт</v>
          </cell>
          <cell r="E32" t="str">
            <v>Товар под заказ</v>
          </cell>
          <cell r="F32">
            <v>18926</v>
          </cell>
          <cell r="G32">
            <v>21256</v>
          </cell>
          <cell r="H32" t="str">
            <v>-</v>
          </cell>
          <cell r="I32">
            <v>18926</v>
          </cell>
          <cell r="J32">
            <v>0</v>
          </cell>
          <cell r="K32">
            <v>0</v>
          </cell>
        </row>
        <row r="33">
          <cell r="A33" t="str">
            <v>УТ-254     </v>
          </cell>
          <cell r="B33" t="str">
            <v>Бетоносмеситель Б-150  "ЭНТУЗИАСТ" с чугунным венцом</v>
          </cell>
          <cell r="C33" t="str">
            <v>шт</v>
          </cell>
          <cell r="E33" t="str">
            <v>Товар под заказ</v>
          </cell>
          <cell r="F33">
            <v>20378</v>
          </cell>
          <cell r="G33">
            <v>22887</v>
          </cell>
          <cell r="H33" t="str">
            <v>-</v>
          </cell>
          <cell r="I33">
            <v>20378</v>
          </cell>
          <cell r="J33">
            <v>0</v>
          </cell>
          <cell r="K33">
            <v>0</v>
          </cell>
        </row>
        <row r="34">
          <cell r="A34" t="str">
            <v>УТ-255     </v>
          </cell>
          <cell r="B34" t="str">
            <v>Бетоносмеситель Б-180  "ЭНТУЗИАСТ" с чугунным венцом</v>
          </cell>
          <cell r="C34" t="str">
            <v>шт</v>
          </cell>
          <cell r="E34" t="str">
            <v>Товар под заказ</v>
          </cell>
          <cell r="F34">
            <v>21214</v>
          </cell>
          <cell r="G34">
            <v>23825</v>
          </cell>
          <cell r="H34" t="str">
            <v>-</v>
          </cell>
          <cell r="I34">
            <v>21214</v>
          </cell>
          <cell r="J34">
            <v>0</v>
          </cell>
          <cell r="K34">
            <v>0</v>
          </cell>
        </row>
        <row r="35">
          <cell r="A35" t="str">
            <v>УТ-257     </v>
          </cell>
          <cell r="B35" t="str">
            <v>Бетоносмеситель Б-165  "ЭНТУЗИАСТ"</v>
          </cell>
          <cell r="C35" t="str">
            <v>шт</v>
          </cell>
          <cell r="E35" t="str">
            <v>Товар под заказ</v>
          </cell>
          <cell r="F35">
            <v>18557</v>
          </cell>
          <cell r="G35">
            <v>20841</v>
          </cell>
          <cell r="H35" t="str">
            <v>-</v>
          </cell>
          <cell r="I35">
            <v>18557</v>
          </cell>
          <cell r="J35">
            <v>0</v>
          </cell>
          <cell r="K35">
            <v>0</v>
          </cell>
        </row>
        <row r="36">
          <cell r="A36" t="str">
            <v>УТ-256     </v>
          </cell>
          <cell r="B36" t="str">
            <v>Бетоносмеситель Б-165 "ЭНТУЗИАСТ" с чугунным венцом</v>
          </cell>
          <cell r="C36" t="str">
            <v>шт</v>
          </cell>
          <cell r="E36" t="str">
            <v>Товар под заказ</v>
          </cell>
          <cell r="F36">
            <v>20896</v>
          </cell>
          <cell r="G36">
            <v>23468</v>
          </cell>
          <cell r="H36" t="str">
            <v>-</v>
          </cell>
          <cell r="I36">
            <v>20896</v>
          </cell>
          <cell r="J36">
            <v>0</v>
          </cell>
          <cell r="K3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92D050"/>
    <outlinePr summaryRight="0" summaryBelow="0"/>
  </sheetPr>
  <dimension ref="A1:K1760"/>
  <sheetViews>
    <sheetView tabSelected="1" view="normal" zoomScale="105" workbookViewId="0">
      <pane ySplit="11" topLeftCell="A12" activePane="bottomLeft" state="frozen"/>
      <selection pane="bottomLeft" activeCell="K15" sqref="K15:K1759"/>
    </sheetView>
  </sheetViews>
  <sheetFormatPr defaultRowHeight="13"/>
  <cols>
    <col min="1" max="1" width="12.571429" customWidth="1" style="96"/>
    <col min="2" max="2" width="40.000000" customWidth="1" style="96"/>
    <col min="3" max="3" width="47.714286" customWidth="1" style="96"/>
    <col min="4" max="4" width="7.142857" customWidth="1" style="96"/>
    <col min="5" max="5" width="18.285714" customWidth="1" style="96"/>
    <col min="6" max="6" width="10.857143" customWidth="1" style="110"/>
    <col min="7" max="7" width="11.142857" customWidth="1" style="110"/>
    <col min="8" max="9" width="9.142857" style="111"/>
    <col min="10" max="10" width="13.142857" customWidth="1" style="112"/>
    <col min="11" max="16384" width="9.142857" style="96"/>
  </cols>
  <sheetData>
    <row r="1" spans="1:10" ht="13.50" customHeight="1">
      <c r="A1" s="92"/>
      <c r="B1" s="92"/>
      <c r="C1" s="92"/>
      <c r="D1" s="92"/>
      <c r="E1" s="92"/>
      <c r="F1" s="93" t="s">
        <v>0</v>
      </c>
      <c r="G1" s="93"/>
      <c r="H1" s="94"/>
      <c r="I1" s="94"/>
      <c r="J1" s="95"/>
    </row>
    <row r="2" spans="1:10" ht="12.75" customHeight="1">
      <c r="A2" s="92"/>
      <c r="B2" s="92"/>
      <c r="C2" s="92"/>
      <c r="D2" s="92"/>
      <c r="E2" s="92"/>
      <c r="F2" s="93"/>
      <c r="G2" s="93"/>
      <c r="H2" s="94"/>
      <c r="I2" s="94"/>
      <c r="J2" s="95"/>
    </row>
    <row r="3" spans="1:10" ht="11.25" customHeight="1">
      <c r="A3" s="92"/>
      <c r="B3" s="92"/>
      <c r="C3" s="92"/>
      <c r="D3" s="92"/>
      <c r="E3" s="92"/>
      <c r="F3" s="93"/>
      <c r="G3" s="93"/>
      <c r="H3" s="94"/>
      <c r="I3" s="94"/>
      <c r="J3" s="95"/>
    </row>
    <row r="4" spans="1:10" ht="11.25" customHeight="1">
      <c r="A4" s="92"/>
      <c r="B4" s="92"/>
      <c r="C4" s="92"/>
      <c r="D4" s="92"/>
      <c r="E4" s="92"/>
      <c r="F4" s="93"/>
      <c r="G4" s="93"/>
      <c r="H4" s="94"/>
      <c r="I4" s="94"/>
      <c r="J4" s="95"/>
    </row>
    <row r="5" spans="1:10" ht="11.25" customHeight="1">
      <c r="A5" s="92"/>
      <c r="B5" s="92"/>
      <c r="C5" s="92"/>
      <c r="D5" s="92"/>
      <c r="E5" s="92"/>
      <c r="F5" s="93"/>
      <c r="G5" s="93"/>
      <c r="H5" s="94"/>
      <c r="I5" s="94"/>
      <c r="J5" s="95"/>
    </row>
    <row r="6" spans="1:10" ht="11.25" customHeight="1">
      <c r="A6" s="92"/>
      <c r="B6" s="92"/>
      <c r="C6" s="92"/>
      <c r="D6" s="92"/>
      <c r="E6" s="92"/>
      <c r="F6" s="93"/>
      <c r="G6" s="93"/>
      <c r="H6" s="94"/>
      <c r="I6" s="94"/>
      <c r="J6" s="95"/>
    </row>
    <row r="7" spans="1:10" ht="11.25" customHeight="1">
      <c r="A7" s="92"/>
      <c r="B7" s="92"/>
      <c r="C7" s="92"/>
      <c r="D7" s="92"/>
      <c r="E7" s="92"/>
      <c r="F7" s="93"/>
      <c r="G7" s="93"/>
      <c r="H7" s="94"/>
      <c r="I7" s="94"/>
      <c r="J7" s="95"/>
    </row>
    <row r="8" spans="1:10" ht="11.25" customHeight="1">
      <c r="A8" s="92"/>
      <c r="B8" s="92"/>
      <c r="C8" s="92"/>
      <c r="D8" s="92"/>
      <c r="E8" s="92"/>
      <c r="F8" s="93"/>
      <c r="G8" s="93"/>
      <c r="H8" s="94"/>
      <c r="I8" s="94"/>
      <c r="J8" s="95"/>
    </row>
    <row r="9" spans="1:10" ht="11.25" customHeight="1">
      <c r="A9" s="129"/>
      <c r="B9" s="130"/>
      <c r="C9" s="130" t="s">
        <v>1</v>
      </c>
      <c r="D9" s="130"/>
      <c r="E9" s="130"/>
      <c r="F9" s="131"/>
      <c r="G9" s="131"/>
      <c r="H9" s="130"/>
      <c r="I9" s="130"/>
      <c r="J9" s="132"/>
    </row>
    <row r="10" spans="1:10" ht="11.25" customHeight="1">
      <c r="A10" s="136" t="s">
        <v>2</v>
      </c>
      <c r="B10" s="128" t="s">
        <v>3</v>
      </c>
      <c r="C10" s="136" t="s">
        <v>4</v>
      </c>
      <c r="D10" s="136" t="s">
        <v>5</v>
      </c>
      <c r="E10" s="136" t="s">
        <v>6</v>
      </c>
      <c r="F10" s="136" t="s">
        <v>7</v>
      </c>
      <c r="G10" s="137" t="s">
        <v>8</v>
      </c>
      <c r="H10" s="127" t="s">
        <v>9</v>
      </c>
      <c r="I10" s="127" t="s">
        <v>10</v>
      </c>
      <c r="J10" s="134" t="s">
        <v>11</v>
      </c>
    </row>
    <row r="11" spans="1:10" ht="11.25" customHeight="1">
      <c r="A11" s="128"/>
      <c r="B11" s="113"/>
      <c r="C11" s="128"/>
      <c r="D11" s="128"/>
      <c r="E11" s="128"/>
      <c r="F11" s="128"/>
      <c r="G11" s="87"/>
      <c r="H11" s="87"/>
      <c r="I11" s="87"/>
      <c r="J11" s="135"/>
    </row>
    <row r="12" spans="1:10" ht="11.25" customHeight="1">
      <c r="A12" s="97" t="s">
        <v>12</v>
      </c>
      <c r="B12" s="98"/>
      <c r="C12" s="98"/>
      <c r="D12" s="98"/>
      <c r="E12" s="98"/>
      <c r="F12" s="99"/>
      <c r="G12" s="99"/>
      <c r="H12" s="100"/>
      <c r="I12" s="100"/>
      <c r="J12" s="101"/>
    </row>
    <row r="13" spans="1:10" ht="11.25" customHeight="1" outlineLevel="1">
      <c r="A13" s="88" t="s">
        <v>13</v>
      </c>
      <c r="B13" s="115"/>
      <c r="C13" s="88"/>
      <c r="D13" s="88"/>
      <c r="E13" s="88"/>
      <c r="F13" s="105"/>
      <c r="G13" s="105"/>
      <c r="H13" s="106"/>
      <c r="I13" s="106"/>
      <c r="J13" s="107"/>
    </row>
    <row r="14" spans="1:11" ht="11.25" customHeight="1" outlineLevel="1">
      <c r="A14" s="89" t="n">
        <v>8142210</v>
      </c>
      <c r="B14" s="114" t="s">
        <v>12</v>
      </c>
      <c r="C14" s="89" t="s">
        <v>14</v>
      </c>
      <c r="D14" s="89" t="s">
        <v>15</v>
      </c>
      <c r="E14" s="86" t="s">
        <v>16</v>
      </c>
      <c r="F14" s="102" t="n">
        <v>9206</v>
      </c>
      <c r="G14" s="102" t="n">
        <v>10587</v>
      </c>
      <c r="H14" s="103" t="s">
        <v>17</v>
      </c>
      <c r="I14" s="103">
        <f>IFERROR(VLOOKUP(A14,#REF!,14,0),0)+IFERROR(VLOOKUP(A14,#REF!,22,0),0)+IFERROR(VLOOKUP(A14,#REF!,22,0),0)+IFERROR(VLOOKUP(A14,#REF!,9,0),0)+IFERROR(VLOOKUP(A14,#REF!,12,0),0)+IFERROR(VLOOKUP(A14,#REF!,12,0),0)+IFERROR(VLOOKUP(A14,#REF!,10,0),0)+IFERROR(VLOOKUP(A14,#REF!,10,0),0)+IFERROR(VLOOKUP(A14,#REF!,10,0),0)</f>
        <v>0</v>
      </c>
      <c r="J14" s="104">
        <f>IFERROR(VLOOKUP(A14,#REF!,15,0),0)+IFERROR(VLOOKUP(A14,#REF!,23,0),0)+IFERROR(VLOOKUP(A14,#REF!,23,0),0)+IFERROR(VLOOKUP(A14,#REF!,10,0),0)+IFERROR(VLOOKUP(A14,#REF!,13,0),0)+IFERROR(VLOOKUP(A14,#REF!,13,0),0)+IFERROR(VLOOKUP(A14,#REF!,11,0),0)+IFERROR(VLOOKUP(A14,#REF!,11,0),0)+IFERROR(VLOOKUP(A14,#REF!,11,0),0)</f>
        <v>0</v>
      </c>
      <c r="K14" s="96" t="str">
        <f>"07.02.24"</f>
        <v>07.02.24</v>
      </c>
    </row>
    <row r="15" spans="1:11" ht="11.25" customHeight="1" outlineLevel="1">
      <c r="A15" s="89" t="n">
        <v>8889100</v>
      </c>
      <c r="B15" s="114" t="s">
        <v>12</v>
      </c>
      <c r="C15" s="89" t="s">
        <v>18</v>
      </c>
      <c r="D15" s="89" t="s">
        <v>15</v>
      </c>
      <c r="E15" s="86" t="s">
        <v>19</v>
      </c>
      <c r="F15" s="102" t="n">
        <v>9160</v>
      </c>
      <c r="G15" s="102" t="n">
        <v>10533</v>
      </c>
      <c r="H15" s="103" t="s">
        <v>17</v>
      </c>
      <c r="I15" s="103">
        <f>IFERROR(VLOOKUP(A15,#REF!,15,0),0)+IFERROR(VLOOKUP(A15,#REF!,25,0),0)+IFERROR(VLOOKUP(A15,#REF!,10,0),0)+IFERROR(VLOOKUP(A15,#REF!,14,0),0)+IFERROR(VLOOKUP(A15,#REF!,10,0),0)+IFERROR(VLOOKUP(A15,#REF!,10,0),0)+IFERROR(VLOOKUP(A15,#REF!,10,0),0)+IFERROR(VLOOKUP(A15,#REF!,9,0),0)+IFERROR(VLOOKUP(A15,#REF!,9,0),0)+IFERROR(VLOOKUP(A15,#REF!,9,0),0)+IFERROR(VLOOKUP(A15,#REF!,9,0),0)</f>
        <v>0</v>
      </c>
      <c r="J15" s="104">
        <f>IFERROR(VLOOKUP(A15,#REF!,16,0),0)+IFERROR(VLOOKUP(A15,#REF!,26,0),0)+IFERROR(VLOOKUP(A15,#REF!,11,0),0)+IFERROR(VLOOKUP(A15,#REF!,23,0),0)+IFERROR(VLOOKUP(A15,#REF!,11,0),0)+IFERROR(VLOOKUP(A15,#REF!,11,0),0)+IFERROR(VLOOKUP(A15,#REF!,11,0),0)</f>
        <v>0</v>
      </c>
      <c r="K15" s="96" t="str">
        <f>"07.02.24"</f>
        <v>07.02.24</v>
      </c>
    </row>
    <row r="16" spans="1:11" ht="11.25" customHeight="1" outlineLevel="1">
      <c r="A16" s="89" t="n">
        <v>8889110</v>
      </c>
      <c r="B16" s="114" t="s">
        <v>12</v>
      </c>
      <c r="C16" s="89" t="s">
        <v>20</v>
      </c>
      <c r="D16" s="89" t="s">
        <v>15</v>
      </c>
      <c r="E16" s="86" t="s">
        <v>21</v>
      </c>
      <c r="F16" s="102" t="n">
        <v>11045</v>
      </c>
      <c r="G16" s="102" t="n">
        <v>12703</v>
      </c>
      <c r="H16" s="103" t="s">
        <v>17</v>
      </c>
      <c r="I16" s="103">
        <f>IFERROR(VLOOKUP(A16,#REF!,15,0),0)+IFERROR(VLOOKUP(A16,#REF!,25,0),0)+IFERROR(VLOOKUP(A16,#REF!,10,0),0)+IFERROR(VLOOKUP(A16,#REF!,14,0),0)+IFERROR(VLOOKUP(A16,#REF!,10,0),0)+IFERROR(VLOOKUP(A16,#REF!,10,0),0)+IFERROR(VLOOKUP(A16,#REF!,10,0),0)+IFERROR(VLOOKUP(A16,#REF!,9,0),0)+IFERROR(VLOOKUP(A16,#REF!,9,0),0)+IFERROR(VLOOKUP(A16,#REF!,9,0),0)+IFERROR(VLOOKUP(A16,#REF!,9,0),0)</f>
        <v>0</v>
      </c>
      <c r="J16" s="104">
        <f>IFERROR(VLOOKUP(A16,#REF!,16,0),0)+IFERROR(VLOOKUP(A16,#REF!,26,0),0)+IFERROR(VLOOKUP(A16,#REF!,11,0),0)+IFERROR(VLOOKUP(A16,#REF!,23,0),0)+IFERROR(VLOOKUP(A16,#REF!,11,0),0)+IFERROR(VLOOKUP(A16,#REF!,11,0),0)+IFERROR(VLOOKUP(A16,#REF!,11,0),0)</f>
        <v>0</v>
      </c>
      <c r="K16" s="96" t="str">
        <f>"07.02.24"</f>
        <v>07.02.24</v>
      </c>
    </row>
    <row r="17" spans="1:11" ht="11.25" customHeight="1" outlineLevel="1">
      <c r="A17" s="89" t="s">
        <v>22</v>
      </c>
      <c r="B17" s="114" t="s">
        <v>12</v>
      </c>
      <c r="C17" s="89" t="s">
        <v>23</v>
      </c>
      <c r="D17" s="89" t="s">
        <v>15</v>
      </c>
      <c r="E17" s="86" t="s">
        <v>24</v>
      </c>
      <c r="F17" s="102" t="n">
        <v>9572</v>
      </c>
      <c r="G17" s="102" t="n">
        <v>11008</v>
      </c>
      <c r="H17" s="103" t="s">
        <v>17</v>
      </c>
      <c r="I17" s="103">
        <f>IFERROR(VLOOKUP(A17,#REF!,15,0),0)+IFERROR(VLOOKUP(A17,#REF!,25,0),0)+IFERROR(VLOOKUP(A17,#REF!,10,0),0)+IFERROR(VLOOKUP(A17,#REF!,14,0),0)+IFERROR(VLOOKUP(A17,#REF!,10,0),0)+IFERROR(VLOOKUP(A17,#REF!,10,0),0)+IFERROR(VLOOKUP(A17,#REF!,10,0),0)+IFERROR(VLOOKUP(A17,#REF!,9,0),0)+IFERROR(VLOOKUP(A17,#REF!,9,0),0)+IFERROR(VLOOKUP(A17,#REF!,9,0),0)+IFERROR(VLOOKUP(A17,#REF!,9,0),0)</f>
        <v>0</v>
      </c>
      <c r="J17" s="104">
        <f>IFERROR(VLOOKUP(A17,#REF!,16,0),0)+IFERROR(VLOOKUP(A17,#REF!,26,0),0)+IFERROR(VLOOKUP(A17,#REF!,11,0),0)+IFERROR(VLOOKUP(A17,#REF!,23,0),0)+IFERROR(VLOOKUP(A17,#REF!,11,0),0)+IFERROR(VLOOKUP(A17,#REF!,11,0),0)+IFERROR(VLOOKUP(A17,#REF!,11,0),0)</f>
        <v>0</v>
      </c>
      <c r="K17" s="96" t="str">
        <f>"07.02.24"</f>
        <v>07.02.24</v>
      </c>
    </row>
    <row r="18" spans="1:11" ht="11.25" customHeight="1" outlineLevel="1">
      <c r="A18" s="89" t="s">
        <v>25</v>
      </c>
      <c r="B18" s="114" t="s">
        <v>12</v>
      </c>
      <c r="C18" s="89" t="s">
        <v>26</v>
      </c>
      <c r="D18" s="89" t="s">
        <v>15</v>
      </c>
      <c r="E18" s="86" t="s">
        <v>27</v>
      </c>
      <c r="F18" s="102" t="n">
        <v>10877</v>
      </c>
      <c r="G18" s="102" t="n">
        <v>12508</v>
      </c>
      <c r="H18" s="103" t="s">
        <v>17</v>
      </c>
      <c r="I18" s="103">
        <f>IFERROR(VLOOKUP(A18,#REF!,15,0),0)+IFERROR(VLOOKUP(A18,#REF!,25,0),0)+IFERROR(VLOOKUP(A18,#REF!,10,0),0)+IFERROR(VLOOKUP(A18,#REF!,14,0),0)+IFERROR(VLOOKUP(A18,#REF!,10,0),0)+IFERROR(VLOOKUP(A18,#REF!,10,0),0)+IFERROR(VLOOKUP(A18,#REF!,10,0),0)+IFERROR(VLOOKUP(A18,#REF!,9,0),0)+IFERROR(VLOOKUP(A18,#REF!,9,0),0)+IFERROR(VLOOKUP(A18,#REF!,9,0),0)+IFERROR(VLOOKUP(A18,#REF!,9,0),0)</f>
        <v>0</v>
      </c>
      <c r="J18" s="104">
        <f>IFERROR(VLOOKUP(A18,#REF!,16,0),0)+IFERROR(VLOOKUP(A18,#REF!,26,0),0)+IFERROR(VLOOKUP(A18,#REF!,11,0),0)+IFERROR(VLOOKUP(A18,#REF!,23,0),0)+IFERROR(VLOOKUP(A18,#REF!,11,0),0)+IFERROR(VLOOKUP(A18,#REF!,11,0),0)+IFERROR(VLOOKUP(A18,#REF!,11,0),0)</f>
        <v>0</v>
      </c>
      <c r="K18" s="96" t="str">
        <f>"07.02.24"</f>
        <v>07.02.24</v>
      </c>
    </row>
    <row r="19" spans="1:11" ht="11.25" customHeight="1" outlineLevel="1">
      <c r="A19" s="89" t="s">
        <v>28</v>
      </c>
      <c r="B19" s="114" t="s">
        <v>12</v>
      </c>
      <c r="C19" s="89" t="s">
        <v>29</v>
      </c>
      <c r="D19" s="89" t="s">
        <v>15</v>
      </c>
      <c r="E19" s="86" t="s">
        <v>30</v>
      </c>
      <c r="F19" s="102" t="n">
        <v>10911</v>
      </c>
      <c r="G19" s="102" t="n">
        <v>12548</v>
      </c>
      <c r="H19" s="103" t="s">
        <v>17</v>
      </c>
      <c r="I19" s="103">
        <f>IFERROR(VLOOKUP(A19,#REF!,15,0),0)+IFERROR(VLOOKUP(A19,#REF!,25,0),0)+IFERROR(VLOOKUP(A19,#REF!,10,0),0)+IFERROR(VLOOKUP(A19,#REF!,14,0),0)+IFERROR(VLOOKUP(A19,#REF!,10,0),0)+IFERROR(VLOOKUP(A19,#REF!,10,0),0)+IFERROR(VLOOKUP(A19,#REF!,10,0),0)+IFERROR(VLOOKUP(A19,#REF!,9,0),0)+IFERROR(VLOOKUP(A19,#REF!,9,0),0)+IFERROR(VLOOKUP(A19,#REF!,9,0),0)+IFERROR(VLOOKUP(A19,#REF!,9,0),0)</f>
        <v>0</v>
      </c>
      <c r="J19" s="104">
        <f>IFERROR(VLOOKUP(A19,#REF!,16,0),0)+IFERROR(VLOOKUP(A19,#REF!,26,0),0)+IFERROR(VLOOKUP(A19,#REF!,11,0),0)+IFERROR(VLOOKUP(A19,#REF!,23,0),0)+IFERROR(VLOOKUP(A19,#REF!,11,0),0)+IFERROR(VLOOKUP(A19,#REF!,11,0),0)+IFERROR(VLOOKUP(A19,#REF!,11,0),0)</f>
        <v>0</v>
      </c>
      <c r="K19" s="96" t="str">
        <f>"07.02.24"</f>
        <v>07.02.24</v>
      </c>
    </row>
    <row r="20" spans="1:11" ht="11.25" customHeight="1" outlineLevel="1">
      <c r="A20" s="89" t="s">
        <v>31</v>
      </c>
      <c r="B20" s="114" t="s">
        <v>12</v>
      </c>
      <c r="C20" s="89" t="s">
        <v>32</v>
      </c>
      <c r="D20" s="89" t="s">
        <v>15</v>
      </c>
      <c r="E20" s="86" t="s">
        <v>33</v>
      </c>
      <c r="F20" s="102" t="n">
        <v>23624</v>
      </c>
      <c r="G20" s="102" t="n">
        <v>27167</v>
      </c>
      <c r="H20" s="103" t="s">
        <v>17</v>
      </c>
      <c r="I20" s="103">
        <f>IFERROR(VLOOKUP(A20,#REF!,15,0),0)+IFERROR(VLOOKUP(A20,#REF!,25,0),0)+IFERROR(VLOOKUP(A20,#REF!,10,0),0)+IFERROR(VLOOKUP(A20,#REF!,14,0),0)+IFERROR(VLOOKUP(A20,#REF!,10,0),0)+IFERROR(VLOOKUP(A20,#REF!,10,0),0)+IFERROR(VLOOKUP(A20,#REF!,10,0),0)+IFERROR(VLOOKUP(A20,#REF!,9,0),0)+IFERROR(VLOOKUP(A20,#REF!,9,0),0)+IFERROR(VLOOKUP(A20,#REF!,9,0),0)+IFERROR(VLOOKUP(A20,#REF!,9,0),0)</f>
        <v>0</v>
      </c>
      <c r="J20" s="104">
        <f>IFERROR(VLOOKUP(A20,#REF!,16,0),0)+IFERROR(VLOOKUP(A20,#REF!,26,0),0)+IFERROR(VLOOKUP(A20,#REF!,11,0),0)+IFERROR(VLOOKUP(A20,#REF!,23,0),0)+IFERROR(VLOOKUP(A20,#REF!,11,0),0)+IFERROR(VLOOKUP(A20,#REF!,11,0),0)+IFERROR(VLOOKUP(A20,#REF!,11,0),0)</f>
        <v>0</v>
      </c>
      <c r="K20" s="96" t="str">
        <f>"07.02.24"</f>
        <v>07.02.24</v>
      </c>
    </row>
    <row r="21" spans="1:11" ht="11.25" customHeight="1" outlineLevel="1">
      <c r="A21" s="89" t="s">
        <v>34</v>
      </c>
      <c r="B21" s="114" t="s">
        <v>12</v>
      </c>
      <c r="C21" s="89" t="s">
        <v>35</v>
      </c>
      <c r="D21" s="89" t="s">
        <v>15</v>
      </c>
      <c r="E21" s="86" t="s">
        <v>36</v>
      </c>
      <c r="F21" s="102" t="n">
        <v>31112</v>
      </c>
      <c r="G21" s="102" t="n">
        <v>35780</v>
      </c>
      <c r="H21" s="103" t="s">
        <v>17</v>
      </c>
      <c r="I21" s="103">
        <f>IFERROR(VLOOKUP(A21,#REF!,15,0),0)+IFERROR(VLOOKUP(A21,#REF!,25,0),0)+IFERROR(VLOOKUP(A21,#REF!,10,0),0)+IFERROR(VLOOKUP(A21,#REF!,14,0),0)+IFERROR(VLOOKUP(A21,#REF!,10,0),0)+IFERROR(VLOOKUP(A21,#REF!,10,0),0)+IFERROR(VLOOKUP(A21,#REF!,10,0),0)+IFERROR(VLOOKUP(A21,#REF!,9,0),0)+IFERROR(VLOOKUP(A21,#REF!,9,0),0)+IFERROR(VLOOKUP(A21,#REF!,9,0),0)+IFERROR(VLOOKUP(A21,#REF!,9,0),0)</f>
        <v>0</v>
      </c>
      <c r="J21" s="104">
        <f>IFERROR(VLOOKUP(A21,#REF!,16,0),0)+IFERROR(VLOOKUP(A21,#REF!,26,0),0)+IFERROR(VLOOKUP(A21,#REF!,11,0),0)+IFERROR(VLOOKUP(A21,#REF!,23,0),0)+IFERROR(VLOOKUP(A21,#REF!,11,0),0)+IFERROR(VLOOKUP(A21,#REF!,11,0),0)+IFERROR(VLOOKUP(A21,#REF!,11,0),0)</f>
        <v>0</v>
      </c>
      <c r="K21" s="96" t="str">
        <f>"07.02.24"</f>
        <v>07.02.24</v>
      </c>
    </row>
    <row r="22" spans="1:11" ht="11.25" customHeight="1" outlineLevel="1">
      <c r="A22" s="89" t="n">
        <v>8889070</v>
      </c>
      <c r="B22" s="114" t="s">
        <v>12</v>
      </c>
      <c r="C22" s="89" t="s">
        <v>37</v>
      </c>
      <c r="D22" s="89" t="s">
        <v>15</v>
      </c>
      <c r="E22" s="86" t="s">
        <v>38</v>
      </c>
      <c r="F22" s="102" t="n">
        <v>21485</v>
      </c>
      <c r="G22" s="102" t="n">
        <v>24708</v>
      </c>
      <c r="H22" s="103" t="s">
        <v>17</v>
      </c>
      <c r="I22" s="103">
        <f>IFERROR(VLOOKUP(A22,#REF!,15,0),0)+IFERROR(VLOOKUP(A22,#REF!,25,0),0)+IFERROR(VLOOKUP(A22,#REF!,10,0),0)+IFERROR(VLOOKUP(A22,#REF!,14,0),0)+IFERROR(VLOOKUP(A22,#REF!,10,0),0)+IFERROR(VLOOKUP(A22,#REF!,10,0),0)+IFERROR(VLOOKUP(A22,#REF!,10,0),0)+IFERROR(VLOOKUP(A22,#REF!,9,0),0)+IFERROR(VLOOKUP(A22,#REF!,9,0),0)+IFERROR(VLOOKUP(A22,#REF!,9,0),0)+IFERROR(VLOOKUP(A22,#REF!,9,0),0)</f>
        <v>0</v>
      </c>
      <c r="J22" s="104">
        <f>IFERROR(VLOOKUP(A22,#REF!,16,0),0)+IFERROR(VLOOKUP(A22,#REF!,26,0),0)+IFERROR(VLOOKUP(A22,#REF!,11,0),0)+IFERROR(VLOOKUP(A22,#REF!,23,0),0)+IFERROR(VLOOKUP(A22,#REF!,11,0),0)+IFERROR(VLOOKUP(A22,#REF!,11,0),0)+IFERROR(VLOOKUP(A22,#REF!,11,0),0)</f>
        <v>0</v>
      </c>
      <c r="K22" s="96" t="str">
        <f>"07.02.24"</f>
        <v>07.02.24</v>
      </c>
    </row>
    <row r="23" spans="1:11" ht="11.25" customHeight="1" outlineLevel="1">
      <c r="A23" s="89" t="n">
        <v>8889060</v>
      </c>
      <c r="B23" s="114" t="s">
        <v>12</v>
      </c>
      <c r="C23" s="89" t="s">
        <v>39</v>
      </c>
      <c r="D23" s="89" t="s">
        <v>15</v>
      </c>
      <c r="E23" s="86" t="s">
        <v>40</v>
      </c>
      <c r="F23" s="102" t="n">
        <v>29298</v>
      </c>
      <c r="G23" s="102" t="n">
        <v>33692</v>
      </c>
      <c r="H23" s="103" t="s">
        <v>17</v>
      </c>
      <c r="I23" s="103">
        <f>IFERROR(VLOOKUP(A23,#REF!,15,0),0)+IFERROR(VLOOKUP(A23,#REF!,25,0),0)+IFERROR(VLOOKUP(A23,#REF!,10,0),0)+IFERROR(VLOOKUP(A23,#REF!,14,0),0)+IFERROR(VLOOKUP(A23,#REF!,10,0),0)+IFERROR(VLOOKUP(A23,#REF!,10,0),0)+IFERROR(VLOOKUP(A23,#REF!,10,0),0)+IFERROR(VLOOKUP(A23,#REF!,9,0),0)+IFERROR(VLOOKUP(A23,#REF!,9,0),0)+IFERROR(VLOOKUP(A23,#REF!,9,0),0)+IFERROR(VLOOKUP(A23,#REF!,9,0),0)</f>
        <v>0</v>
      </c>
      <c r="J23" s="104">
        <f>IFERROR(VLOOKUP(A23,#REF!,16,0),0)+IFERROR(VLOOKUP(A23,#REF!,26,0),0)+IFERROR(VLOOKUP(A23,#REF!,11,0),0)+IFERROR(VLOOKUP(A23,#REF!,23,0),0)+IFERROR(VLOOKUP(A23,#REF!,11,0),0)+IFERROR(VLOOKUP(A23,#REF!,11,0),0)+IFERROR(VLOOKUP(A23,#REF!,11,0),0)</f>
        <v>0</v>
      </c>
      <c r="K23" s="96" t="str">
        <f>"07.02.24"</f>
        <v>07.02.24</v>
      </c>
    </row>
    <row r="24" spans="1:11" ht="11.25" customHeight="1" outlineLevel="1">
      <c r="A24" s="89" t="n">
        <v>8885010</v>
      </c>
      <c r="B24" s="114" t="s">
        <v>12</v>
      </c>
      <c r="C24" s="89" t="s">
        <v>41</v>
      </c>
      <c r="D24" s="89" t="s">
        <v>15</v>
      </c>
      <c r="E24" s="86" t="s">
        <v>42</v>
      </c>
      <c r="F24" s="102" t="n">
        <v>13030</v>
      </c>
      <c r="G24" s="102" t="n">
        <v>14986</v>
      </c>
      <c r="H24" s="103" t="s">
        <v>17</v>
      </c>
      <c r="I24" s="103">
        <f>IFERROR(VLOOKUP(A24,#REF!,15,0),0)+IFERROR(VLOOKUP(A24,#REF!,25,0),0)+IFERROR(VLOOKUP(A24,#REF!,10,0),0)+IFERROR(VLOOKUP(A24,#REF!,14,0),0)+IFERROR(VLOOKUP(A24,#REF!,10,0),0)+IFERROR(VLOOKUP(A24,#REF!,10,0),0)+IFERROR(VLOOKUP(A24,#REF!,10,0),0)+IFERROR(VLOOKUP(A24,#REF!,9,0),0)+IFERROR(VLOOKUP(A24,#REF!,9,0),0)+IFERROR(VLOOKUP(A24,#REF!,9,0),0)+IFERROR(VLOOKUP(A24,#REF!,9,0),0)</f>
        <v>0</v>
      </c>
      <c r="J24" s="104">
        <f>IFERROR(VLOOKUP(A24,#REF!,16,0),0)+IFERROR(VLOOKUP(A24,#REF!,26,0),0)+IFERROR(VLOOKUP(A24,#REF!,11,0),0)+IFERROR(VLOOKUP(A24,#REF!,23,0),0)+IFERROR(VLOOKUP(A24,#REF!,11,0),0)+IFERROR(VLOOKUP(A24,#REF!,11,0),0)+IFERROR(VLOOKUP(A24,#REF!,11,0),0)</f>
        <v>0</v>
      </c>
      <c r="K24" s="96" t="str">
        <f>"07.02.24"</f>
        <v>07.02.24</v>
      </c>
    </row>
    <row r="25" spans="1:11" ht="11.25" customHeight="1" outlineLevel="1">
      <c r="A25" s="89" t="n">
        <v>8885020</v>
      </c>
      <c r="B25" s="114" t="s">
        <v>12</v>
      </c>
      <c r="C25" s="89" t="s">
        <v>43</v>
      </c>
      <c r="D25" s="89" t="s">
        <v>15</v>
      </c>
      <c r="E25" s="86" t="s">
        <v>44</v>
      </c>
      <c r="F25" s="102" t="n">
        <v>14788</v>
      </c>
      <c r="G25" s="102" t="n">
        <v>17007</v>
      </c>
      <c r="H25" s="103" t="s">
        <v>17</v>
      </c>
      <c r="I25" s="103">
        <f>IFERROR(VLOOKUP(A25,#REF!,15,0),0)+IFERROR(VLOOKUP(A25,#REF!,25,0),0)+IFERROR(VLOOKUP(A25,#REF!,10,0),0)+IFERROR(VLOOKUP(A25,#REF!,14,0),0)+IFERROR(VLOOKUP(A25,#REF!,10,0),0)+IFERROR(VLOOKUP(A25,#REF!,10,0),0)+IFERROR(VLOOKUP(A25,#REF!,10,0),0)+IFERROR(VLOOKUP(A25,#REF!,9,0),0)+IFERROR(VLOOKUP(A25,#REF!,9,0),0)+IFERROR(VLOOKUP(A25,#REF!,9,0),0)+IFERROR(VLOOKUP(A25,#REF!,9,0),0)</f>
        <v>0</v>
      </c>
      <c r="J25" s="104">
        <f>IFERROR(VLOOKUP(A25,#REF!,16,0),0)+IFERROR(VLOOKUP(A25,#REF!,26,0),0)+IFERROR(VLOOKUP(A25,#REF!,11,0),0)+IFERROR(VLOOKUP(A25,#REF!,23,0),0)+IFERROR(VLOOKUP(A25,#REF!,11,0),0)+IFERROR(VLOOKUP(A25,#REF!,11,0),0)+IFERROR(VLOOKUP(A25,#REF!,11,0),0)</f>
        <v>0</v>
      </c>
      <c r="K25" s="96" t="str">
        <f>"07.02.24"</f>
        <v>07.02.24</v>
      </c>
    </row>
    <row r="26" spans="1:11" ht="11.25" customHeight="1" outlineLevel="1">
      <c r="A26" s="88" t="s">
        <v>45</v>
      </c>
      <c r="B26" s="115"/>
      <c r="C26" s="88"/>
      <c r="D26" s="88"/>
      <c r="E26" s="88"/>
      <c r="F26" s="105"/>
      <c r="G26" s="105"/>
      <c r="H26" s="106"/>
      <c r="I26" s="106"/>
      <c r="J26" s="107"/>
      <c r="K26" s="96" t="str">
        <f>"07.02.24"</f>
        <v>07.02.24</v>
      </c>
    </row>
    <row r="27" spans="1:11" ht="11.25" customHeight="1" outlineLevel="1">
      <c r="A27" s="89" t="n">
        <v>8087900</v>
      </c>
      <c r="B27" s="114" t="s">
        <v>12</v>
      </c>
      <c r="C27" s="89" t="s">
        <v>46</v>
      </c>
      <c r="D27" s="89" t="s">
        <v>15</v>
      </c>
      <c r="E27" s="89" t="s">
        <v>47</v>
      </c>
      <c r="F27" s="102" t="n">
        <v>32743</v>
      </c>
      <c r="G27" s="102" t="n">
        <v>37000</v>
      </c>
      <c r="H27" s="103" t="s">
        <v>48</v>
      </c>
      <c r="I27" s="103">
        <f>IFERROR(VLOOKUP(A27,#REF!,15,0),0)+IFERROR(VLOOKUP(A27,#REF!,25,0),0)+IFERROR(VLOOKUP(A27,#REF!,10,0),0)+IFERROR(VLOOKUP(A27,#REF!,14,0),0)+IFERROR(VLOOKUP(A27,#REF!,10,0),0)+IFERROR(VLOOKUP(A27,#REF!,10,0),0)+IFERROR(VLOOKUP(A27,#REF!,10,0),0)+IFERROR(VLOOKUP(A27,#REF!,9,0),0)+IFERROR(VLOOKUP(A27,#REF!,9,0),0)+IFERROR(VLOOKUP(A27,#REF!,9,0),0)+IFERROR(VLOOKUP(A27,#REF!,9,0),0)</f>
        <v>0</v>
      </c>
      <c r="J27" s="104">
        <f>IFERROR(VLOOKUP(A27,#REF!,16,0),0)+IFERROR(VLOOKUP(A27,#REF!,26,0),0)+IFERROR(VLOOKUP(A27,#REF!,11,0),0)+IFERROR(VLOOKUP(A27,#REF!,23,0),0)+IFERROR(VLOOKUP(A27,#REF!,11,0),0)+IFERROR(VLOOKUP(A27,#REF!,11,0),0)+IFERROR(VLOOKUP(A27,#REF!,11,0),0)</f>
        <v>0</v>
      </c>
      <c r="K27" s="96" t="str">
        <f>"07.02.24"</f>
        <v>07.02.24</v>
      </c>
    </row>
    <row r="28" spans="1:11" ht="11.25" customHeight="1" outlineLevel="1">
      <c r="A28" s="89" t="n">
        <v>8087910</v>
      </c>
      <c r="B28" s="114" t="s">
        <v>12</v>
      </c>
      <c r="C28" s="89" t="s">
        <v>49</v>
      </c>
      <c r="D28" s="89" t="s">
        <v>15</v>
      </c>
      <c r="E28" s="89" t="s">
        <v>50</v>
      </c>
      <c r="F28" s="102" t="n">
        <v>38001</v>
      </c>
      <c r="G28" s="102" t="n">
        <v>42560</v>
      </c>
      <c r="H28" s="103" t="s">
        <v>48</v>
      </c>
      <c r="I28" s="103">
        <f>IFERROR(VLOOKUP(A28,#REF!,15,0),0)+IFERROR(VLOOKUP(A28,#REF!,25,0),0)+IFERROR(VLOOKUP(A28,#REF!,10,0),0)+IFERROR(VLOOKUP(A28,#REF!,14,0),0)+IFERROR(VLOOKUP(A28,#REF!,10,0),0)+IFERROR(VLOOKUP(A28,#REF!,10,0),0)+IFERROR(VLOOKUP(A28,#REF!,10,0),0)+IFERROR(VLOOKUP(A28,#REF!,9,0),0)+IFERROR(VLOOKUP(A28,#REF!,9,0),0)+IFERROR(VLOOKUP(A28,#REF!,9,0),0)+IFERROR(VLOOKUP(A28,#REF!,9,0),0)</f>
        <v>0</v>
      </c>
      <c r="J28" s="104">
        <f>IFERROR(VLOOKUP(A28,#REF!,16,0),0)+IFERROR(VLOOKUP(A28,#REF!,26,0),0)+IFERROR(VLOOKUP(A28,#REF!,11,0),0)+IFERROR(VLOOKUP(A28,#REF!,23,0),0)+IFERROR(VLOOKUP(A28,#REF!,11,0),0)+IFERROR(VLOOKUP(A28,#REF!,11,0),0)+IFERROR(VLOOKUP(A28,#REF!,11,0),0)</f>
        <v>0</v>
      </c>
      <c r="K28" s="96" t="str">
        <f>"07.02.24"</f>
        <v>07.02.24</v>
      </c>
    </row>
    <row r="29" spans="1:11" ht="11.25" customHeight="1" outlineLevel="1">
      <c r="A29" s="89" t="n">
        <v>8889040</v>
      </c>
      <c r="B29" s="114" t="s">
        <v>12</v>
      </c>
      <c r="C29" s="89" t="s">
        <v>51</v>
      </c>
      <c r="D29" s="89" t="s">
        <v>15</v>
      </c>
      <c r="E29" s="89" t="s">
        <v>52</v>
      </c>
      <c r="F29" s="102" t="n">
        <v>42606</v>
      </c>
      <c r="G29" s="102" t="n">
        <v>46866</v>
      </c>
      <c r="H29" s="103" t="s">
        <v>17</v>
      </c>
      <c r="I29" s="103">
        <f>IFERROR(VLOOKUP(A29,#REF!,15,0),0)+IFERROR(VLOOKUP(A29,#REF!,25,0),0)+IFERROR(VLOOKUP(A29,#REF!,10,0),0)+IFERROR(VLOOKUP(A29,#REF!,14,0),0)+IFERROR(VLOOKUP(A29,#REF!,10,0),0)+IFERROR(VLOOKUP(A29,#REF!,10,0),0)+IFERROR(VLOOKUP(A29,#REF!,10,0),0)+IFERROR(VLOOKUP(A29,#REF!,9,0),0)+IFERROR(VLOOKUP(A29,#REF!,9,0),0)+IFERROR(VLOOKUP(A29,#REF!,9,0),0)+IFERROR(VLOOKUP(A29,#REF!,9,0),0)</f>
        <v>0</v>
      </c>
      <c r="J29" s="104">
        <f>IFERROR(VLOOKUP(A29,#REF!,16,0),0)+IFERROR(VLOOKUP(A29,#REF!,26,0),0)+IFERROR(VLOOKUP(A29,#REF!,11,0),0)+IFERROR(VLOOKUP(A29,#REF!,23,0),0)+IFERROR(VLOOKUP(A29,#REF!,11,0),0)+IFERROR(VLOOKUP(A29,#REF!,11,0),0)+IFERROR(VLOOKUP(A29,#REF!,11,0),0)</f>
        <v>0</v>
      </c>
      <c r="K29" s="96" t="str">
        <f>"07.02.24"</f>
        <v>07.02.24</v>
      </c>
    </row>
    <row r="30" spans="1:11" ht="11.25" customHeight="1" outlineLevel="1">
      <c r="A30" s="88" t="s">
        <v>53</v>
      </c>
      <c r="B30" s="115"/>
      <c r="C30" s="88"/>
      <c r="D30" s="88"/>
      <c r="E30" s="88"/>
      <c r="F30" s="105"/>
      <c r="G30" s="105"/>
      <c r="H30" s="105"/>
      <c r="I30" s="106"/>
      <c r="J30" s="107"/>
      <c r="K30" s="96" t="str">
        <f>"07.02.24"</f>
        <v>07.02.24</v>
      </c>
    </row>
    <row r="31" spans="1:11" ht="11.25" customHeight="1" outlineLevel="1">
      <c r="A31" s="89" t="n">
        <v>8889050</v>
      </c>
      <c r="B31" s="89" t="s">
        <v>12</v>
      </c>
      <c r="C31" s="89" t="s">
        <v>54</v>
      </c>
      <c r="D31" s="89" t="s">
        <v>15</v>
      </c>
      <c r="E31" s="89" t="s">
        <v>55</v>
      </c>
      <c r="F31" s="102" t="n">
        <v>36117</v>
      </c>
      <c r="G31" s="102" t="n">
        <v>41536</v>
      </c>
      <c r="H31" s="103" t="s">
        <v>48</v>
      </c>
      <c r="I31" s="103">
        <f>IFERROR(VLOOKUP(A31,'[1]Компрессоры'!A:O,15,0),0)+IFERROR(VLOOKUP(A31,'[1]Пневматика'!B:W,25,0),0)+IFERROR(VLOOKUP(A31,'[1]Масло'!A:J,10,0),0)+IFERROR(VLOOKUP(A31,#REF!,14,0),0)+IFERROR(VLOOKUP(A31,'[1]Атака'!A:K,10,0),0)+IFERROR(VLOOKUP(A31,'[1]Тепловое оборудование'!A:K,10,0),0)+IFERROR(VLOOKUP(A31,'[1]Профмаш'!A:K,10,0),0)+IFERROR(VLOOKUP(A31,#REF!,9,0),0)+IFERROR(VLOOKUP(A31,#REF!,9,0),0)+IFERROR(VLOOKUP(A31,#REF!,9,0),0)+IFERROR(VLOOKUP(A31,#REF!,9,0),0)</f>
        <v>0</v>
      </c>
      <c r="J31" s="104">
        <f>IFERROR(VLOOKUP(A31,'[1]Компрессоры'!A:O,16,0),0)+IFERROR(VLOOKUP(A31,'[1]Пневматика'!B:X,26,0),0)+IFERROR(VLOOKUP(A31,'[1]Масло'!A:J,11,0),0)+IFERROR(VLOOKUP(A31,'[1]Пневматика'!B:X,23,0),0)+IFERROR(VLOOKUP(A31,'[1]Атака'!A:K,11,0),0)+IFERROR(VLOOKUP(A31,'[1]Тепловое оборудование'!A:K,11,0),0)+IFERROR(VLOOKUP(A31,'[1]Профмаш'!A:K,11,0),0)</f>
        <v>0</v>
      </c>
      <c r="K31" s="96" t="str">
        <f>"07.02.24"</f>
        <v>07.02.24</v>
      </c>
    </row>
    <row r="32" spans="1:11" ht="11.25" customHeight="1" outlineLevel="1">
      <c r="A32" s="89" t="n">
        <v>8885000</v>
      </c>
      <c r="B32" s="114" t="s">
        <v>12</v>
      </c>
      <c r="C32" s="89" t="s">
        <v>56</v>
      </c>
      <c r="D32" s="89" t="s">
        <v>15</v>
      </c>
      <c r="E32" s="89" t="s">
        <v>57</v>
      </c>
      <c r="F32" s="102" t="n">
        <v>11100</v>
      </c>
      <c r="G32" s="102" t="n">
        <v>12765</v>
      </c>
      <c r="H32" s="103" t="s">
        <v>17</v>
      </c>
      <c r="I32" s="103">
        <f>IFERROR(VLOOKUP(A32,#REF!,15,0),0)+IFERROR(VLOOKUP(A32,#REF!,25,0),0)+IFERROR(VLOOKUP(A32,#REF!,10,0),0)+IFERROR(VLOOKUP(A32,#REF!,14,0),0)+IFERROR(VLOOKUP(A32,#REF!,10,0),0)+IFERROR(VLOOKUP(A32,#REF!,10,0),0)+IFERROR(VLOOKUP(A32,#REF!,10,0),0)+IFERROR(VLOOKUP(A32,#REF!,9,0),0)+IFERROR(VLOOKUP(A32,#REF!,9,0),0)+IFERROR(VLOOKUP(A32,#REF!,9,0),0)+IFERROR(VLOOKUP(A32,#REF!,9,0),0)</f>
        <v>0</v>
      </c>
      <c r="J32" s="104">
        <f>IFERROR(VLOOKUP(A32,#REF!,16,0),0)+IFERROR(VLOOKUP(A32,#REF!,26,0),0)+IFERROR(VLOOKUP(A32,#REF!,11,0),0)+IFERROR(VLOOKUP(A32,#REF!,23,0),0)+IFERROR(VLOOKUP(A32,#REF!,11,0),0)+IFERROR(VLOOKUP(A32,#REF!,11,0),0)+IFERROR(VLOOKUP(A32,#REF!,11,0),0)</f>
        <v>0</v>
      </c>
      <c r="K32" s="96" t="str">
        <f>"07.02.24"</f>
        <v>07.02.24</v>
      </c>
    </row>
    <row r="33" spans="1:11" ht="11.25" customHeight="1">
      <c r="A33" s="97" t="s">
        <v>58</v>
      </c>
      <c r="B33" s="98"/>
      <c r="C33" s="98"/>
      <c r="D33" s="98"/>
      <c r="E33" s="98"/>
      <c r="F33" s="99"/>
      <c r="G33" s="99"/>
      <c r="H33" s="100"/>
      <c r="I33" s="100"/>
      <c r="J33" s="108"/>
      <c r="K33" s="96" t="str">
        <f>"07.02.24"</f>
        <v>07.02.24</v>
      </c>
    </row>
    <row r="34" spans="1:11" ht="11.25" customHeight="1" outlineLevel="1">
      <c r="A34" s="117" t="s">
        <v>59</v>
      </c>
      <c r="B34" s="118" t="s">
        <v>58</v>
      </c>
      <c r="C34" s="118" t="s">
        <v>60</v>
      </c>
      <c r="D34" s="118"/>
      <c r="E34" s="118"/>
      <c r="F34" s="133" t="n">
        <v>1530</v>
      </c>
      <c r="G34" s="133" t="n">
        <v>2999</v>
      </c>
      <c r="H34" s="119" t="s">
        <v>48</v>
      </c>
      <c r="I34" s="120">
        <f>IFERROR(VLOOKUP(A34,#REF!,15,0),0)+IFERROR(VLOOKUP(A34,#REF!,25,0),0)+IFERROR(VLOOKUP(A34,#REF!,10,0),0)+IFERROR(VLOOKUP(A34,#REF!,14,0),0)+IFERROR(VLOOKUP(A34,#REF!,10,0),0)+IFERROR(VLOOKUP(A34,#REF!,10,0),0)+IFERROR(VLOOKUP(A34,#REF!,10,0),0)+IFERROR(VLOOKUP(A34,#REF!,9,0),0)+IFERROR(VLOOKUP(A34,#REF!,9,0),0)+IFERROR(VLOOKUP(A34,#REF!,9,0),0)+IFERROR(VLOOKUP(A34,#REF!,9,0),0)</f>
        <v>0</v>
      </c>
      <c r="J34" s="125">
        <f>IFERROR(VLOOKUP(A34,#REF!,16,0),0)+IFERROR(VLOOKUP(A34,#REF!,26,0),0)+IFERROR(VLOOKUP(A34,#REF!,11,0),0)+IFERROR(VLOOKUP(A34,#REF!,23,0),0)+IFERROR(VLOOKUP(A34,#REF!,11,0),0)+IFERROR(VLOOKUP(A34,#REF!,11,0),0)+IFERROR(VLOOKUP(A34,#REF!,11,0),0)</f>
        <v>0</v>
      </c>
      <c r="K34" s="96" t="str">
        <f>"07.02.24"</f>
        <v>07.02.24</v>
      </c>
    </row>
    <row r="35" spans="1:11" ht="11.25" customHeight="1" outlineLevel="1">
      <c r="A35" s="88" t="s">
        <v>61</v>
      </c>
      <c r="B35" s="115"/>
      <c r="C35" s="88"/>
      <c r="D35" s="88"/>
      <c r="E35" s="88"/>
      <c r="F35" s="105"/>
      <c r="G35" s="105"/>
      <c r="H35" s="106"/>
      <c r="I35" s="106"/>
      <c r="J35" s="107"/>
      <c r="K35" s="96" t="str">
        <f>"07.02.24"</f>
        <v>07.02.24</v>
      </c>
    </row>
    <row r="36" spans="1:11" ht="11.25" customHeight="1" outlineLevel="1">
      <c r="A36" s="89" t="s">
        <v>62</v>
      </c>
      <c r="B36" s="114" t="s">
        <v>58</v>
      </c>
      <c r="C36" s="89" t="s">
        <v>63</v>
      </c>
      <c r="D36" s="89" t="s">
        <v>15</v>
      </c>
      <c r="E36" s="89"/>
      <c r="F36" s="102" t="n">
        <v>32124</v>
      </c>
      <c r="G36" s="102" t="n">
        <v>37906</v>
      </c>
      <c r="H36" s="103" t="s">
        <v>17</v>
      </c>
      <c r="I36" s="103">
        <f>IFERROR(VLOOKUP(A36,#REF!,15,0),0)+IFERROR(VLOOKUP(A36,#REF!,25,0),0)+IFERROR(VLOOKUP(A36,#REF!,10,0),0)+IFERROR(VLOOKUP(A36,#REF!,14,0),0)+IFERROR(VLOOKUP(A36,#REF!,10,0),0)+IFERROR(VLOOKUP(A36,#REF!,10,0),0)+IFERROR(VLOOKUP(A36,#REF!,10,0),0)+IFERROR(VLOOKUP(A36,#REF!,9,0),0)+IFERROR(VLOOKUP(A36,#REF!,9,0),0)+IFERROR(VLOOKUP(A36,#REF!,9,0),0)+IFERROR(VLOOKUP(A36,#REF!,9,0),0)</f>
        <v>0</v>
      </c>
      <c r="J36" s="104">
        <f>IFERROR(VLOOKUP(A36,#REF!,16,0),0)+IFERROR(VLOOKUP(A36,#REF!,26,0),0)+IFERROR(VLOOKUP(A36,#REF!,11,0),0)+IFERROR(VLOOKUP(A36,#REF!,23,0),0)+IFERROR(VLOOKUP(A36,#REF!,11,0),0)+IFERROR(VLOOKUP(A36,#REF!,11,0),0)+IFERROR(VLOOKUP(A36,#REF!,11,0),0)</f>
        <v>0</v>
      </c>
      <c r="K36" s="96" t="str">
        <f>"07.02.24"</f>
        <v>07.02.24</v>
      </c>
    </row>
    <row r="37" spans="1:11" ht="11.25" customHeight="1" outlineLevel="1">
      <c r="A37" s="89" t="s">
        <v>64</v>
      </c>
      <c r="B37" s="114" t="s">
        <v>58</v>
      </c>
      <c r="C37" s="89" t="s">
        <v>65</v>
      </c>
      <c r="D37" s="89" t="s">
        <v>15</v>
      </c>
      <c r="E37" s="89"/>
      <c r="F37" s="102" t="n">
        <v>36666</v>
      </c>
      <c r="G37" s="102" t="n">
        <v>43266</v>
      </c>
      <c r="H37" s="103" t="s">
        <v>17</v>
      </c>
      <c r="I37" s="103">
        <f>IFERROR(VLOOKUP(A37,#REF!,15,0),0)+IFERROR(VLOOKUP(A37,#REF!,25,0),0)+IFERROR(VLOOKUP(A37,#REF!,10,0),0)+IFERROR(VLOOKUP(A37,#REF!,14,0),0)+IFERROR(VLOOKUP(A37,#REF!,10,0),0)+IFERROR(VLOOKUP(A37,#REF!,10,0),0)+IFERROR(VLOOKUP(A37,#REF!,10,0),0)+IFERROR(VLOOKUP(A37,#REF!,9,0),0)+IFERROR(VLOOKUP(A37,#REF!,9,0),0)+IFERROR(VLOOKUP(A37,#REF!,9,0),0)+IFERROR(VLOOKUP(A37,#REF!,9,0),0)</f>
        <v>0</v>
      </c>
      <c r="J37" s="104">
        <f>IFERROR(VLOOKUP(A37,#REF!,16,0),0)+IFERROR(VLOOKUP(A37,#REF!,26,0),0)+IFERROR(VLOOKUP(A37,#REF!,11,0),0)+IFERROR(VLOOKUP(A37,#REF!,23,0),0)+IFERROR(VLOOKUP(A37,#REF!,11,0),0)+IFERROR(VLOOKUP(A37,#REF!,11,0),0)+IFERROR(VLOOKUP(A37,#REF!,11,0),0)</f>
        <v>0</v>
      </c>
      <c r="K37" s="96" t="str">
        <f>"07.02.24"</f>
        <v>07.02.24</v>
      </c>
    </row>
    <row r="38" spans="1:11" ht="11.25" customHeight="1" outlineLevel="1">
      <c r="A38" s="89" t="s">
        <v>66</v>
      </c>
      <c r="B38" s="114" t="s">
        <v>58</v>
      </c>
      <c r="C38" s="89" t="s">
        <v>67</v>
      </c>
      <c r="D38" s="89" t="s">
        <v>15</v>
      </c>
      <c r="E38" s="89"/>
      <c r="F38" s="102" t="n">
        <v>45970</v>
      </c>
      <c r="G38" s="102" t="n">
        <v>54245</v>
      </c>
      <c r="H38" s="103" t="s">
        <v>17</v>
      </c>
      <c r="I38" s="103">
        <f>IFERROR(VLOOKUP(A38,#REF!,15,0),0)+IFERROR(VLOOKUP(A38,#REF!,25,0),0)+IFERROR(VLOOKUP(A38,#REF!,10,0),0)+IFERROR(VLOOKUP(A38,#REF!,14,0),0)+IFERROR(VLOOKUP(A38,#REF!,10,0),0)+IFERROR(VLOOKUP(A38,#REF!,10,0),0)+IFERROR(VLOOKUP(A38,#REF!,10,0),0)+IFERROR(VLOOKUP(A38,#REF!,9,0),0)+IFERROR(VLOOKUP(A38,#REF!,9,0),0)+IFERROR(VLOOKUP(A38,#REF!,9,0),0)+IFERROR(VLOOKUP(A38,#REF!,9,0),0)</f>
        <v>0</v>
      </c>
      <c r="J38" s="104">
        <f>IFERROR(VLOOKUP(A38,#REF!,16,0),0)+IFERROR(VLOOKUP(A38,#REF!,26,0),0)+IFERROR(VLOOKUP(A38,#REF!,11,0),0)+IFERROR(VLOOKUP(A38,#REF!,23,0),0)+IFERROR(VLOOKUP(A38,#REF!,11,0),0)+IFERROR(VLOOKUP(A38,#REF!,11,0),0)+IFERROR(VLOOKUP(A38,#REF!,11,0),0)</f>
        <v>0</v>
      </c>
      <c r="K38" s="96" t="str">
        <f>"07.02.24"</f>
        <v>07.02.24</v>
      </c>
    </row>
    <row r="39" spans="1:11" ht="11.25" customHeight="1" outlineLevel="1">
      <c r="A39" s="89" t="n">
        <v>4150470</v>
      </c>
      <c r="B39" s="114" t="s">
        <v>58</v>
      </c>
      <c r="C39" s="89" t="s">
        <v>68</v>
      </c>
      <c r="D39" s="89" t="s">
        <v>15</v>
      </c>
      <c r="E39" s="89" t="s">
        <v>69</v>
      </c>
      <c r="F39" s="102" t="n">
        <v>26807</v>
      </c>
      <c r="G39" s="102" t="n">
        <v>30828</v>
      </c>
      <c r="H39" s="103" t="s">
        <v>17</v>
      </c>
      <c r="I39" s="103">
        <f>IFERROR(VLOOKUP(A39,#REF!,15,0),0)+IFERROR(VLOOKUP(A39,#REF!,25,0),0)+IFERROR(VLOOKUP(A39,#REF!,10,0),0)+IFERROR(VLOOKUP(A39,#REF!,14,0),0)+IFERROR(VLOOKUP(A39,#REF!,10,0),0)+IFERROR(VLOOKUP(A39,#REF!,10,0),0)+IFERROR(VLOOKUP(A39,#REF!,10,0),0)+IFERROR(VLOOKUP(A39,#REF!,9,0),0)+IFERROR(VLOOKUP(A39,#REF!,9,0),0)+IFERROR(VLOOKUP(A39,#REF!,9,0),0)+IFERROR(VLOOKUP(A39,#REF!,9,0),0)</f>
        <v>0</v>
      </c>
      <c r="J39" s="104">
        <f>IFERROR(VLOOKUP(A39,#REF!,16,0),0)+IFERROR(VLOOKUP(A39,#REF!,26,0),0)+IFERROR(VLOOKUP(A39,#REF!,11,0),0)+IFERROR(VLOOKUP(A39,#REF!,23,0),0)+IFERROR(VLOOKUP(A39,#REF!,11,0),0)+IFERROR(VLOOKUP(A39,#REF!,11,0),0)+IFERROR(VLOOKUP(A39,#REF!,11,0),0)</f>
        <v>0</v>
      </c>
      <c r="K39" s="96" t="str">
        <f>"07.02.24"</f>
        <v>07.02.24</v>
      </c>
    </row>
    <row r="40" spans="1:11" ht="11.25" customHeight="1" outlineLevel="1">
      <c r="A40" s="89" t="n">
        <v>4150620</v>
      </c>
      <c r="B40" s="114" t="s">
        <v>58</v>
      </c>
      <c r="C40" s="89" t="s">
        <v>70</v>
      </c>
      <c r="D40" s="89" t="s">
        <v>15</v>
      </c>
      <c r="E40" s="89" t="s">
        <v>71</v>
      </c>
      <c r="F40" s="102" t="n">
        <v>28911</v>
      </c>
      <c r="G40" s="102" t="n">
        <v>33248</v>
      </c>
      <c r="H40" s="103" t="s">
        <v>17</v>
      </c>
      <c r="I40" s="103">
        <f>IFERROR(VLOOKUP(A40,#REF!,15,0),0)+IFERROR(VLOOKUP(A40,#REF!,25,0),0)+IFERROR(VLOOKUP(A40,#REF!,10,0),0)+IFERROR(VLOOKUP(A40,#REF!,14,0),0)+IFERROR(VLOOKUP(A40,#REF!,10,0),0)+IFERROR(VLOOKUP(A40,#REF!,10,0),0)+IFERROR(VLOOKUP(A40,#REF!,10,0),0)+IFERROR(VLOOKUP(A40,#REF!,9,0),0)+IFERROR(VLOOKUP(A40,#REF!,9,0),0)+IFERROR(VLOOKUP(A40,#REF!,9,0),0)+IFERROR(VLOOKUP(A40,#REF!,9,0),0)</f>
        <v>0</v>
      </c>
      <c r="J40" s="104">
        <f>IFERROR(VLOOKUP(A40,#REF!,16,0),0)+IFERROR(VLOOKUP(A40,#REF!,26,0),0)+IFERROR(VLOOKUP(A40,#REF!,11,0),0)+IFERROR(VLOOKUP(A40,#REF!,23,0),0)+IFERROR(VLOOKUP(A40,#REF!,11,0),0)+IFERROR(VLOOKUP(A40,#REF!,11,0),0)+IFERROR(VLOOKUP(A40,#REF!,11,0),0)</f>
        <v>0</v>
      </c>
      <c r="K40" s="96" t="str">
        <f>"07.02.24"</f>
        <v>07.02.24</v>
      </c>
    </row>
    <row r="41" spans="1:11" ht="11.25" customHeight="1" outlineLevel="1">
      <c r="A41" s="89" t="n">
        <v>1529730</v>
      </c>
      <c r="B41" s="114" t="s">
        <v>58</v>
      </c>
      <c r="C41" s="89" t="s">
        <v>72</v>
      </c>
      <c r="D41" s="89" t="s">
        <v>15</v>
      </c>
      <c r="E41" s="89" t="s">
        <v>73</v>
      </c>
      <c r="F41" s="102" t="n">
        <v>30462</v>
      </c>
      <c r="G41" s="102" t="n">
        <v>35946</v>
      </c>
      <c r="H41" s="103" t="s">
        <v>48</v>
      </c>
      <c r="I41" s="103">
        <f>IFERROR(VLOOKUP(A41,#REF!,15,0),0)+IFERROR(VLOOKUP(A41,#REF!,25,0),0)+IFERROR(VLOOKUP(A41,#REF!,10,0),0)+IFERROR(VLOOKUP(A41,#REF!,14,0),0)+IFERROR(VLOOKUP(A41,#REF!,10,0),0)+IFERROR(VLOOKUP(A41,#REF!,10,0),0)+IFERROR(VLOOKUP(A41,#REF!,10,0),0)+IFERROR(VLOOKUP(A41,#REF!,9,0),0)+IFERROR(VLOOKUP(A41,#REF!,9,0),0)+IFERROR(VLOOKUP(A41,#REF!,9,0),0)+IFERROR(VLOOKUP(A41,#REF!,9,0),0)</f>
        <v>0</v>
      </c>
      <c r="J41" s="104">
        <f>IFERROR(VLOOKUP(A41,#REF!,16,0),0)+IFERROR(VLOOKUP(A41,#REF!,26,0),0)+IFERROR(VLOOKUP(A41,#REF!,11,0),0)+IFERROR(VLOOKUP(A41,#REF!,23,0),0)+IFERROR(VLOOKUP(A41,#REF!,11,0),0)+IFERROR(VLOOKUP(A41,#REF!,11,0),0)+IFERROR(VLOOKUP(A41,#REF!,11,0),0)</f>
        <v>0</v>
      </c>
      <c r="K41" s="96" t="str">
        <f>"07.02.24"</f>
        <v>07.02.24</v>
      </c>
    </row>
    <row r="42" spans="1:11" ht="11.25" customHeight="1" outlineLevel="1">
      <c r="A42" s="89" t="n">
        <v>1529740</v>
      </c>
      <c r="B42" s="114" t="s">
        <v>58</v>
      </c>
      <c r="C42" s="89" t="s">
        <v>74</v>
      </c>
      <c r="D42" s="89" t="s">
        <v>15</v>
      </c>
      <c r="E42" s="89" t="s">
        <v>75</v>
      </c>
      <c r="F42" s="102" t="n">
        <v>31902</v>
      </c>
      <c r="G42" s="102" t="n">
        <v>37645</v>
      </c>
      <c r="H42" s="103" t="s">
        <v>48</v>
      </c>
      <c r="I42" s="103">
        <f>IFERROR(VLOOKUP(A42,#REF!,15,0),0)+IFERROR(VLOOKUP(A42,#REF!,25,0),0)+IFERROR(VLOOKUP(A42,#REF!,10,0),0)+IFERROR(VLOOKUP(A42,#REF!,14,0),0)+IFERROR(VLOOKUP(A42,#REF!,10,0),0)+IFERROR(VLOOKUP(A42,#REF!,10,0),0)+IFERROR(VLOOKUP(A42,#REF!,10,0),0)+IFERROR(VLOOKUP(A42,#REF!,9,0),0)+IFERROR(VLOOKUP(A42,#REF!,9,0),0)+IFERROR(VLOOKUP(A42,#REF!,9,0),0)+IFERROR(VLOOKUP(A42,#REF!,9,0),0)</f>
        <v>0</v>
      </c>
      <c r="J42" s="104">
        <f>IFERROR(VLOOKUP(A42,#REF!,16,0),0)+IFERROR(VLOOKUP(A42,#REF!,26,0),0)+IFERROR(VLOOKUP(A42,#REF!,11,0),0)+IFERROR(VLOOKUP(A42,#REF!,23,0),0)+IFERROR(VLOOKUP(A42,#REF!,11,0),0)+IFERROR(VLOOKUP(A42,#REF!,11,0),0)+IFERROR(VLOOKUP(A42,#REF!,11,0),0)</f>
        <v>0</v>
      </c>
      <c r="K42" s="96" t="str">
        <f>"07.02.24"</f>
        <v>07.02.24</v>
      </c>
    </row>
    <row r="43" spans="1:11" ht="11.25" customHeight="1" outlineLevel="1">
      <c r="A43" s="89" t="n">
        <v>1523410</v>
      </c>
      <c r="B43" s="114" t="s">
        <v>58</v>
      </c>
      <c r="C43" s="89" t="s">
        <v>76</v>
      </c>
      <c r="D43" s="89" t="s">
        <v>15</v>
      </c>
      <c r="E43" s="89" t="s">
        <v>77</v>
      </c>
      <c r="F43" s="102" t="n">
        <v>40210</v>
      </c>
      <c r="G43" s="102" t="n">
        <v>47448</v>
      </c>
      <c r="H43" s="103" t="s">
        <v>48</v>
      </c>
      <c r="I43" s="103">
        <f>IFERROR(VLOOKUP(A43,#REF!,15,0),0)+IFERROR(VLOOKUP(A43,#REF!,25,0),0)+IFERROR(VLOOKUP(A43,#REF!,10,0),0)+IFERROR(VLOOKUP(A43,#REF!,14,0),0)+IFERROR(VLOOKUP(A43,#REF!,10,0),0)+IFERROR(VLOOKUP(A43,#REF!,10,0),0)+IFERROR(VLOOKUP(A43,#REF!,10,0),0)+IFERROR(VLOOKUP(A43,#REF!,9,0),0)+IFERROR(VLOOKUP(A43,#REF!,9,0),0)+IFERROR(VLOOKUP(A43,#REF!,9,0),0)+IFERROR(VLOOKUP(A43,#REF!,9,0),0)</f>
        <v>0</v>
      </c>
      <c r="J43" s="104">
        <f>IFERROR(VLOOKUP(A43,#REF!,16,0),0)+IFERROR(VLOOKUP(A43,#REF!,26,0),0)+IFERROR(VLOOKUP(A43,#REF!,11,0),0)+IFERROR(VLOOKUP(A43,#REF!,23,0),0)+IFERROR(VLOOKUP(A43,#REF!,11,0),0)+IFERROR(VLOOKUP(A43,#REF!,11,0),0)+IFERROR(VLOOKUP(A43,#REF!,11,0),0)</f>
        <v>0</v>
      </c>
      <c r="K43" s="96" t="str">
        <f>"07.02.24"</f>
        <v>07.02.24</v>
      </c>
    </row>
    <row r="44" spans="1:11" ht="11.25" customHeight="1" outlineLevel="1">
      <c r="A44" s="89" t="n">
        <v>1523420</v>
      </c>
      <c r="B44" s="114" t="s">
        <v>58</v>
      </c>
      <c r="C44" s="89" t="s">
        <v>78</v>
      </c>
      <c r="D44" s="89" t="s">
        <v>15</v>
      </c>
      <c r="E44" s="89" t="s">
        <v>79</v>
      </c>
      <c r="F44" s="102" t="n">
        <v>42647</v>
      </c>
      <c r="G44" s="102" t="n">
        <v>50324</v>
      </c>
      <c r="H44" s="103" t="s">
        <v>48</v>
      </c>
      <c r="I44" s="103">
        <f>IFERROR(VLOOKUP(A44,#REF!,15,0),0)+IFERROR(VLOOKUP(A44,#REF!,25,0),0)+IFERROR(VLOOKUP(A44,#REF!,10,0),0)+IFERROR(VLOOKUP(A44,#REF!,14,0),0)+IFERROR(VLOOKUP(A44,#REF!,10,0),0)+IFERROR(VLOOKUP(A44,#REF!,10,0),0)+IFERROR(VLOOKUP(A44,#REF!,10,0),0)+IFERROR(VLOOKUP(A44,#REF!,9,0),0)+IFERROR(VLOOKUP(A44,#REF!,9,0),0)+IFERROR(VLOOKUP(A44,#REF!,9,0),0)+IFERROR(VLOOKUP(A44,#REF!,9,0),0)</f>
        <v>0</v>
      </c>
      <c r="J44" s="104">
        <f>IFERROR(VLOOKUP(A44,#REF!,16,0),0)+IFERROR(VLOOKUP(A44,#REF!,26,0),0)+IFERROR(VLOOKUP(A44,#REF!,11,0),0)+IFERROR(VLOOKUP(A44,#REF!,23,0),0)+IFERROR(VLOOKUP(A44,#REF!,11,0),0)+IFERROR(VLOOKUP(A44,#REF!,11,0),0)+IFERROR(VLOOKUP(A44,#REF!,11,0),0)</f>
        <v>0</v>
      </c>
      <c r="K44" s="96" t="str">
        <f>"07.02.24"</f>
        <v>07.02.24</v>
      </c>
    </row>
    <row r="45" spans="1:11" ht="11.25" customHeight="1" outlineLevel="1">
      <c r="A45" s="88" t="s">
        <v>80</v>
      </c>
      <c r="B45" s="115"/>
      <c r="C45" s="88"/>
      <c r="D45" s="88"/>
      <c r="E45" s="88"/>
      <c r="F45" s="88"/>
      <c r="G45" s="88"/>
      <c r="H45" s="106"/>
      <c r="I45" s="106"/>
      <c r="J45" s="107"/>
      <c r="K45" s="96" t="str">
        <f>"07.02.24"</f>
        <v>07.02.24</v>
      </c>
    </row>
    <row r="46" spans="1:11" ht="11.25" customHeight="1" outlineLevel="1">
      <c r="A46" s="89" t="n">
        <v>8090660</v>
      </c>
      <c r="B46" s="114" t="s">
        <v>58</v>
      </c>
      <c r="C46" s="89" t="s">
        <v>81</v>
      </c>
      <c r="D46" s="89" t="s">
        <v>15</v>
      </c>
      <c r="E46" s="89" t="s">
        <v>82</v>
      </c>
      <c r="F46" s="102" t="n">
        <v>42038</v>
      </c>
      <c r="G46" s="102" t="n">
        <v>41060</v>
      </c>
      <c r="H46" s="103" t="s">
        <v>48</v>
      </c>
      <c r="I46" s="103">
        <f>IFERROR(VLOOKUP(A46,#REF!,15,0),0)+IFERROR(VLOOKUP(A46,#REF!,25,0),0)+IFERROR(VLOOKUP(A46,#REF!,10,0),0)+IFERROR(VLOOKUP(A46,#REF!,14,0),0)+IFERROR(VLOOKUP(A46,#REF!,10,0),0)+IFERROR(VLOOKUP(A46,#REF!,10,0),0)+IFERROR(VLOOKUP(A46,#REF!,10,0),0)+IFERROR(VLOOKUP(A46,#REF!,9,0),0)+IFERROR(VLOOKUP(A46,#REF!,9,0),0)+IFERROR(VLOOKUP(A46,#REF!,9,0),0)+IFERROR(VLOOKUP(A46,#REF!,9,0),0)</f>
        <v>0</v>
      </c>
      <c r="J46" s="104">
        <f>IFERROR(VLOOKUP(A46,#REF!,16,0),0)+IFERROR(VLOOKUP(A46,#REF!,26,0),0)+IFERROR(VLOOKUP(A46,#REF!,11,0),0)+IFERROR(VLOOKUP(A46,#REF!,23,0),0)+IFERROR(VLOOKUP(A46,#REF!,11,0),0)+IFERROR(VLOOKUP(A46,#REF!,11,0),0)+IFERROR(VLOOKUP(A46,#REF!,11,0),0)</f>
        <v>0</v>
      </c>
      <c r="K46" s="96" t="str">
        <f>"07.02.24"</f>
        <v>07.02.24</v>
      </c>
    </row>
    <row r="47" spans="1:11" ht="11.25" customHeight="1" outlineLevel="1">
      <c r="A47" s="89" t="n">
        <v>8087940</v>
      </c>
      <c r="B47" s="114" t="s">
        <v>58</v>
      </c>
      <c r="C47" s="89" t="s">
        <v>83</v>
      </c>
      <c r="D47" s="89" t="s">
        <v>15</v>
      </c>
      <c r="E47" s="89" t="s">
        <v>82</v>
      </c>
      <c r="F47" s="102" t="n">
        <v>44272</v>
      </c>
      <c r="G47" s="102" t="n">
        <v>43242</v>
      </c>
      <c r="H47" s="103" t="s">
        <v>48</v>
      </c>
      <c r="I47" s="103">
        <f>IFERROR(VLOOKUP(A47,#REF!,15,0),0)+IFERROR(VLOOKUP(A47,#REF!,25,0),0)+IFERROR(VLOOKUP(A47,#REF!,10,0),0)+IFERROR(VLOOKUP(A47,#REF!,14,0),0)+IFERROR(VLOOKUP(A47,#REF!,10,0),0)+IFERROR(VLOOKUP(A47,#REF!,10,0),0)+IFERROR(VLOOKUP(A47,#REF!,10,0),0)+IFERROR(VLOOKUP(A47,#REF!,9,0),0)+IFERROR(VLOOKUP(A47,#REF!,9,0),0)+IFERROR(VLOOKUP(A47,#REF!,9,0),0)+IFERROR(VLOOKUP(A47,#REF!,9,0),0)</f>
        <v>0</v>
      </c>
      <c r="J47" s="104">
        <f>IFERROR(VLOOKUP(A47,#REF!,16,0),0)+IFERROR(VLOOKUP(A47,#REF!,26,0),0)+IFERROR(VLOOKUP(A47,#REF!,11,0),0)+IFERROR(VLOOKUP(A47,#REF!,23,0),0)+IFERROR(VLOOKUP(A47,#REF!,11,0),0)+IFERROR(VLOOKUP(A47,#REF!,11,0),0)+IFERROR(VLOOKUP(A47,#REF!,11,0),0)</f>
        <v>0</v>
      </c>
      <c r="K47" s="96" t="str">
        <f>"07.02.24"</f>
        <v>07.02.24</v>
      </c>
    </row>
    <row r="48" spans="1:11" ht="11.25" customHeight="1" outlineLevel="1">
      <c r="A48" s="89" t="n">
        <v>21245</v>
      </c>
      <c r="B48" s="114" t="s">
        <v>58</v>
      </c>
      <c r="C48" s="89" t="s">
        <v>84</v>
      </c>
      <c r="D48" s="89" t="s">
        <v>15</v>
      </c>
      <c r="E48" s="89" t="s">
        <v>85</v>
      </c>
      <c r="F48" s="102" t="n">
        <v>47031</v>
      </c>
      <c r="G48" s="102" t="n">
        <v>44672</v>
      </c>
      <c r="H48" s="103" t="s">
        <v>48</v>
      </c>
      <c r="I48" s="103">
        <f>IFERROR(VLOOKUP(A48,#REF!,15,0),0)+IFERROR(VLOOKUP(A48,#REF!,25,0),0)+IFERROR(VLOOKUP(A48,#REF!,10,0),0)+IFERROR(VLOOKUP(A48,#REF!,14,0),0)+IFERROR(VLOOKUP(A48,#REF!,10,0),0)+IFERROR(VLOOKUP(A48,#REF!,10,0),0)+IFERROR(VLOOKUP(A48,#REF!,10,0),0)+IFERROR(VLOOKUP(A48,#REF!,9,0),0)+IFERROR(VLOOKUP(A48,#REF!,9,0),0)+IFERROR(VLOOKUP(A48,#REF!,9,0),0)+IFERROR(VLOOKUP(A48,#REF!,9,0),0)</f>
        <v>0</v>
      </c>
      <c r="J48" s="104">
        <f>IFERROR(VLOOKUP(A48,#REF!,16,0),0)+IFERROR(VLOOKUP(A48,#REF!,26,0),0)+IFERROR(VLOOKUP(A48,#REF!,11,0),0)+IFERROR(VLOOKUP(A48,#REF!,23,0),0)+IFERROR(VLOOKUP(A48,#REF!,11,0),0)+IFERROR(VLOOKUP(A48,#REF!,11,0),0)+IFERROR(VLOOKUP(A48,#REF!,11,0),0)</f>
        <v>0</v>
      </c>
      <c r="K48" s="96" t="str">
        <f>"07.02.24"</f>
        <v>07.02.24</v>
      </c>
    </row>
    <row r="49" spans="1:11" ht="11.25" customHeight="1" outlineLevel="1">
      <c r="A49" s="89" t="n">
        <v>21348</v>
      </c>
      <c r="B49" s="114" t="s">
        <v>58</v>
      </c>
      <c r="C49" s="89" t="s">
        <v>86</v>
      </c>
      <c r="D49" s="89" t="s">
        <v>15</v>
      </c>
      <c r="E49" s="89" t="s">
        <v>87</v>
      </c>
      <c r="F49" s="102" t="n">
        <v>50567</v>
      </c>
      <c r="G49" s="102" t="n">
        <v>59669</v>
      </c>
      <c r="H49" s="103" t="s">
        <v>48</v>
      </c>
      <c r="I49" s="103">
        <f>IFERROR(VLOOKUP(A49,#REF!,15,0),0)+IFERROR(VLOOKUP(A49,#REF!,25,0),0)+IFERROR(VLOOKUP(A49,#REF!,10,0),0)+IFERROR(VLOOKUP(A49,#REF!,14,0),0)+IFERROR(VLOOKUP(A49,#REF!,10,0),0)+IFERROR(VLOOKUP(A49,#REF!,10,0),0)+IFERROR(VLOOKUP(A49,#REF!,10,0),0)+IFERROR(VLOOKUP(A49,#REF!,9,0),0)+IFERROR(VLOOKUP(A49,#REF!,9,0),0)+IFERROR(VLOOKUP(A49,#REF!,9,0),0)+IFERROR(VLOOKUP(A49,#REF!,9,0),0)</f>
        <v>0</v>
      </c>
      <c r="J49" s="104">
        <f>IFERROR(VLOOKUP(A49,#REF!,16,0),0)+IFERROR(VLOOKUP(A49,#REF!,26,0),0)+IFERROR(VLOOKUP(A49,#REF!,11,0),0)+IFERROR(VLOOKUP(A49,#REF!,23,0),0)+IFERROR(VLOOKUP(A49,#REF!,11,0),0)+IFERROR(VLOOKUP(A49,#REF!,11,0),0)+IFERROR(VLOOKUP(A49,#REF!,11,0),0)</f>
        <v>0</v>
      </c>
      <c r="K49" s="96" t="str">
        <f>"07.02.24"</f>
        <v>07.02.24</v>
      </c>
    </row>
    <row r="50" spans="1:11" ht="11.25" customHeight="1" outlineLevel="1">
      <c r="A50" s="89" t="n">
        <v>1796120</v>
      </c>
      <c r="B50" s="114" t="s">
        <v>58</v>
      </c>
      <c r="C50" s="89" t="s">
        <v>88</v>
      </c>
      <c r="D50" s="89" t="s">
        <v>15</v>
      </c>
      <c r="E50" s="89" t="s">
        <v>89</v>
      </c>
      <c r="F50" s="102" t="n">
        <v>61229</v>
      </c>
      <c r="G50" s="102" t="n">
        <v>70414</v>
      </c>
      <c r="H50" s="103" t="s">
        <v>17</v>
      </c>
      <c r="I50" s="103">
        <f>IFERROR(VLOOKUP(A50,#REF!,15,0),0)+IFERROR(VLOOKUP(A50,#REF!,25,0),0)+IFERROR(VLOOKUP(A50,#REF!,10,0),0)+IFERROR(VLOOKUP(A50,#REF!,14,0),0)+IFERROR(VLOOKUP(A50,#REF!,10,0),0)+IFERROR(VLOOKUP(A50,#REF!,10,0),0)+IFERROR(VLOOKUP(A50,#REF!,10,0),0)+IFERROR(VLOOKUP(A50,#REF!,9,0),0)+IFERROR(VLOOKUP(A50,#REF!,9,0),0)+IFERROR(VLOOKUP(A50,#REF!,9,0),0)+IFERROR(VLOOKUP(A50,#REF!,9,0),0)</f>
        <v>0</v>
      </c>
      <c r="J50" s="104">
        <f>IFERROR(VLOOKUP(A50,#REF!,16,0),0)+IFERROR(VLOOKUP(A50,#REF!,26,0),0)+IFERROR(VLOOKUP(A50,#REF!,11,0),0)+IFERROR(VLOOKUP(A50,#REF!,23,0),0)+IFERROR(VLOOKUP(A50,#REF!,11,0),0)+IFERROR(VLOOKUP(A50,#REF!,11,0),0)+IFERROR(VLOOKUP(A50,#REF!,11,0),0)</f>
        <v>0</v>
      </c>
      <c r="K50" s="96" t="str">
        <f>"07.02.24"</f>
        <v>07.02.24</v>
      </c>
    </row>
    <row r="51" spans="1:11" ht="11.25" customHeight="1" outlineLevel="1">
      <c r="A51" s="89" t="n">
        <v>21688</v>
      </c>
      <c r="B51" s="114" t="s">
        <v>58</v>
      </c>
      <c r="C51" s="89" t="s">
        <v>90</v>
      </c>
      <c r="D51" s="89" t="s">
        <v>15</v>
      </c>
      <c r="E51" s="89" t="s">
        <v>91</v>
      </c>
      <c r="F51" s="102" t="n">
        <v>49316</v>
      </c>
      <c r="G51" s="102" t="n">
        <v>46423</v>
      </c>
      <c r="H51" s="103" t="s">
        <v>48</v>
      </c>
      <c r="I51" s="103">
        <f>IFERROR(VLOOKUP(A51,#REF!,15,0),0)+IFERROR(VLOOKUP(A51,#REF!,25,0),0)+IFERROR(VLOOKUP(A51,#REF!,10,0),0)+IFERROR(VLOOKUP(A51,#REF!,14,0),0)+IFERROR(VLOOKUP(A51,#REF!,10,0),0)+IFERROR(VLOOKUP(A51,#REF!,10,0),0)+IFERROR(VLOOKUP(A51,#REF!,10,0),0)+IFERROR(VLOOKUP(A51,#REF!,9,0),0)+IFERROR(VLOOKUP(A51,#REF!,9,0),0)+IFERROR(VLOOKUP(A51,#REF!,9,0),0)+IFERROR(VLOOKUP(A51,#REF!,9,0),0)</f>
        <v>0</v>
      </c>
      <c r="J51" s="104">
        <f>IFERROR(VLOOKUP(A51,#REF!,16,0),0)+IFERROR(VLOOKUP(A51,#REF!,26,0),0)+IFERROR(VLOOKUP(A51,#REF!,11,0),0)+IFERROR(VLOOKUP(A51,#REF!,23,0),0)+IFERROR(VLOOKUP(A51,#REF!,11,0),0)+IFERROR(VLOOKUP(A51,#REF!,11,0),0)+IFERROR(VLOOKUP(A51,#REF!,11,0),0)</f>
        <v>0</v>
      </c>
      <c r="K51" s="96" t="str">
        <f>"07.02.24"</f>
        <v>07.02.24</v>
      </c>
    </row>
    <row r="52" spans="1:11" ht="11.25" customHeight="1" outlineLevel="1">
      <c r="A52" s="89" t="n">
        <v>20645</v>
      </c>
      <c r="B52" s="114" t="s">
        <v>58</v>
      </c>
      <c r="C52" s="89" t="s">
        <v>92</v>
      </c>
      <c r="D52" s="89" t="s">
        <v>15</v>
      </c>
      <c r="E52" s="89" t="s">
        <v>93</v>
      </c>
      <c r="F52" s="102" t="n">
        <v>53309</v>
      </c>
      <c r="G52" s="102" t="n">
        <v>62905</v>
      </c>
      <c r="H52" s="103" t="s">
        <v>48</v>
      </c>
      <c r="I52" s="103">
        <f>IFERROR(VLOOKUP(A52,#REF!,15,0),0)+IFERROR(VLOOKUP(A52,#REF!,25,0),0)+IFERROR(VLOOKUP(A52,#REF!,10,0),0)+IFERROR(VLOOKUP(A52,#REF!,14,0),0)+IFERROR(VLOOKUP(A52,#REF!,10,0),0)+IFERROR(VLOOKUP(A52,#REF!,10,0),0)+IFERROR(VLOOKUP(A52,#REF!,10,0),0)+IFERROR(VLOOKUP(A52,#REF!,9,0),0)+IFERROR(VLOOKUP(A52,#REF!,9,0),0)+IFERROR(VLOOKUP(A52,#REF!,9,0),0)+IFERROR(VLOOKUP(A52,#REF!,9,0),0)</f>
        <v>0</v>
      </c>
      <c r="J52" s="104">
        <f>IFERROR(VLOOKUP(A52,#REF!,16,0),0)+IFERROR(VLOOKUP(A52,#REF!,26,0),0)+IFERROR(VLOOKUP(A52,#REF!,11,0),0)+IFERROR(VLOOKUP(A52,#REF!,23,0),0)+IFERROR(VLOOKUP(A52,#REF!,11,0),0)+IFERROR(VLOOKUP(A52,#REF!,11,0),0)+IFERROR(VLOOKUP(A52,#REF!,11,0),0)</f>
        <v>0</v>
      </c>
      <c r="K52" s="96" t="str">
        <f>"07.02.24"</f>
        <v>07.02.24</v>
      </c>
    </row>
    <row r="53" spans="1:11" ht="11.25" customHeight="1" outlineLevel="1">
      <c r="A53" s="89" t="n">
        <v>1796150</v>
      </c>
      <c r="B53" s="114" t="s">
        <v>58</v>
      </c>
      <c r="C53" s="89" t="s">
        <v>94</v>
      </c>
      <c r="D53" s="89" t="s">
        <v>15</v>
      </c>
      <c r="E53" s="89" t="s">
        <v>95</v>
      </c>
      <c r="F53" s="102" t="n">
        <v>63869</v>
      </c>
      <c r="G53" s="102" t="n">
        <v>72173</v>
      </c>
      <c r="H53" s="103" t="s">
        <v>17</v>
      </c>
      <c r="I53" s="103">
        <f>IFERROR(VLOOKUP(A53,#REF!,15,0),0)+IFERROR(VLOOKUP(A53,#REF!,25,0),0)+IFERROR(VLOOKUP(A53,#REF!,10,0),0)+IFERROR(VLOOKUP(A53,#REF!,14,0),0)+IFERROR(VLOOKUP(A53,#REF!,10,0),0)+IFERROR(VLOOKUP(A53,#REF!,10,0),0)+IFERROR(VLOOKUP(A53,#REF!,10,0),0)+IFERROR(VLOOKUP(A53,#REF!,9,0),0)+IFERROR(VLOOKUP(A53,#REF!,9,0),0)+IFERROR(VLOOKUP(A53,#REF!,9,0),0)+IFERROR(VLOOKUP(A53,#REF!,9,0),0)</f>
        <v>0</v>
      </c>
      <c r="J53" s="104">
        <f>IFERROR(VLOOKUP(A53,#REF!,16,0),0)+IFERROR(VLOOKUP(A53,#REF!,26,0),0)+IFERROR(VLOOKUP(A53,#REF!,11,0),0)+IFERROR(VLOOKUP(A53,#REF!,23,0),0)+IFERROR(VLOOKUP(A53,#REF!,11,0),0)+IFERROR(VLOOKUP(A53,#REF!,11,0),0)+IFERROR(VLOOKUP(A53,#REF!,11,0),0)</f>
        <v>0</v>
      </c>
      <c r="K53" s="96" t="str">
        <f>"07.02.24"</f>
        <v>07.02.24</v>
      </c>
    </row>
    <row r="54" spans="1:11" ht="11.25" customHeight="1" outlineLevel="1">
      <c r="A54" s="89" t="n">
        <v>7088720</v>
      </c>
      <c r="B54" s="114" t="s">
        <v>58</v>
      </c>
      <c r="C54" s="89" t="s">
        <v>96</v>
      </c>
      <c r="D54" s="89" t="s">
        <v>15</v>
      </c>
      <c r="E54" s="89" t="s">
        <v>97</v>
      </c>
      <c r="F54" s="102" t="n">
        <v>77171</v>
      </c>
      <c r="G54" s="102" t="n">
        <v>91062</v>
      </c>
      <c r="H54" s="103" t="s">
        <v>17</v>
      </c>
      <c r="I54" s="103">
        <f>IFERROR(VLOOKUP(A54,#REF!,15,0),0)+IFERROR(VLOOKUP(A54,#REF!,25,0),0)+IFERROR(VLOOKUP(A54,#REF!,10,0),0)+IFERROR(VLOOKUP(A54,#REF!,14,0),0)+IFERROR(VLOOKUP(A54,#REF!,10,0),0)+IFERROR(VLOOKUP(A54,#REF!,10,0),0)+IFERROR(VLOOKUP(A54,#REF!,10,0),0)+IFERROR(VLOOKUP(A54,#REF!,9,0),0)+IFERROR(VLOOKUP(A54,#REF!,9,0),0)+IFERROR(VLOOKUP(A54,#REF!,9,0),0)+IFERROR(VLOOKUP(A54,#REF!,9,0),0)</f>
        <v>0</v>
      </c>
      <c r="J54" s="104">
        <f>IFERROR(VLOOKUP(A54,#REF!,16,0),0)+IFERROR(VLOOKUP(A54,#REF!,26,0),0)+IFERROR(VLOOKUP(A54,#REF!,11,0),0)+IFERROR(VLOOKUP(A54,#REF!,23,0),0)+IFERROR(VLOOKUP(A54,#REF!,11,0),0)+IFERROR(VLOOKUP(A54,#REF!,11,0),0)+IFERROR(VLOOKUP(A54,#REF!,11,0),0)</f>
        <v>0</v>
      </c>
      <c r="K54" s="96" t="str">
        <f>"07.02.24"</f>
        <v>07.02.24</v>
      </c>
    </row>
    <row r="55" spans="1:11" ht="11.25" customHeight="1" outlineLevel="1">
      <c r="A55" s="89" t="n">
        <v>21206</v>
      </c>
      <c r="B55" s="114" t="s">
        <v>58</v>
      </c>
      <c r="C55" s="89" t="s">
        <v>98</v>
      </c>
      <c r="D55" s="89" t="s">
        <v>15</v>
      </c>
      <c r="E55" s="89" t="s">
        <v>99</v>
      </c>
      <c r="F55" s="102" t="n">
        <v>64072</v>
      </c>
      <c r="G55" s="102" t="n">
        <v>75606</v>
      </c>
      <c r="H55" s="103" t="s">
        <v>48</v>
      </c>
      <c r="I55" s="103">
        <f>IFERROR(VLOOKUP(A55,#REF!,15,0),0)+IFERROR(VLOOKUP(A55,#REF!,25,0),0)+IFERROR(VLOOKUP(A55,#REF!,10,0),0)+IFERROR(VLOOKUP(A55,#REF!,14,0),0)+IFERROR(VLOOKUP(A55,#REF!,10,0),0)+IFERROR(VLOOKUP(A55,#REF!,10,0),0)+IFERROR(VLOOKUP(A55,#REF!,10,0),0)+IFERROR(VLOOKUP(A55,#REF!,9,0),0)+IFERROR(VLOOKUP(A55,#REF!,9,0),0)+IFERROR(VLOOKUP(A55,#REF!,9,0),0)+IFERROR(VLOOKUP(A55,#REF!,9,0),0)</f>
        <v>0</v>
      </c>
      <c r="J55" s="104">
        <f>IFERROR(VLOOKUP(A55,#REF!,16,0),0)+IFERROR(VLOOKUP(A55,#REF!,26,0),0)+IFERROR(VLOOKUP(A55,#REF!,11,0),0)+IFERROR(VLOOKUP(A55,#REF!,23,0),0)+IFERROR(VLOOKUP(A55,#REF!,11,0),0)+IFERROR(VLOOKUP(A55,#REF!,11,0),0)+IFERROR(VLOOKUP(A55,#REF!,11,0),0)</f>
        <v>0</v>
      </c>
      <c r="K55" s="96" t="str">
        <f>"07.02.24"</f>
        <v>07.02.24</v>
      </c>
    </row>
    <row r="56" spans="1:11" ht="11.25" customHeight="1" outlineLevel="1">
      <c r="A56" s="89" t="n">
        <v>20984</v>
      </c>
      <c r="B56" s="114" t="s">
        <v>58</v>
      </c>
      <c r="C56" s="89" t="s">
        <v>100</v>
      </c>
      <c r="D56" s="89" t="s">
        <v>15</v>
      </c>
      <c r="E56" s="89" t="s">
        <v>101</v>
      </c>
      <c r="F56" s="102" t="n">
        <v>67626</v>
      </c>
      <c r="G56" s="102" t="n">
        <v>79799</v>
      </c>
      <c r="H56" s="103" t="s">
        <v>48</v>
      </c>
      <c r="I56" s="103">
        <f>IFERROR(VLOOKUP(A56,#REF!,15,0),0)+IFERROR(VLOOKUP(A56,#REF!,25,0),0)+IFERROR(VLOOKUP(A56,#REF!,10,0),0)+IFERROR(VLOOKUP(A56,#REF!,14,0),0)+IFERROR(VLOOKUP(A56,#REF!,10,0),0)+IFERROR(VLOOKUP(A56,#REF!,10,0),0)+IFERROR(VLOOKUP(A56,#REF!,10,0),0)+IFERROR(VLOOKUP(A56,#REF!,9,0),0)+IFERROR(VLOOKUP(A56,#REF!,9,0),0)+IFERROR(VLOOKUP(A56,#REF!,9,0),0)+IFERROR(VLOOKUP(A56,#REF!,9,0),0)</f>
        <v>0</v>
      </c>
      <c r="J56" s="104">
        <f>IFERROR(VLOOKUP(A56,#REF!,16,0),0)+IFERROR(VLOOKUP(A56,#REF!,26,0),0)+IFERROR(VLOOKUP(A56,#REF!,11,0),0)+IFERROR(VLOOKUP(A56,#REF!,23,0),0)+IFERROR(VLOOKUP(A56,#REF!,11,0),0)+IFERROR(VLOOKUP(A56,#REF!,11,0),0)+IFERROR(VLOOKUP(A56,#REF!,11,0),0)</f>
        <v>0</v>
      </c>
      <c r="K56" s="96" t="str">
        <f>"07.02.24"</f>
        <v>07.02.24</v>
      </c>
    </row>
    <row r="57" spans="1:11" ht="11.25" customHeight="1" outlineLevel="1">
      <c r="A57" s="89" t="n">
        <v>21208</v>
      </c>
      <c r="B57" s="114" t="s">
        <v>58</v>
      </c>
      <c r="C57" s="89" t="s">
        <v>102</v>
      </c>
      <c r="D57" s="89" t="s">
        <v>15</v>
      </c>
      <c r="E57" s="89" t="s">
        <v>103</v>
      </c>
      <c r="F57" s="102" t="n">
        <v>81766</v>
      </c>
      <c r="G57" s="102" t="n">
        <v>94032</v>
      </c>
      <c r="H57" s="103" t="s">
        <v>48</v>
      </c>
      <c r="I57" s="103">
        <f>IFERROR(VLOOKUP(A57,#REF!,15,0),0)+IFERROR(VLOOKUP(A57,#REF!,25,0),0)+IFERROR(VLOOKUP(A57,#REF!,10,0),0)+IFERROR(VLOOKUP(A57,#REF!,14,0),0)+IFERROR(VLOOKUP(A57,#REF!,10,0),0)+IFERROR(VLOOKUP(A57,#REF!,10,0),0)+IFERROR(VLOOKUP(A57,#REF!,10,0),0)+IFERROR(VLOOKUP(A57,#REF!,9,0),0)+IFERROR(VLOOKUP(A57,#REF!,9,0),0)+IFERROR(VLOOKUP(A57,#REF!,9,0),0)+IFERROR(VLOOKUP(A57,#REF!,9,0),0)</f>
        <v>0</v>
      </c>
      <c r="J57" s="104">
        <f>IFERROR(VLOOKUP(A57,#REF!,16,0),0)+IFERROR(VLOOKUP(A57,#REF!,26,0),0)+IFERROR(VLOOKUP(A57,#REF!,11,0),0)+IFERROR(VLOOKUP(A57,#REF!,23,0),0)+IFERROR(VLOOKUP(A57,#REF!,11,0),0)+IFERROR(VLOOKUP(A57,#REF!,11,0),0)+IFERROR(VLOOKUP(A57,#REF!,11,0),0)</f>
        <v>0</v>
      </c>
      <c r="K57" s="96" t="str">
        <f>"07.02.24"</f>
        <v>07.02.24</v>
      </c>
    </row>
    <row r="58" spans="1:11" ht="11.25" customHeight="1" outlineLevel="1">
      <c r="A58" s="89" t="n">
        <v>20646</v>
      </c>
      <c r="B58" s="114" t="s">
        <v>58</v>
      </c>
      <c r="C58" s="89" t="s">
        <v>104</v>
      </c>
      <c r="D58" s="89" t="s">
        <v>15</v>
      </c>
      <c r="E58" s="89" t="s">
        <v>105</v>
      </c>
      <c r="F58" s="102" t="n">
        <v>86614</v>
      </c>
      <c r="G58" s="102" t="n">
        <v>102205</v>
      </c>
      <c r="H58" s="103" t="s">
        <v>48</v>
      </c>
      <c r="I58" s="103">
        <f>IFERROR(VLOOKUP(A58,#REF!,15,0),0)+IFERROR(VLOOKUP(A58,#REF!,25,0),0)+IFERROR(VLOOKUP(A58,#REF!,10,0),0)+IFERROR(VLOOKUP(A58,#REF!,14,0),0)+IFERROR(VLOOKUP(A58,#REF!,10,0),0)+IFERROR(VLOOKUP(A58,#REF!,10,0),0)+IFERROR(VLOOKUP(A58,#REF!,10,0),0)+IFERROR(VLOOKUP(A58,#REF!,9,0),0)+IFERROR(VLOOKUP(A58,#REF!,9,0),0)+IFERROR(VLOOKUP(A58,#REF!,9,0),0)+IFERROR(VLOOKUP(A58,#REF!,9,0),0)</f>
        <v>0</v>
      </c>
      <c r="J58" s="104">
        <f>IFERROR(VLOOKUP(A58,#REF!,16,0),0)+IFERROR(VLOOKUP(A58,#REF!,26,0),0)+IFERROR(VLOOKUP(A58,#REF!,11,0),0)+IFERROR(VLOOKUP(A58,#REF!,23,0),0)+IFERROR(VLOOKUP(A58,#REF!,11,0),0)+IFERROR(VLOOKUP(A58,#REF!,11,0),0)+IFERROR(VLOOKUP(A58,#REF!,11,0),0)</f>
        <v>0</v>
      </c>
      <c r="K58" s="96" t="str">
        <f>"07.02.24"</f>
        <v>07.02.24</v>
      </c>
    </row>
    <row r="59" spans="1:11" ht="11.25" customHeight="1" outlineLevel="1">
      <c r="A59" s="89" t="n">
        <v>20389</v>
      </c>
      <c r="B59" s="114" t="s">
        <v>58</v>
      </c>
      <c r="C59" s="89" t="s">
        <v>106</v>
      </c>
      <c r="D59" s="89" t="s">
        <v>15</v>
      </c>
      <c r="E59" s="89" t="s">
        <v>107</v>
      </c>
      <c r="F59" s="102" t="n">
        <v>105806</v>
      </c>
      <c r="G59" s="102" t="n">
        <v>124851</v>
      </c>
      <c r="H59" s="103" t="s">
        <v>48</v>
      </c>
      <c r="I59" s="103">
        <f>IFERROR(VLOOKUP(A59,#REF!,15,0),0)+IFERROR(VLOOKUP(A59,#REF!,25,0),0)+IFERROR(VLOOKUP(A59,#REF!,10,0),0)+IFERROR(VLOOKUP(A59,#REF!,14,0),0)+IFERROR(VLOOKUP(A59,#REF!,10,0),0)+IFERROR(VLOOKUP(A59,#REF!,10,0),0)+IFERROR(VLOOKUP(A59,#REF!,10,0),0)+IFERROR(VLOOKUP(A59,#REF!,9,0),0)+IFERROR(VLOOKUP(A59,#REF!,9,0),0)+IFERROR(VLOOKUP(A59,#REF!,9,0),0)+IFERROR(VLOOKUP(A59,#REF!,9,0),0)</f>
        <v>0</v>
      </c>
      <c r="J59" s="104">
        <f>IFERROR(VLOOKUP(A59,#REF!,16,0),0)+IFERROR(VLOOKUP(A59,#REF!,26,0),0)+IFERROR(VLOOKUP(A59,#REF!,11,0),0)+IFERROR(VLOOKUP(A59,#REF!,23,0),0)+IFERROR(VLOOKUP(A59,#REF!,11,0),0)+IFERROR(VLOOKUP(A59,#REF!,11,0),0)+IFERROR(VLOOKUP(A59,#REF!,11,0),0)</f>
        <v>0</v>
      </c>
      <c r="K59" s="96" t="str">
        <f>"07.02.24"</f>
        <v>07.02.24</v>
      </c>
    </row>
    <row r="60" spans="1:11" ht="11.25" customHeight="1" outlineLevel="1">
      <c r="A60" s="89" t="n">
        <v>8096440</v>
      </c>
      <c r="B60" s="114" t="s">
        <v>58</v>
      </c>
      <c r="C60" s="89" t="s">
        <v>108</v>
      </c>
      <c r="D60" s="89" t="s">
        <v>15</v>
      </c>
      <c r="E60" s="89" t="s">
        <v>109</v>
      </c>
      <c r="F60" s="102" t="n">
        <v>112507</v>
      </c>
      <c r="G60" s="102" t="n">
        <v>132758</v>
      </c>
      <c r="H60" s="103" t="s">
        <v>17</v>
      </c>
      <c r="I60" s="103">
        <f>IFERROR(VLOOKUP(A60,#REF!,15,0),0)+IFERROR(VLOOKUP(A60,#REF!,25,0),0)+IFERROR(VLOOKUP(A60,#REF!,10,0),0)+IFERROR(VLOOKUP(A60,#REF!,14,0),0)+IFERROR(VLOOKUP(A60,#REF!,10,0),0)+IFERROR(VLOOKUP(A60,#REF!,10,0),0)+IFERROR(VLOOKUP(A60,#REF!,10,0),0)+IFERROR(VLOOKUP(A60,#REF!,9,0),0)+IFERROR(VLOOKUP(A60,#REF!,9,0),0)+IFERROR(VLOOKUP(A60,#REF!,9,0),0)+IFERROR(VLOOKUP(A60,#REF!,9,0),0)</f>
        <v>0</v>
      </c>
      <c r="J60" s="104">
        <f>IFERROR(VLOOKUP(A60,#REF!,16,0),0)+IFERROR(VLOOKUP(A60,#REF!,26,0),0)+IFERROR(VLOOKUP(A60,#REF!,11,0),0)+IFERROR(VLOOKUP(A60,#REF!,23,0),0)+IFERROR(VLOOKUP(A60,#REF!,11,0),0)+IFERROR(VLOOKUP(A60,#REF!,11,0),0)+IFERROR(VLOOKUP(A60,#REF!,11,0),0)</f>
        <v>0</v>
      </c>
      <c r="K60" s="96" t="str">
        <f>"07.02.24"</f>
        <v>07.02.24</v>
      </c>
    </row>
    <row r="61" spans="1:11" ht="11.25" customHeight="1" outlineLevel="1">
      <c r="A61" s="89" t="n">
        <v>20967</v>
      </c>
      <c r="B61" s="114" t="s">
        <v>58</v>
      </c>
      <c r="C61" s="89" t="s">
        <v>110</v>
      </c>
      <c r="D61" s="89" t="s">
        <v>15</v>
      </c>
      <c r="E61" s="89" t="s">
        <v>111</v>
      </c>
      <c r="F61" s="102" t="n">
        <v>100526</v>
      </c>
      <c r="G61" s="102" t="n">
        <v>118620</v>
      </c>
      <c r="H61" s="103" t="s">
        <v>48</v>
      </c>
      <c r="I61" s="103">
        <f>IFERROR(VLOOKUP(A61,#REF!,15,0),0)+IFERROR(VLOOKUP(A61,#REF!,25,0),0)+IFERROR(VLOOKUP(A61,#REF!,10,0),0)+IFERROR(VLOOKUP(A61,#REF!,14,0),0)+IFERROR(VLOOKUP(A61,#REF!,10,0),0)+IFERROR(VLOOKUP(A61,#REF!,10,0),0)+IFERROR(VLOOKUP(A61,#REF!,10,0),0)+IFERROR(VLOOKUP(A61,#REF!,9,0),0)+IFERROR(VLOOKUP(A61,#REF!,9,0),0)+IFERROR(VLOOKUP(A61,#REF!,9,0),0)+IFERROR(VLOOKUP(A61,#REF!,9,0),0)</f>
        <v>0</v>
      </c>
      <c r="J61" s="104">
        <f>IFERROR(VLOOKUP(A61,#REF!,16,0),0)+IFERROR(VLOOKUP(A61,#REF!,26,0),0)+IFERROR(VLOOKUP(A61,#REF!,11,0),0)+IFERROR(VLOOKUP(A61,#REF!,23,0),0)+IFERROR(VLOOKUP(A61,#REF!,11,0),0)+IFERROR(VLOOKUP(A61,#REF!,11,0),0)+IFERROR(VLOOKUP(A61,#REF!,11,0),0)</f>
        <v>0</v>
      </c>
      <c r="K61" s="96" t="str">
        <f>"07.02.24"</f>
        <v>07.02.24</v>
      </c>
    </row>
    <row r="62" spans="1:11" ht="11.25" customHeight="1" outlineLevel="1">
      <c r="A62" s="89" t="n">
        <v>21213</v>
      </c>
      <c r="B62" s="114" t="s">
        <v>58</v>
      </c>
      <c r="C62" s="89" t="s">
        <v>112</v>
      </c>
      <c r="D62" s="89" t="s">
        <v>15</v>
      </c>
      <c r="E62" s="89" t="s">
        <v>113</v>
      </c>
      <c r="F62" s="102" t="n">
        <v>121215</v>
      </c>
      <c r="G62" s="102" t="n">
        <v>143033</v>
      </c>
      <c r="H62" s="103" t="s">
        <v>48</v>
      </c>
      <c r="I62" s="103">
        <f>IFERROR(VLOOKUP(A62,#REF!,15,0),0)+IFERROR(VLOOKUP(A62,#REF!,25,0),0)+IFERROR(VLOOKUP(A62,#REF!,10,0),0)+IFERROR(VLOOKUP(A62,#REF!,14,0),0)+IFERROR(VLOOKUP(A62,#REF!,10,0),0)+IFERROR(VLOOKUP(A62,#REF!,10,0),0)+IFERROR(VLOOKUP(A62,#REF!,10,0),0)+IFERROR(VLOOKUP(A62,#REF!,9,0),0)+IFERROR(VLOOKUP(A62,#REF!,9,0),0)+IFERROR(VLOOKUP(A62,#REF!,9,0),0)+IFERROR(VLOOKUP(A62,#REF!,9,0),0)</f>
        <v>0</v>
      </c>
      <c r="J62" s="104">
        <f>IFERROR(VLOOKUP(A62,#REF!,16,0),0)+IFERROR(VLOOKUP(A62,#REF!,26,0),0)+IFERROR(VLOOKUP(A62,#REF!,11,0),0)+IFERROR(VLOOKUP(A62,#REF!,23,0),0)+IFERROR(VLOOKUP(A62,#REF!,11,0),0)+IFERROR(VLOOKUP(A62,#REF!,11,0),0)+IFERROR(VLOOKUP(A62,#REF!,11,0),0)</f>
        <v>0</v>
      </c>
      <c r="K62" s="96" t="str">
        <f>"07.02.24"</f>
        <v>07.02.24</v>
      </c>
    </row>
    <row r="63" spans="1:11" ht="11.25" customHeight="1" outlineLevel="1">
      <c r="A63" s="89" t="n">
        <v>20386</v>
      </c>
      <c r="B63" s="114" t="s">
        <v>58</v>
      </c>
      <c r="C63" s="89" t="s">
        <v>114</v>
      </c>
      <c r="D63" s="89" t="s">
        <v>15</v>
      </c>
      <c r="E63" s="89" t="s">
        <v>115</v>
      </c>
      <c r="F63" s="102" t="n">
        <v>128449</v>
      </c>
      <c r="G63" s="102" t="n">
        <v>151570</v>
      </c>
      <c r="H63" s="103" t="s">
        <v>48</v>
      </c>
      <c r="I63" s="103">
        <f>IFERROR(VLOOKUP(A63,#REF!,15,0),0)+IFERROR(VLOOKUP(A63,#REF!,25,0),0)+IFERROR(VLOOKUP(A63,#REF!,10,0),0)+IFERROR(VLOOKUP(A63,#REF!,14,0),0)+IFERROR(VLOOKUP(A63,#REF!,10,0),0)+IFERROR(VLOOKUP(A63,#REF!,10,0),0)+IFERROR(VLOOKUP(A63,#REF!,10,0),0)+IFERROR(VLOOKUP(A63,#REF!,9,0),0)+IFERROR(VLOOKUP(A63,#REF!,9,0),0)+IFERROR(VLOOKUP(A63,#REF!,9,0),0)+IFERROR(VLOOKUP(A63,#REF!,9,0),0)</f>
        <v>0</v>
      </c>
      <c r="J63" s="104">
        <f>IFERROR(VLOOKUP(A63,#REF!,16,0),0)+IFERROR(VLOOKUP(A63,#REF!,26,0),0)+IFERROR(VLOOKUP(A63,#REF!,11,0),0)+IFERROR(VLOOKUP(A63,#REF!,23,0),0)+IFERROR(VLOOKUP(A63,#REF!,11,0),0)+IFERROR(VLOOKUP(A63,#REF!,11,0),0)+IFERROR(VLOOKUP(A63,#REF!,11,0),0)</f>
        <v>0</v>
      </c>
      <c r="K63" s="96" t="str">
        <f>"07.02.24"</f>
        <v>07.02.24</v>
      </c>
    </row>
    <row r="64" spans="1:11" ht="11.25" customHeight="1" outlineLevel="1">
      <c r="A64" s="89" t="n">
        <v>38882</v>
      </c>
      <c r="B64" s="114" t="s">
        <v>58</v>
      </c>
      <c r="C64" s="89" t="s">
        <v>116</v>
      </c>
      <c r="D64" s="89" t="s">
        <v>15</v>
      </c>
      <c r="E64" s="89" t="s">
        <v>117</v>
      </c>
      <c r="F64" s="102" t="n">
        <v>267865</v>
      </c>
      <c r="G64" s="102" t="n">
        <v>316081</v>
      </c>
      <c r="H64" s="103" t="s">
        <v>17</v>
      </c>
      <c r="I64" s="103">
        <f>IFERROR(VLOOKUP(A64,#REF!,15,0),0)+IFERROR(VLOOKUP(A64,#REF!,25,0),0)+IFERROR(VLOOKUP(A64,#REF!,10,0),0)+IFERROR(VLOOKUP(A64,#REF!,14,0),0)+IFERROR(VLOOKUP(A64,#REF!,10,0),0)+IFERROR(VLOOKUP(A64,#REF!,10,0),0)+IFERROR(VLOOKUP(A64,#REF!,10,0),0)+IFERROR(VLOOKUP(A64,#REF!,9,0),0)+IFERROR(VLOOKUP(A64,#REF!,9,0),0)+IFERROR(VLOOKUP(A64,#REF!,9,0),0)+IFERROR(VLOOKUP(A64,#REF!,9,0),0)</f>
        <v>0</v>
      </c>
      <c r="J64" s="104">
        <f>IFERROR(VLOOKUP(A64,#REF!,16,0),0)+IFERROR(VLOOKUP(A64,#REF!,26,0),0)+IFERROR(VLOOKUP(A64,#REF!,11,0),0)+IFERROR(VLOOKUP(A64,#REF!,23,0),0)+IFERROR(VLOOKUP(A64,#REF!,11,0),0)+IFERROR(VLOOKUP(A64,#REF!,11,0),0)+IFERROR(VLOOKUP(A64,#REF!,11,0),0)</f>
        <v>0</v>
      </c>
      <c r="K64" s="96" t="str">
        <f>"07.02.24"</f>
        <v>07.02.24</v>
      </c>
    </row>
    <row r="65" spans="1:11" ht="11.25" customHeight="1" outlineLevel="1">
      <c r="A65" s="89" t="n">
        <v>21211</v>
      </c>
      <c r="B65" s="114" t="s">
        <v>58</v>
      </c>
      <c r="C65" s="89" t="s">
        <v>118</v>
      </c>
      <c r="D65" s="89" t="s">
        <v>15</v>
      </c>
      <c r="E65" s="89" t="s">
        <v>117</v>
      </c>
      <c r="F65" s="102" t="n">
        <v>323611</v>
      </c>
      <c r="G65" s="102" t="n">
        <v>381862</v>
      </c>
      <c r="H65" s="103" t="s">
        <v>17</v>
      </c>
      <c r="I65" s="103">
        <f>IFERROR(VLOOKUP(A65,#REF!,15,0),0)+IFERROR(VLOOKUP(A65,#REF!,25,0),0)+IFERROR(VLOOKUP(A65,#REF!,10,0),0)+IFERROR(VLOOKUP(A65,#REF!,14,0),0)+IFERROR(VLOOKUP(A65,#REF!,10,0),0)+IFERROR(VLOOKUP(A65,#REF!,10,0),0)+IFERROR(VLOOKUP(A65,#REF!,10,0),0)+IFERROR(VLOOKUP(A65,#REF!,9,0),0)+IFERROR(VLOOKUP(A65,#REF!,9,0),0)+IFERROR(VLOOKUP(A65,#REF!,9,0),0)+IFERROR(VLOOKUP(A65,#REF!,9,0),0)</f>
        <v>0</v>
      </c>
      <c r="J65" s="104">
        <f>IFERROR(VLOOKUP(A65,#REF!,16,0),0)+IFERROR(VLOOKUP(A65,#REF!,26,0),0)+IFERROR(VLOOKUP(A65,#REF!,11,0),0)+IFERROR(VLOOKUP(A65,#REF!,23,0),0)+IFERROR(VLOOKUP(A65,#REF!,11,0),0)+IFERROR(VLOOKUP(A65,#REF!,11,0),0)+IFERROR(VLOOKUP(A65,#REF!,11,0),0)</f>
        <v>0</v>
      </c>
      <c r="K65" s="96" t="str">
        <f>"07.02.24"</f>
        <v>07.02.24</v>
      </c>
    </row>
    <row r="66" spans="1:11" ht="11.25" customHeight="1" outlineLevel="1">
      <c r="A66" s="89" t="n">
        <v>20388</v>
      </c>
      <c r="B66" s="114" t="s">
        <v>58</v>
      </c>
      <c r="C66" s="89" t="s">
        <v>119</v>
      </c>
      <c r="D66" s="89" t="s">
        <v>15</v>
      </c>
      <c r="E66" s="89" t="s">
        <v>120</v>
      </c>
      <c r="F66" s="102" t="n">
        <v>155028</v>
      </c>
      <c r="G66" s="102" t="n">
        <v>182933</v>
      </c>
      <c r="H66" s="103" t="s">
        <v>48</v>
      </c>
      <c r="I66" s="103">
        <f>IFERROR(VLOOKUP(A66,#REF!,15,0),0)+IFERROR(VLOOKUP(A66,#REF!,25,0),0)+IFERROR(VLOOKUP(A66,#REF!,10,0),0)+IFERROR(VLOOKUP(A66,#REF!,14,0),0)+IFERROR(VLOOKUP(A66,#REF!,10,0),0)+IFERROR(VLOOKUP(A66,#REF!,10,0),0)+IFERROR(VLOOKUP(A66,#REF!,10,0),0)+IFERROR(VLOOKUP(A66,#REF!,9,0),0)+IFERROR(VLOOKUP(A66,#REF!,9,0),0)+IFERROR(VLOOKUP(A66,#REF!,9,0),0)+IFERROR(VLOOKUP(A66,#REF!,9,0),0)</f>
        <v>0</v>
      </c>
      <c r="J66" s="104">
        <f>IFERROR(VLOOKUP(A66,#REF!,16,0),0)+IFERROR(VLOOKUP(A66,#REF!,26,0),0)+IFERROR(VLOOKUP(A66,#REF!,11,0),0)+IFERROR(VLOOKUP(A66,#REF!,23,0),0)+IFERROR(VLOOKUP(A66,#REF!,11,0),0)+IFERROR(VLOOKUP(A66,#REF!,11,0),0)+IFERROR(VLOOKUP(A66,#REF!,11,0),0)</f>
        <v>0</v>
      </c>
      <c r="K66" s="96" t="str">
        <f>"07.02.24"</f>
        <v>07.02.24</v>
      </c>
    </row>
    <row r="67" spans="1:11" ht="11.25" customHeight="1" outlineLevel="1">
      <c r="A67" s="89" t="n">
        <v>7088740</v>
      </c>
      <c r="B67" s="114" t="s">
        <v>58</v>
      </c>
      <c r="C67" s="89" t="s">
        <v>121</v>
      </c>
      <c r="D67" s="89" t="s">
        <v>15</v>
      </c>
      <c r="E67" s="89" t="s">
        <v>122</v>
      </c>
      <c r="F67" s="102" t="n">
        <v>256899</v>
      </c>
      <c r="G67" s="102" t="n">
        <v>295434</v>
      </c>
      <c r="H67" s="103" t="s">
        <v>48</v>
      </c>
      <c r="I67" s="103">
        <f>IFERROR(VLOOKUP(A67,#REF!,15,0),0)+IFERROR(VLOOKUP(A67,#REF!,25,0),0)+IFERROR(VLOOKUP(A67,#REF!,10,0),0)+IFERROR(VLOOKUP(A67,#REF!,14,0),0)+IFERROR(VLOOKUP(A67,#REF!,10,0),0)+IFERROR(VLOOKUP(A67,#REF!,10,0),0)+IFERROR(VLOOKUP(A67,#REF!,10,0),0)+IFERROR(VLOOKUP(A67,#REF!,9,0),0)+IFERROR(VLOOKUP(A67,#REF!,9,0),0)+IFERROR(VLOOKUP(A67,#REF!,9,0),0)+IFERROR(VLOOKUP(A67,#REF!,9,0),0)</f>
        <v>0</v>
      </c>
      <c r="J67" s="104">
        <f>IFERROR(VLOOKUP(A67,#REF!,16,0),0)+IFERROR(VLOOKUP(A67,#REF!,26,0),0)+IFERROR(VLOOKUP(A67,#REF!,11,0),0)+IFERROR(VLOOKUP(A67,#REF!,23,0),0)+IFERROR(VLOOKUP(A67,#REF!,11,0),0)+IFERROR(VLOOKUP(A67,#REF!,11,0),0)+IFERROR(VLOOKUP(A67,#REF!,11,0),0)</f>
        <v>0</v>
      </c>
      <c r="K67" s="96" t="str">
        <f>"07.02.24"</f>
        <v>07.02.24</v>
      </c>
    </row>
    <row r="68" spans="1:11" ht="11.25" customHeight="1" outlineLevel="1">
      <c r="A68" s="89" t="n">
        <v>8096200</v>
      </c>
      <c r="B68" s="114" t="s">
        <v>58</v>
      </c>
      <c r="C68" s="89" t="s">
        <v>123</v>
      </c>
      <c r="D68" s="89" t="s">
        <v>15</v>
      </c>
      <c r="E68" s="89" t="s">
        <v>124</v>
      </c>
      <c r="F68" s="102" t="n">
        <v>216688</v>
      </c>
      <c r="G68" s="102" t="n">
        <v>251358</v>
      </c>
      <c r="H68" s="103" t="s">
        <v>17</v>
      </c>
      <c r="I68" s="103">
        <f>IFERROR(VLOOKUP(A68,#REF!,15,0),0)+IFERROR(VLOOKUP(A68,#REF!,25,0),0)+IFERROR(VLOOKUP(A68,#REF!,10,0),0)+IFERROR(VLOOKUP(A68,#REF!,14,0),0)+IFERROR(VLOOKUP(A68,#REF!,10,0),0)+IFERROR(VLOOKUP(A68,#REF!,10,0),0)+IFERROR(VLOOKUP(A68,#REF!,10,0),0)+IFERROR(VLOOKUP(A68,#REF!,9,0),0)+IFERROR(VLOOKUP(A68,#REF!,9,0),0)+IFERROR(VLOOKUP(A68,#REF!,9,0),0)+IFERROR(VLOOKUP(A68,#REF!,9,0),0)</f>
        <v>0</v>
      </c>
      <c r="J68" s="104">
        <f>IFERROR(VLOOKUP(A68,#REF!,16,0),0)+IFERROR(VLOOKUP(A68,#REF!,26,0),0)+IFERROR(VLOOKUP(A68,#REF!,11,0),0)+IFERROR(VLOOKUP(A68,#REF!,23,0),0)+IFERROR(VLOOKUP(A68,#REF!,11,0),0)+IFERROR(VLOOKUP(A68,#REF!,11,0),0)+IFERROR(VLOOKUP(A68,#REF!,11,0),0)</f>
        <v>0</v>
      </c>
      <c r="K68" s="96" t="str">
        <f>"07.02.24"</f>
        <v>07.02.24</v>
      </c>
    </row>
    <row r="69" spans="1:11" ht="11.25" customHeight="1" outlineLevel="1">
      <c r="A69" s="89" t="n">
        <v>8096450</v>
      </c>
      <c r="B69" s="114" t="s">
        <v>58</v>
      </c>
      <c r="C69" s="89" t="s">
        <v>125</v>
      </c>
      <c r="D69" s="89" t="s">
        <v>15</v>
      </c>
      <c r="E69" s="89" t="s">
        <v>126</v>
      </c>
      <c r="F69" s="102" t="n">
        <v>58691</v>
      </c>
      <c r="G69" s="102" t="n">
        <v>69255</v>
      </c>
      <c r="H69" s="103" t="s">
        <v>17</v>
      </c>
      <c r="I69" s="103">
        <f>IFERROR(VLOOKUP(A69,#REF!,15,0),0)+IFERROR(VLOOKUP(A69,#REF!,25,0),0)+IFERROR(VLOOKUP(A69,#REF!,10,0),0)+IFERROR(VLOOKUP(A69,#REF!,14,0),0)+IFERROR(VLOOKUP(A69,#REF!,10,0),0)+IFERROR(VLOOKUP(A69,#REF!,10,0),0)+IFERROR(VLOOKUP(A69,#REF!,10,0),0)+IFERROR(VLOOKUP(A69,#REF!,9,0),0)+IFERROR(VLOOKUP(A69,#REF!,9,0),0)+IFERROR(VLOOKUP(A69,#REF!,9,0),0)+IFERROR(VLOOKUP(A69,#REF!,9,0),0)</f>
        <v>0</v>
      </c>
      <c r="J69" s="104">
        <f>IFERROR(VLOOKUP(A69,#REF!,16,0),0)+IFERROR(VLOOKUP(A69,#REF!,26,0),0)+IFERROR(VLOOKUP(A69,#REF!,11,0),0)+IFERROR(VLOOKUP(A69,#REF!,23,0),0)+IFERROR(VLOOKUP(A69,#REF!,11,0),0)+IFERROR(VLOOKUP(A69,#REF!,11,0),0)+IFERROR(VLOOKUP(A69,#REF!,11,0),0)</f>
        <v>0</v>
      </c>
      <c r="K69" s="96" t="str">
        <f>"07.02.24"</f>
        <v>07.02.24</v>
      </c>
    </row>
    <row r="70" spans="1:11" ht="11.25" customHeight="1" outlineLevel="1">
      <c r="A70" s="89" t="n">
        <v>8096460</v>
      </c>
      <c r="B70" s="114" t="s">
        <v>58</v>
      </c>
      <c r="C70" s="89" t="s">
        <v>127</v>
      </c>
      <c r="D70" s="89" t="s">
        <v>15</v>
      </c>
      <c r="E70" s="89" t="s">
        <v>128</v>
      </c>
      <c r="F70" s="102" t="n">
        <v>62854</v>
      </c>
      <c r="G70" s="102" t="n">
        <v>74167</v>
      </c>
      <c r="H70" s="103" t="s">
        <v>17</v>
      </c>
      <c r="I70" s="103">
        <f>IFERROR(VLOOKUP(A70,#REF!,15,0),0)+IFERROR(VLOOKUP(A70,#REF!,25,0),0)+IFERROR(VLOOKUP(A70,#REF!,10,0),0)+IFERROR(VLOOKUP(A70,#REF!,14,0),0)+IFERROR(VLOOKUP(A70,#REF!,10,0),0)+IFERROR(VLOOKUP(A70,#REF!,10,0),0)+IFERROR(VLOOKUP(A70,#REF!,10,0),0)+IFERROR(VLOOKUP(A70,#REF!,9,0),0)+IFERROR(VLOOKUP(A70,#REF!,9,0),0)+IFERROR(VLOOKUP(A70,#REF!,9,0),0)+IFERROR(VLOOKUP(A70,#REF!,9,0),0)</f>
        <v>0</v>
      </c>
      <c r="J70" s="104">
        <f>IFERROR(VLOOKUP(A70,#REF!,16,0),0)+IFERROR(VLOOKUP(A70,#REF!,26,0),0)+IFERROR(VLOOKUP(A70,#REF!,11,0),0)+IFERROR(VLOOKUP(A70,#REF!,23,0),0)+IFERROR(VLOOKUP(A70,#REF!,11,0),0)+IFERROR(VLOOKUP(A70,#REF!,11,0),0)+IFERROR(VLOOKUP(A70,#REF!,11,0),0)</f>
        <v>0</v>
      </c>
      <c r="K70" s="96" t="str">
        <f>"07.02.24"</f>
        <v>07.02.24</v>
      </c>
    </row>
    <row r="71" spans="1:11" ht="12" customHeight="1" outlineLevel="1">
      <c r="A71" s="89" t="n">
        <v>8087450</v>
      </c>
      <c r="B71" s="114" t="s">
        <v>58</v>
      </c>
      <c r="C71" s="89" t="s">
        <v>129</v>
      </c>
      <c r="D71" s="89" t="s">
        <v>15</v>
      </c>
      <c r="E71" s="89" t="s">
        <v>130</v>
      </c>
      <c r="F71" s="102" t="n">
        <v>194451</v>
      </c>
      <c r="G71" s="102" t="n">
        <v>223619</v>
      </c>
      <c r="H71" s="103" t="s">
        <v>17</v>
      </c>
      <c r="I71" s="103">
        <f>IFERROR(VLOOKUP(A71,#REF!,15,0),0)+IFERROR(VLOOKUP(A71,#REF!,25,0),0)+IFERROR(VLOOKUP(A71,#REF!,10,0),0)+IFERROR(VLOOKUP(A71,#REF!,14,0),0)+IFERROR(VLOOKUP(A71,#REF!,10,0),0)+IFERROR(VLOOKUP(A71,#REF!,10,0),0)+IFERROR(VLOOKUP(A71,#REF!,10,0),0)+IFERROR(VLOOKUP(A71,#REF!,9,0),0)+IFERROR(VLOOKUP(A71,#REF!,9,0),0)+IFERROR(VLOOKUP(A71,#REF!,9,0),0)+IFERROR(VLOOKUP(A71,#REF!,9,0),0)</f>
        <v>0</v>
      </c>
      <c r="J71" s="104">
        <f>IFERROR(VLOOKUP(A71,#REF!,16,0),0)+IFERROR(VLOOKUP(A71,#REF!,26,0),0)+IFERROR(VLOOKUP(A71,#REF!,11,0),0)+IFERROR(VLOOKUP(A71,#REF!,23,0),0)+IFERROR(VLOOKUP(A71,#REF!,11,0),0)+IFERROR(VLOOKUP(A71,#REF!,11,0),0)+IFERROR(VLOOKUP(A71,#REF!,11,0),0)</f>
        <v>0</v>
      </c>
      <c r="K71" s="96" t="str">
        <f>"07.02.24"</f>
        <v>07.02.24</v>
      </c>
    </row>
    <row r="72" spans="1:11" ht="11.25" customHeight="1" outlineLevel="1">
      <c r="A72" s="89" t="n">
        <v>8789980</v>
      </c>
      <c r="B72" s="114" t="s">
        <v>58</v>
      </c>
      <c r="C72" s="89" t="s">
        <v>131</v>
      </c>
      <c r="D72" s="89" t="s">
        <v>15</v>
      </c>
      <c r="E72" s="89" t="s">
        <v>132</v>
      </c>
      <c r="F72" s="102" t="n">
        <v>163278</v>
      </c>
      <c r="G72" s="102" t="n">
        <v>189403</v>
      </c>
      <c r="H72" s="103" t="s">
        <v>17</v>
      </c>
      <c r="I72" s="103">
        <f>IFERROR(VLOOKUP(A72,#REF!,15,0),0)+IFERROR(VLOOKUP(A72,#REF!,25,0),0)+IFERROR(VLOOKUP(A72,#REF!,10,0),0)+IFERROR(VLOOKUP(A72,#REF!,14,0),0)+IFERROR(VLOOKUP(A72,#REF!,10,0),0)+IFERROR(VLOOKUP(A72,#REF!,10,0),0)+IFERROR(VLOOKUP(A72,#REF!,10,0),0)+IFERROR(VLOOKUP(A72,#REF!,9,0),0)+IFERROR(VLOOKUP(A72,#REF!,9,0),0)+IFERROR(VLOOKUP(A72,#REF!,9,0),0)+IFERROR(VLOOKUP(A72,#REF!,9,0),0)</f>
        <v>0</v>
      </c>
      <c r="J72" s="104">
        <f>IFERROR(VLOOKUP(A72,#REF!,16,0),0)+IFERROR(VLOOKUP(A72,#REF!,26,0),0)+IFERROR(VLOOKUP(A72,#REF!,11,0),0)+IFERROR(VLOOKUP(A72,#REF!,23,0),0)+IFERROR(VLOOKUP(A72,#REF!,11,0),0)+IFERROR(VLOOKUP(A72,#REF!,11,0),0)+IFERROR(VLOOKUP(A72,#REF!,11,0),0)</f>
        <v>0</v>
      </c>
      <c r="K72" s="96" t="str">
        <f>"07.02.24"</f>
        <v>07.02.24</v>
      </c>
    </row>
    <row r="73" spans="1:11" ht="11.25" customHeight="1" outlineLevel="1">
      <c r="A73" s="88" t="s">
        <v>133</v>
      </c>
      <c r="B73" s="115"/>
      <c r="C73" s="88"/>
      <c r="D73" s="88"/>
      <c r="E73" s="88"/>
      <c r="F73" s="88"/>
      <c r="G73" s="88"/>
      <c r="H73" s="106"/>
      <c r="I73" s="106"/>
      <c r="J73" s="107"/>
      <c r="K73" s="96" t="str">
        <f>"07.02.24"</f>
        <v>07.02.24</v>
      </c>
    </row>
    <row r="74" spans="1:11" ht="11.25" customHeight="1" outlineLevel="1">
      <c r="A74" s="89" t="n">
        <v>7065480</v>
      </c>
      <c r="B74" s="114" t="s">
        <v>58</v>
      </c>
      <c r="C74" s="89" t="s">
        <v>134</v>
      </c>
      <c r="D74" s="89" t="s">
        <v>15</v>
      </c>
      <c r="E74" s="89" t="s">
        <v>135</v>
      </c>
      <c r="F74" s="102" t="n">
        <v>352347</v>
      </c>
      <c r="G74" s="102" t="n">
        <v>415770</v>
      </c>
      <c r="H74" s="103" t="s">
        <v>17</v>
      </c>
      <c r="I74" s="103">
        <f>IFERROR(VLOOKUP(A74,#REF!,15,0),0)+IFERROR(VLOOKUP(A74,#REF!,25,0),0)+IFERROR(VLOOKUP(A74,#REF!,10,0),0)+IFERROR(VLOOKUP(A74,#REF!,14,0),0)+IFERROR(VLOOKUP(A74,#REF!,10,0),0)+IFERROR(VLOOKUP(A74,#REF!,10,0),0)+IFERROR(VLOOKUP(A74,#REF!,10,0),0)+IFERROR(VLOOKUP(A74,#REF!,9,0),0)+IFERROR(VLOOKUP(A74,#REF!,9,0),0)+IFERROR(VLOOKUP(A74,#REF!,9,0),0)+IFERROR(VLOOKUP(A74,#REF!,9,0),0)</f>
        <v>0</v>
      </c>
      <c r="J74" s="104">
        <f>IFERROR(VLOOKUP(A74,#REF!,16,0),0)+IFERROR(VLOOKUP(A74,#REF!,26,0),0)+IFERROR(VLOOKUP(A74,#REF!,11,0),0)+IFERROR(VLOOKUP(A74,#REF!,23,0),0)+IFERROR(VLOOKUP(A74,#REF!,11,0),0)+IFERROR(VLOOKUP(A74,#REF!,11,0),0)+IFERROR(VLOOKUP(A74,#REF!,11,0),0)</f>
        <v>0</v>
      </c>
      <c r="K74" s="96" t="str">
        <f>"07.02.24"</f>
        <v>07.02.24</v>
      </c>
    </row>
    <row r="75" spans="1:11" ht="11.25" customHeight="1" outlineLevel="1">
      <c r="A75" s="89" t="n">
        <v>7025230</v>
      </c>
      <c r="B75" s="114" t="s">
        <v>58</v>
      </c>
      <c r="C75" s="89" t="s">
        <v>136</v>
      </c>
      <c r="D75" s="89" t="s">
        <v>15</v>
      </c>
      <c r="E75" s="89" t="s">
        <v>137</v>
      </c>
      <c r="F75" s="102" t="n">
        <v>365446</v>
      </c>
      <c r="G75" s="102" t="n">
        <v>431226</v>
      </c>
      <c r="H75" s="103" t="s">
        <v>17</v>
      </c>
      <c r="I75" s="103">
        <f>IFERROR(VLOOKUP(A75,#REF!,15,0),0)+IFERROR(VLOOKUP(A75,#REF!,25,0),0)+IFERROR(VLOOKUP(A75,#REF!,10,0),0)+IFERROR(VLOOKUP(A75,#REF!,14,0),0)+IFERROR(VLOOKUP(A75,#REF!,10,0),0)+IFERROR(VLOOKUP(A75,#REF!,10,0),0)+IFERROR(VLOOKUP(A75,#REF!,10,0),0)+IFERROR(VLOOKUP(A75,#REF!,9,0),0)+IFERROR(VLOOKUP(A75,#REF!,9,0),0)+IFERROR(VLOOKUP(A75,#REF!,9,0),0)+IFERROR(VLOOKUP(A75,#REF!,9,0),0)</f>
        <v>0</v>
      </c>
      <c r="J75" s="104">
        <f>IFERROR(VLOOKUP(A75,#REF!,16,0),0)+IFERROR(VLOOKUP(A75,#REF!,26,0),0)+IFERROR(VLOOKUP(A75,#REF!,11,0),0)+IFERROR(VLOOKUP(A75,#REF!,23,0),0)+IFERROR(VLOOKUP(A75,#REF!,11,0),0)+IFERROR(VLOOKUP(A75,#REF!,11,0),0)+IFERROR(VLOOKUP(A75,#REF!,11,0),0)</f>
        <v>0</v>
      </c>
      <c r="K75" s="96" t="str">
        <f>"07.02.24"</f>
        <v>07.02.24</v>
      </c>
    </row>
    <row r="76" spans="1:11" ht="11.25" customHeight="1" outlineLevel="1">
      <c r="A76" s="89" t="n">
        <v>7065490</v>
      </c>
      <c r="B76" s="114" t="s">
        <v>58</v>
      </c>
      <c r="C76" s="89" t="s">
        <v>138</v>
      </c>
      <c r="D76" s="89" t="s">
        <v>15</v>
      </c>
      <c r="E76" s="89" t="s">
        <v>139</v>
      </c>
      <c r="F76" s="102" t="n">
        <v>393979</v>
      </c>
      <c r="G76" s="102" t="n">
        <v>464895</v>
      </c>
      <c r="H76" s="103" t="s">
        <v>17</v>
      </c>
      <c r="I76" s="103">
        <f>IFERROR(VLOOKUP(A76,#REF!,15,0),0)+IFERROR(VLOOKUP(A76,#REF!,25,0),0)+IFERROR(VLOOKUP(A76,#REF!,10,0),0)+IFERROR(VLOOKUP(A76,#REF!,14,0),0)+IFERROR(VLOOKUP(A76,#REF!,10,0),0)+IFERROR(VLOOKUP(A76,#REF!,10,0),0)+IFERROR(VLOOKUP(A76,#REF!,10,0),0)+IFERROR(VLOOKUP(A76,#REF!,9,0),0)+IFERROR(VLOOKUP(A76,#REF!,9,0),0)+IFERROR(VLOOKUP(A76,#REF!,9,0),0)+IFERROR(VLOOKUP(A76,#REF!,9,0),0)</f>
        <v>0</v>
      </c>
      <c r="J76" s="104">
        <f>IFERROR(VLOOKUP(A76,#REF!,16,0),0)+IFERROR(VLOOKUP(A76,#REF!,26,0),0)+IFERROR(VLOOKUP(A76,#REF!,11,0),0)+IFERROR(VLOOKUP(A76,#REF!,23,0),0)+IFERROR(VLOOKUP(A76,#REF!,11,0),0)+IFERROR(VLOOKUP(A76,#REF!,11,0),0)+IFERROR(VLOOKUP(A76,#REF!,11,0),0)</f>
        <v>0</v>
      </c>
      <c r="K76" s="96" t="str">
        <f>"07.02.24"</f>
        <v>07.02.24</v>
      </c>
    </row>
    <row r="77" spans="1:11" ht="11.25" customHeight="1" outlineLevel="1">
      <c r="A77" s="88" t="s">
        <v>140</v>
      </c>
      <c r="B77" s="115"/>
      <c r="C77" s="88"/>
      <c r="D77" s="88"/>
      <c r="E77" s="88"/>
      <c r="F77" s="88"/>
      <c r="G77" s="88"/>
      <c r="H77" s="106"/>
      <c r="I77" s="106"/>
      <c r="J77" s="107"/>
      <c r="K77" s="96" t="str">
        <f>"07.02.24"</f>
        <v>07.02.24</v>
      </c>
    </row>
    <row r="78" spans="1:11" ht="11.25" customHeight="1" outlineLevel="1">
      <c r="A78" s="89" t="n">
        <v>22865</v>
      </c>
      <c r="B78" s="114" t="s">
        <v>58</v>
      </c>
      <c r="C78" s="89" t="s">
        <v>141</v>
      </c>
      <c r="D78" s="89" t="s">
        <v>15</v>
      </c>
      <c r="E78" s="89" t="s">
        <v>142</v>
      </c>
      <c r="F78" s="102" t="n">
        <v>62143</v>
      </c>
      <c r="G78" s="102" t="n">
        <v>73329</v>
      </c>
      <c r="H78" s="103" t="s">
        <v>48</v>
      </c>
      <c r="I78" s="103">
        <f>IFERROR(VLOOKUP(A78,#REF!,15,0),0)+IFERROR(VLOOKUP(A78,#REF!,25,0),0)+IFERROR(VLOOKUP(A78,#REF!,10,0),0)+IFERROR(VLOOKUP(A78,#REF!,14,0),0)+IFERROR(VLOOKUP(A78,#REF!,10,0),0)+IFERROR(VLOOKUP(A78,#REF!,10,0),0)+IFERROR(VLOOKUP(A78,#REF!,10,0),0)+IFERROR(VLOOKUP(A78,#REF!,9,0),0)+IFERROR(VLOOKUP(A78,#REF!,9,0),0)+IFERROR(VLOOKUP(A78,#REF!,9,0),0)+IFERROR(VLOOKUP(A78,#REF!,9,0),0)</f>
        <v>0</v>
      </c>
      <c r="J78" s="104">
        <f>IFERROR(VLOOKUP(A78,#REF!,16,0),0)+IFERROR(VLOOKUP(A78,#REF!,26,0),0)+IFERROR(VLOOKUP(A78,#REF!,11,0),0)+IFERROR(VLOOKUP(A78,#REF!,23,0),0)+IFERROR(VLOOKUP(A78,#REF!,11,0),0)+IFERROR(VLOOKUP(A78,#REF!,11,0),0)+IFERROR(VLOOKUP(A78,#REF!,11,0),0)</f>
        <v>0</v>
      </c>
      <c r="K78" s="96" t="str">
        <f>"07.02.24"</f>
        <v>07.02.24</v>
      </c>
    </row>
    <row r="79" spans="1:11" ht="11.25" customHeight="1" outlineLevel="1">
      <c r="A79" s="89" t="n">
        <v>20383</v>
      </c>
      <c r="B79" s="114" t="s">
        <v>58</v>
      </c>
      <c r="C79" s="89" t="s">
        <v>143</v>
      </c>
      <c r="D79" s="89" t="s">
        <v>15</v>
      </c>
      <c r="E79" s="89" t="s">
        <v>93</v>
      </c>
      <c r="F79" s="102" t="n">
        <v>66916</v>
      </c>
      <c r="G79" s="102" t="n">
        <v>78960</v>
      </c>
      <c r="H79" s="103" t="s">
        <v>17</v>
      </c>
      <c r="I79" s="103">
        <f>IFERROR(VLOOKUP(A79,#REF!,15,0),0)+IFERROR(VLOOKUP(A79,#REF!,25,0),0)+IFERROR(VLOOKUP(A79,#REF!,10,0),0)+IFERROR(VLOOKUP(A79,#REF!,14,0),0)+IFERROR(VLOOKUP(A79,#REF!,10,0),0)+IFERROR(VLOOKUP(A79,#REF!,10,0),0)+IFERROR(VLOOKUP(A79,#REF!,10,0),0)+IFERROR(VLOOKUP(A79,#REF!,9,0),0)+IFERROR(VLOOKUP(A79,#REF!,9,0),0)+IFERROR(VLOOKUP(A79,#REF!,9,0),0)+IFERROR(VLOOKUP(A79,#REF!,9,0),0)</f>
        <v>0</v>
      </c>
      <c r="J79" s="104">
        <f>IFERROR(VLOOKUP(A79,#REF!,16,0),0)+IFERROR(VLOOKUP(A79,#REF!,26,0),0)+IFERROR(VLOOKUP(A79,#REF!,11,0),0)+IFERROR(VLOOKUP(A79,#REF!,23,0),0)+IFERROR(VLOOKUP(A79,#REF!,11,0),0)+IFERROR(VLOOKUP(A79,#REF!,11,0),0)+IFERROR(VLOOKUP(A79,#REF!,11,0),0)</f>
        <v>0</v>
      </c>
      <c r="K79" s="96" t="str">
        <f>"07.02.24"</f>
        <v>07.02.24</v>
      </c>
    </row>
    <row r="80" spans="1:11" ht="11.25" customHeight="1" outlineLevel="1">
      <c r="A80" s="89" t="n">
        <v>21212</v>
      </c>
      <c r="B80" s="114" t="s">
        <v>58</v>
      </c>
      <c r="C80" s="89" t="s">
        <v>144</v>
      </c>
      <c r="D80" s="89" t="s">
        <v>15</v>
      </c>
      <c r="E80" s="89" t="s">
        <v>145</v>
      </c>
      <c r="F80" s="102" t="n">
        <v>78491</v>
      </c>
      <c r="G80" s="102" t="n">
        <v>92619</v>
      </c>
      <c r="H80" s="103" t="s">
        <v>17</v>
      </c>
      <c r="I80" s="103">
        <f>IFERROR(VLOOKUP(A80,#REF!,15,0),0)+IFERROR(VLOOKUP(A80,#REF!,25,0),0)+IFERROR(VLOOKUP(A80,#REF!,10,0),0)+IFERROR(VLOOKUP(A80,#REF!,14,0),0)+IFERROR(VLOOKUP(A80,#REF!,10,0),0)+IFERROR(VLOOKUP(A80,#REF!,10,0),0)+IFERROR(VLOOKUP(A80,#REF!,10,0),0)+IFERROR(VLOOKUP(A80,#REF!,9,0),0)+IFERROR(VLOOKUP(A80,#REF!,9,0),0)+IFERROR(VLOOKUP(A80,#REF!,9,0),0)+IFERROR(VLOOKUP(A80,#REF!,9,0),0)</f>
        <v>0</v>
      </c>
      <c r="J80" s="104">
        <f>IFERROR(VLOOKUP(A80,#REF!,16,0),0)+IFERROR(VLOOKUP(A80,#REF!,26,0),0)+IFERROR(VLOOKUP(A80,#REF!,11,0),0)+IFERROR(VLOOKUP(A80,#REF!,23,0),0)+IFERROR(VLOOKUP(A80,#REF!,11,0),0)+IFERROR(VLOOKUP(A80,#REF!,11,0),0)+IFERROR(VLOOKUP(A80,#REF!,11,0),0)</f>
        <v>0</v>
      </c>
      <c r="K80" s="96" t="str">
        <f>"07.02.24"</f>
        <v>07.02.24</v>
      </c>
    </row>
    <row r="81" spans="1:11" ht="11.25" customHeight="1" outlineLevel="1">
      <c r="A81" s="89" t="n">
        <v>21209</v>
      </c>
      <c r="B81" s="114" t="s">
        <v>58</v>
      </c>
      <c r="C81" s="89" t="s">
        <v>146</v>
      </c>
      <c r="D81" s="89" t="s">
        <v>15</v>
      </c>
      <c r="E81" s="89" t="s">
        <v>147</v>
      </c>
      <c r="F81" s="102" t="n">
        <v>116569</v>
      </c>
      <c r="G81" s="102" t="n">
        <v>137551</v>
      </c>
      <c r="H81" s="103" t="s">
        <v>17</v>
      </c>
      <c r="I81" s="103">
        <f>IFERROR(VLOOKUP(A81,#REF!,15,0),0)+IFERROR(VLOOKUP(A81,#REF!,25,0),0)+IFERROR(VLOOKUP(A81,#REF!,10,0),0)+IFERROR(VLOOKUP(A81,#REF!,14,0),0)+IFERROR(VLOOKUP(A81,#REF!,10,0),0)+IFERROR(VLOOKUP(A81,#REF!,10,0),0)+IFERROR(VLOOKUP(A81,#REF!,10,0),0)+IFERROR(VLOOKUP(A81,#REF!,9,0),0)+IFERROR(VLOOKUP(A81,#REF!,9,0),0)+IFERROR(VLOOKUP(A81,#REF!,9,0),0)+IFERROR(VLOOKUP(A81,#REF!,9,0),0)</f>
        <v>0</v>
      </c>
      <c r="J81" s="104">
        <f>IFERROR(VLOOKUP(A81,#REF!,16,0),0)+IFERROR(VLOOKUP(A81,#REF!,26,0),0)+IFERROR(VLOOKUP(A81,#REF!,11,0),0)+IFERROR(VLOOKUP(A81,#REF!,23,0),0)+IFERROR(VLOOKUP(A81,#REF!,11,0),0)+IFERROR(VLOOKUP(A81,#REF!,11,0),0)+IFERROR(VLOOKUP(A81,#REF!,11,0),0)</f>
        <v>0</v>
      </c>
      <c r="K81" s="96" t="str">
        <f>"07.02.24"</f>
        <v>07.02.24</v>
      </c>
    </row>
    <row r="82" spans="1:11" ht="11.25" customHeight="1" outlineLevel="1">
      <c r="A82" s="89" t="n">
        <v>21214</v>
      </c>
      <c r="B82" s="114" t="s">
        <v>58</v>
      </c>
      <c r="C82" s="89" t="s">
        <v>148</v>
      </c>
      <c r="D82" s="89" t="s">
        <v>15</v>
      </c>
      <c r="E82" s="89" t="s">
        <v>149</v>
      </c>
      <c r="F82" s="102" t="n">
        <v>132409</v>
      </c>
      <c r="G82" s="102" t="n">
        <v>156243</v>
      </c>
      <c r="H82" s="103" t="s">
        <v>17</v>
      </c>
      <c r="I82" s="103">
        <f>IFERROR(VLOOKUP(A82,#REF!,15,0),0)+IFERROR(VLOOKUP(A82,#REF!,25,0),0)+IFERROR(VLOOKUP(A82,#REF!,10,0),0)+IFERROR(VLOOKUP(A82,#REF!,14,0),0)+IFERROR(VLOOKUP(A82,#REF!,10,0),0)+IFERROR(VLOOKUP(A82,#REF!,10,0),0)+IFERROR(VLOOKUP(A82,#REF!,10,0),0)+IFERROR(VLOOKUP(A82,#REF!,9,0),0)+IFERROR(VLOOKUP(A82,#REF!,9,0),0)+IFERROR(VLOOKUP(A82,#REF!,9,0),0)+IFERROR(VLOOKUP(A82,#REF!,9,0),0)</f>
        <v>0</v>
      </c>
      <c r="J82" s="104">
        <f>IFERROR(VLOOKUP(A82,#REF!,16,0),0)+IFERROR(VLOOKUP(A82,#REF!,26,0),0)+IFERROR(VLOOKUP(A82,#REF!,11,0),0)+IFERROR(VLOOKUP(A82,#REF!,23,0),0)+IFERROR(VLOOKUP(A82,#REF!,11,0),0)+IFERROR(VLOOKUP(A82,#REF!,11,0),0)+IFERROR(VLOOKUP(A82,#REF!,11,0),0)</f>
        <v>0</v>
      </c>
      <c r="K82" s="96" t="str">
        <f>"07.02.24"</f>
        <v>07.02.24</v>
      </c>
    </row>
    <row r="83" spans="1:11" ht="11.25" customHeight="1" outlineLevel="1">
      <c r="A83" s="89" t="n">
        <v>7065470</v>
      </c>
      <c r="B83" s="114" t="s">
        <v>58</v>
      </c>
      <c r="C83" s="89" t="s">
        <v>150</v>
      </c>
      <c r="D83" s="89" t="s">
        <v>15</v>
      </c>
      <c r="E83" s="89" t="s">
        <v>151</v>
      </c>
      <c r="F83" s="102" t="n">
        <v>199020</v>
      </c>
      <c r="G83" s="102" t="n">
        <v>234844</v>
      </c>
      <c r="H83" s="103" t="s">
        <v>17</v>
      </c>
      <c r="I83" s="103">
        <f>IFERROR(VLOOKUP(A83,#REF!,15,0),0)+IFERROR(VLOOKUP(A83,#REF!,25,0),0)+IFERROR(VLOOKUP(A83,#REF!,10,0),0)+IFERROR(VLOOKUP(A83,#REF!,14,0),0)+IFERROR(VLOOKUP(A83,#REF!,10,0),0)+IFERROR(VLOOKUP(A83,#REF!,10,0),0)+IFERROR(VLOOKUP(A83,#REF!,10,0),0)+IFERROR(VLOOKUP(A83,#REF!,9,0),0)+IFERROR(VLOOKUP(A83,#REF!,9,0),0)+IFERROR(VLOOKUP(A83,#REF!,9,0),0)+IFERROR(VLOOKUP(A83,#REF!,9,0),0)</f>
        <v>0</v>
      </c>
      <c r="J83" s="104">
        <f>IFERROR(VLOOKUP(A83,#REF!,16,0),0)+IFERROR(VLOOKUP(A83,#REF!,26,0),0)+IFERROR(VLOOKUP(A83,#REF!,11,0),0)+IFERROR(VLOOKUP(A83,#REF!,23,0),0)+IFERROR(VLOOKUP(A83,#REF!,11,0),0)+IFERROR(VLOOKUP(A83,#REF!,11,0),0)+IFERROR(VLOOKUP(A83,#REF!,11,0),0)</f>
        <v>0</v>
      </c>
      <c r="K83" s="96" t="str">
        <f>"07.02.24"</f>
        <v>07.02.24</v>
      </c>
    </row>
    <row r="84" spans="1:11" ht="11.25" customHeight="1" outlineLevel="1">
      <c r="A84" s="88" t="s">
        <v>152</v>
      </c>
      <c r="B84" s="115"/>
      <c r="C84" s="88"/>
      <c r="D84" s="88"/>
      <c r="E84" s="88"/>
      <c r="F84" s="88"/>
      <c r="G84" s="88"/>
      <c r="H84" s="106"/>
      <c r="I84" s="106"/>
      <c r="J84" s="107"/>
      <c r="K84" s="96" t="str">
        <f>"07.02.24"</f>
        <v>07.02.24</v>
      </c>
    </row>
    <row r="85" spans="1:11" ht="11.25" customHeight="1" outlineLevel="1">
      <c r="A85" s="89" t="n">
        <v>8889990</v>
      </c>
      <c r="B85" s="114" t="s">
        <v>58</v>
      </c>
      <c r="C85" s="89" t="s">
        <v>153</v>
      </c>
      <c r="D85" s="89" t="s">
        <v>15</v>
      </c>
      <c r="E85" s="89"/>
      <c r="F85" s="102" t="n">
        <v>170589</v>
      </c>
      <c r="G85" s="102" t="n">
        <v>201295</v>
      </c>
      <c r="H85" s="103" t="s">
        <v>17</v>
      </c>
      <c r="I85" s="103">
        <f>IFERROR(VLOOKUP(A85,#REF!,15,0),0)+IFERROR(VLOOKUP(A85,#REF!,25,0),0)+IFERROR(VLOOKUP(A85,#REF!,10,0),0)+IFERROR(VLOOKUP(A85,#REF!,14,0),0)+IFERROR(VLOOKUP(A85,#REF!,10,0),0)+IFERROR(VLOOKUP(A85,#REF!,10,0),0)+IFERROR(VLOOKUP(A85,#REF!,10,0),0)+IFERROR(VLOOKUP(A85,#REF!,9,0),0)+IFERROR(VLOOKUP(A85,#REF!,9,0),0)+IFERROR(VLOOKUP(A85,#REF!,9,0),0)+IFERROR(VLOOKUP(A85,#REF!,9,0),0)</f>
        <v>0</v>
      </c>
      <c r="J85" s="104">
        <f>IFERROR(VLOOKUP(A85,#REF!,16,0),0)+IFERROR(VLOOKUP(A85,#REF!,26,0),0)+IFERROR(VLOOKUP(A85,#REF!,11,0),0)+IFERROR(VLOOKUP(A85,#REF!,23,0),0)+IFERROR(VLOOKUP(A85,#REF!,11,0),0)+IFERROR(VLOOKUP(A85,#REF!,11,0),0)+IFERROR(VLOOKUP(A85,#REF!,11,0),0)</f>
        <v>0</v>
      </c>
      <c r="K85" s="96" t="str">
        <f>"07.02.24"</f>
        <v>07.02.24</v>
      </c>
    </row>
    <row r="86" spans="1:11" ht="11.25" customHeight="1" outlineLevel="1">
      <c r="A86" s="89" t="n">
        <v>952180</v>
      </c>
      <c r="B86" s="114" t="s">
        <v>58</v>
      </c>
      <c r="C86" s="89" t="s">
        <v>154</v>
      </c>
      <c r="D86" s="89" t="s">
        <v>15</v>
      </c>
      <c r="E86" s="89" t="s">
        <v>155</v>
      </c>
      <c r="F86" s="102" t="n">
        <v>145305</v>
      </c>
      <c r="G86" s="102" t="n">
        <v>171460</v>
      </c>
      <c r="H86" s="103" t="s">
        <v>17</v>
      </c>
      <c r="I86" s="103">
        <f>IFERROR(VLOOKUP(A86,#REF!,15,0),0)+IFERROR(VLOOKUP(A86,#REF!,25,0),0)+IFERROR(VLOOKUP(A86,#REF!,10,0),0)+IFERROR(VLOOKUP(A86,#REF!,14,0),0)+IFERROR(VLOOKUP(A86,#REF!,10,0),0)+IFERROR(VLOOKUP(A86,#REF!,10,0),0)+IFERROR(VLOOKUP(A86,#REF!,10,0),0)+IFERROR(VLOOKUP(A86,#REF!,9,0),0)+IFERROR(VLOOKUP(A86,#REF!,9,0),0)+IFERROR(VLOOKUP(A86,#REF!,9,0),0)+IFERROR(VLOOKUP(A86,#REF!,9,0),0)</f>
        <v>0</v>
      </c>
      <c r="J86" s="104">
        <f>IFERROR(VLOOKUP(A86,#REF!,16,0),0)+IFERROR(VLOOKUP(A86,#REF!,26,0),0)+IFERROR(VLOOKUP(A86,#REF!,11,0),0)+IFERROR(VLOOKUP(A86,#REF!,23,0),0)+IFERROR(VLOOKUP(A86,#REF!,11,0),0)+IFERROR(VLOOKUP(A86,#REF!,11,0),0)+IFERROR(VLOOKUP(A86,#REF!,11,0),0)</f>
        <v>0</v>
      </c>
      <c r="K86" s="96" t="str">
        <f>"07.02.24"</f>
        <v>07.02.24</v>
      </c>
    </row>
    <row r="87" spans="1:11" ht="11.25" customHeight="1" outlineLevel="1">
      <c r="A87" s="89" t="n">
        <v>1164840</v>
      </c>
      <c r="B87" s="114" t="s">
        <v>58</v>
      </c>
      <c r="C87" s="89" t="s">
        <v>156</v>
      </c>
      <c r="D87" s="89" t="s">
        <v>15</v>
      </c>
      <c r="E87" s="89" t="n">
        <v>0</v>
      </c>
      <c r="F87" s="102" t="n">
        <v>241160</v>
      </c>
      <c r="G87" s="102" t="n">
        <v>284569</v>
      </c>
      <c r="H87" s="103" t="s">
        <v>17</v>
      </c>
      <c r="I87" s="103">
        <f>IFERROR(VLOOKUP(A87,#REF!,15,0),0)+IFERROR(VLOOKUP(A87,#REF!,25,0),0)+IFERROR(VLOOKUP(A87,#REF!,10,0),0)+IFERROR(VLOOKUP(A87,#REF!,14,0),0)+IFERROR(VLOOKUP(A87,#REF!,10,0),0)+IFERROR(VLOOKUP(A87,#REF!,10,0),0)+IFERROR(VLOOKUP(A87,#REF!,10,0),0)+IFERROR(VLOOKUP(A87,#REF!,9,0),0)+IFERROR(VLOOKUP(A87,#REF!,9,0),0)+IFERROR(VLOOKUP(A87,#REF!,9,0),0)+IFERROR(VLOOKUP(A87,#REF!,9,0),0)</f>
        <v>0</v>
      </c>
      <c r="J87" s="104">
        <f>IFERROR(VLOOKUP(A87,#REF!,16,0),0)+IFERROR(VLOOKUP(A87,#REF!,26,0),0)+IFERROR(VLOOKUP(A87,#REF!,11,0),0)+IFERROR(VLOOKUP(A87,#REF!,23,0),0)+IFERROR(VLOOKUP(A87,#REF!,11,0),0)+IFERROR(VLOOKUP(A87,#REF!,11,0),0)+IFERROR(VLOOKUP(A87,#REF!,11,0),0)</f>
        <v>0</v>
      </c>
      <c r="K87" s="96" t="str">
        <f>"07.02.24"</f>
        <v>07.02.24</v>
      </c>
    </row>
    <row r="88" spans="1:11" ht="11.25" customHeight="1" outlineLevel="1">
      <c r="A88" s="89" t="n">
        <v>952150</v>
      </c>
      <c r="B88" s="114" t="s">
        <v>58</v>
      </c>
      <c r="C88" s="89" t="s">
        <v>157</v>
      </c>
      <c r="D88" s="89" t="s">
        <v>15</v>
      </c>
      <c r="E88" s="89" t="s">
        <v>158</v>
      </c>
      <c r="F88" s="102" t="n">
        <v>260453</v>
      </c>
      <c r="G88" s="102" t="n">
        <v>307334</v>
      </c>
      <c r="H88" s="103" t="s">
        <v>17</v>
      </c>
      <c r="I88" s="103">
        <f>IFERROR(VLOOKUP(A88,#REF!,15,0),0)+IFERROR(VLOOKUP(A88,#REF!,25,0),0)+IFERROR(VLOOKUP(A88,#REF!,10,0),0)+IFERROR(VLOOKUP(A88,#REF!,14,0),0)+IFERROR(VLOOKUP(A88,#REF!,10,0),0)+IFERROR(VLOOKUP(A88,#REF!,10,0),0)+IFERROR(VLOOKUP(A88,#REF!,10,0),0)+IFERROR(VLOOKUP(A88,#REF!,9,0),0)+IFERROR(VLOOKUP(A88,#REF!,9,0),0)+IFERROR(VLOOKUP(A88,#REF!,9,0),0)+IFERROR(VLOOKUP(A88,#REF!,9,0),0)</f>
        <v>0</v>
      </c>
      <c r="J88" s="104">
        <f>IFERROR(VLOOKUP(A88,#REF!,16,0),0)+IFERROR(VLOOKUP(A88,#REF!,26,0),0)+IFERROR(VLOOKUP(A88,#REF!,11,0),0)+IFERROR(VLOOKUP(A88,#REF!,23,0),0)+IFERROR(VLOOKUP(A88,#REF!,11,0),0)+IFERROR(VLOOKUP(A88,#REF!,11,0),0)+IFERROR(VLOOKUP(A88,#REF!,11,0),0)</f>
        <v>0</v>
      </c>
      <c r="K88" s="96" t="str">
        <f>"07.02.24"</f>
        <v>07.02.24</v>
      </c>
    </row>
    <row r="89" spans="1:11" ht="11.25" customHeight="1" outlineLevel="1">
      <c r="A89" s="88" t="s">
        <v>53</v>
      </c>
      <c r="B89" s="115"/>
      <c r="C89" s="88"/>
      <c r="D89" s="88"/>
      <c r="E89" s="88"/>
      <c r="F89" s="88"/>
      <c r="G89" s="88"/>
      <c r="H89" s="106"/>
      <c r="I89" s="106"/>
      <c r="J89" s="107"/>
      <c r="K89" s="96" t="str">
        <f>"07.02.24"</f>
        <v>07.02.24</v>
      </c>
    </row>
    <row r="90" spans="1:11" ht="11.25" customHeight="1" outlineLevel="1">
      <c r="A90" s="89" t="n">
        <v>8084880</v>
      </c>
      <c r="B90" s="114" t="s">
        <v>58</v>
      </c>
      <c r="C90" s="89" t="s">
        <v>159</v>
      </c>
      <c r="D90" s="89" t="s">
        <v>15</v>
      </c>
      <c r="E90" s="89" t="s">
        <v>160</v>
      </c>
      <c r="F90" s="102" t="n">
        <v>34219</v>
      </c>
      <c r="G90" s="102" t="n">
        <v>40379</v>
      </c>
      <c r="H90" s="103" t="s">
        <v>48</v>
      </c>
      <c r="I90" s="103">
        <f>IFERROR(VLOOKUP(A90,#REF!,15,0),0)+IFERROR(VLOOKUP(A90,#REF!,25,0),0)+IFERROR(VLOOKUP(A90,#REF!,10,0),0)+IFERROR(VLOOKUP(A90,#REF!,14,0),0)+IFERROR(VLOOKUP(A90,#REF!,10,0),0)+IFERROR(VLOOKUP(A90,#REF!,10,0),0)+IFERROR(VLOOKUP(A90,#REF!,10,0),0)+IFERROR(VLOOKUP(A90,#REF!,9,0),0)+IFERROR(VLOOKUP(A90,#REF!,9,0),0)+IFERROR(VLOOKUP(A90,#REF!,9,0),0)+IFERROR(VLOOKUP(A90,#REF!,9,0),0)</f>
        <v>0</v>
      </c>
      <c r="J90" s="104">
        <f>IFERROR(VLOOKUP(A90,#REF!,16,0),0)+IFERROR(VLOOKUP(A90,#REF!,26,0),0)+IFERROR(VLOOKUP(A90,#REF!,11,0),0)+IFERROR(VLOOKUP(A90,#REF!,23,0),0)+IFERROR(VLOOKUP(A90,#REF!,11,0),0)+IFERROR(VLOOKUP(A90,#REF!,11,0),0)+IFERROR(VLOOKUP(A90,#REF!,11,0),0)</f>
        <v>0</v>
      </c>
      <c r="K90" s="96" t="str">
        <f>"07.02.24"</f>
        <v>07.02.24</v>
      </c>
    </row>
    <row r="91" spans="1:11" ht="11.25" customHeight="1" outlineLevel="1">
      <c r="A91" s="89" t="n">
        <v>8091380</v>
      </c>
      <c r="B91" s="114" t="s">
        <v>58</v>
      </c>
      <c r="C91" s="89" t="s">
        <v>161</v>
      </c>
      <c r="D91" s="89" t="s">
        <v>15</v>
      </c>
      <c r="E91" s="89" t="s">
        <v>162</v>
      </c>
      <c r="F91" s="102" t="n">
        <v>40007</v>
      </c>
      <c r="G91" s="102" t="n">
        <v>47208</v>
      </c>
      <c r="H91" s="103" t="s">
        <v>17</v>
      </c>
      <c r="I91" s="103">
        <f>IFERROR(VLOOKUP(A91,#REF!,15,0),0)+IFERROR(VLOOKUP(A91,#REF!,25,0),0)+IFERROR(VLOOKUP(A91,#REF!,10,0),0)+IFERROR(VLOOKUP(A91,#REF!,14,0),0)+IFERROR(VLOOKUP(A91,#REF!,10,0),0)+IFERROR(VLOOKUP(A91,#REF!,10,0),0)+IFERROR(VLOOKUP(A91,#REF!,10,0),0)+IFERROR(VLOOKUP(A91,#REF!,9,0),0)+IFERROR(VLOOKUP(A91,#REF!,9,0),0)+IFERROR(VLOOKUP(A91,#REF!,9,0),0)+IFERROR(VLOOKUP(A91,#REF!,9,0),0)</f>
        <v>0</v>
      </c>
      <c r="J91" s="104">
        <f>IFERROR(VLOOKUP(A91,#REF!,16,0),0)+IFERROR(VLOOKUP(A91,#REF!,26,0),0)+IFERROR(VLOOKUP(A91,#REF!,11,0),0)+IFERROR(VLOOKUP(A91,#REF!,23,0),0)+IFERROR(VLOOKUP(A91,#REF!,11,0),0)+IFERROR(VLOOKUP(A91,#REF!,11,0),0)+IFERROR(VLOOKUP(A91,#REF!,11,0),0)</f>
        <v>0</v>
      </c>
      <c r="K91" s="96" t="str">
        <f>"07.02.24"</f>
        <v>07.02.24</v>
      </c>
    </row>
    <row r="92" spans="1:11" ht="11.25" customHeight="1" outlineLevel="1">
      <c r="A92" s="89" t="n">
        <v>8090430</v>
      </c>
      <c r="B92" s="114" t="s">
        <v>58</v>
      </c>
      <c r="C92" s="89" t="s">
        <v>163</v>
      </c>
      <c r="D92" s="89" t="s">
        <v>15</v>
      </c>
      <c r="E92" s="89" t="s">
        <v>164</v>
      </c>
      <c r="F92" s="102" t="n">
        <v>51583</v>
      </c>
      <c r="G92" s="102" t="n">
        <v>60867</v>
      </c>
      <c r="H92" s="103" t="s">
        <v>17</v>
      </c>
      <c r="I92" s="103">
        <f>IFERROR(VLOOKUP(A92,#REF!,15,0),0)+IFERROR(VLOOKUP(A92,#REF!,25,0),0)+IFERROR(VLOOKUP(A92,#REF!,10,0),0)+IFERROR(VLOOKUP(A92,#REF!,14,0),0)+IFERROR(VLOOKUP(A92,#REF!,10,0),0)+IFERROR(VLOOKUP(A92,#REF!,10,0),0)+IFERROR(VLOOKUP(A92,#REF!,10,0),0)+IFERROR(VLOOKUP(A92,#REF!,9,0),0)+IFERROR(VLOOKUP(A92,#REF!,9,0),0)+IFERROR(VLOOKUP(A92,#REF!,9,0),0)+IFERROR(VLOOKUP(A92,#REF!,9,0),0)</f>
        <v>0</v>
      </c>
      <c r="J92" s="104">
        <f>IFERROR(VLOOKUP(A92,#REF!,16,0),0)+IFERROR(VLOOKUP(A92,#REF!,26,0),0)+IFERROR(VLOOKUP(A92,#REF!,11,0),0)+IFERROR(VLOOKUP(A92,#REF!,23,0),0)+IFERROR(VLOOKUP(A92,#REF!,11,0),0)+IFERROR(VLOOKUP(A92,#REF!,11,0),0)+IFERROR(VLOOKUP(A92,#REF!,11,0),0)</f>
        <v>0</v>
      </c>
      <c r="K92" s="96" t="str">
        <f>"07.02.24"</f>
        <v>07.02.24</v>
      </c>
    </row>
    <row r="93" spans="1:11" ht="11.25" customHeight="1" outlineLevel="1">
      <c r="A93" s="89" t="n">
        <v>8084870</v>
      </c>
      <c r="B93" s="114" t="s">
        <v>58</v>
      </c>
      <c r="C93" s="89" t="s">
        <v>165</v>
      </c>
      <c r="D93" s="89" t="s">
        <v>15</v>
      </c>
      <c r="E93" s="89" t="s">
        <v>166</v>
      </c>
      <c r="F93" s="102" t="n">
        <v>44475</v>
      </c>
      <c r="G93" s="102" t="n">
        <v>52480</v>
      </c>
      <c r="H93" s="103" t="s">
        <v>17</v>
      </c>
      <c r="I93" s="103">
        <f>IFERROR(VLOOKUP(A93,#REF!,15,0),0)+IFERROR(VLOOKUP(A93,#REF!,25,0),0)+IFERROR(VLOOKUP(A93,#REF!,10,0),0)+IFERROR(VLOOKUP(A93,#REF!,14,0),0)+IFERROR(VLOOKUP(A93,#REF!,10,0),0)+IFERROR(VLOOKUP(A93,#REF!,10,0),0)+IFERROR(VLOOKUP(A93,#REF!,10,0),0)+IFERROR(VLOOKUP(A93,#REF!,9,0),0)+IFERROR(VLOOKUP(A93,#REF!,9,0),0)+IFERROR(VLOOKUP(A93,#REF!,9,0),0)+IFERROR(VLOOKUP(A93,#REF!,9,0),0)</f>
        <v>0</v>
      </c>
      <c r="J93" s="104">
        <f>IFERROR(VLOOKUP(A93,#REF!,16,0),0)+IFERROR(VLOOKUP(A93,#REF!,26,0),0)+IFERROR(VLOOKUP(A93,#REF!,11,0),0)+IFERROR(VLOOKUP(A93,#REF!,23,0),0)+IFERROR(VLOOKUP(A93,#REF!,11,0),0)+IFERROR(VLOOKUP(A93,#REF!,11,0),0)+IFERROR(VLOOKUP(A93,#REF!,11,0),0)</f>
        <v>0</v>
      </c>
      <c r="K93" s="96" t="str">
        <f>"07.02.24"</f>
        <v>07.02.24</v>
      </c>
    </row>
    <row r="94" spans="1:11" ht="11.25" customHeight="1" outlineLevel="1">
      <c r="A94" s="89" t="n">
        <v>8090440</v>
      </c>
      <c r="B94" s="114" t="s">
        <v>58</v>
      </c>
      <c r="C94" s="89" t="s">
        <v>167</v>
      </c>
      <c r="D94" s="89" t="s">
        <v>15</v>
      </c>
      <c r="E94" s="89" t="s">
        <v>168</v>
      </c>
      <c r="F94" s="102" t="n">
        <v>54832</v>
      </c>
      <c r="G94" s="102" t="n">
        <v>64702</v>
      </c>
      <c r="H94" s="103" t="s">
        <v>48</v>
      </c>
      <c r="I94" s="103">
        <f>IFERROR(VLOOKUP(A94,#REF!,15,0),0)+IFERROR(VLOOKUP(A94,#REF!,25,0),0)+IFERROR(VLOOKUP(A94,#REF!,10,0),0)+IFERROR(VLOOKUP(A94,#REF!,14,0),0)+IFERROR(VLOOKUP(A94,#REF!,10,0),0)+IFERROR(VLOOKUP(A94,#REF!,10,0),0)+IFERROR(VLOOKUP(A94,#REF!,10,0),0)+IFERROR(VLOOKUP(A94,#REF!,9,0),0)+IFERROR(VLOOKUP(A94,#REF!,9,0),0)+IFERROR(VLOOKUP(A94,#REF!,9,0),0)+IFERROR(VLOOKUP(A94,#REF!,9,0),0)</f>
        <v>0</v>
      </c>
      <c r="J94" s="104">
        <f>IFERROR(VLOOKUP(A94,#REF!,16,0),0)+IFERROR(VLOOKUP(A94,#REF!,26,0),0)+IFERROR(VLOOKUP(A94,#REF!,11,0),0)+IFERROR(VLOOKUP(A94,#REF!,23,0),0)+IFERROR(VLOOKUP(A94,#REF!,11,0),0)+IFERROR(VLOOKUP(A94,#REF!,11,0),0)+IFERROR(VLOOKUP(A94,#REF!,11,0),0)</f>
        <v>0</v>
      </c>
      <c r="K94" s="96" t="str">
        <f>"07.02.24"</f>
        <v>07.02.24</v>
      </c>
    </row>
    <row r="95" spans="1:11" ht="11.25" customHeight="1" outlineLevel="1">
      <c r="A95" s="89" t="n">
        <v>8098610</v>
      </c>
      <c r="B95" s="114" t="s">
        <v>58</v>
      </c>
      <c r="C95" s="89" t="s">
        <v>169</v>
      </c>
      <c r="D95" s="89" t="s">
        <v>15</v>
      </c>
      <c r="E95" s="89" t="s">
        <v>170</v>
      </c>
      <c r="F95" s="102" t="n">
        <v>88341</v>
      </c>
      <c r="G95" s="102" t="n">
        <v>104242</v>
      </c>
      <c r="H95" s="103" t="s">
        <v>48</v>
      </c>
      <c r="I95" s="103">
        <f>IFERROR(VLOOKUP(A95,#REF!,15,0),0)+IFERROR(VLOOKUP(A95,#REF!,25,0),0)+IFERROR(VLOOKUP(A95,#REF!,10,0),0)+IFERROR(VLOOKUP(A95,#REF!,14,0),0)+IFERROR(VLOOKUP(A95,#REF!,10,0),0)+IFERROR(VLOOKUP(A95,#REF!,10,0),0)+IFERROR(VLOOKUP(A95,#REF!,10,0),0)+IFERROR(VLOOKUP(A95,#REF!,9,0),0)+IFERROR(VLOOKUP(A95,#REF!,9,0),0)+IFERROR(VLOOKUP(A95,#REF!,9,0),0)+IFERROR(VLOOKUP(A95,#REF!,9,0),0)</f>
        <v>0</v>
      </c>
      <c r="J95" s="104">
        <f>IFERROR(VLOOKUP(A95,#REF!,16,0),0)+IFERROR(VLOOKUP(A95,#REF!,26,0),0)+IFERROR(VLOOKUP(A95,#REF!,11,0),0)+IFERROR(VLOOKUP(A95,#REF!,23,0),0)+IFERROR(VLOOKUP(A95,#REF!,11,0),0)+IFERROR(VLOOKUP(A95,#REF!,11,0),0)+IFERROR(VLOOKUP(A95,#REF!,11,0),0)</f>
        <v>0</v>
      </c>
      <c r="K95" s="96" t="str">
        <f>"07.02.24"</f>
        <v>07.02.24</v>
      </c>
    </row>
    <row r="96" spans="1:11" ht="11.25" customHeight="1" outlineLevel="1">
      <c r="A96" s="89" t="n">
        <v>8105680</v>
      </c>
      <c r="B96" s="114" t="s">
        <v>58</v>
      </c>
      <c r="C96" s="89" t="s">
        <v>171</v>
      </c>
      <c r="D96" s="89" t="s">
        <v>15</v>
      </c>
      <c r="E96" s="89" t="s">
        <v>172</v>
      </c>
      <c r="F96" s="102" t="n">
        <v>131496</v>
      </c>
      <c r="G96" s="102" t="n">
        <v>155165</v>
      </c>
      <c r="H96" s="103" t="s">
        <v>17</v>
      </c>
      <c r="I96" s="103">
        <f>IFERROR(VLOOKUP(A96,#REF!,15,0),0)+IFERROR(VLOOKUP(A96,#REF!,25,0),0)+IFERROR(VLOOKUP(A96,#REF!,10,0),0)+IFERROR(VLOOKUP(A96,#REF!,14,0),0)+IFERROR(VLOOKUP(A96,#REF!,10,0),0)+IFERROR(VLOOKUP(A96,#REF!,10,0),0)+IFERROR(VLOOKUP(A96,#REF!,10,0),0)+IFERROR(VLOOKUP(A96,#REF!,9,0),0)+IFERROR(VLOOKUP(A96,#REF!,9,0),0)+IFERROR(VLOOKUP(A96,#REF!,9,0),0)+IFERROR(VLOOKUP(A96,#REF!,9,0),0)</f>
        <v>0</v>
      </c>
      <c r="J96" s="104">
        <f>IFERROR(VLOOKUP(A96,#REF!,16,0),0)+IFERROR(VLOOKUP(A96,#REF!,26,0),0)+IFERROR(VLOOKUP(A96,#REF!,11,0),0)+IFERROR(VLOOKUP(A96,#REF!,23,0),0)+IFERROR(VLOOKUP(A96,#REF!,11,0),0)+IFERROR(VLOOKUP(A96,#REF!,11,0),0)+IFERROR(VLOOKUP(A96,#REF!,11,0),0)</f>
        <v>0</v>
      </c>
      <c r="K96" s="96" t="str">
        <f>"07.02.24"</f>
        <v>07.02.24</v>
      </c>
    </row>
    <row r="97" spans="1:11" ht="11.25" customHeight="1" outlineLevel="1">
      <c r="A97" s="89" t="s">
        <v>173</v>
      </c>
      <c r="B97" s="114" t="s">
        <v>58</v>
      </c>
      <c r="C97" s="89" t="s">
        <v>174</v>
      </c>
      <c r="D97" s="89" t="s">
        <v>15</v>
      </c>
      <c r="E97" s="89" t="s">
        <v>175</v>
      </c>
      <c r="F97" s="102" t="n">
        <v>46709</v>
      </c>
      <c r="G97" s="102" t="n">
        <v>55116</v>
      </c>
      <c r="H97" s="103" t="s">
        <v>17</v>
      </c>
      <c r="I97" s="103">
        <f>IFERROR(VLOOKUP(A97,#REF!,15,0),0)+IFERROR(VLOOKUP(A97,#REF!,25,0),0)+IFERROR(VLOOKUP(A97,#REF!,10,0),0)+IFERROR(VLOOKUP(A97,#REF!,14,0),0)+IFERROR(VLOOKUP(A97,#REF!,10,0),0)+IFERROR(VLOOKUP(A97,#REF!,10,0),0)+IFERROR(VLOOKUP(A97,#REF!,10,0),0)+IFERROR(VLOOKUP(A97,#REF!,9,0),0)+IFERROR(VLOOKUP(A97,#REF!,9,0),0)+IFERROR(VLOOKUP(A97,#REF!,9,0),0)+IFERROR(VLOOKUP(A97,#REF!,9,0),0)</f>
        <v>0</v>
      </c>
      <c r="J97" s="104">
        <f>IFERROR(VLOOKUP(A97,#REF!,16,0),0)+IFERROR(VLOOKUP(A97,#REF!,26,0),0)+IFERROR(VLOOKUP(A97,#REF!,11,0),0)+IFERROR(VLOOKUP(A97,#REF!,23,0),0)+IFERROR(VLOOKUP(A97,#REF!,11,0),0)+IFERROR(VLOOKUP(A97,#REF!,11,0),0)+IFERROR(VLOOKUP(A97,#REF!,11,0),0)</f>
        <v>0</v>
      </c>
      <c r="K97" s="96" t="str">
        <f>"07.02.24"</f>
        <v>07.02.24</v>
      </c>
    </row>
    <row r="98" spans="1:11" ht="11.25" customHeight="1" outlineLevel="1">
      <c r="A98" s="89" t="s">
        <v>176</v>
      </c>
      <c r="B98" s="114" t="s">
        <v>58</v>
      </c>
      <c r="C98" s="89" t="s">
        <v>177</v>
      </c>
      <c r="D98" s="89" t="s">
        <v>15</v>
      </c>
      <c r="E98" s="89" t="s">
        <v>178</v>
      </c>
      <c r="F98" s="102" t="n">
        <v>57878</v>
      </c>
      <c r="G98" s="102" t="n">
        <v>68296</v>
      </c>
      <c r="H98" s="103" t="s">
        <v>17</v>
      </c>
      <c r="I98" s="103">
        <f>IFERROR(VLOOKUP(A98,#REF!,15,0),0)+IFERROR(VLOOKUP(A98,#REF!,25,0),0)+IFERROR(VLOOKUP(A98,#REF!,10,0),0)+IFERROR(VLOOKUP(A98,#REF!,14,0),0)+IFERROR(VLOOKUP(A98,#REF!,10,0),0)+IFERROR(VLOOKUP(A98,#REF!,10,0),0)+IFERROR(VLOOKUP(A98,#REF!,10,0),0)+IFERROR(VLOOKUP(A98,#REF!,9,0),0)+IFERROR(VLOOKUP(A98,#REF!,9,0),0)+IFERROR(VLOOKUP(A98,#REF!,9,0),0)+IFERROR(VLOOKUP(A98,#REF!,9,0),0)</f>
        <v>0</v>
      </c>
      <c r="J98" s="104">
        <f>IFERROR(VLOOKUP(A98,#REF!,16,0),0)+IFERROR(VLOOKUP(A98,#REF!,26,0),0)+IFERROR(VLOOKUP(A98,#REF!,11,0),0)+IFERROR(VLOOKUP(A98,#REF!,23,0),0)+IFERROR(VLOOKUP(A98,#REF!,11,0),0)+IFERROR(VLOOKUP(A98,#REF!,11,0),0)+IFERROR(VLOOKUP(A98,#REF!,11,0),0)</f>
        <v>0</v>
      </c>
      <c r="K98" s="96" t="str">
        <f>"07.02.24"</f>
        <v>07.02.24</v>
      </c>
    </row>
    <row r="99" spans="1:11" ht="11.25" customHeight="1" outlineLevel="1">
      <c r="A99" s="89" t="n">
        <v>3046640</v>
      </c>
      <c r="B99" s="114" t="s">
        <v>58</v>
      </c>
      <c r="C99" s="89" t="s">
        <v>179</v>
      </c>
      <c r="D99" s="89" t="s">
        <v>15</v>
      </c>
      <c r="E99" s="89" t="s">
        <v>180</v>
      </c>
      <c r="F99" s="102" t="n">
        <v>60620</v>
      </c>
      <c r="G99" s="102" t="n">
        <v>71532</v>
      </c>
      <c r="H99" s="103" t="s">
        <v>17</v>
      </c>
      <c r="I99" s="103">
        <f>IFERROR(VLOOKUP(A99,#REF!,15,0),0)+IFERROR(VLOOKUP(A99,#REF!,25,0),0)+IFERROR(VLOOKUP(A99,#REF!,10,0),0)+IFERROR(VLOOKUP(A99,#REF!,14,0),0)+IFERROR(VLOOKUP(A99,#REF!,10,0),0)+IFERROR(VLOOKUP(A99,#REF!,10,0),0)+IFERROR(VLOOKUP(A99,#REF!,10,0),0)+IFERROR(VLOOKUP(A99,#REF!,9,0),0)+IFERROR(VLOOKUP(A99,#REF!,9,0),0)+IFERROR(VLOOKUP(A99,#REF!,9,0),0)+IFERROR(VLOOKUP(A99,#REF!,9,0),0)</f>
        <v>0</v>
      </c>
      <c r="J99" s="104">
        <f>IFERROR(VLOOKUP(A99,#REF!,16,0),0)+IFERROR(VLOOKUP(A99,#REF!,26,0),0)+IFERROR(VLOOKUP(A99,#REF!,11,0),0)+IFERROR(VLOOKUP(A99,#REF!,23,0),0)+IFERROR(VLOOKUP(A99,#REF!,11,0),0)+IFERROR(VLOOKUP(A99,#REF!,11,0),0)+IFERROR(VLOOKUP(A99,#REF!,11,0),0)</f>
        <v>0</v>
      </c>
      <c r="K99" s="96" t="str">
        <f>"07.02.24"</f>
        <v>07.02.24</v>
      </c>
    </row>
    <row r="100" spans="1:11" ht="11.25" customHeight="1" outlineLevel="1">
      <c r="A100" s="89" t="n">
        <v>3046650</v>
      </c>
      <c r="B100" s="114" t="s">
        <v>58</v>
      </c>
      <c r="C100" s="89" t="s">
        <v>181</v>
      </c>
      <c r="D100" s="89" t="s">
        <v>15</v>
      </c>
      <c r="E100" s="89" t="s">
        <v>182</v>
      </c>
      <c r="F100" s="102" t="n">
        <v>64783</v>
      </c>
      <c r="G100" s="102" t="n">
        <v>76444</v>
      </c>
      <c r="H100" s="103" t="s">
        <v>17</v>
      </c>
      <c r="I100" s="103">
        <f>IFERROR(VLOOKUP(A100,#REF!,15,0),0)+IFERROR(VLOOKUP(A100,#REF!,25,0),0)+IFERROR(VLOOKUP(A100,#REF!,10,0),0)+IFERROR(VLOOKUP(A100,#REF!,14,0),0)+IFERROR(VLOOKUP(A100,#REF!,10,0),0)+IFERROR(VLOOKUP(A100,#REF!,10,0),0)+IFERROR(VLOOKUP(A100,#REF!,10,0),0)+IFERROR(VLOOKUP(A100,#REF!,9,0),0)+IFERROR(VLOOKUP(A100,#REF!,9,0),0)+IFERROR(VLOOKUP(A100,#REF!,9,0),0)+IFERROR(VLOOKUP(A100,#REF!,9,0),0)</f>
        <v>0</v>
      </c>
      <c r="J100" s="104">
        <f>IFERROR(VLOOKUP(A100,#REF!,16,0),0)+IFERROR(VLOOKUP(A100,#REF!,26,0),0)+IFERROR(VLOOKUP(A100,#REF!,11,0),0)+IFERROR(VLOOKUP(A100,#REF!,23,0),0)+IFERROR(VLOOKUP(A100,#REF!,11,0),0)+IFERROR(VLOOKUP(A100,#REF!,11,0),0)+IFERROR(VLOOKUP(A100,#REF!,11,0),0)</f>
        <v>0</v>
      </c>
      <c r="K100" s="96" t="str">
        <f>"07.02.24"</f>
        <v>07.02.24</v>
      </c>
    </row>
    <row r="101" spans="1:11" ht="11.25" customHeight="1" outlineLevel="1">
      <c r="A101" s="89" t="n">
        <v>3046300</v>
      </c>
      <c r="B101" s="114" t="s">
        <v>58</v>
      </c>
      <c r="C101" s="89" t="s">
        <v>183</v>
      </c>
      <c r="D101" s="89" t="s">
        <v>15</v>
      </c>
      <c r="E101" s="89" t="s">
        <v>184</v>
      </c>
      <c r="F101" s="102" t="n">
        <v>157693</v>
      </c>
      <c r="G101" s="102" t="n">
        <v>186078</v>
      </c>
      <c r="H101" s="103" t="s">
        <v>17</v>
      </c>
      <c r="I101" s="103">
        <f>IFERROR(VLOOKUP(A101,#REF!,15,0),0)+IFERROR(VLOOKUP(A101,#REF!,25,0),0)+IFERROR(VLOOKUP(A101,#REF!,10,0),0)+IFERROR(VLOOKUP(A101,#REF!,14,0),0)+IFERROR(VLOOKUP(A101,#REF!,10,0),0)+IFERROR(VLOOKUP(A101,#REF!,10,0),0)+IFERROR(VLOOKUP(A101,#REF!,10,0),0)+IFERROR(VLOOKUP(A101,#REF!,9,0),0)+IFERROR(VLOOKUP(A101,#REF!,9,0),0)+IFERROR(VLOOKUP(A101,#REF!,9,0),0)+IFERROR(VLOOKUP(A101,#REF!,9,0),0)</f>
        <v>0</v>
      </c>
      <c r="J101" s="104">
        <f>IFERROR(VLOOKUP(A101,#REF!,16,0),0)+IFERROR(VLOOKUP(A101,#REF!,26,0),0)+IFERROR(VLOOKUP(A101,#REF!,11,0),0)+IFERROR(VLOOKUP(A101,#REF!,23,0),0)+IFERROR(VLOOKUP(A101,#REF!,11,0),0)+IFERROR(VLOOKUP(A101,#REF!,11,0),0)+IFERROR(VLOOKUP(A101,#REF!,11,0),0)</f>
        <v>0</v>
      </c>
      <c r="K101" s="96" t="str">
        <f>"07.02.24"</f>
        <v>07.02.24</v>
      </c>
    </row>
    <row r="102" spans="1:11" ht="11.25" customHeight="1" outlineLevel="1">
      <c r="A102" s="89" t="n">
        <v>3046310</v>
      </c>
      <c r="B102" s="114" t="s">
        <v>58</v>
      </c>
      <c r="C102" s="89" t="s">
        <v>185</v>
      </c>
      <c r="D102" s="89" t="s">
        <v>15</v>
      </c>
      <c r="E102" s="89" t="s">
        <v>186</v>
      </c>
      <c r="F102" s="102" t="n">
        <v>238926</v>
      </c>
      <c r="G102" s="102" t="n">
        <v>281932</v>
      </c>
      <c r="H102" s="103" t="s">
        <v>17</v>
      </c>
      <c r="I102" s="103">
        <f>IFERROR(VLOOKUP(A102,#REF!,15,0),0)+IFERROR(VLOOKUP(A102,#REF!,25,0),0)+IFERROR(VLOOKUP(A102,#REF!,10,0),0)+IFERROR(VLOOKUP(A102,#REF!,14,0),0)+IFERROR(VLOOKUP(A102,#REF!,10,0),0)+IFERROR(VLOOKUP(A102,#REF!,10,0),0)+IFERROR(VLOOKUP(A102,#REF!,10,0),0)+IFERROR(VLOOKUP(A102,#REF!,9,0),0)+IFERROR(VLOOKUP(A102,#REF!,9,0),0)+IFERROR(VLOOKUP(A102,#REF!,9,0),0)+IFERROR(VLOOKUP(A102,#REF!,9,0),0)</f>
        <v>0</v>
      </c>
      <c r="J102" s="104">
        <f>IFERROR(VLOOKUP(A102,#REF!,16,0),0)+IFERROR(VLOOKUP(A102,#REF!,26,0),0)+IFERROR(VLOOKUP(A102,#REF!,11,0),0)+IFERROR(VLOOKUP(A102,#REF!,23,0),0)+IFERROR(VLOOKUP(A102,#REF!,11,0),0)+IFERROR(VLOOKUP(A102,#REF!,11,0),0)+IFERROR(VLOOKUP(A102,#REF!,11,0),0)</f>
        <v>0</v>
      </c>
      <c r="K102" s="96" t="str">
        <f>"07.02.24"</f>
        <v>07.02.24</v>
      </c>
    </row>
    <row r="103" spans="1:11" ht="11.25" customHeight="1" outlineLevel="1">
      <c r="A103" s="89" t="n">
        <v>3046320</v>
      </c>
      <c r="B103" s="114" t="s">
        <v>58</v>
      </c>
      <c r="C103" s="89" t="s">
        <v>187</v>
      </c>
      <c r="D103" s="89" t="s">
        <v>15</v>
      </c>
      <c r="E103" s="89" t="s">
        <v>188</v>
      </c>
      <c r="F103" s="102" t="n">
        <v>286041</v>
      </c>
      <c r="G103" s="102" t="n">
        <v>337529</v>
      </c>
      <c r="H103" s="103" t="s">
        <v>17</v>
      </c>
      <c r="I103" s="103">
        <f>IFERROR(VLOOKUP(A103,#REF!,15,0),0)+IFERROR(VLOOKUP(A103,#REF!,25,0),0)+IFERROR(VLOOKUP(A103,#REF!,10,0),0)+IFERROR(VLOOKUP(A103,#REF!,14,0),0)+IFERROR(VLOOKUP(A103,#REF!,10,0),0)+IFERROR(VLOOKUP(A103,#REF!,10,0),0)+IFERROR(VLOOKUP(A103,#REF!,10,0),0)+IFERROR(VLOOKUP(A103,#REF!,9,0),0)+IFERROR(VLOOKUP(A103,#REF!,9,0),0)+IFERROR(VLOOKUP(A103,#REF!,9,0),0)+IFERROR(VLOOKUP(A103,#REF!,9,0),0)</f>
        <v>0</v>
      </c>
      <c r="J103" s="104">
        <f>IFERROR(VLOOKUP(A103,#REF!,16,0),0)+IFERROR(VLOOKUP(A103,#REF!,26,0),0)+IFERROR(VLOOKUP(A103,#REF!,11,0),0)+IFERROR(VLOOKUP(A103,#REF!,23,0),0)+IFERROR(VLOOKUP(A103,#REF!,11,0),0)+IFERROR(VLOOKUP(A103,#REF!,11,0),0)+IFERROR(VLOOKUP(A103,#REF!,11,0),0)</f>
        <v>0</v>
      </c>
      <c r="K103" s="96" t="str">
        <f>"07.02.24"</f>
        <v>07.02.24</v>
      </c>
    </row>
    <row r="104" spans="1:11" ht="11.25" customHeight="1">
      <c r="A104" s="124" t="s">
        <v>189</v>
      </c>
      <c r="B104" s="116"/>
      <c r="C104" s="116"/>
      <c r="D104" s="116"/>
      <c r="E104" s="116"/>
      <c r="F104" s="116"/>
      <c r="G104" s="116"/>
      <c r="H104" s="116"/>
      <c r="I104" s="116"/>
      <c r="J104" s="116"/>
      <c r="K104" s="96" t="str">
        <f>"07.02.24"</f>
        <v>07.02.24</v>
      </c>
    </row>
    <row r="105" spans="1:11" ht="11.25" customHeight="1" outlineLevel="1">
      <c r="A105" s="109" t="n">
        <v>8108550</v>
      </c>
      <c r="B105" s="114" t="s">
        <v>189</v>
      </c>
      <c r="C105" s="89" t="s">
        <v>190</v>
      </c>
      <c r="D105" s="89" t="s">
        <v>15</v>
      </c>
      <c r="E105" s="89"/>
      <c r="F105" s="102" t="n">
        <v>21500</v>
      </c>
      <c r="G105" s="102" t="n">
        <v>25800</v>
      </c>
      <c r="H105" s="103" t="s">
        <v>17</v>
      </c>
      <c r="I105" s="103">
        <f>IFERROR(VLOOKUP(A105,#REF!,15,0),0)+IFERROR(VLOOKUP(A105,#REF!,25,0),0)+IFERROR(VLOOKUP(A105,#REF!,10,0),0)+IFERROR(VLOOKUP(A105,#REF!,14,0),0)+IFERROR(VLOOKUP(A105,#REF!,10,0),0)+IFERROR(VLOOKUP(A105,#REF!,10,0),0)+IFERROR(VLOOKUP(A105,#REF!,10,0),0)+IFERROR(VLOOKUP(A105,#REF!,9,0),0)+IFERROR(VLOOKUP(A105,#REF!,9,0),0)+IFERROR(VLOOKUP(A105,#REF!,9,0),0)+IFERROR(VLOOKUP(A105,#REF!,9,0),0)</f>
        <v>0</v>
      </c>
      <c r="J105" s="104">
        <f>IFERROR(VLOOKUP(A105,#REF!,16,0),0)+IFERROR(VLOOKUP(A105,#REF!,26,0),0)+IFERROR(VLOOKUP(A105,#REF!,11,0),0)+IFERROR(VLOOKUP(A105,#REF!,23,0),0)+IFERROR(VLOOKUP(A105,#REF!,11,0),0)+IFERROR(VLOOKUP(A105,#REF!,11,0),0)+IFERROR(VLOOKUP(A105,#REF!,11,0),0)</f>
        <v>0</v>
      </c>
      <c r="K105" s="96" t="str">
        <f>"07.02.24"</f>
        <v>07.02.24</v>
      </c>
    </row>
    <row r="106" spans="1:11" ht="11.25" customHeight="1" outlineLevel="1">
      <c r="A106" s="109" t="n">
        <v>487720</v>
      </c>
      <c r="B106" s="114" t="s">
        <v>189</v>
      </c>
      <c r="C106" s="89" t="s">
        <v>191</v>
      </c>
      <c r="D106" s="89" t="s">
        <v>15</v>
      </c>
      <c r="E106" s="89"/>
      <c r="F106" s="102" t="n">
        <v>30000</v>
      </c>
      <c r="G106" s="102" t="n">
        <v>36000</v>
      </c>
      <c r="H106" s="103" t="s">
        <v>17</v>
      </c>
      <c r="I106" s="103">
        <f>IFERROR(VLOOKUP(A106,#REF!,15,0),0)+IFERROR(VLOOKUP(A106,#REF!,25,0),0)+IFERROR(VLOOKUP(A106,#REF!,10,0),0)+IFERROR(VLOOKUP(A106,#REF!,14,0),0)+IFERROR(VLOOKUP(A106,#REF!,10,0),0)+IFERROR(VLOOKUP(A106,#REF!,10,0),0)+IFERROR(VLOOKUP(A106,#REF!,10,0),0)+IFERROR(VLOOKUP(A106,#REF!,9,0),0)+IFERROR(VLOOKUP(A106,#REF!,9,0),0)+IFERROR(VLOOKUP(A106,#REF!,9,0),0)+IFERROR(VLOOKUP(A106,#REF!,9,0),0)</f>
        <v>0</v>
      </c>
      <c r="J106" s="104">
        <f>IFERROR(VLOOKUP(A106,#REF!,16,0),0)+IFERROR(VLOOKUP(A106,#REF!,26,0),0)+IFERROR(VLOOKUP(A106,#REF!,11,0),0)+IFERROR(VLOOKUP(A106,#REF!,23,0),0)+IFERROR(VLOOKUP(A106,#REF!,11,0),0)+IFERROR(VLOOKUP(A106,#REF!,11,0),0)+IFERROR(VLOOKUP(A106,#REF!,11,0),0)</f>
        <v>0</v>
      </c>
      <c r="K106" s="96" t="str">
        <f>"07.02.24"</f>
        <v>07.02.24</v>
      </c>
    </row>
    <row r="107" spans="1:11" ht="11.25" customHeight="1" outlineLevel="1">
      <c r="A107" s="109" t="n">
        <v>8108360</v>
      </c>
      <c r="B107" s="114" t="s">
        <v>189</v>
      </c>
      <c r="C107" s="89" t="s">
        <v>192</v>
      </c>
      <c r="D107" s="89" t="s">
        <v>15</v>
      </c>
      <c r="E107" s="89"/>
      <c r="F107" s="102" t="n">
        <v>45200</v>
      </c>
      <c r="G107" s="102" t="n">
        <v>54240</v>
      </c>
      <c r="H107" s="103" t="s">
        <v>17</v>
      </c>
      <c r="I107" s="103">
        <f>IFERROR(VLOOKUP(A107,#REF!,15,0),0)+IFERROR(VLOOKUP(A107,#REF!,25,0),0)+IFERROR(VLOOKUP(A107,#REF!,10,0),0)+IFERROR(VLOOKUP(A107,#REF!,14,0),0)+IFERROR(VLOOKUP(A107,#REF!,10,0),0)+IFERROR(VLOOKUP(A107,#REF!,10,0),0)+IFERROR(VLOOKUP(A107,#REF!,10,0),0)+IFERROR(VLOOKUP(A107,#REF!,9,0),0)+IFERROR(VLOOKUP(A107,#REF!,9,0),0)+IFERROR(VLOOKUP(A107,#REF!,9,0),0)+IFERROR(VLOOKUP(A107,#REF!,9,0),0)</f>
        <v>0</v>
      </c>
      <c r="J107" s="104">
        <f>IFERROR(VLOOKUP(A107,#REF!,16,0),0)+IFERROR(VLOOKUP(A107,#REF!,26,0),0)+IFERROR(VLOOKUP(A107,#REF!,11,0),0)+IFERROR(VLOOKUP(A107,#REF!,23,0),0)+IFERROR(VLOOKUP(A107,#REF!,11,0),0)+IFERROR(VLOOKUP(A107,#REF!,11,0),0)+IFERROR(VLOOKUP(A107,#REF!,11,0),0)</f>
        <v>0</v>
      </c>
      <c r="K107" s="96" t="str">
        <f>"07.02.24"</f>
        <v>07.02.24</v>
      </c>
    </row>
    <row r="108" spans="1:11" ht="11.25" customHeight="1" outlineLevel="1">
      <c r="A108" s="109" t="n">
        <v>8086480</v>
      </c>
      <c r="B108" s="114" t="s">
        <v>189</v>
      </c>
      <c r="C108" s="89" t="s">
        <v>193</v>
      </c>
      <c r="D108" s="89" t="s">
        <v>15</v>
      </c>
      <c r="E108" s="89"/>
      <c r="F108" s="102" t="n">
        <v>45800</v>
      </c>
      <c r="G108" s="102" t="n">
        <v>54960</v>
      </c>
      <c r="H108" s="103" t="s">
        <v>17</v>
      </c>
      <c r="I108" s="103">
        <f>IFERROR(VLOOKUP(A108,#REF!,15,0),0)+IFERROR(VLOOKUP(A108,#REF!,25,0),0)+IFERROR(VLOOKUP(A108,#REF!,10,0),0)+IFERROR(VLOOKUP(A108,#REF!,14,0),0)+IFERROR(VLOOKUP(A108,#REF!,10,0),0)+IFERROR(VLOOKUP(A108,#REF!,10,0),0)+IFERROR(VLOOKUP(A108,#REF!,10,0),0)+IFERROR(VLOOKUP(A108,#REF!,9,0),0)+IFERROR(VLOOKUP(A108,#REF!,9,0),0)+IFERROR(VLOOKUP(A108,#REF!,9,0),0)+IFERROR(VLOOKUP(A108,#REF!,9,0),0)</f>
        <v>0</v>
      </c>
      <c r="J108" s="104">
        <f>IFERROR(VLOOKUP(A108,#REF!,16,0),0)+IFERROR(VLOOKUP(A108,#REF!,26,0),0)+IFERROR(VLOOKUP(A108,#REF!,11,0),0)+IFERROR(VLOOKUP(A108,#REF!,23,0),0)+IFERROR(VLOOKUP(A108,#REF!,11,0),0)+IFERROR(VLOOKUP(A108,#REF!,11,0),0)+IFERROR(VLOOKUP(A108,#REF!,11,0),0)</f>
        <v>0</v>
      </c>
      <c r="K108" s="96" t="str">
        <f>"07.02.24"</f>
        <v>07.02.24</v>
      </c>
    </row>
    <row r="109" spans="1:11" ht="11.25" customHeight="1" outlineLevel="1">
      <c r="A109" s="109" t="n">
        <v>8093460</v>
      </c>
      <c r="B109" s="114" t="s">
        <v>189</v>
      </c>
      <c r="C109" s="89" t="s">
        <v>194</v>
      </c>
      <c r="D109" s="89" t="s">
        <v>15</v>
      </c>
      <c r="E109" s="89"/>
      <c r="F109" s="102" t="n">
        <v>15400</v>
      </c>
      <c r="G109" s="102" t="n">
        <v>18480</v>
      </c>
      <c r="H109" s="103" t="s">
        <v>17</v>
      </c>
      <c r="I109" s="103">
        <f>IFERROR(VLOOKUP(A109,#REF!,15,0),0)+IFERROR(VLOOKUP(A109,#REF!,25,0),0)+IFERROR(VLOOKUP(A109,#REF!,10,0),0)+IFERROR(VLOOKUP(A109,#REF!,14,0),0)+IFERROR(VLOOKUP(A109,#REF!,10,0),0)+IFERROR(VLOOKUP(A109,#REF!,10,0),0)+IFERROR(VLOOKUP(A109,#REF!,10,0),0)+IFERROR(VLOOKUP(A109,#REF!,9,0),0)+IFERROR(VLOOKUP(A109,#REF!,9,0),0)+IFERROR(VLOOKUP(A109,#REF!,9,0),0)+IFERROR(VLOOKUP(A109,#REF!,9,0),0)</f>
        <v>0</v>
      </c>
      <c r="J109" s="104">
        <f>IFERROR(VLOOKUP(A109,#REF!,16,0),0)+IFERROR(VLOOKUP(A109,#REF!,26,0),0)+IFERROR(VLOOKUP(A109,#REF!,11,0),0)+IFERROR(VLOOKUP(A109,#REF!,23,0),0)+IFERROR(VLOOKUP(A109,#REF!,11,0),0)+IFERROR(VLOOKUP(A109,#REF!,11,0),0)+IFERROR(VLOOKUP(A109,#REF!,11,0),0)</f>
        <v>0</v>
      </c>
      <c r="K109" s="96" t="str">
        <f>"07.02.24"</f>
        <v>07.02.24</v>
      </c>
    </row>
    <row r="110" spans="1:11" ht="11.25" customHeight="1" outlineLevel="1">
      <c r="A110" s="109" t="n">
        <v>402940</v>
      </c>
      <c r="B110" s="114" t="s">
        <v>189</v>
      </c>
      <c r="C110" s="89" t="s">
        <v>195</v>
      </c>
      <c r="D110" s="89" t="s">
        <v>15</v>
      </c>
      <c r="E110" s="89"/>
      <c r="F110" s="102" t="n">
        <v>16801</v>
      </c>
      <c r="G110" s="102" t="n">
        <v>20161</v>
      </c>
      <c r="H110" s="103" t="s">
        <v>17</v>
      </c>
      <c r="I110" s="103">
        <f>IFERROR(VLOOKUP(A110,#REF!,15,0),0)+IFERROR(VLOOKUP(A110,#REF!,25,0),0)+IFERROR(VLOOKUP(A110,#REF!,10,0),0)+IFERROR(VLOOKUP(A110,#REF!,14,0),0)+IFERROR(VLOOKUP(A110,#REF!,10,0),0)+IFERROR(VLOOKUP(A110,#REF!,10,0),0)+IFERROR(VLOOKUP(A110,#REF!,10,0),0)+IFERROR(VLOOKUP(A110,#REF!,9,0),0)+IFERROR(VLOOKUP(A110,#REF!,9,0),0)+IFERROR(VLOOKUP(A110,#REF!,9,0),0)+IFERROR(VLOOKUP(A110,#REF!,9,0),0)</f>
        <v>0</v>
      </c>
      <c r="J110" s="104">
        <f>IFERROR(VLOOKUP(A110,#REF!,16,0),0)+IFERROR(VLOOKUP(A110,#REF!,26,0),0)+IFERROR(VLOOKUP(A110,#REF!,11,0),0)+IFERROR(VLOOKUP(A110,#REF!,23,0),0)+IFERROR(VLOOKUP(A110,#REF!,11,0),0)+IFERROR(VLOOKUP(A110,#REF!,11,0),0)+IFERROR(VLOOKUP(A110,#REF!,11,0),0)</f>
        <v>0</v>
      </c>
      <c r="K110" s="96" t="str">
        <f>"07.02.24"</f>
        <v>07.02.24</v>
      </c>
    </row>
    <row r="111" spans="1:11" ht="11.25" customHeight="1" outlineLevel="1">
      <c r="A111" s="109" t="n">
        <v>37679</v>
      </c>
      <c r="B111" s="114" t="s">
        <v>189</v>
      </c>
      <c r="C111" s="89" t="s">
        <v>196</v>
      </c>
      <c r="D111" s="89" t="s">
        <v>15</v>
      </c>
      <c r="E111" s="89"/>
      <c r="F111" s="102" t="n">
        <v>24701</v>
      </c>
      <c r="G111" s="102" t="n">
        <v>29641</v>
      </c>
      <c r="H111" s="103" t="s">
        <v>17</v>
      </c>
      <c r="I111" s="103">
        <f>IFERROR(VLOOKUP(A111,#REF!,15,0),0)+IFERROR(VLOOKUP(A111,#REF!,25,0),0)+IFERROR(VLOOKUP(A111,#REF!,10,0),0)+IFERROR(VLOOKUP(A111,#REF!,14,0),0)+IFERROR(VLOOKUP(A111,#REF!,10,0),0)+IFERROR(VLOOKUP(A111,#REF!,10,0),0)+IFERROR(VLOOKUP(A111,#REF!,10,0),0)+IFERROR(VLOOKUP(A111,#REF!,9,0),0)+IFERROR(VLOOKUP(A111,#REF!,9,0),0)+IFERROR(VLOOKUP(A111,#REF!,9,0),0)+IFERROR(VLOOKUP(A111,#REF!,9,0),0)</f>
        <v>0</v>
      </c>
      <c r="J111" s="104">
        <f>IFERROR(VLOOKUP(A111,#REF!,16,0),0)+IFERROR(VLOOKUP(A111,#REF!,26,0),0)+IFERROR(VLOOKUP(A111,#REF!,11,0),0)+IFERROR(VLOOKUP(A111,#REF!,23,0),0)+IFERROR(VLOOKUP(A111,#REF!,11,0),0)+IFERROR(VLOOKUP(A111,#REF!,11,0),0)+IFERROR(VLOOKUP(A111,#REF!,11,0),0)</f>
        <v>0</v>
      </c>
      <c r="K111" s="96" t="str">
        <f>"07.02.24"</f>
        <v>07.02.24</v>
      </c>
    </row>
    <row r="112" spans="1:11" ht="11.25" customHeight="1" outlineLevel="1">
      <c r="A112" s="109" t="n">
        <v>8109080</v>
      </c>
      <c r="B112" s="114" t="s">
        <v>189</v>
      </c>
      <c r="C112" s="89" t="s">
        <v>197</v>
      </c>
      <c r="D112" s="89" t="s">
        <v>15</v>
      </c>
      <c r="E112" s="89"/>
      <c r="F112" s="102" t="n">
        <v>12900</v>
      </c>
      <c r="G112" s="102" t="n">
        <v>15480</v>
      </c>
      <c r="H112" s="103" t="s">
        <v>17</v>
      </c>
      <c r="I112" s="103">
        <f>IFERROR(VLOOKUP(A112,#REF!,15,0),0)+IFERROR(VLOOKUP(A112,#REF!,25,0),0)+IFERROR(VLOOKUP(A112,#REF!,10,0),0)+IFERROR(VLOOKUP(A112,#REF!,14,0),0)+IFERROR(VLOOKUP(A112,#REF!,10,0),0)+IFERROR(VLOOKUP(A112,#REF!,10,0),0)+IFERROR(VLOOKUP(A112,#REF!,10,0),0)+IFERROR(VLOOKUP(A112,#REF!,9,0),0)+IFERROR(VLOOKUP(A112,#REF!,9,0),0)+IFERROR(VLOOKUP(A112,#REF!,9,0),0)+IFERROR(VLOOKUP(A112,#REF!,9,0),0)</f>
        <v>0</v>
      </c>
      <c r="J112" s="104">
        <f>IFERROR(VLOOKUP(A112,#REF!,16,0),0)+IFERROR(VLOOKUP(A112,#REF!,26,0),0)+IFERROR(VLOOKUP(A112,#REF!,11,0),0)+IFERROR(VLOOKUP(A112,#REF!,23,0),0)+IFERROR(VLOOKUP(A112,#REF!,11,0),0)+IFERROR(VLOOKUP(A112,#REF!,11,0),0)+IFERROR(VLOOKUP(A112,#REF!,11,0),0)</f>
        <v>0</v>
      </c>
      <c r="K112" s="96" t="str">
        <f>"07.02.24"</f>
        <v>07.02.24</v>
      </c>
    </row>
    <row r="113" spans="1:11" ht="11.25" customHeight="1" outlineLevel="1">
      <c r="A113" s="109" t="n">
        <v>489860</v>
      </c>
      <c r="B113" s="114" t="s">
        <v>189</v>
      </c>
      <c r="C113" s="89" t="s">
        <v>198</v>
      </c>
      <c r="D113" s="89" t="s">
        <v>15</v>
      </c>
      <c r="E113" s="89"/>
      <c r="F113" s="102" t="n">
        <v>17400</v>
      </c>
      <c r="G113" s="102" t="n">
        <v>20880</v>
      </c>
      <c r="H113" s="103" t="s">
        <v>17</v>
      </c>
      <c r="I113" s="103">
        <f>IFERROR(VLOOKUP(A113,#REF!,15,0),0)+IFERROR(VLOOKUP(A113,#REF!,25,0),0)+IFERROR(VLOOKUP(A113,#REF!,10,0),0)+IFERROR(VLOOKUP(A113,#REF!,14,0),0)+IFERROR(VLOOKUP(A113,#REF!,10,0),0)+IFERROR(VLOOKUP(A113,#REF!,10,0),0)+IFERROR(VLOOKUP(A113,#REF!,10,0),0)+IFERROR(VLOOKUP(A113,#REF!,9,0),0)+IFERROR(VLOOKUP(A113,#REF!,9,0),0)+IFERROR(VLOOKUP(A113,#REF!,9,0),0)+IFERROR(VLOOKUP(A113,#REF!,9,0),0)</f>
        <v>0</v>
      </c>
      <c r="J113" s="104">
        <f>IFERROR(VLOOKUP(A113,#REF!,16,0),0)+IFERROR(VLOOKUP(A113,#REF!,26,0),0)+IFERROR(VLOOKUP(A113,#REF!,11,0),0)+IFERROR(VLOOKUP(A113,#REF!,23,0),0)+IFERROR(VLOOKUP(A113,#REF!,11,0),0)+IFERROR(VLOOKUP(A113,#REF!,11,0),0)+IFERROR(VLOOKUP(A113,#REF!,11,0),0)</f>
        <v>0</v>
      </c>
      <c r="K113" s="96" t="str">
        <f>"07.02.24"</f>
        <v>07.02.24</v>
      </c>
    </row>
    <row r="114" spans="1:11" ht="11.25" customHeight="1" outlineLevel="1">
      <c r="A114" s="109" t="n">
        <v>489870</v>
      </c>
      <c r="B114" s="114" t="s">
        <v>189</v>
      </c>
      <c r="C114" s="89" t="s">
        <v>199</v>
      </c>
      <c r="D114" s="89" t="s">
        <v>15</v>
      </c>
      <c r="E114" s="89"/>
      <c r="F114" s="102" t="n">
        <v>24101</v>
      </c>
      <c r="G114" s="102" t="n">
        <v>28921</v>
      </c>
      <c r="H114" s="103" t="s">
        <v>17</v>
      </c>
      <c r="I114" s="103">
        <f>IFERROR(VLOOKUP(A114,#REF!,15,0),0)+IFERROR(VLOOKUP(A114,#REF!,25,0),0)+IFERROR(VLOOKUP(A114,#REF!,10,0),0)+IFERROR(VLOOKUP(A114,#REF!,14,0),0)+IFERROR(VLOOKUP(A114,#REF!,10,0),0)+IFERROR(VLOOKUP(A114,#REF!,10,0),0)+IFERROR(VLOOKUP(A114,#REF!,10,0),0)+IFERROR(VLOOKUP(A114,#REF!,9,0),0)+IFERROR(VLOOKUP(A114,#REF!,9,0),0)+IFERROR(VLOOKUP(A114,#REF!,9,0),0)+IFERROR(VLOOKUP(A114,#REF!,9,0),0)</f>
        <v>0</v>
      </c>
      <c r="J114" s="104">
        <f>IFERROR(VLOOKUP(A114,#REF!,16,0),0)+IFERROR(VLOOKUP(A114,#REF!,26,0),0)+IFERROR(VLOOKUP(A114,#REF!,11,0),0)+IFERROR(VLOOKUP(A114,#REF!,23,0),0)+IFERROR(VLOOKUP(A114,#REF!,11,0),0)+IFERROR(VLOOKUP(A114,#REF!,11,0),0)+IFERROR(VLOOKUP(A114,#REF!,11,0),0)</f>
        <v>0</v>
      </c>
      <c r="K114" s="96" t="str">
        <f>"07.02.24"</f>
        <v>07.02.24</v>
      </c>
    </row>
    <row r="115" spans="1:11" ht="11.25" customHeight="1" outlineLevel="1">
      <c r="A115" s="109" t="n">
        <v>489880</v>
      </c>
      <c r="B115" s="114" t="s">
        <v>189</v>
      </c>
      <c r="C115" s="89" t="s">
        <v>200</v>
      </c>
      <c r="D115" s="89" t="s">
        <v>15</v>
      </c>
      <c r="E115" s="89"/>
      <c r="F115" s="102" t="n">
        <v>28601</v>
      </c>
      <c r="G115" s="102" t="n">
        <v>34321</v>
      </c>
      <c r="H115" s="103" t="s">
        <v>17</v>
      </c>
      <c r="I115" s="103">
        <f>IFERROR(VLOOKUP(A115,#REF!,15,0),0)+IFERROR(VLOOKUP(A115,#REF!,25,0),0)+IFERROR(VLOOKUP(A115,#REF!,10,0),0)+IFERROR(VLOOKUP(A115,#REF!,14,0),0)+IFERROR(VLOOKUP(A115,#REF!,10,0),0)+IFERROR(VLOOKUP(A115,#REF!,10,0),0)+IFERROR(VLOOKUP(A115,#REF!,10,0),0)+IFERROR(VLOOKUP(A115,#REF!,9,0),0)+IFERROR(VLOOKUP(A115,#REF!,9,0),0)+IFERROR(VLOOKUP(A115,#REF!,9,0),0)+IFERROR(VLOOKUP(A115,#REF!,9,0),0)</f>
        <v>0</v>
      </c>
      <c r="J115" s="104">
        <f>IFERROR(VLOOKUP(A115,#REF!,16,0),0)+IFERROR(VLOOKUP(A115,#REF!,26,0),0)+IFERROR(VLOOKUP(A115,#REF!,11,0),0)+IFERROR(VLOOKUP(A115,#REF!,23,0),0)+IFERROR(VLOOKUP(A115,#REF!,11,0),0)+IFERROR(VLOOKUP(A115,#REF!,11,0),0)+IFERROR(VLOOKUP(A115,#REF!,11,0),0)</f>
        <v>0</v>
      </c>
      <c r="K115" s="96" t="str">
        <f>"07.02.24"</f>
        <v>07.02.24</v>
      </c>
    </row>
    <row r="116" spans="1:11" ht="11.25" customHeight="1" outlineLevel="1">
      <c r="A116" s="109" t="n">
        <v>615580</v>
      </c>
      <c r="B116" s="114" t="s">
        <v>189</v>
      </c>
      <c r="C116" s="89" t="s">
        <v>201</v>
      </c>
      <c r="D116" s="89" t="s">
        <v>15</v>
      </c>
      <c r="E116" s="89"/>
      <c r="F116" s="102" t="n">
        <v>37201</v>
      </c>
      <c r="G116" s="102" t="n">
        <v>44641</v>
      </c>
      <c r="H116" s="103" t="s">
        <v>17</v>
      </c>
      <c r="I116" s="103">
        <f>IFERROR(VLOOKUP(A116,#REF!,15,0),0)+IFERROR(VLOOKUP(A116,#REF!,25,0),0)+IFERROR(VLOOKUP(A116,#REF!,10,0),0)+IFERROR(VLOOKUP(A116,#REF!,14,0),0)+IFERROR(VLOOKUP(A116,#REF!,10,0),0)+IFERROR(VLOOKUP(A116,#REF!,10,0),0)+IFERROR(VLOOKUP(A116,#REF!,10,0),0)+IFERROR(VLOOKUP(A116,#REF!,9,0),0)+IFERROR(VLOOKUP(A116,#REF!,9,0),0)+IFERROR(VLOOKUP(A116,#REF!,9,0),0)+IFERROR(VLOOKUP(A116,#REF!,9,0),0)</f>
        <v>0</v>
      </c>
      <c r="J116" s="104">
        <f>IFERROR(VLOOKUP(A116,#REF!,16,0),0)+IFERROR(VLOOKUP(A116,#REF!,26,0),0)+IFERROR(VLOOKUP(A116,#REF!,11,0),0)+IFERROR(VLOOKUP(A116,#REF!,23,0),0)+IFERROR(VLOOKUP(A116,#REF!,11,0),0)+IFERROR(VLOOKUP(A116,#REF!,11,0),0)+IFERROR(VLOOKUP(A116,#REF!,11,0),0)</f>
        <v>0</v>
      </c>
      <c r="K116" s="96" t="str">
        <f>"07.02.24"</f>
        <v>07.02.24</v>
      </c>
    </row>
    <row r="117" spans="1:11" ht="11.25" customHeight="1" outlineLevel="1">
      <c r="A117" s="109" t="n">
        <v>1024050</v>
      </c>
      <c r="B117" s="114" t="s">
        <v>189</v>
      </c>
      <c r="C117" s="89" t="s">
        <v>202</v>
      </c>
      <c r="D117" s="89" t="s">
        <v>15</v>
      </c>
      <c r="E117" s="89"/>
      <c r="F117" s="102" t="n">
        <v>88401</v>
      </c>
      <c r="G117" s="102" t="n">
        <v>106081</v>
      </c>
      <c r="H117" s="103" t="s">
        <v>17</v>
      </c>
      <c r="I117" s="103">
        <f>IFERROR(VLOOKUP(A117,#REF!,15,0),0)+IFERROR(VLOOKUP(A117,#REF!,25,0),0)+IFERROR(VLOOKUP(A117,#REF!,10,0),0)+IFERROR(VLOOKUP(A117,#REF!,14,0),0)+IFERROR(VLOOKUP(A117,#REF!,10,0),0)+IFERROR(VLOOKUP(A117,#REF!,10,0),0)+IFERROR(VLOOKUP(A117,#REF!,10,0),0)+IFERROR(VLOOKUP(A117,#REF!,9,0),0)+IFERROR(VLOOKUP(A117,#REF!,9,0),0)+IFERROR(VLOOKUP(A117,#REF!,9,0),0)+IFERROR(VLOOKUP(A117,#REF!,9,0),0)</f>
        <v>0</v>
      </c>
      <c r="J117" s="104">
        <f>IFERROR(VLOOKUP(A117,#REF!,16,0),0)+IFERROR(VLOOKUP(A117,#REF!,26,0),0)+IFERROR(VLOOKUP(A117,#REF!,11,0),0)+IFERROR(VLOOKUP(A117,#REF!,23,0),0)+IFERROR(VLOOKUP(A117,#REF!,11,0),0)+IFERROR(VLOOKUP(A117,#REF!,11,0),0)+IFERROR(VLOOKUP(A117,#REF!,11,0),0)</f>
        <v>0</v>
      </c>
      <c r="K117" s="96" t="str">
        <f>"07.02.24"</f>
        <v>07.02.24</v>
      </c>
    </row>
    <row r="118" spans="1:11" ht="11.25" customHeight="1" outlineLevel="1">
      <c r="A118" s="109" t="n">
        <v>2588440</v>
      </c>
      <c r="B118" s="114" t="s">
        <v>189</v>
      </c>
      <c r="C118" s="89" t="s">
        <v>203</v>
      </c>
      <c r="D118" s="89" t="s">
        <v>15</v>
      </c>
      <c r="E118" s="89"/>
      <c r="F118" s="102" t="n">
        <v>51801</v>
      </c>
      <c r="G118" s="102" t="n">
        <v>62162</v>
      </c>
      <c r="H118" s="103" t="s">
        <v>17</v>
      </c>
      <c r="I118" s="103">
        <f>IFERROR(VLOOKUP(A118,#REF!,15,0),0)+IFERROR(VLOOKUP(A118,#REF!,25,0),0)+IFERROR(VLOOKUP(A118,#REF!,10,0),0)+IFERROR(VLOOKUP(A118,#REF!,14,0),0)+IFERROR(VLOOKUP(A118,#REF!,10,0),0)+IFERROR(VLOOKUP(A118,#REF!,10,0),0)+IFERROR(VLOOKUP(A118,#REF!,10,0),0)+IFERROR(VLOOKUP(A118,#REF!,9,0),0)+IFERROR(VLOOKUP(A118,#REF!,9,0),0)+IFERROR(VLOOKUP(A118,#REF!,9,0),0)+IFERROR(VLOOKUP(A118,#REF!,9,0),0)</f>
        <v>0</v>
      </c>
      <c r="J118" s="104">
        <f>IFERROR(VLOOKUP(A118,#REF!,16,0),0)+IFERROR(VLOOKUP(A118,#REF!,26,0),0)+IFERROR(VLOOKUP(A118,#REF!,11,0),0)+IFERROR(VLOOKUP(A118,#REF!,23,0),0)+IFERROR(VLOOKUP(A118,#REF!,11,0),0)+IFERROR(VLOOKUP(A118,#REF!,11,0),0)+IFERROR(VLOOKUP(A118,#REF!,11,0),0)</f>
        <v>0</v>
      </c>
      <c r="K118" s="96" t="str">
        <f>"07.02.24"</f>
        <v>07.02.24</v>
      </c>
    </row>
    <row r="119" spans="1:11" ht="11.25" customHeight="1" outlineLevel="1">
      <c r="A119" s="109" t="n">
        <v>1016600</v>
      </c>
      <c r="B119" s="114" t="s">
        <v>189</v>
      </c>
      <c r="C119" s="89" t="s">
        <v>204</v>
      </c>
      <c r="D119" s="89" t="s">
        <v>15</v>
      </c>
      <c r="E119" s="89"/>
      <c r="F119" s="102" t="n">
        <v>82402</v>
      </c>
      <c r="G119" s="102" t="n">
        <v>98882</v>
      </c>
      <c r="H119" s="103" t="s">
        <v>17</v>
      </c>
      <c r="I119" s="103">
        <f>IFERROR(VLOOKUP(A119,#REF!,15,0),0)+IFERROR(VLOOKUP(A119,#REF!,25,0),0)+IFERROR(VLOOKUP(A119,#REF!,10,0),0)+IFERROR(VLOOKUP(A119,#REF!,14,0),0)+IFERROR(VLOOKUP(A119,#REF!,10,0),0)+IFERROR(VLOOKUP(A119,#REF!,10,0),0)+IFERROR(VLOOKUP(A119,#REF!,10,0),0)+IFERROR(VLOOKUP(A119,#REF!,9,0),0)+IFERROR(VLOOKUP(A119,#REF!,9,0),0)+IFERROR(VLOOKUP(A119,#REF!,9,0),0)+IFERROR(VLOOKUP(A119,#REF!,9,0),0)</f>
        <v>0</v>
      </c>
      <c r="J119" s="104">
        <f>IFERROR(VLOOKUP(A119,#REF!,16,0),0)+IFERROR(VLOOKUP(A119,#REF!,26,0),0)+IFERROR(VLOOKUP(A119,#REF!,11,0),0)+IFERROR(VLOOKUP(A119,#REF!,23,0),0)+IFERROR(VLOOKUP(A119,#REF!,11,0),0)+IFERROR(VLOOKUP(A119,#REF!,11,0),0)+IFERROR(VLOOKUP(A119,#REF!,11,0),0)</f>
        <v>0</v>
      </c>
      <c r="K119" s="96" t="str">
        <f>"07.02.24"</f>
        <v>07.02.24</v>
      </c>
    </row>
    <row r="120" spans="1:11" ht="11.25" customHeight="1" outlineLevel="1">
      <c r="A120" s="109" t="n">
        <v>2588370</v>
      </c>
      <c r="B120" s="114" t="s">
        <v>189</v>
      </c>
      <c r="C120" s="89" t="s">
        <v>205</v>
      </c>
      <c r="D120" s="89" t="s">
        <v>15</v>
      </c>
      <c r="E120" s="89"/>
      <c r="F120" s="102" t="n">
        <v>65801</v>
      </c>
      <c r="G120" s="102" t="n">
        <v>78961</v>
      </c>
      <c r="H120" s="103" t="s">
        <v>17</v>
      </c>
      <c r="I120" s="103">
        <f>IFERROR(VLOOKUP(A120,#REF!,15,0),0)+IFERROR(VLOOKUP(A120,#REF!,25,0),0)+IFERROR(VLOOKUP(A120,#REF!,10,0),0)+IFERROR(VLOOKUP(A120,#REF!,14,0),0)+IFERROR(VLOOKUP(A120,#REF!,10,0),0)+IFERROR(VLOOKUP(A120,#REF!,10,0),0)+IFERROR(VLOOKUP(A120,#REF!,10,0),0)+IFERROR(VLOOKUP(A120,#REF!,9,0),0)+IFERROR(VLOOKUP(A120,#REF!,9,0),0)+IFERROR(VLOOKUP(A120,#REF!,9,0),0)+IFERROR(VLOOKUP(A120,#REF!,9,0),0)</f>
        <v>0</v>
      </c>
      <c r="J120" s="104">
        <f>IFERROR(VLOOKUP(A120,#REF!,16,0),0)+IFERROR(VLOOKUP(A120,#REF!,26,0),0)+IFERROR(VLOOKUP(A120,#REF!,11,0),0)+IFERROR(VLOOKUP(A120,#REF!,23,0),0)+IFERROR(VLOOKUP(A120,#REF!,11,0),0)+IFERROR(VLOOKUP(A120,#REF!,11,0),0)+IFERROR(VLOOKUP(A120,#REF!,11,0),0)</f>
        <v>0</v>
      </c>
      <c r="K120" s="96" t="str">
        <f>"07.02.24"</f>
        <v>07.02.24</v>
      </c>
    </row>
    <row r="121" spans="1:11" ht="11.25" customHeight="1" outlineLevel="1">
      <c r="A121" s="109" t="n">
        <v>8095480</v>
      </c>
      <c r="B121" s="114" t="s">
        <v>189</v>
      </c>
      <c r="C121" s="89" t="s">
        <v>206</v>
      </c>
      <c r="D121" s="89" t="s">
        <v>15</v>
      </c>
      <c r="E121" s="89"/>
      <c r="F121" s="102" t="n">
        <v>97802</v>
      </c>
      <c r="G121" s="102" t="n">
        <v>117362</v>
      </c>
      <c r="H121" s="103" t="s">
        <v>17</v>
      </c>
      <c r="I121" s="103">
        <f>IFERROR(VLOOKUP(A121,#REF!,15,0),0)+IFERROR(VLOOKUP(A121,#REF!,25,0),0)+IFERROR(VLOOKUP(A121,#REF!,10,0),0)+IFERROR(VLOOKUP(A121,#REF!,14,0),0)+IFERROR(VLOOKUP(A121,#REF!,10,0),0)+IFERROR(VLOOKUP(A121,#REF!,10,0),0)+IFERROR(VLOOKUP(A121,#REF!,10,0),0)+IFERROR(VLOOKUP(A121,#REF!,9,0),0)+IFERROR(VLOOKUP(A121,#REF!,9,0),0)+IFERROR(VLOOKUP(A121,#REF!,9,0),0)+IFERROR(VLOOKUP(A121,#REF!,9,0),0)</f>
        <v>0</v>
      </c>
      <c r="J121" s="104">
        <f>IFERROR(VLOOKUP(A121,#REF!,16,0),0)+IFERROR(VLOOKUP(A121,#REF!,26,0),0)+IFERROR(VLOOKUP(A121,#REF!,11,0),0)+IFERROR(VLOOKUP(A121,#REF!,23,0),0)+IFERROR(VLOOKUP(A121,#REF!,11,0),0)+IFERROR(VLOOKUP(A121,#REF!,11,0),0)+IFERROR(VLOOKUP(A121,#REF!,11,0),0)</f>
        <v>0</v>
      </c>
      <c r="K121" s="96" t="str">
        <f>"07.02.24"</f>
        <v>07.02.24</v>
      </c>
    </row>
    <row r="122" spans="1:11" ht="11.25" customHeight="1" outlineLevel="1">
      <c r="A122" s="109" t="n">
        <v>1171170</v>
      </c>
      <c r="B122" s="114" t="s">
        <v>189</v>
      </c>
      <c r="C122" s="89" t="s">
        <v>207</v>
      </c>
      <c r="D122" s="89" t="s">
        <v>15</v>
      </c>
      <c r="E122" s="89"/>
      <c r="F122" s="102" t="n">
        <v>97802</v>
      </c>
      <c r="G122" s="102" t="n">
        <v>117362</v>
      </c>
      <c r="H122" s="103" t="s">
        <v>17</v>
      </c>
      <c r="I122" s="103">
        <f>IFERROR(VLOOKUP(A122,#REF!,15,0),0)+IFERROR(VLOOKUP(A122,#REF!,25,0),0)+IFERROR(VLOOKUP(A122,#REF!,10,0),0)+IFERROR(VLOOKUP(A122,#REF!,14,0),0)+IFERROR(VLOOKUP(A122,#REF!,10,0),0)+IFERROR(VLOOKUP(A122,#REF!,10,0),0)+IFERROR(VLOOKUP(A122,#REF!,10,0),0)+IFERROR(VLOOKUP(A122,#REF!,9,0),0)+IFERROR(VLOOKUP(A122,#REF!,9,0),0)+IFERROR(VLOOKUP(A122,#REF!,9,0),0)+IFERROR(VLOOKUP(A122,#REF!,9,0),0)</f>
        <v>0</v>
      </c>
      <c r="J122" s="104">
        <f>IFERROR(VLOOKUP(A122,#REF!,16,0),0)+IFERROR(VLOOKUP(A122,#REF!,26,0),0)+IFERROR(VLOOKUP(A122,#REF!,11,0),0)+IFERROR(VLOOKUP(A122,#REF!,23,0),0)+IFERROR(VLOOKUP(A122,#REF!,11,0),0)+IFERROR(VLOOKUP(A122,#REF!,11,0),0)+IFERROR(VLOOKUP(A122,#REF!,11,0),0)</f>
        <v>0</v>
      </c>
      <c r="K122" s="96" t="str">
        <f>"07.02.24"</f>
        <v>07.02.24</v>
      </c>
    </row>
    <row r="123" spans="1:11" ht="11.25" customHeight="1" outlineLevel="1">
      <c r="A123" s="109" t="n">
        <v>7065160</v>
      </c>
      <c r="B123" s="114" t="s">
        <v>189</v>
      </c>
      <c r="C123" s="89" t="s">
        <v>208</v>
      </c>
      <c r="D123" s="89" t="s">
        <v>15</v>
      </c>
      <c r="E123" s="89"/>
      <c r="F123" s="102" t="n">
        <v>147301</v>
      </c>
      <c r="G123" s="102" t="n">
        <v>176761</v>
      </c>
      <c r="H123" s="103" t="s">
        <v>17</v>
      </c>
      <c r="I123" s="103">
        <f>IFERROR(VLOOKUP(A123,#REF!,15,0),0)+IFERROR(VLOOKUP(A123,#REF!,25,0),0)+IFERROR(VLOOKUP(A123,#REF!,10,0),0)+IFERROR(VLOOKUP(A123,#REF!,14,0),0)+IFERROR(VLOOKUP(A123,#REF!,10,0),0)+IFERROR(VLOOKUP(A123,#REF!,10,0),0)+IFERROR(VLOOKUP(A123,#REF!,10,0),0)+IFERROR(VLOOKUP(A123,#REF!,9,0),0)+IFERROR(VLOOKUP(A123,#REF!,9,0),0)+IFERROR(VLOOKUP(A123,#REF!,9,0),0)+IFERROR(VLOOKUP(A123,#REF!,9,0),0)</f>
        <v>0</v>
      </c>
      <c r="J123" s="104">
        <f>IFERROR(VLOOKUP(A123,#REF!,16,0),0)+IFERROR(VLOOKUP(A123,#REF!,26,0),0)+IFERROR(VLOOKUP(A123,#REF!,11,0),0)+IFERROR(VLOOKUP(A123,#REF!,23,0),0)+IFERROR(VLOOKUP(A123,#REF!,11,0),0)+IFERROR(VLOOKUP(A123,#REF!,11,0),0)+IFERROR(VLOOKUP(A123,#REF!,11,0),0)</f>
        <v>0</v>
      </c>
      <c r="K123" s="96" t="str">
        <f>"07.02.24"</f>
        <v>07.02.24</v>
      </c>
    </row>
    <row r="124" spans="1:11" ht="11.25" customHeight="1" outlineLevel="1">
      <c r="A124" s="109" t="n">
        <v>2540500</v>
      </c>
      <c r="B124" s="114" t="s">
        <v>189</v>
      </c>
      <c r="C124" s="89" t="s">
        <v>209</v>
      </c>
      <c r="D124" s="89" t="s">
        <v>15</v>
      </c>
      <c r="E124" s="89"/>
      <c r="F124" s="102" t="n">
        <v>147301</v>
      </c>
      <c r="G124" s="102" t="n">
        <v>176761</v>
      </c>
      <c r="H124" s="103" t="s">
        <v>17</v>
      </c>
      <c r="I124" s="103">
        <f>IFERROR(VLOOKUP(A124,#REF!,15,0),0)+IFERROR(VLOOKUP(A124,#REF!,25,0),0)+IFERROR(VLOOKUP(A124,#REF!,10,0),0)+IFERROR(VLOOKUP(A124,#REF!,14,0),0)+IFERROR(VLOOKUP(A124,#REF!,10,0),0)+IFERROR(VLOOKUP(A124,#REF!,10,0),0)+IFERROR(VLOOKUP(A124,#REF!,10,0),0)+IFERROR(VLOOKUP(A124,#REF!,9,0),0)+IFERROR(VLOOKUP(A124,#REF!,9,0),0)+IFERROR(VLOOKUP(A124,#REF!,9,0),0)+IFERROR(VLOOKUP(A124,#REF!,9,0),0)</f>
        <v>0</v>
      </c>
      <c r="J124" s="104">
        <f>IFERROR(VLOOKUP(A124,#REF!,16,0),0)+IFERROR(VLOOKUP(A124,#REF!,26,0),0)+IFERROR(VLOOKUP(A124,#REF!,11,0),0)+IFERROR(VLOOKUP(A124,#REF!,23,0),0)+IFERROR(VLOOKUP(A124,#REF!,11,0),0)+IFERROR(VLOOKUP(A124,#REF!,11,0),0)+IFERROR(VLOOKUP(A124,#REF!,11,0),0)</f>
        <v>0</v>
      </c>
      <c r="K124" s="96" t="str">
        <f>"07.02.24"</f>
        <v>07.02.24</v>
      </c>
    </row>
    <row r="125" spans="1:11" ht="11.25" customHeight="1" outlineLevel="1">
      <c r="A125" s="109" t="n">
        <v>1945460</v>
      </c>
      <c r="B125" s="114" t="s">
        <v>189</v>
      </c>
      <c r="C125" s="89" t="s">
        <v>210</v>
      </c>
      <c r="D125" s="89" t="s">
        <v>15</v>
      </c>
      <c r="E125" s="89"/>
      <c r="F125" s="102" t="n">
        <v>147301</v>
      </c>
      <c r="G125" s="102" t="n">
        <v>176761</v>
      </c>
      <c r="H125" s="103" t="s">
        <v>17</v>
      </c>
      <c r="I125" s="103">
        <f>IFERROR(VLOOKUP(A125,#REF!,15,0),0)+IFERROR(VLOOKUP(A125,#REF!,25,0),0)+IFERROR(VLOOKUP(A125,#REF!,10,0),0)+IFERROR(VLOOKUP(A125,#REF!,14,0),0)+IFERROR(VLOOKUP(A125,#REF!,10,0),0)+IFERROR(VLOOKUP(A125,#REF!,10,0),0)+IFERROR(VLOOKUP(A125,#REF!,10,0),0)+IFERROR(VLOOKUP(A125,#REF!,9,0),0)+IFERROR(VLOOKUP(A125,#REF!,9,0),0)+IFERROR(VLOOKUP(A125,#REF!,9,0),0)+IFERROR(VLOOKUP(A125,#REF!,9,0),0)</f>
        <v>0</v>
      </c>
      <c r="J125" s="104">
        <f>IFERROR(VLOOKUP(A125,#REF!,16,0),0)+IFERROR(VLOOKUP(A125,#REF!,26,0),0)+IFERROR(VLOOKUP(A125,#REF!,11,0),0)+IFERROR(VLOOKUP(A125,#REF!,23,0),0)+IFERROR(VLOOKUP(A125,#REF!,11,0),0)+IFERROR(VLOOKUP(A125,#REF!,11,0),0)+IFERROR(VLOOKUP(A125,#REF!,11,0),0)</f>
        <v>0</v>
      </c>
      <c r="K125" s="96" t="str">
        <f>"07.02.24"</f>
        <v>07.02.24</v>
      </c>
    </row>
    <row r="126" spans="1:11" ht="11.25" customHeight="1">
      <c r="A126" s="97" t="s">
        <v>211</v>
      </c>
      <c r="B126" s="98"/>
      <c r="C126" s="98"/>
      <c r="D126" s="98"/>
      <c r="E126" s="98"/>
      <c r="F126" s="99"/>
      <c r="G126" s="99"/>
      <c r="H126" s="100"/>
      <c r="I126" s="100"/>
      <c r="J126" s="101"/>
      <c r="K126" s="96" t="str">
        <f>"07.02.24"</f>
        <v>07.02.24</v>
      </c>
    </row>
    <row r="127" spans="1:11" ht="11.25" customHeight="1" outlineLevel="1">
      <c r="A127" s="89" t="s">
        <v>212</v>
      </c>
      <c r="B127" s="114" t="s">
        <v>211</v>
      </c>
      <c r="C127" s="89" t="s">
        <v>213</v>
      </c>
      <c r="D127" s="89" t="s">
        <v>15</v>
      </c>
      <c r="E127" s="89"/>
      <c r="F127" s="102" t="n">
        <v>14900</v>
      </c>
      <c r="G127" s="102" t="n">
        <v>18624</v>
      </c>
      <c r="H127" s="103" t="s">
        <v>17</v>
      </c>
      <c r="I127" s="103">
        <f>IFERROR(VLOOKUP(A127,#REF!,15,0),0)+IFERROR(VLOOKUP(A127,#REF!,25,0),0)+IFERROR(VLOOKUP(A127,#REF!,10,0),0)+IFERROR(VLOOKUP(A127,#REF!,14,0),0)+IFERROR(VLOOKUP(A127,#REF!,10,0),0)+IFERROR(VLOOKUP(A127,#REF!,10,0),0)+IFERROR(VLOOKUP(A127,#REF!,10,0),0)+IFERROR(VLOOKUP(A127,#REF!,9,0),0)+IFERROR(VLOOKUP(A127,#REF!,9,0),0)+IFERROR(VLOOKUP(A127,#REF!,9,0),0)+IFERROR(VLOOKUP(A127,#REF!,9,0),0)</f>
        <v>0</v>
      </c>
      <c r="J127" s="104">
        <f>IFERROR(VLOOKUP(A127,#REF!,16,0),0)+IFERROR(VLOOKUP(A127,#REF!,26,0),0)+IFERROR(VLOOKUP(A127,#REF!,11,0),0)+IFERROR(VLOOKUP(A127,#REF!,23,0),0)+IFERROR(VLOOKUP(A127,#REF!,11,0),0)+IFERROR(VLOOKUP(A127,#REF!,11,0),0)+IFERROR(VLOOKUP(A127,#REF!,11,0),0)</f>
        <v>0</v>
      </c>
      <c r="K127" s="96" t="str">
        <f>"07.02.24"</f>
        <v>07.02.24</v>
      </c>
    </row>
    <row r="128" spans="1:11" ht="11.25" customHeight="1" outlineLevel="1">
      <c r="A128" s="89" t="n">
        <v>8200000</v>
      </c>
      <c r="B128" s="114" t="s">
        <v>211</v>
      </c>
      <c r="C128" s="89" t="s">
        <v>214</v>
      </c>
      <c r="D128" s="89" t="s">
        <v>15</v>
      </c>
      <c r="E128" s="89"/>
      <c r="F128" s="102" t="n">
        <v>2821</v>
      </c>
      <c r="G128" s="102" t="n">
        <v>3525</v>
      </c>
      <c r="H128" s="103" t="s">
        <v>48</v>
      </c>
      <c r="I128" s="103">
        <f>IFERROR(VLOOKUP(A128,#REF!,15,0),0)+IFERROR(VLOOKUP(A128,#REF!,25,0),0)+IFERROR(VLOOKUP(A128,#REF!,10,0),0)+IFERROR(VLOOKUP(A128,#REF!,14,0),0)+IFERROR(VLOOKUP(A128,#REF!,10,0),0)+IFERROR(VLOOKUP(A128,#REF!,10,0),0)+IFERROR(VLOOKUP(A128,#REF!,10,0),0)+IFERROR(VLOOKUP(A128,#REF!,9,0),0)+IFERROR(VLOOKUP(A128,#REF!,9,0),0)+IFERROR(VLOOKUP(A128,#REF!,9,0),0)+IFERROR(VLOOKUP(A128,#REF!,9,0),0)</f>
        <v>0</v>
      </c>
      <c r="J128" s="104">
        <f>IFERROR(VLOOKUP(A128,#REF!,16,0),0)+IFERROR(VLOOKUP(A128,#REF!,26,0),0)+IFERROR(VLOOKUP(A128,#REF!,11,0),0)+IFERROR(VLOOKUP(A128,#REF!,23,0),0)+IFERROR(VLOOKUP(A128,#REF!,11,0),0)+IFERROR(VLOOKUP(A128,#REF!,11,0),0)+IFERROR(VLOOKUP(A128,#REF!,11,0),0)</f>
        <v>0</v>
      </c>
      <c r="K128" s="96" t="str">
        <f>"07.02.24"</f>
        <v>07.02.24</v>
      </c>
    </row>
    <row r="129" spans="1:11" ht="11.25" customHeight="1" outlineLevel="1">
      <c r="A129" s="89" t="n">
        <v>8901100</v>
      </c>
      <c r="B129" s="114" t="s">
        <v>211</v>
      </c>
      <c r="C129" s="89" t="s">
        <v>215</v>
      </c>
      <c r="D129" s="89" t="s">
        <v>15</v>
      </c>
      <c r="E129" s="89"/>
      <c r="F129" s="102" t="n">
        <v>6907</v>
      </c>
      <c r="G129" s="102" t="n">
        <v>8636</v>
      </c>
      <c r="H129" s="103" t="s">
        <v>17</v>
      </c>
      <c r="I129" s="103">
        <f>IFERROR(VLOOKUP(A129,#REF!,15,0),0)+IFERROR(VLOOKUP(A129,#REF!,25,0),0)+IFERROR(VLOOKUP(A129,#REF!,10,0),0)+IFERROR(VLOOKUP(A129,#REF!,14,0),0)+IFERROR(VLOOKUP(A129,#REF!,10,0),0)+IFERROR(VLOOKUP(A129,#REF!,10,0),0)+IFERROR(VLOOKUP(A129,#REF!,10,0),0)+IFERROR(VLOOKUP(A129,#REF!,9,0),0)+IFERROR(VLOOKUP(A129,#REF!,9,0),0)+IFERROR(VLOOKUP(A129,#REF!,9,0),0)+IFERROR(VLOOKUP(A129,#REF!,9,0),0)</f>
        <v>0</v>
      </c>
      <c r="J129" s="104">
        <f>IFERROR(VLOOKUP(A129,#REF!,16,0),0)+IFERROR(VLOOKUP(A129,#REF!,26,0),0)+IFERROR(VLOOKUP(A129,#REF!,11,0),0)+IFERROR(VLOOKUP(A129,#REF!,23,0),0)+IFERROR(VLOOKUP(A129,#REF!,11,0),0)+IFERROR(VLOOKUP(A129,#REF!,11,0),0)+IFERROR(VLOOKUP(A129,#REF!,11,0),0)</f>
        <v>0</v>
      </c>
      <c r="K129" s="96" t="str">
        <f>"07.02.24"</f>
        <v>07.02.24</v>
      </c>
    </row>
    <row r="130" spans="1:11" ht="11.25" customHeight="1" outlineLevel="1">
      <c r="A130" s="89" t="n">
        <v>8902020</v>
      </c>
      <c r="B130" s="114" t="s">
        <v>211</v>
      </c>
      <c r="C130" s="89" t="s">
        <v>216</v>
      </c>
      <c r="D130" s="89" t="s">
        <v>15</v>
      </c>
      <c r="E130" s="89"/>
      <c r="F130" s="102" t="n">
        <v>8012</v>
      </c>
      <c r="G130" s="102" t="n">
        <v>10015</v>
      </c>
      <c r="H130" s="103" t="s">
        <v>48</v>
      </c>
      <c r="I130" s="103">
        <f>IFERROR(VLOOKUP(A130,#REF!,15,0),0)+IFERROR(VLOOKUP(A130,#REF!,25,0),0)+IFERROR(VLOOKUP(A130,#REF!,10,0),0)+IFERROR(VLOOKUP(A130,#REF!,14,0),0)+IFERROR(VLOOKUP(A130,#REF!,10,0),0)+IFERROR(VLOOKUP(A130,#REF!,10,0),0)+IFERROR(VLOOKUP(A130,#REF!,10,0),0)+IFERROR(VLOOKUP(A130,#REF!,9,0),0)+IFERROR(VLOOKUP(A130,#REF!,9,0),0)+IFERROR(VLOOKUP(A130,#REF!,9,0),0)+IFERROR(VLOOKUP(A130,#REF!,9,0),0)</f>
        <v>0</v>
      </c>
      <c r="J130" s="104">
        <f>IFERROR(VLOOKUP(A130,#REF!,16,0),0)+IFERROR(VLOOKUP(A130,#REF!,26,0),0)+IFERROR(VLOOKUP(A130,#REF!,11,0),0)+IFERROR(VLOOKUP(A130,#REF!,23,0),0)+IFERROR(VLOOKUP(A130,#REF!,11,0),0)+IFERROR(VLOOKUP(A130,#REF!,11,0),0)+IFERROR(VLOOKUP(A130,#REF!,11,0),0)</f>
        <v>0</v>
      </c>
      <c r="K130" s="96" t="str">
        <f>"07.02.24"</f>
        <v>07.02.24</v>
      </c>
    </row>
    <row r="131" spans="1:11" ht="11.25" customHeight="1" outlineLevel="1">
      <c r="A131" s="89" t="n">
        <v>8902030</v>
      </c>
      <c r="B131" s="114" t="s">
        <v>211</v>
      </c>
      <c r="C131" s="89" t="s">
        <v>217</v>
      </c>
      <c r="D131" s="89" t="s">
        <v>15</v>
      </c>
      <c r="E131" s="89"/>
      <c r="F131" s="102" t="n">
        <v>9217</v>
      </c>
      <c r="G131" s="102" t="n">
        <v>11522</v>
      </c>
      <c r="H131" s="103" t="s">
        <v>48</v>
      </c>
      <c r="I131" s="103">
        <f>IFERROR(VLOOKUP(A131,#REF!,15,0),0)+IFERROR(VLOOKUP(A131,#REF!,25,0),0)+IFERROR(VLOOKUP(A131,#REF!,10,0),0)+IFERROR(VLOOKUP(A131,#REF!,14,0),0)+IFERROR(VLOOKUP(A131,#REF!,10,0),0)+IFERROR(VLOOKUP(A131,#REF!,10,0),0)+IFERROR(VLOOKUP(A131,#REF!,10,0),0)+IFERROR(VLOOKUP(A131,#REF!,9,0),0)+IFERROR(VLOOKUP(A131,#REF!,9,0),0)+IFERROR(VLOOKUP(A131,#REF!,9,0),0)+IFERROR(VLOOKUP(A131,#REF!,9,0),0)</f>
        <v>0</v>
      </c>
      <c r="J131" s="104">
        <f>IFERROR(VLOOKUP(A131,#REF!,16,0),0)+IFERROR(VLOOKUP(A131,#REF!,26,0),0)+IFERROR(VLOOKUP(A131,#REF!,11,0),0)+IFERROR(VLOOKUP(A131,#REF!,23,0),0)+IFERROR(VLOOKUP(A131,#REF!,11,0),0)+IFERROR(VLOOKUP(A131,#REF!,11,0),0)+IFERROR(VLOOKUP(A131,#REF!,11,0),0)</f>
        <v>0</v>
      </c>
      <c r="K131" s="96" t="str">
        <f>"07.02.24"</f>
        <v>07.02.24</v>
      </c>
    </row>
    <row r="132" spans="1:11" ht="11.25" customHeight="1" outlineLevel="1">
      <c r="A132" s="89" t="n">
        <v>8159090</v>
      </c>
      <c r="B132" s="114" t="s">
        <v>211</v>
      </c>
      <c r="C132" s="89" t="s">
        <v>218</v>
      </c>
      <c r="D132" s="89" t="s">
        <v>15</v>
      </c>
      <c r="E132" s="89"/>
      <c r="F132" s="102" t="n">
        <v>5677</v>
      </c>
      <c r="G132" s="102" t="n">
        <v>7096</v>
      </c>
      <c r="H132" s="103" t="s">
        <v>48</v>
      </c>
      <c r="I132" s="103">
        <f>IFERROR(VLOOKUP(A132,#REF!,15,0),0)+IFERROR(VLOOKUP(A132,#REF!,25,0),0)+IFERROR(VLOOKUP(A132,#REF!,10,0),0)+IFERROR(VLOOKUP(A132,#REF!,14,0),0)+IFERROR(VLOOKUP(A132,#REF!,10,0),0)+IFERROR(VLOOKUP(A132,#REF!,10,0),0)+IFERROR(VLOOKUP(A132,#REF!,10,0),0)+IFERROR(VLOOKUP(A132,#REF!,9,0),0)+IFERROR(VLOOKUP(A132,#REF!,9,0),0)+IFERROR(VLOOKUP(A132,#REF!,9,0),0)+IFERROR(VLOOKUP(A132,#REF!,9,0),0)</f>
        <v>0</v>
      </c>
      <c r="J132" s="104">
        <f>IFERROR(VLOOKUP(A132,#REF!,16,0),0)+IFERROR(VLOOKUP(A132,#REF!,26,0),0)+IFERROR(VLOOKUP(A132,#REF!,11,0),0)+IFERROR(VLOOKUP(A132,#REF!,23,0),0)+IFERROR(VLOOKUP(A132,#REF!,11,0),0)+IFERROR(VLOOKUP(A132,#REF!,11,0),0)+IFERROR(VLOOKUP(A132,#REF!,11,0),0)</f>
        <v>0</v>
      </c>
      <c r="K132" s="96" t="str">
        <f>"07.02.24"</f>
        <v>07.02.24</v>
      </c>
    </row>
    <row r="133" spans="1:11" ht="11.25" customHeight="1" outlineLevel="1">
      <c r="A133" s="89" t="n">
        <v>8190000</v>
      </c>
      <c r="B133" s="114" t="s">
        <v>211</v>
      </c>
      <c r="C133" s="89" t="s">
        <v>219</v>
      </c>
      <c r="D133" s="89" t="s">
        <v>15</v>
      </c>
      <c r="E133" s="89"/>
      <c r="F133" s="102" t="n">
        <v>7220</v>
      </c>
      <c r="G133" s="102" t="n">
        <v>9025</v>
      </c>
      <c r="H133" s="103" t="s">
        <v>48</v>
      </c>
      <c r="I133" s="103">
        <f>IFERROR(VLOOKUP(A133,#REF!,15,0),0)+IFERROR(VLOOKUP(A133,#REF!,25,0),0)+IFERROR(VLOOKUP(A133,#REF!,10,0),0)+IFERROR(VLOOKUP(A133,#REF!,14,0),0)+IFERROR(VLOOKUP(A133,#REF!,10,0),0)+IFERROR(VLOOKUP(A133,#REF!,10,0),0)+IFERROR(VLOOKUP(A133,#REF!,10,0),0)+IFERROR(VLOOKUP(A133,#REF!,9,0),0)+IFERROR(VLOOKUP(A133,#REF!,9,0),0)+IFERROR(VLOOKUP(A133,#REF!,9,0),0)+IFERROR(VLOOKUP(A133,#REF!,9,0),0)</f>
        <v>0</v>
      </c>
      <c r="J133" s="104">
        <f>IFERROR(VLOOKUP(A133,#REF!,16,0),0)+IFERROR(VLOOKUP(A133,#REF!,26,0),0)+IFERROR(VLOOKUP(A133,#REF!,11,0),0)+IFERROR(VLOOKUP(A133,#REF!,23,0),0)+IFERROR(VLOOKUP(A133,#REF!,11,0),0)+IFERROR(VLOOKUP(A133,#REF!,11,0),0)+IFERROR(VLOOKUP(A133,#REF!,11,0),0)</f>
        <v>0</v>
      </c>
      <c r="K133" s="96" t="str">
        <f>"07.02.24"</f>
        <v>07.02.24</v>
      </c>
    </row>
    <row r="134" spans="1:11" ht="11.25" customHeight="1" outlineLevel="1">
      <c r="A134" s="89" t="n">
        <v>8094570</v>
      </c>
      <c r="B134" s="114" t="s">
        <v>211</v>
      </c>
      <c r="C134" s="89" t="s">
        <v>220</v>
      </c>
      <c r="D134" s="89" t="s">
        <v>15</v>
      </c>
      <c r="E134" s="89"/>
      <c r="F134" s="102" t="n">
        <v>71219</v>
      </c>
      <c r="G134" s="102" t="n">
        <v>96144</v>
      </c>
      <c r="H134" s="103" t="s">
        <v>48</v>
      </c>
      <c r="I134" s="103">
        <f>IFERROR(VLOOKUP(A134,#REF!,15,0),0)+IFERROR(VLOOKUP(A134,#REF!,25,0),0)+IFERROR(VLOOKUP(A134,#REF!,10,0),0)+IFERROR(VLOOKUP(A134,#REF!,14,0),0)+IFERROR(VLOOKUP(A134,#REF!,10,0),0)+IFERROR(VLOOKUP(A134,#REF!,10,0),0)+IFERROR(VLOOKUP(A134,#REF!,10,0),0)+IFERROR(VLOOKUP(A134,#REF!,9,0),0)+IFERROR(VLOOKUP(A134,#REF!,9,0),0)+IFERROR(VLOOKUP(A134,#REF!,9,0),0)+IFERROR(VLOOKUP(A134,#REF!,9,0),0)</f>
        <v>0</v>
      </c>
      <c r="J134" s="104">
        <f>IFERROR(VLOOKUP(A134,#REF!,16,0),0)+IFERROR(VLOOKUP(A134,#REF!,26,0),0)+IFERROR(VLOOKUP(A134,#REF!,11,0),0)+IFERROR(VLOOKUP(A134,#REF!,23,0),0)+IFERROR(VLOOKUP(A134,#REF!,11,0),0)+IFERROR(VLOOKUP(A134,#REF!,11,0),0)+IFERROR(VLOOKUP(A134,#REF!,11,0),0)</f>
        <v>0</v>
      </c>
      <c r="K134" s="96" t="str">
        <f>"07.02.24"</f>
        <v>07.02.24</v>
      </c>
    </row>
    <row r="135" spans="1:11" ht="11.25" customHeight="1" outlineLevel="1">
      <c r="A135" s="89" t="n">
        <v>8202050</v>
      </c>
      <c r="B135" s="114" t="s">
        <v>211</v>
      </c>
      <c r="C135" s="89" t="s">
        <v>221</v>
      </c>
      <c r="D135" s="89" t="s">
        <v>15</v>
      </c>
      <c r="E135" s="89"/>
      <c r="F135" s="102" t="n">
        <v>1578</v>
      </c>
      <c r="G135" s="102" t="n">
        <v>2111</v>
      </c>
      <c r="H135" s="103" t="s">
        <v>48</v>
      </c>
      <c r="I135" s="103">
        <f>IFERROR(VLOOKUP(A135,#REF!,15,0),0)+IFERROR(VLOOKUP(A135,#REF!,25,0),0)+IFERROR(VLOOKUP(A135,#REF!,10,0),0)+IFERROR(VLOOKUP(A135,#REF!,14,0),0)+IFERROR(VLOOKUP(A135,#REF!,10,0),0)+IFERROR(VLOOKUP(A135,#REF!,10,0),0)+IFERROR(VLOOKUP(A135,#REF!,10,0),0)+IFERROR(VLOOKUP(A135,#REF!,9,0),0)+IFERROR(VLOOKUP(A135,#REF!,9,0),0)+IFERROR(VLOOKUP(A135,#REF!,9,0),0)+IFERROR(VLOOKUP(A135,#REF!,9,0),0)</f>
        <v>0</v>
      </c>
      <c r="J135" s="104">
        <f>IFERROR(VLOOKUP(A135,#REF!,16,0),0)+IFERROR(VLOOKUP(A135,#REF!,26,0),0)+IFERROR(VLOOKUP(A135,#REF!,11,0),0)+IFERROR(VLOOKUP(A135,#REF!,23,0),0)+IFERROR(VLOOKUP(A135,#REF!,11,0),0)+IFERROR(VLOOKUP(A135,#REF!,11,0),0)+IFERROR(VLOOKUP(A135,#REF!,11,0),0)</f>
        <v>0</v>
      </c>
      <c r="K135" s="96" t="str">
        <f>"07.02.24"</f>
        <v>07.02.24</v>
      </c>
    </row>
    <row r="136" spans="1:11" ht="11.25" customHeight="1" outlineLevel="1">
      <c r="A136" s="89" t="n">
        <v>35147</v>
      </c>
      <c r="B136" s="114" t="s">
        <v>211</v>
      </c>
      <c r="C136" s="89" t="s">
        <v>222</v>
      </c>
      <c r="D136" s="89" t="s">
        <v>15</v>
      </c>
      <c r="E136" s="89"/>
      <c r="F136" s="102" t="n">
        <v>2179</v>
      </c>
      <c r="G136" s="102" t="n">
        <v>2725</v>
      </c>
      <c r="H136" s="103" t="s">
        <v>17</v>
      </c>
      <c r="I136" s="103">
        <f>IFERROR(VLOOKUP(A136,#REF!,15,0),0)+IFERROR(VLOOKUP(A136,#REF!,25,0),0)+IFERROR(VLOOKUP(A136,#REF!,10,0),0)+IFERROR(VLOOKUP(A136,#REF!,14,0),0)+IFERROR(VLOOKUP(A136,#REF!,10,0),0)+IFERROR(VLOOKUP(A136,#REF!,10,0),0)+IFERROR(VLOOKUP(A136,#REF!,10,0),0)+IFERROR(VLOOKUP(A136,#REF!,9,0),0)+IFERROR(VLOOKUP(A136,#REF!,9,0),0)+IFERROR(VLOOKUP(A136,#REF!,9,0),0)+IFERROR(VLOOKUP(A136,#REF!,9,0),0)</f>
        <v>0</v>
      </c>
      <c r="J136" s="104">
        <f>IFERROR(VLOOKUP(A136,#REF!,16,0),0)+IFERROR(VLOOKUP(A136,#REF!,26,0),0)+IFERROR(VLOOKUP(A136,#REF!,11,0),0)+IFERROR(VLOOKUP(A136,#REF!,23,0),0)+IFERROR(VLOOKUP(A136,#REF!,11,0),0)+IFERROR(VLOOKUP(A136,#REF!,11,0),0)+IFERROR(VLOOKUP(A136,#REF!,11,0),0)</f>
        <v>0</v>
      </c>
      <c r="K136" s="96" t="str">
        <f>"07.02.24"</f>
        <v>07.02.24</v>
      </c>
    </row>
    <row r="137" spans="1:11" ht="11.25" customHeight="1" outlineLevel="1">
      <c r="A137" s="89" t="n">
        <v>8106160</v>
      </c>
      <c r="B137" s="114" t="s">
        <v>211</v>
      </c>
      <c r="C137" s="89" t="s">
        <v>223</v>
      </c>
      <c r="D137" s="89" t="s">
        <v>15</v>
      </c>
      <c r="E137" s="89"/>
      <c r="F137" s="102" t="n">
        <v>229</v>
      </c>
      <c r="G137" s="102" t="n">
        <v>284</v>
      </c>
      <c r="H137" s="103" t="s">
        <v>17</v>
      </c>
      <c r="I137" s="103">
        <f>IFERROR(VLOOKUP(A137,#REF!,15,0),0)+IFERROR(VLOOKUP(A137,#REF!,25,0),0)+IFERROR(VLOOKUP(A137,#REF!,10,0),0)+IFERROR(VLOOKUP(A137,#REF!,14,0),0)+IFERROR(VLOOKUP(A137,#REF!,10,0),0)+IFERROR(VLOOKUP(A137,#REF!,10,0),0)+IFERROR(VLOOKUP(A137,#REF!,10,0),0)+IFERROR(VLOOKUP(A137,#REF!,9,0),0)+IFERROR(VLOOKUP(A137,#REF!,9,0),0)+IFERROR(VLOOKUP(A137,#REF!,9,0),0)+IFERROR(VLOOKUP(A137,#REF!,9,0),0)</f>
        <v>0</v>
      </c>
      <c r="J137" s="104">
        <f>IFERROR(VLOOKUP(A137,#REF!,16,0),0)+IFERROR(VLOOKUP(A137,#REF!,26,0),0)+IFERROR(VLOOKUP(A137,#REF!,11,0),0)+IFERROR(VLOOKUP(A137,#REF!,23,0),0)+IFERROR(VLOOKUP(A137,#REF!,11,0),0)+IFERROR(VLOOKUP(A137,#REF!,11,0),0)+IFERROR(VLOOKUP(A137,#REF!,11,0),0)</f>
        <v>0</v>
      </c>
      <c r="K137" s="96" t="str">
        <f>"07.02.24"</f>
        <v>07.02.24</v>
      </c>
    </row>
    <row r="138" spans="1:11" ht="11.25" customHeight="1" outlineLevel="1">
      <c r="A138" s="89" t="n">
        <v>8096310</v>
      </c>
      <c r="B138" s="114" t="s">
        <v>211</v>
      </c>
      <c r="C138" s="89" t="s">
        <v>224</v>
      </c>
      <c r="D138" s="89" t="s">
        <v>15</v>
      </c>
      <c r="E138" s="89"/>
      <c r="F138" s="102" t="n">
        <v>31676</v>
      </c>
      <c r="G138" s="102" t="n">
        <v>39595</v>
      </c>
      <c r="H138" s="103" t="s">
        <v>17</v>
      </c>
      <c r="I138" s="103">
        <f>IFERROR(VLOOKUP(A138,#REF!,15,0),0)+IFERROR(VLOOKUP(A138,#REF!,25,0),0)+IFERROR(VLOOKUP(A138,#REF!,10,0),0)+IFERROR(VLOOKUP(A138,#REF!,14,0),0)+IFERROR(VLOOKUP(A138,#REF!,10,0),0)+IFERROR(VLOOKUP(A138,#REF!,10,0),0)+IFERROR(VLOOKUP(A138,#REF!,10,0),0)+IFERROR(VLOOKUP(A138,#REF!,9,0),0)+IFERROR(VLOOKUP(A138,#REF!,9,0),0)+IFERROR(VLOOKUP(A138,#REF!,9,0),0)+IFERROR(VLOOKUP(A138,#REF!,9,0),0)</f>
        <v>0</v>
      </c>
      <c r="J138" s="104">
        <f>IFERROR(VLOOKUP(A138,#REF!,16,0),0)+IFERROR(VLOOKUP(A138,#REF!,26,0),0)+IFERROR(VLOOKUP(A138,#REF!,11,0),0)+IFERROR(VLOOKUP(A138,#REF!,23,0),0)+IFERROR(VLOOKUP(A138,#REF!,11,0),0)+IFERROR(VLOOKUP(A138,#REF!,11,0),0)+IFERROR(VLOOKUP(A138,#REF!,11,0),0)</f>
        <v>0</v>
      </c>
      <c r="K138" s="96" t="str">
        <f>"07.02.24"</f>
        <v>07.02.24</v>
      </c>
    </row>
    <row r="139" spans="1:11" ht="11.25" customHeight="1" outlineLevel="1">
      <c r="A139" s="89" t="n">
        <v>8094990</v>
      </c>
      <c r="B139" s="114" t="s">
        <v>211</v>
      </c>
      <c r="C139" s="89" t="s">
        <v>225</v>
      </c>
      <c r="D139" s="89" t="s">
        <v>15</v>
      </c>
      <c r="E139" s="89"/>
      <c r="F139" s="102" t="n">
        <v>5438</v>
      </c>
      <c r="G139" s="102" t="n">
        <v>6798</v>
      </c>
      <c r="H139" s="103" t="s">
        <v>48</v>
      </c>
      <c r="I139" s="103">
        <f>IFERROR(VLOOKUP(A139,#REF!,15,0),0)+IFERROR(VLOOKUP(A139,#REF!,25,0),0)+IFERROR(VLOOKUP(A139,#REF!,10,0),0)+IFERROR(VLOOKUP(A139,#REF!,14,0),0)+IFERROR(VLOOKUP(A139,#REF!,10,0),0)+IFERROR(VLOOKUP(A139,#REF!,10,0),0)+IFERROR(VLOOKUP(A139,#REF!,10,0),0)+IFERROR(VLOOKUP(A139,#REF!,9,0),0)+IFERROR(VLOOKUP(A139,#REF!,9,0),0)+IFERROR(VLOOKUP(A139,#REF!,9,0),0)+IFERROR(VLOOKUP(A139,#REF!,9,0),0)</f>
        <v>0</v>
      </c>
      <c r="J139" s="104">
        <f>IFERROR(VLOOKUP(A139,#REF!,16,0),0)+IFERROR(VLOOKUP(A139,#REF!,26,0),0)+IFERROR(VLOOKUP(A139,#REF!,11,0),0)+IFERROR(VLOOKUP(A139,#REF!,23,0),0)+IFERROR(VLOOKUP(A139,#REF!,11,0),0)+IFERROR(VLOOKUP(A139,#REF!,11,0),0)+IFERROR(VLOOKUP(A139,#REF!,11,0),0)</f>
        <v>0</v>
      </c>
      <c r="K139" s="96" t="str">
        <f>"07.02.24"</f>
        <v>07.02.24</v>
      </c>
    </row>
    <row r="140" spans="1:11" ht="11.25" customHeight="1" outlineLevel="1">
      <c r="A140" s="89" t="n">
        <v>8094980</v>
      </c>
      <c r="B140" s="114" t="s">
        <v>211</v>
      </c>
      <c r="C140" s="89" t="s">
        <v>226</v>
      </c>
      <c r="D140" s="89" t="s">
        <v>15</v>
      </c>
      <c r="E140" s="89"/>
      <c r="F140" s="102" t="n">
        <v>9098</v>
      </c>
      <c r="G140" s="102" t="n">
        <v>11371</v>
      </c>
      <c r="H140" s="103" t="s">
        <v>48</v>
      </c>
      <c r="I140" s="103">
        <f>IFERROR(VLOOKUP(A140,#REF!,15,0),0)+IFERROR(VLOOKUP(A140,#REF!,25,0),0)+IFERROR(VLOOKUP(A140,#REF!,10,0),0)+IFERROR(VLOOKUP(A140,#REF!,14,0),0)+IFERROR(VLOOKUP(A140,#REF!,10,0),0)+IFERROR(VLOOKUP(A140,#REF!,10,0),0)+IFERROR(VLOOKUP(A140,#REF!,10,0),0)+IFERROR(VLOOKUP(A140,#REF!,9,0),0)+IFERROR(VLOOKUP(A140,#REF!,9,0),0)+IFERROR(VLOOKUP(A140,#REF!,9,0),0)+IFERROR(VLOOKUP(A140,#REF!,9,0),0)</f>
        <v>0</v>
      </c>
      <c r="J140" s="104">
        <f>IFERROR(VLOOKUP(A140,#REF!,16,0),0)+IFERROR(VLOOKUP(A140,#REF!,26,0),0)+IFERROR(VLOOKUP(A140,#REF!,11,0),0)+IFERROR(VLOOKUP(A140,#REF!,23,0),0)+IFERROR(VLOOKUP(A140,#REF!,11,0),0)+IFERROR(VLOOKUP(A140,#REF!,11,0),0)+IFERROR(VLOOKUP(A140,#REF!,11,0),0)</f>
        <v>0</v>
      </c>
      <c r="K140" s="96" t="str">
        <f>"07.02.24"</f>
        <v>07.02.24</v>
      </c>
    </row>
    <row r="141" spans="1:11" ht="11.25" customHeight="1" outlineLevel="1">
      <c r="A141" s="89" t="n">
        <v>8094970</v>
      </c>
      <c r="B141" s="114" t="s">
        <v>211</v>
      </c>
      <c r="C141" s="89" t="s">
        <v>227</v>
      </c>
      <c r="D141" s="89" t="s">
        <v>15</v>
      </c>
      <c r="E141" s="89"/>
      <c r="F141" s="102" t="n">
        <v>11170</v>
      </c>
      <c r="G141" s="102" t="n">
        <v>13962</v>
      </c>
      <c r="H141" s="103" t="s">
        <v>48</v>
      </c>
      <c r="I141" s="103">
        <f>IFERROR(VLOOKUP(A141,#REF!,15,0),0)+IFERROR(VLOOKUP(A141,#REF!,25,0),0)+IFERROR(VLOOKUP(A141,#REF!,10,0),0)+IFERROR(VLOOKUP(A141,#REF!,14,0),0)+IFERROR(VLOOKUP(A141,#REF!,10,0),0)+IFERROR(VLOOKUP(A141,#REF!,10,0),0)+IFERROR(VLOOKUP(A141,#REF!,10,0),0)+IFERROR(VLOOKUP(A141,#REF!,9,0),0)+IFERROR(VLOOKUP(A141,#REF!,9,0),0)+IFERROR(VLOOKUP(A141,#REF!,9,0),0)+IFERROR(VLOOKUP(A141,#REF!,9,0),0)</f>
        <v>0</v>
      </c>
      <c r="J141" s="104">
        <f>IFERROR(VLOOKUP(A141,#REF!,16,0),0)+IFERROR(VLOOKUP(A141,#REF!,26,0),0)+IFERROR(VLOOKUP(A141,#REF!,11,0),0)+IFERROR(VLOOKUP(A141,#REF!,23,0),0)+IFERROR(VLOOKUP(A141,#REF!,11,0),0)+IFERROR(VLOOKUP(A141,#REF!,11,0),0)+IFERROR(VLOOKUP(A141,#REF!,11,0),0)</f>
        <v>0</v>
      </c>
      <c r="K141" s="96" t="str">
        <f>"07.02.24"</f>
        <v>07.02.24</v>
      </c>
    </row>
    <row r="142" spans="1:11" ht="11.25" customHeight="1" outlineLevel="1">
      <c r="A142" s="89" t="n">
        <v>8095030</v>
      </c>
      <c r="B142" s="114" t="s">
        <v>211</v>
      </c>
      <c r="C142" s="89" t="s">
        <v>228</v>
      </c>
      <c r="D142" s="89" t="s">
        <v>15</v>
      </c>
      <c r="E142" s="89"/>
      <c r="F142" s="102" t="n">
        <v>7592</v>
      </c>
      <c r="G142" s="102" t="n">
        <v>9335</v>
      </c>
      <c r="H142" s="103" t="s">
        <v>48</v>
      </c>
      <c r="I142" s="103">
        <f>IFERROR(VLOOKUP(A142,#REF!,15,0),0)+IFERROR(VLOOKUP(A142,#REF!,25,0),0)+IFERROR(VLOOKUP(A142,#REF!,10,0),0)+IFERROR(VLOOKUP(A142,#REF!,14,0),0)+IFERROR(VLOOKUP(A142,#REF!,10,0),0)+IFERROR(VLOOKUP(A142,#REF!,10,0),0)+IFERROR(VLOOKUP(A142,#REF!,10,0),0)+IFERROR(VLOOKUP(A142,#REF!,9,0),0)+IFERROR(VLOOKUP(A142,#REF!,9,0),0)+IFERROR(VLOOKUP(A142,#REF!,9,0),0)+IFERROR(VLOOKUP(A142,#REF!,9,0),0)</f>
        <v>0</v>
      </c>
      <c r="J142" s="104">
        <f>IFERROR(VLOOKUP(A142,#REF!,16,0),0)+IFERROR(VLOOKUP(A142,#REF!,26,0),0)+IFERROR(VLOOKUP(A142,#REF!,11,0),0)+IFERROR(VLOOKUP(A142,#REF!,23,0),0)+IFERROR(VLOOKUP(A142,#REF!,11,0),0)+IFERROR(VLOOKUP(A142,#REF!,11,0),0)+IFERROR(VLOOKUP(A142,#REF!,11,0),0)</f>
        <v>0</v>
      </c>
      <c r="K142" s="96" t="str">
        <f>"07.02.24"</f>
        <v>07.02.24</v>
      </c>
    </row>
    <row r="143" spans="1:11" ht="11.25" customHeight="1" outlineLevel="1">
      <c r="A143" s="89" t="n">
        <v>11221</v>
      </c>
      <c r="B143" s="114" t="s">
        <v>211</v>
      </c>
      <c r="C143" s="89" t="s">
        <v>229</v>
      </c>
      <c r="D143" s="89" t="s">
        <v>15</v>
      </c>
      <c r="E143" s="89" t="s">
        <v>230</v>
      </c>
      <c r="F143" s="102" t="n">
        <v>4454</v>
      </c>
      <c r="G143" s="102" t="n">
        <v>5567</v>
      </c>
      <c r="H143" s="103" t="s">
        <v>48</v>
      </c>
      <c r="I143" s="103">
        <f>IFERROR(VLOOKUP(A143,#REF!,15,0),0)+IFERROR(VLOOKUP(A143,#REF!,25,0),0)+IFERROR(VLOOKUP(A143,#REF!,10,0),0)+IFERROR(VLOOKUP(A143,#REF!,14,0),0)+IFERROR(VLOOKUP(A143,#REF!,10,0),0)+IFERROR(VLOOKUP(A143,#REF!,10,0),0)+IFERROR(VLOOKUP(A143,#REF!,10,0),0)+IFERROR(VLOOKUP(A143,#REF!,9,0),0)+IFERROR(VLOOKUP(A143,#REF!,9,0),0)+IFERROR(VLOOKUP(A143,#REF!,9,0),0)+IFERROR(VLOOKUP(A143,#REF!,9,0),0)</f>
        <v>0</v>
      </c>
      <c r="J143" s="104">
        <f>IFERROR(VLOOKUP(A143,#REF!,16,0),0)+IFERROR(VLOOKUP(A143,#REF!,26,0),0)+IFERROR(VLOOKUP(A143,#REF!,11,0),0)+IFERROR(VLOOKUP(A143,#REF!,23,0),0)+IFERROR(VLOOKUP(A143,#REF!,11,0),0)+IFERROR(VLOOKUP(A143,#REF!,11,0),0)+IFERROR(VLOOKUP(A143,#REF!,11,0),0)</f>
        <v>0</v>
      </c>
      <c r="K143" s="96" t="str">
        <f>"07.02.24"</f>
        <v>07.02.24</v>
      </c>
    </row>
    <row r="144" spans="1:11" ht="11.25" customHeight="1" outlineLevel="1">
      <c r="A144" s="89" t="n">
        <v>7305</v>
      </c>
      <c r="B144" s="114" t="s">
        <v>211</v>
      </c>
      <c r="C144" s="89" t="s">
        <v>231</v>
      </c>
      <c r="D144" s="89" t="s">
        <v>15</v>
      </c>
      <c r="E144" s="89" t="s">
        <v>232</v>
      </c>
      <c r="F144" s="102" t="n">
        <v>12126</v>
      </c>
      <c r="G144" s="102" t="n">
        <v>15156</v>
      </c>
      <c r="H144" s="103" t="s">
        <v>17</v>
      </c>
      <c r="I144" s="103">
        <f>IFERROR(VLOOKUP(A144,#REF!,15,0),0)+IFERROR(VLOOKUP(A144,#REF!,25,0),0)+IFERROR(VLOOKUP(A144,#REF!,10,0),0)+IFERROR(VLOOKUP(A144,#REF!,14,0),0)+IFERROR(VLOOKUP(A144,#REF!,10,0),0)+IFERROR(VLOOKUP(A144,#REF!,10,0),0)+IFERROR(VLOOKUP(A144,#REF!,10,0),0)+IFERROR(VLOOKUP(A144,#REF!,9,0),0)+IFERROR(VLOOKUP(A144,#REF!,9,0),0)+IFERROR(VLOOKUP(A144,#REF!,9,0),0)+IFERROR(VLOOKUP(A144,#REF!,9,0),0)</f>
        <v>0</v>
      </c>
      <c r="J144" s="104">
        <f>IFERROR(VLOOKUP(A144,#REF!,16,0),0)+IFERROR(VLOOKUP(A144,#REF!,26,0),0)+IFERROR(VLOOKUP(A144,#REF!,11,0),0)+IFERROR(VLOOKUP(A144,#REF!,23,0),0)+IFERROR(VLOOKUP(A144,#REF!,11,0),0)+IFERROR(VLOOKUP(A144,#REF!,11,0),0)+IFERROR(VLOOKUP(A144,#REF!,11,0),0)</f>
        <v>0</v>
      </c>
      <c r="K144" s="96" t="str">
        <f>"07.02.24"</f>
        <v>07.02.24</v>
      </c>
    </row>
    <row r="145" spans="1:11" ht="11.25" customHeight="1" outlineLevel="1">
      <c r="A145" s="89" t="n">
        <v>9652</v>
      </c>
      <c r="B145" s="114" t="s">
        <v>211</v>
      </c>
      <c r="C145" s="89" t="s">
        <v>233</v>
      </c>
      <c r="D145" s="89" t="s">
        <v>15</v>
      </c>
      <c r="E145" s="89" t="s">
        <v>234</v>
      </c>
      <c r="F145" s="102" t="n">
        <v>6084</v>
      </c>
      <c r="G145" s="102" t="n">
        <v>7605</v>
      </c>
      <c r="H145" s="103" t="s">
        <v>17</v>
      </c>
      <c r="I145" s="103">
        <f>IFERROR(VLOOKUP(A145,#REF!,15,0),0)+IFERROR(VLOOKUP(A145,#REF!,25,0),0)+IFERROR(VLOOKUP(A145,#REF!,10,0),0)+IFERROR(VLOOKUP(A145,#REF!,14,0),0)+IFERROR(VLOOKUP(A145,#REF!,10,0),0)+IFERROR(VLOOKUP(A145,#REF!,10,0),0)+IFERROR(VLOOKUP(A145,#REF!,10,0),0)+IFERROR(VLOOKUP(A145,#REF!,9,0),0)+IFERROR(VLOOKUP(A145,#REF!,9,0),0)+IFERROR(VLOOKUP(A145,#REF!,9,0),0)+IFERROR(VLOOKUP(A145,#REF!,9,0),0)</f>
        <v>0</v>
      </c>
      <c r="J145" s="104">
        <f>IFERROR(VLOOKUP(A145,#REF!,16,0),0)+IFERROR(VLOOKUP(A145,#REF!,26,0),0)+IFERROR(VLOOKUP(A145,#REF!,11,0),0)+IFERROR(VLOOKUP(A145,#REF!,23,0),0)+IFERROR(VLOOKUP(A145,#REF!,11,0),0)+IFERROR(VLOOKUP(A145,#REF!,11,0),0)+IFERROR(VLOOKUP(A145,#REF!,11,0),0)</f>
        <v>0</v>
      </c>
      <c r="K145" s="96" t="str">
        <f>"07.02.24"</f>
        <v>07.02.24</v>
      </c>
    </row>
    <row r="146" spans="1:11" ht="11.25" customHeight="1" outlineLevel="1">
      <c r="A146" s="89" t="n">
        <v>7297</v>
      </c>
      <c r="B146" s="114" t="s">
        <v>211</v>
      </c>
      <c r="C146" s="89" t="s">
        <v>235</v>
      </c>
      <c r="D146" s="89" t="s">
        <v>15</v>
      </c>
      <c r="E146" s="89" t="s">
        <v>236</v>
      </c>
      <c r="F146" s="102" t="n">
        <v>11187</v>
      </c>
      <c r="G146" s="102" t="n">
        <v>13985</v>
      </c>
      <c r="H146" s="103" t="s">
        <v>48</v>
      </c>
      <c r="I146" s="103">
        <f>IFERROR(VLOOKUP(A146,#REF!,15,0),0)+IFERROR(VLOOKUP(A146,#REF!,25,0),0)+IFERROR(VLOOKUP(A146,#REF!,10,0),0)+IFERROR(VLOOKUP(A146,#REF!,14,0),0)+IFERROR(VLOOKUP(A146,#REF!,10,0),0)+IFERROR(VLOOKUP(A146,#REF!,10,0),0)+IFERROR(VLOOKUP(A146,#REF!,10,0),0)+IFERROR(VLOOKUP(A146,#REF!,9,0),0)+IFERROR(VLOOKUP(A146,#REF!,9,0),0)+IFERROR(VLOOKUP(A146,#REF!,9,0),0)+IFERROR(VLOOKUP(A146,#REF!,9,0),0)</f>
        <v>0</v>
      </c>
      <c r="J146" s="104">
        <f>IFERROR(VLOOKUP(A146,#REF!,16,0),0)+IFERROR(VLOOKUP(A146,#REF!,26,0),0)+IFERROR(VLOOKUP(A146,#REF!,11,0),0)+IFERROR(VLOOKUP(A146,#REF!,23,0),0)+IFERROR(VLOOKUP(A146,#REF!,11,0),0)+IFERROR(VLOOKUP(A146,#REF!,11,0),0)+IFERROR(VLOOKUP(A146,#REF!,11,0),0)</f>
        <v>0</v>
      </c>
      <c r="K146" s="96" t="str">
        <f>"07.02.24"</f>
        <v>07.02.24</v>
      </c>
    </row>
    <row r="147" spans="1:11" ht="11.25" customHeight="1" outlineLevel="1">
      <c r="A147" s="89" t="n">
        <v>38699</v>
      </c>
      <c r="B147" s="114" t="s">
        <v>211</v>
      </c>
      <c r="C147" s="89" t="s">
        <v>237</v>
      </c>
      <c r="D147" s="89" t="s">
        <v>15</v>
      </c>
      <c r="E147" s="89" t="s">
        <v>238</v>
      </c>
      <c r="F147" s="102" t="n">
        <v>14527</v>
      </c>
      <c r="G147" s="102" t="n">
        <v>18013</v>
      </c>
      <c r="H147" s="103" t="s">
        <v>17</v>
      </c>
      <c r="I147" s="103">
        <f>IFERROR(VLOOKUP(A147,#REF!,15,0),0)+IFERROR(VLOOKUP(A147,#REF!,25,0),0)+IFERROR(VLOOKUP(A147,#REF!,10,0),0)+IFERROR(VLOOKUP(A147,#REF!,14,0),0)+IFERROR(VLOOKUP(A147,#REF!,10,0),0)+IFERROR(VLOOKUP(A147,#REF!,10,0),0)+IFERROR(VLOOKUP(A147,#REF!,10,0),0)+IFERROR(VLOOKUP(A147,#REF!,9,0),0)+IFERROR(VLOOKUP(A147,#REF!,9,0),0)+IFERROR(VLOOKUP(A147,#REF!,9,0),0)+IFERROR(VLOOKUP(A147,#REF!,9,0),0)</f>
        <v>0</v>
      </c>
      <c r="J147" s="104">
        <f>IFERROR(VLOOKUP(A147,#REF!,16,0),0)+IFERROR(VLOOKUP(A147,#REF!,26,0),0)+IFERROR(VLOOKUP(A147,#REF!,11,0),0)+IFERROR(VLOOKUP(A147,#REF!,23,0),0)+IFERROR(VLOOKUP(A147,#REF!,11,0),0)+IFERROR(VLOOKUP(A147,#REF!,11,0),0)+IFERROR(VLOOKUP(A147,#REF!,11,0),0)</f>
        <v>0</v>
      </c>
      <c r="K147" s="96" t="str">
        <f>"07.02.24"</f>
        <v>07.02.24</v>
      </c>
    </row>
    <row r="148" spans="1:11" ht="11.25" customHeight="1" outlineLevel="1">
      <c r="A148" s="89" t="n">
        <v>7374</v>
      </c>
      <c r="B148" s="114" t="s">
        <v>211</v>
      </c>
      <c r="C148" s="89" t="s">
        <v>239</v>
      </c>
      <c r="D148" s="89" t="s">
        <v>15</v>
      </c>
      <c r="E148" s="89" t="s">
        <v>240</v>
      </c>
      <c r="F148" s="102" t="n">
        <v>8719</v>
      </c>
      <c r="G148" s="102" t="n">
        <v>10898</v>
      </c>
      <c r="H148" s="103" t="s">
        <v>48</v>
      </c>
      <c r="I148" s="103">
        <f>IFERROR(VLOOKUP(A148,#REF!,15,0),0)+IFERROR(VLOOKUP(A148,#REF!,25,0),0)+IFERROR(VLOOKUP(A148,#REF!,10,0),0)+IFERROR(VLOOKUP(A148,#REF!,14,0),0)+IFERROR(VLOOKUP(A148,#REF!,10,0),0)+IFERROR(VLOOKUP(A148,#REF!,10,0),0)+IFERROR(VLOOKUP(A148,#REF!,10,0),0)+IFERROR(VLOOKUP(A148,#REF!,9,0),0)+IFERROR(VLOOKUP(A148,#REF!,9,0),0)+IFERROR(VLOOKUP(A148,#REF!,9,0),0)+IFERROR(VLOOKUP(A148,#REF!,9,0),0)</f>
        <v>0</v>
      </c>
      <c r="J148" s="104">
        <f>IFERROR(VLOOKUP(A148,#REF!,16,0),0)+IFERROR(VLOOKUP(A148,#REF!,26,0),0)+IFERROR(VLOOKUP(A148,#REF!,11,0),0)+IFERROR(VLOOKUP(A148,#REF!,23,0),0)+IFERROR(VLOOKUP(A148,#REF!,11,0),0)+IFERROR(VLOOKUP(A148,#REF!,11,0),0)+IFERROR(VLOOKUP(A148,#REF!,11,0),0)</f>
        <v>0</v>
      </c>
      <c r="K148" s="96" t="str">
        <f>"07.02.24"</f>
        <v>07.02.24</v>
      </c>
    </row>
    <row r="149" spans="1:11" ht="11.25" customHeight="1" outlineLevel="1">
      <c r="A149" s="89" t="n">
        <v>31882</v>
      </c>
      <c r="B149" s="114" t="s">
        <v>211</v>
      </c>
      <c r="C149" s="89" t="s">
        <v>241</v>
      </c>
      <c r="D149" s="89" t="s">
        <v>15</v>
      </c>
      <c r="E149" s="89" t="s">
        <v>242</v>
      </c>
      <c r="F149" s="102" t="n">
        <v>5320</v>
      </c>
      <c r="G149" s="102" t="n">
        <v>6650</v>
      </c>
      <c r="H149" s="103" t="s">
        <v>17</v>
      </c>
      <c r="I149" s="103">
        <f>IFERROR(VLOOKUP(A149,#REF!,15,0),0)+IFERROR(VLOOKUP(A149,#REF!,25,0),0)+IFERROR(VLOOKUP(A149,#REF!,10,0),0)+IFERROR(VLOOKUP(A149,#REF!,14,0),0)+IFERROR(VLOOKUP(A149,#REF!,10,0),0)+IFERROR(VLOOKUP(A149,#REF!,10,0),0)+IFERROR(VLOOKUP(A149,#REF!,10,0),0)+IFERROR(VLOOKUP(A149,#REF!,9,0),0)+IFERROR(VLOOKUP(A149,#REF!,9,0),0)+IFERROR(VLOOKUP(A149,#REF!,9,0),0)+IFERROR(VLOOKUP(A149,#REF!,9,0),0)</f>
        <v>0</v>
      </c>
      <c r="J149" s="104">
        <f>IFERROR(VLOOKUP(A149,#REF!,16,0),0)+IFERROR(VLOOKUP(A149,#REF!,26,0),0)+IFERROR(VLOOKUP(A149,#REF!,11,0),0)+IFERROR(VLOOKUP(A149,#REF!,23,0),0)+IFERROR(VLOOKUP(A149,#REF!,11,0),0)+IFERROR(VLOOKUP(A149,#REF!,11,0),0)+IFERROR(VLOOKUP(A149,#REF!,11,0),0)</f>
        <v>0</v>
      </c>
      <c r="K149" s="96" t="str">
        <f>"07.02.24"</f>
        <v>07.02.24</v>
      </c>
    </row>
    <row r="150" spans="1:11" ht="11.25" customHeight="1" outlineLevel="1">
      <c r="A150" s="89" t="n">
        <v>35087</v>
      </c>
      <c r="B150" s="114" t="s">
        <v>211</v>
      </c>
      <c r="C150" s="89" t="s">
        <v>243</v>
      </c>
      <c r="D150" s="89" t="s">
        <v>15</v>
      </c>
      <c r="E150" s="89" t="s">
        <v>244</v>
      </c>
      <c r="F150" s="102" t="n">
        <v>8489</v>
      </c>
      <c r="G150" s="102" t="n">
        <v>10610</v>
      </c>
      <c r="H150" s="103" t="s">
        <v>48</v>
      </c>
      <c r="I150" s="103">
        <f>IFERROR(VLOOKUP(A150,#REF!,15,0),0)+IFERROR(VLOOKUP(A150,#REF!,25,0),0)+IFERROR(VLOOKUP(A150,#REF!,10,0),0)+IFERROR(VLOOKUP(A150,#REF!,14,0),0)+IFERROR(VLOOKUP(A150,#REF!,10,0),0)+IFERROR(VLOOKUP(A150,#REF!,10,0),0)+IFERROR(VLOOKUP(A150,#REF!,10,0),0)+IFERROR(VLOOKUP(A150,#REF!,9,0),0)+IFERROR(VLOOKUP(A150,#REF!,9,0),0)+IFERROR(VLOOKUP(A150,#REF!,9,0),0)+IFERROR(VLOOKUP(A150,#REF!,9,0),0)</f>
        <v>0</v>
      </c>
      <c r="J150" s="104">
        <f>IFERROR(VLOOKUP(A150,#REF!,16,0),0)+IFERROR(VLOOKUP(A150,#REF!,26,0),0)+IFERROR(VLOOKUP(A150,#REF!,11,0),0)+IFERROR(VLOOKUP(A150,#REF!,23,0),0)+IFERROR(VLOOKUP(A150,#REF!,11,0),0)+IFERROR(VLOOKUP(A150,#REF!,11,0),0)+IFERROR(VLOOKUP(A150,#REF!,11,0),0)</f>
        <v>0</v>
      </c>
      <c r="K150" s="96" t="str">
        <f>"07.02.24"</f>
        <v>07.02.24</v>
      </c>
    </row>
    <row r="151" spans="1:11" ht="11.25" customHeight="1" outlineLevel="1">
      <c r="A151" s="89" t="n">
        <v>7383</v>
      </c>
      <c r="B151" s="114" t="s">
        <v>211</v>
      </c>
      <c r="C151" s="89" t="s">
        <v>245</v>
      </c>
      <c r="D151" s="89" t="s">
        <v>15</v>
      </c>
      <c r="E151" s="89" t="s">
        <v>246</v>
      </c>
      <c r="F151" s="102" t="n">
        <v>6228</v>
      </c>
      <c r="G151" s="102" t="n">
        <v>7786</v>
      </c>
      <c r="H151" s="103" t="s">
        <v>48</v>
      </c>
      <c r="I151" s="103">
        <f>IFERROR(VLOOKUP(A151,#REF!,15,0),0)+IFERROR(VLOOKUP(A151,#REF!,25,0),0)+IFERROR(VLOOKUP(A151,#REF!,10,0),0)+IFERROR(VLOOKUP(A151,#REF!,14,0),0)+IFERROR(VLOOKUP(A151,#REF!,10,0),0)+IFERROR(VLOOKUP(A151,#REF!,10,0),0)+IFERROR(VLOOKUP(A151,#REF!,10,0),0)+IFERROR(VLOOKUP(A151,#REF!,9,0),0)+IFERROR(VLOOKUP(A151,#REF!,9,0),0)+IFERROR(VLOOKUP(A151,#REF!,9,0),0)+IFERROR(VLOOKUP(A151,#REF!,9,0),0)</f>
        <v>0</v>
      </c>
      <c r="J151" s="104">
        <f>IFERROR(VLOOKUP(A151,#REF!,16,0),0)+IFERROR(VLOOKUP(A151,#REF!,26,0),0)+IFERROR(VLOOKUP(A151,#REF!,11,0),0)+IFERROR(VLOOKUP(A151,#REF!,23,0),0)+IFERROR(VLOOKUP(A151,#REF!,11,0),0)+IFERROR(VLOOKUP(A151,#REF!,11,0),0)+IFERROR(VLOOKUP(A151,#REF!,11,0),0)</f>
        <v>0</v>
      </c>
      <c r="K151" s="96" t="str">
        <f>"07.02.24"</f>
        <v>07.02.24</v>
      </c>
    </row>
    <row r="152" spans="1:11" ht="11.25" customHeight="1" outlineLevel="1">
      <c r="A152" s="89" t="n">
        <v>7351</v>
      </c>
      <c r="B152" s="114" t="s">
        <v>211</v>
      </c>
      <c r="C152" s="89" t="s">
        <v>247</v>
      </c>
      <c r="D152" s="89" t="s">
        <v>15</v>
      </c>
      <c r="E152" s="89" t="s">
        <v>248</v>
      </c>
      <c r="F152" s="102" t="n">
        <v>5069</v>
      </c>
      <c r="G152" s="102" t="n">
        <v>6335</v>
      </c>
      <c r="H152" s="103" t="s">
        <v>17</v>
      </c>
      <c r="I152" s="103">
        <f>IFERROR(VLOOKUP(A152,#REF!,15,0),0)+IFERROR(VLOOKUP(A152,#REF!,25,0),0)+IFERROR(VLOOKUP(A152,#REF!,10,0),0)+IFERROR(VLOOKUP(A152,#REF!,14,0),0)+IFERROR(VLOOKUP(A152,#REF!,10,0),0)+IFERROR(VLOOKUP(A152,#REF!,10,0),0)+IFERROR(VLOOKUP(A152,#REF!,10,0),0)+IFERROR(VLOOKUP(A152,#REF!,9,0),0)+IFERROR(VLOOKUP(A152,#REF!,9,0),0)+IFERROR(VLOOKUP(A152,#REF!,9,0),0)+IFERROR(VLOOKUP(A152,#REF!,9,0),0)</f>
        <v>0</v>
      </c>
      <c r="J152" s="104">
        <f>IFERROR(VLOOKUP(A152,#REF!,16,0),0)+IFERROR(VLOOKUP(A152,#REF!,26,0),0)+IFERROR(VLOOKUP(A152,#REF!,11,0),0)+IFERROR(VLOOKUP(A152,#REF!,23,0),0)+IFERROR(VLOOKUP(A152,#REF!,11,0),0)+IFERROR(VLOOKUP(A152,#REF!,11,0),0)+IFERROR(VLOOKUP(A152,#REF!,11,0),0)</f>
        <v>0</v>
      </c>
      <c r="K152" s="96" t="str">
        <f>"07.02.24"</f>
        <v>07.02.24</v>
      </c>
    </row>
    <row r="153" spans="1:11" ht="11.25" customHeight="1" outlineLevel="1">
      <c r="A153" s="89" t="n">
        <v>7317</v>
      </c>
      <c r="B153" s="114" t="s">
        <v>211</v>
      </c>
      <c r="C153" s="89" t="s">
        <v>249</v>
      </c>
      <c r="D153" s="89" t="s">
        <v>15</v>
      </c>
      <c r="E153" s="89" t="s">
        <v>250</v>
      </c>
      <c r="F153" s="102" t="n">
        <v>4294</v>
      </c>
      <c r="G153" s="102" t="n">
        <v>5368</v>
      </c>
      <c r="H153" s="103" t="s">
        <v>17</v>
      </c>
      <c r="I153" s="103">
        <f>IFERROR(VLOOKUP(A153,#REF!,15,0),0)+IFERROR(VLOOKUP(A153,#REF!,25,0),0)+IFERROR(VLOOKUP(A153,#REF!,10,0),0)+IFERROR(VLOOKUP(A153,#REF!,14,0),0)+IFERROR(VLOOKUP(A153,#REF!,10,0),0)+IFERROR(VLOOKUP(A153,#REF!,10,0),0)+IFERROR(VLOOKUP(A153,#REF!,10,0),0)+IFERROR(VLOOKUP(A153,#REF!,9,0),0)+IFERROR(VLOOKUP(A153,#REF!,9,0),0)+IFERROR(VLOOKUP(A153,#REF!,9,0),0)+IFERROR(VLOOKUP(A153,#REF!,9,0),0)</f>
        <v>0</v>
      </c>
      <c r="J153" s="104">
        <f>IFERROR(VLOOKUP(A153,#REF!,16,0),0)+IFERROR(VLOOKUP(A153,#REF!,26,0),0)+IFERROR(VLOOKUP(A153,#REF!,11,0),0)+IFERROR(VLOOKUP(A153,#REF!,23,0),0)+IFERROR(VLOOKUP(A153,#REF!,11,0),0)+IFERROR(VLOOKUP(A153,#REF!,11,0),0)+IFERROR(VLOOKUP(A153,#REF!,11,0),0)</f>
        <v>0</v>
      </c>
      <c r="K153" s="96" t="str">
        <f>"07.02.24"</f>
        <v>07.02.24</v>
      </c>
    </row>
    <row r="154" spans="1:11" ht="11.25" customHeight="1" outlineLevel="1">
      <c r="A154" s="89" t="n">
        <v>7376</v>
      </c>
      <c r="B154" s="114" t="s">
        <v>211</v>
      </c>
      <c r="C154" s="89" t="s">
        <v>251</v>
      </c>
      <c r="D154" s="89" t="s">
        <v>15</v>
      </c>
      <c r="E154" s="89" t="s">
        <v>252</v>
      </c>
      <c r="F154" s="102" t="n">
        <v>9497</v>
      </c>
      <c r="G154" s="102" t="n">
        <v>11871</v>
      </c>
      <c r="H154" s="103" t="s">
        <v>48</v>
      </c>
      <c r="I154" s="103">
        <f>IFERROR(VLOOKUP(A154,#REF!,15,0),0)+IFERROR(VLOOKUP(A154,#REF!,25,0),0)+IFERROR(VLOOKUP(A154,#REF!,10,0),0)+IFERROR(VLOOKUP(A154,#REF!,14,0),0)+IFERROR(VLOOKUP(A154,#REF!,10,0),0)+IFERROR(VLOOKUP(A154,#REF!,10,0),0)+IFERROR(VLOOKUP(A154,#REF!,10,0),0)+IFERROR(VLOOKUP(A154,#REF!,9,0),0)+IFERROR(VLOOKUP(A154,#REF!,9,0),0)+IFERROR(VLOOKUP(A154,#REF!,9,0),0)+IFERROR(VLOOKUP(A154,#REF!,9,0),0)</f>
        <v>0</v>
      </c>
      <c r="J154" s="104">
        <f>IFERROR(VLOOKUP(A154,#REF!,16,0),0)+IFERROR(VLOOKUP(A154,#REF!,26,0),0)+IFERROR(VLOOKUP(A154,#REF!,11,0),0)+IFERROR(VLOOKUP(A154,#REF!,23,0),0)+IFERROR(VLOOKUP(A154,#REF!,11,0),0)+IFERROR(VLOOKUP(A154,#REF!,11,0),0)+IFERROR(VLOOKUP(A154,#REF!,11,0),0)</f>
        <v>0</v>
      </c>
      <c r="K154" s="96" t="str">
        <f>"07.02.24"</f>
        <v>07.02.24</v>
      </c>
    </row>
    <row r="155" spans="1:11" ht="11.25" customHeight="1" outlineLevel="1">
      <c r="A155" s="89" t="n">
        <v>8094960</v>
      </c>
      <c r="B155" s="114" t="s">
        <v>211</v>
      </c>
      <c r="C155" s="89" t="s">
        <v>253</v>
      </c>
      <c r="D155" s="89" t="s">
        <v>15</v>
      </c>
      <c r="E155" s="89"/>
      <c r="F155" s="102" t="n">
        <v>12342</v>
      </c>
      <c r="G155" s="102" t="n">
        <v>15503</v>
      </c>
      <c r="H155" s="103" t="s">
        <v>17</v>
      </c>
      <c r="I155" s="103">
        <f>IFERROR(VLOOKUP(A155,#REF!,15,0),0)+IFERROR(VLOOKUP(A155,#REF!,25,0),0)+IFERROR(VLOOKUP(A155,#REF!,10,0),0)+IFERROR(VLOOKUP(A155,#REF!,14,0),0)+IFERROR(VLOOKUP(A155,#REF!,10,0),0)+IFERROR(VLOOKUP(A155,#REF!,10,0),0)+IFERROR(VLOOKUP(A155,#REF!,10,0),0)+IFERROR(VLOOKUP(A155,#REF!,9,0),0)+IFERROR(VLOOKUP(A155,#REF!,9,0),0)+IFERROR(VLOOKUP(A155,#REF!,9,0),0)+IFERROR(VLOOKUP(A155,#REF!,9,0),0)</f>
        <v>0</v>
      </c>
      <c r="J155" s="104">
        <f>IFERROR(VLOOKUP(A155,#REF!,16,0),0)+IFERROR(VLOOKUP(A155,#REF!,26,0),0)+IFERROR(VLOOKUP(A155,#REF!,11,0),0)+IFERROR(VLOOKUP(A155,#REF!,23,0),0)+IFERROR(VLOOKUP(A155,#REF!,11,0),0)+IFERROR(VLOOKUP(A155,#REF!,11,0),0)+IFERROR(VLOOKUP(A155,#REF!,11,0),0)</f>
        <v>0</v>
      </c>
      <c r="K155" s="96" t="str">
        <f>"07.02.24"</f>
        <v>07.02.24</v>
      </c>
    </row>
    <row r="156" spans="1:11" ht="11.25" customHeight="1" outlineLevel="1">
      <c r="A156" s="89" t="n">
        <v>7307</v>
      </c>
      <c r="B156" s="114" t="s">
        <v>211</v>
      </c>
      <c r="C156" s="89" t="s">
        <v>254</v>
      </c>
      <c r="D156" s="89" t="s">
        <v>15</v>
      </c>
      <c r="E156" s="89" t="s">
        <v>255</v>
      </c>
      <c r="F156" s="102" t="n">
        <v>11213</v>
      </c>
      <c r="G156" s="102" t="n">
        <v>14016</v>
      </c>
      <c r="H156" s="103" t="s">
        <v>48</v>
      </c>
      <c r="I156" s="103">
        <f>IFERROR(VLOOKUP(A156,#REF!,15,0),0)+IFERROR(VLOOKUP(A156,#REF!,25,0),0)+IFERROR(VLOOKUP(A156,#REF!,10,0),0)+IFERROR(VLOOKUP(A156,#REF!,14,0),0)+IFERROR(VLOOKUP(A156,#REF!,10,0),0)+IFERROR(VLOOKUP(A156,#REF!,10,0),0)+IFERROR(VLOOKUP(A156,#REF!,10,0),0)+IFERROR(VLOOKUP(A156,#REF!,9,0),0)+IFERROR(VLOOKUP(A156,#REF!,9,0),0)+IFERROR(VLOOKUP(A156,#REF!,9,0),0)+IFERROR(VLOOKUP(A156,#REF!,9,0),0)</f>
        <v>0</v>
      </c>
      <c r="J156" s="104">
        <f>IFERROR(VLOOKUP(A156,#REF!,16,0),0)+IFERROR(VLOOKUP(A156,#REF!,26,0),0)+IFERROR(VLOOKUP(A156,#REF!,11,0),0)+IFERROR(VLOOKUP(A156,#REF!,23,0),0)+IFERROR(VLOOKUP(A156,#REF!,11,0),0)+IFERROR(VLOOKUP(A156,#REF!,11,0),0)+IFERROR(VLOOKUP(A156,#REF!,11,0),0)</f>
        <v>0</v>
      </c>
      <c r="K156" s="96" t="str">
        <f>"07.02.24"</f>
        <v>07.02.24</v>
      </c>
    </row>
    <row r="157" spans="1:11" ht="11.25" customHeight="1" outlineLevel="1">
      <c r="A157" s="89" t="n">
        <v>30183</v>
      </c>
      <c r="B157" s="114" t="s">
        <v>211</v>
      </c>
      <c r="C157" s="89" t="s">
        <v>256</v>
      </c>
      <c r="D157" s="89" t="s">
        <v>15</v>
      </c>
      <c r="E157" s="89" t="s">
        <v>257</v>
      </c>
      <c r="F157" s="102" t="n">
        <v>4857</v>
      </c>
      <c r="G157" s="102" t="n">
        <v>6072</v>
      </c>
      <c r="H157" s="103" t="s">
        <v>17</v>
      </c>
      <c r="I157" s="103">
        <f>IFERROR(VLOOKUP(A157,#REF!,15,0),0)+IFERROR(VLOOKUP(A157,#REF!,25,0),0)+IFERROR(VLOOKUP(A157,#REF!,10,0),0)+IFERROR(VLOOKUP(A157,#REF!,14,0),0)+IFERROR(VLOOKUP(A157,#REF!,10,0),0)+IFERROR(VLOOKUP(A157,#REF!,10,0),0)+IFERROR(VLOOKUP(A157,#REF!,10,0),0)+IFERROR(VLOOKUP(A157,#REF!,9,0),0)+IFERROR(VLOOKUP(A157,#REF!,9,0),0)+IFERROR(VLOOKUP(A157,#REF!,9,0),0)+IFERROR(VLOOKUP(A157,#REF!,9,0),0)</f>
        <v>0</v>
      </c>
      <c r="J157" s="104">
        <f>IFERROR(VLOOKUP(A157,#REF!,16,0),0)+IFERROR(VLOOKUP(A157,#REF!,26,0),0)+IFERROR(VLOOKUP(A157,#REF!,11,0),0)+IFERROR(VLOOKUP(A157,#REF!,23,0),0)+IFERROR(VLOOKUP(A157,#REF!,11,0),0)+IFERROR(VLOOKUP(A157,#REF!,11,0),0)+IFERROR(VLOOKUP(A157,#REF!,11,0),0)</f>
        <v>0</v>
      </c>
      <c r="K157" s="96" t="str">
        <f>"07.02.24"</f>
        <v>07.02.24</v>
      </c>
    </row>
    <row r="158" spans="1:11" ht="11.25" customHeight="1" outlineLevel="1">
      <c r="A158" s="89" t="n">
        <v>7358</v>
      </c>
      <c r="B158" s="114" t="s">
        <v>211</v>
      </c>
      <c r="C158" s="89" t="s">
        <v>258</v>
      </c>
      <c r="D158" s="89" t="s">
        <v>15</v>
      </c>
      <c r="E158" s="89" t="s">
        <v>259</v>
      </c>
      <c r="F158" s="102" t="n">
        <v>3669</v>
      </c>
      <c r="G158" s="102" t="n">
        <v>4587</v>
      </c>
      <c r="H158" s="103" t="s">
        <v>48</v>
      </c>
      <c r="I158" s="103">
        <f>IFERROR(VLOOKUP(A158,#REF!,15,0),0)+IFERROR(VLOOKUP(A158,#REF!,25,0),0)+IFERROR(VLOOKUP(A158,#REF!,10,0),0)+IFERROR(VLOOKUP(A158,#REF!,14,0),0)+IFERROR(VLOOKUP(A158,#REF!,10,0),0)+IFERROR(VLOOKUP(A158,#REF!,10,0),0)+IFERROR(VLOOKUP(A158,#REF!,10,0),0)+IFERROR(VLOOKUP(A158,#REF!,9,0),0)+IFERROR(VLOOKUP(A158,#REF!,9,0),0)+IFERROR(VLOOKUP(A158,#REF!,9,0),0)+IFERROR(VLOOKUP(A158,#REF!,9,0),0)</f>
        <v>0</v>
      </c>
      <c r="J158" s="104">
        <f>IFERROR(VLOOKUP(A158,#REF!,16,0),0)+IFERROR(VLOOKUP(A158,#REF!,26,0),0)+IFERROR(VLOOKUP(A158,#REF!,11,0),0)+IFERROR(VLOOKUP(A158,#REF!,23,0),0)+IFERROR(VLOOKUP(A158,#REF!,11,0),0)+IFERROR(VLOOKUP(A158,#REF!,11,0),0)+IFERROR(VLOOKUP(A158,#REF!,11,0),0)</f>
        <v>0</v>
      </c>
      <c r="K158" s="96" t="str">
        <f>"07.02.24"</f>
        <v>07.02.24</v>
      </c>
    </row>
    <row r="159" spans="1:11" ht="11.25" customHeight="1" outlineLevel="1">
      <c r="A159" s="89" t="n">
        <v>8094550</v>
      </c>
      <c r="B159" s="114" t="s">
        <v>211</v>
      </c>
      <c r="C159" s="89" t="s">
        <v>260</v>
      </c>
      <c r="D159" s="89" t="s">
        <v>15</v>
      </c>
      <c r="E159" s="89"/>
      <c r="F159" s="102" t="n">
        <v>13289</v>
      </c>
      <c r="G159" s="102" t="n">
        <v>16609</v>
      </c>
      <c r="H159" s="103" t="s">
        <v>17</v>
      </c>
      <c r="I159" s="103">
        <f>IFERROR(VLOOKUP(A159,#REF!,15,0),0)+IFERROR(VLOOKUP(A159,#REF!,25,0),0)+IFERROR(VLOOKUP(A159,#REF!,10,0),0)+IFERROR(VLOOKUP(A159,#REF!,14,0),0)+IFERROR(VLOOKUP(A159,#REF!,10,0),0)+IFERROR(VLOOKUP(A159,#REF!,10,0),0)+IFERROR(VLOOKUP(A159,#REF!,10,0),0)+IFERROR(VLOOKUP(A159,#REF!,9,0),0)+IFERROR(VLOOKUP(A159,#REF!,9,0),0)+IFERROR(VLOOKUP(A159,#REF!,9,0),0)+IFERROR(VLOOKUP(A159,#REF!,9,0),0)</f>
        <v>0</v>
      </c>
      <c r="J159" s="104">
        <f>IFERROR(VLOOKUP(A159,#REF!,16,0),0)+IFERROR(VLOOKUP(A159,#REF!,26,0),0)+IFERROR(VLOOKUP(A159,#REF!,11,0),0)+IFERROR(VLOOKUP(A159,#REF!,23,0),0)+IFERROR(VLOOKUP(A159,#REF!,11,0),0)+IFERROR(VLOOKUP(A159,#REF!,11,0),0)+IFERROR(VLOOKUP(A159,#REF!,11,0),0)</f>
        <v>0</v>
      </c>
      <c r="K159" s="96" t="str">
        <f>"07.02.24"</f>
        <v>07.02.24</v>
      </c>
    </row>
    <row r="160" spans="1:11" ht="11.25" customHeight="1" outlineLevel="1">
      <c r="A160" s="89" t="n">
        <v>27403</v>
      </c>
      <c r="B160" s="114" t="s">
        <v>211</v>
      </c>
      <c r="C160" s="89" t="s">
        <v>261</v>
      </c>
      <c r="D160" s="89" t="s">
        <v>15</v>
      </c>
      <c r="E160" s="89" t="s">
        <v>262</v>
      </c>
      <c r="F160" s="102" t="n">
        <v>6899</v>
      </c>
      <c r="G160" s="102" t="n">
        <v>8623</v>
      </c>
      <c r="H160" s="103" t="s">
        <v>17</v>
      </c>
      <c r="I160" s="103">
        <f>IFERROR(VLOOKUP(A160,#REF!,15,0),0)+IFERROR(VLOOKUP(A160,#REF!,25,0),0)+IFERROR(VLOOKUP(A160,#REF!,10,0),0)+IFERROR(VLOOKUP(A160,#REF!,14,0),0)+IFERROR(VLOOKUP(A160,#REF!,10,0),0)+IFERROR(VLOOKUP(A160,#REF!,10,0),0)+IFERROR(VLOOKUP(A160,#REF!,10,0),0)+IFERROR(VLOOKUP(A160,#REF!,9,0),0)+IFERROR(VLOOKUP(A160,#REF!,9,0),0)+IFERROR(VLOOKUP(A160,#REF!,9,0),0)+IFERROR(VLOOKUP(A160,#REF!,9,0),0)</f>
        <v>0</v>
      </c>
      <c r="J160" s="104">
        <f>IFERROR(VLOOKUP(A160,#REF!,16,0),0)+IFERROR(VLOOKUP(A160,#REF!,26,0),0)+IFERROR(VLOOKUP(A160,#REF!,11,0),0)+IFERROR(VLOOKUP(A160,#REF!,23,0),0)+IFERROR(VLOOKUP(A160,#REF!,11,0),0)+IFERROR(VLOOKUP(A160,#REF!,11,0),0)+IFERROR(VLOOKUP(A160,#REF!,11,0),0)</f>
        <v>0</v>
      </c>
      <c r="K160" s="96" t="str">
        <f>"07.02.24"</f>
        <v>07.02.24</v>
      </c>
    </row>
    <row r="161" spans="1:11" ht="11.25" customHeight="1" outlineLevel="1">
      <c r="A161" s="89" t="n">
        <v>7359</v>
      </c>
      <c r="B161" s="114" t="s">
        <v>211</v>
      </c>
      <c r="C161" s="89" t="s">
        <v>263</v>
      </c>
      <c r="D161" s="89" t="s">
        <v>15</v>
      </c>
      <c r="E161" s="89" t="s">
        <v>264</v>
      </c>
      <c r="F161" s="102" t="n">
        <v>2428</v>
      </c>
      <c r="G161" s="102" t="n">
        <v>3035</v>
      </c>
      <c r="H161" s="103" t="s">
        <v>17</v>
      </c>
      <c r="I161" s="103">
        <f>IFERROR(VLOOKUP(A161,#REF!,15,0),0)+IFERROR(VLOOKUP(A161,#REF!,25,0),0)+IFERROR(VLOOKUP(A161,#REF!,10,0),0)+IFERROR(VLOOKUP(A161,#REF!,14,0),0)+IFERROR(VLOOKUP(A161,#REF!,10,0),0)+IFERROR(VLOOKUP(A161,#REF!,10,0),0)+IFERROR(VLOOKUP(A161,#REF!,10,0),0)+IFERROR(VLOOKUP(A161,#REF!,9,0),0)+IFERROR(VLOOKUP(A161,#REF!,9,0),0)+IFERROR(VLOOKUP(A161,#REF!,9,0),0)+IFERROR(VLOOKUP(A161,#REF!,9,0),0)</f>
        <v>0</v>
      </c>
      <c r="J161" s="104">
        <f>IFERROR(VLOOKUP(A161,#REF!,16,0),0)+IFERROR(VLOOKUP(A161,#REF!,26,0),0)+IFERROR(VLOOKUP(A161,#REF!,11,0),0)+IFERROR(VLOOKUP(A161,#REF!,23,0),0)+IFERROR(VLOOKUP(A161,#REF!,11,0),0)+IFERROR(VLOOKUP(A161,#REF!,11,0),0)+IFERROR(VLOOKUP(A161,#REF!,11,0),0)</f>
        <v>0</v>
      </c>
      <c r="K161" s="96" t="str">
        <f>"07.02.24"</f>
        <v>07.02.24</v>
      </c>
    </row>
    <row r="162" spans="1:11" ht="11.25" customHeight="1" outlineLevel="1">
      <c r="A162" s="89" t="n">
        <v>7322</v>
      </c>
      <c r="B162" s="114" t="s">
        <v>211</v>
      </c>
      <c r="C162" s="89" t="s">
        <v>265</v>
      </c>
      <c r="D162" s="89" t="s">
        <v>15</v>
      </c>
      <c r="E162" s="89" t="s">
        <v>266</v>
      </c>
      <c r="F162" s="102" t="n">
        <v>7454</v>
      </c>
      <c r="G162" s="102" t="n">
        <v>9320</v>
      </c>
      <c r="H162" s="103" t="s">
        <v>48</v>
      </c>
      <c r="I162" s="103">
        <f>IFERROR(VLOOKUP(A162,#REF!,15,0),0)+IFERROR(VLOOKUP(A162,#REF!,25,0),0)+IFERROR(VLOOKUP(A162,#REF!,10,0),0)+IFERROR(VLOOKUP(A162,#REF!,14,0),0)+IFERROR(VLOOKUP(A162,#REF!,10,0),0)+IFERROR(VLOOKUP(A162,#REF!,10,0),0)+IFERROR(VLOOKUP(A162,#REF!,10,0),0)+IFERROR(VLOOKUP(A162,#REF!,9,0),0)+IFERROR(VLOOKUP(A162,#REF!,9,0),0)+IFERROR(VLOOKUP(A162,#REF!,9,0),0)+IFERROR(VLOOKUP(A162,#REF!,9,0),0)</f>
        <v>0</v>
      </c>
      <c r="J162" s="104">
        <f>IFERROR(VLOOKUP(A162,#REF!,16,0),0)+IFERROR(VLOOKUP(A162,#REF!,26,0),0)+IFERROR(VLOOKUP(A162,#REF!,11,0),0)+IFERROR(VLOOKUP(A162,#REF!,23,0),0)+IFERROR(VLOOKUP(A162,#REF!,11,0),0)+IFERROR(VLOOKUP(A162,#REF!,11,0),0)+IFERROR(VLOOKUP(A162,#REF!,11,0),0)</f>
        <v>0</v>
      </c>
      <c r="K162" s="96" t="str">
        <f>"07.02.24"</f>
        <v>07.02.24</v>
      </c>
    </row>
    <row r="163" spans="1:11" ht="11.25" customHeight="1" outlineLevel="1">
      <c r="A163" s="89" t="n">
        <v>30395</v>
      </c>
      <c r="B163" s="114" t="s">
        <v>211</v>
      </c>
      <c r="C163" s="89" t="s">
        <v>267</v>
      </c>
      <c r="D163" s="89" t="s">
        <v>15</v>
      </c>
      <c r="E163" s="89" t="s">
        <v>268</v>
      </c>
      <c r="F163" s="102" t="n">
        <v>3526</v>
      </c>
      <c r="G163" s="102" t="n">
        <v>4407</v>
      </c>
      <c r="H163" s="103" t="s">
        <v>48</v>
      </c>
      <c r="I163" s="103">
        <f>IFERROR(VLOOKUP(A163,#REF!,15,0),0)+IFERROR(VLOOKUP(A163,#REF!,25,0),0)+IFERROR(VLOOKUP(A163,#REF!,10,0),0)+IFERROR(VLOOKUP(A163,#REF!,14,0),0)+IFERROR(VLOOKUP(A163,#REF!,10,0),0)+IFERROR(VLOOKUP(A163,#REF!,10,0),0)+IFERROR(VLOOKUP(A163,#REF!,10,0),0)+IFERROR(VLOOKUP(A163,#REF!,9,0),0)+IFERROR(VLOOKUP(A163,#REF!,9,0),0)+IFERROR(VLOOKUP(A163,#REF!,9,0),0)+IFERROR(VLOOKUP(A163,#REF!,9,0),0)</f>
        <v>0</v>
      </c>
      <c r="J163" s="104">
        <f>IFERROR(VLOOKUP(A163,#REF!,16,0),0)+IFERROR(VLOOKUP(A163,#REF!,26,0),0)+IFERROR(VLOOKUP(A163,#REF!,11,0),0)+IFERROR(VLOOKUP(A163,#REF!,23,0),0)+IFERROR(VLOOKUP(A163,#REF!,11,0),0)+IFERROR(VLOOKUP(A163,#REF!,11,0),0)+IFERROR(VLOOKUP(A163,#REF!,11,0),0)</f>
        <v>0</v>
      </c>
      <c r="K163" s="96" t="str">
        <f>"07.02.24"</f>
        <v>07.02.24</v>
      </c>
    </row>
    <row r="164" spans="1:11" ht="11.25" customHeight="1" outlineLevel="1">
      <c r="A164" s="89" t="n">
        <v>8141680</v>
      </c>
      <c r="B164" s="114" t="s">
        <v>211</v>
      </c>
      <c r="C164" s="89" t="s">
        <v>269</v>
      </c>
      <c r="D164" s="89" t="s">
        <v>15</v>
      </c>
      <c r="E164" s="89"/>
      <c r="F164" s="102" t="n">
        <v>5304</v>
      </c>
      <c r="G164" s="102" t="n">
        <v>6630</v>
      </c>
      <c r="H164" s="103" t="s">
        <v>17</v>
      </c>
      <c r="I164" s="103">
        <f>IFERROR(VLOOKUP(A164,#REF!,15,0),0)+IFERROR(VLOOKUP(A164,#REF!,25,0),0)+IFERROR(VLOOKUP(A164,#REF!,10,0),0)+IFERROR(VLOOKUP(A164,#REF!,14,0),0)+IFERROR(VLOOKUP(A164,#REF!,10,0),0)+IFERROR(VLOOKUP(A164,#REF!,10,0),0)+IFERROR(VLOOKUP(A164,#REF!,10,0),0)+IFERROR(VLOOKUP(A164,#REF!,9,0),0)+IFERROR(VLOOKUP(A164,#REF!,9,0),0)+IFERROR(VLOOKUP(A164,#REF!,9,0),0)+IFERROR(VLOOKUP(A164,#REF!,9,0),0)</f>
        <v>0</v>
      </c>
      <c r="J164" s="104">
        <f>IFERROR(VLOOKUP(A164,#REF!,16,0),0)+IFERROR(VLOOKUP(A164,#REF!,26,0),0)+IFERROR(VLOOKUP(A164,#REF!,11,0),0)+IFERROR(VLOOKUP(A164,#REF!,23,0),0)+IFERROR(VLOOKUP(A164,#REF!,11,0),0)+IFERROR(VLOOKUP(A164,#REF!,11,0),0)+IFERROR(VLOOKUP(A164,#REF!,11,0),0)</f>
        <v>0</v>
      </c>
      <c r="K164" s="96" t="str">
        <f>"07.02.24"</f>
        <v>07.02.24</v>
      </c>
    </row>
    <row r="165" spans="1:11" ht="11.25" customHeight="1" outlineLevel="1">
      <c r="A165" s="89" t="n">
        <v>30184</v>
      </c>
      <c r="B165" s="114" t="s">
        <v>211</v>
      </c>
      <c r="C165" s="89" t="s">
        <v>270</v>
      </c>
      <c r="D165" s="89" t="s">
        <v>15</v>
      </c>
      <c r="E165" s="89" t="s">
        <v>271</v>
      </c>
      <c r="F165" s="102" t="n">
        <v>4876</v>
      </c>
      <c r="G165" s="102" t="n">
        <v>6096</v>
      </c>
      <c r="H165" s="103" t="s">
        <v>17</v>
      </c>
      <c r="I165" s="103">
        <f>IFERROR(VLOOKUP(A165,#REF!,15,0),0)+IFERROR(VLOOKUP(A165,#REF!,25,0),0)+IFERROR(VLOOKUP(A165,#REF!,10,0),0)+IFERROR(VLOOKUP(A165,#REF!,14,0),0)+IFERROR(VLOOKUP(A165,#REF!,10,0),0)+IFERROR(VLOOKUP(A165,#REF!,10,0),0)+IFERROR(VLOOKUP(A165,#REF!,10,0),0)+IFERROR(VLOOKUP(A165,#REF!,9,0),0)+IFERROR(VLOOKUP(A165,#REF!,9,0),0)+IFERROR(VLOOKUP(A165,#REF!,9,0),0)+IFERROR(VLOOKUP(A165,#REF!,9,0),0)</f>
        <v>0</v>
      </c>
      <c r="J165" s="104">
        <f>IFERROR(VLOOKUP(A165,#REF!,16,0),0)+IFERROR(VLOOKUP(A165,#REF!,26,0),0)+IFERROR(VLOOKUP(A165,#REF!,11,0),0)+IFERROR(VLOOKUP(A165,#REF!,23,0),0)+IFERROR(VLOOKUP(A165,#REF!,11,0),0)+IFERROR(VLOOKUP(A165,#REF!,11,0),0)+IFERROR(VLOOKUP(A165,#REF!,11,0),0)</f>
        <v>0</v>
      </c>
      <c r="K165" s="96" t="str">
        <f>"07.02.24"</f>
        <v>07.02.24</v>
      </c>
    </row>
    <row r="166" spans="1:11" ht="11.25" customHeight="1" outlineLevel="1">
      <c r="A166" s="89" t="n">
        <v>31877</v>
      </c>
      <c r="B166" s="114" t="s">
        <v>211</v>
      </c>
      <c r="C166" s="89" t="s">
        <v>272</v>
      </c>
      <c r="D166" s="89" t="s">
        <v>15</v>
      </c>
      <c r="E166" s="89" t="s">
        <v>273</v>
      </c>
      <c r="F166" s="102" t="n">
        <v>15841</v>
      </c>
      <c r="G166" s="102" t="n">
        <v>19801</v>
      </c>
      <c r="H166" s="103" t="s">
        <v>48</v>
      </c>
      <c r="I166" s="103">
        <f>IFERROR(VLOOKUP(A166,#REF!,15,0),0)+IFERROR(VLOOKUP(A166,#REF!,25,0),0)+IFERROR(VLOOKUP(A166,#REF!,10,0),0)+IFERROR(VLOOKUP(A166,#REF!,14,0),0)+IFERROR(VLOOKUP(A166,#REF!,10,0),0)+IFERROR(VLOOKUP(A166,#REF!,10,0),0)+IFERROR(VLOOKUP(A166,#REF!,10,0),0)+IFERROR(VLOOKUP(A166,#REF!,9,0),0)+IFERROR(VLOOKUP(A166,#REF!,9,0),0)+IFERROR(VLOOKUP(A166,#REF!,9,0),0)+IFERROR(VLOOKUP(A166,#REF!,9,0),0)</f>
        <v>0</v>
      </c>
      <c r="J166" s="104">
        <f>IFERROR(VLOOKUP(A166,#REF!,16,0),0)+IFERROR(VLOOKUP(A166,#REF!,26,0),0)+IFERROR(VLOOKUP(A166,#REF!,11,0),0)+IFERROR(VLOOKUP(A166,#REF!,23,0),0)+IFERROR(VLOOKUP(A166,#REF!,11,0),0)+IFERROR(VLOOKUP(A166,#REF!,11,0),0)+IFERROR(VLOOKUP(A166,#REF!,11,0),0)</f>
        <v>0</v>
      </c>
      <c r="K166" s="96" t="str">
        <f>"07.02.24"</f>
        <v>07.02.24</v>
      </c>
    </row>
    <row r="167" spans="1:11" ht="11.25" customHeight="1" outlineLevel="1">
      <c r="A167" s="89" t="n">
        <v>30384</v>
      </c>
      <c r="B167" s="114" t="s">
        <v>211</v>
      </c>
      <c r="C167" s="89" t="s">
        <v>274</v>
      </c>
      <c r="D167" s="89" t="s">
        <v>15</v>
      </c>
      <c r="E167" s="89" t="s">
        <v>275</v>
      </c>
      <c r="F167" s="102" t="n">
        <v>4395</v>
      </c>
      <c r="G167" s="102" t="n">
        <v>5494</v>
      </c>
      <c r="H167" s="103" t="s">
        <v>17</v>
      </c>
      <c r="I167" s="103">
        <f>IFERROR(VLOOKUP(A167,#REF!,15,0),0)+IFERROR(VLOOKUP(A167,#REF!,25,0),0)+IFERROR(VLOOKUP(A167,#REF!,10,0),0)+IFERROR(VLOOKUP(A167,#REF!,14,0),0)+IFERROR(VLOOKUP(A167,#REF!,10,0),0)+IFERROR(VLOOKUP(A167,#REF!,10,0),0)+IFERROR(VLOOKUP(A167,#REF!,10,0),0)+IFERROR(VLOOKUP(A167,#REF!,9,0),0)+IFERROR(VLOOKUP(A167,#REF!,9,0),0)+IFERROR(VLOOKUP(A167,#REF!,9,0),0)+IFERROR(VLOOKUP(A167,#REF!,9,0),0)</f>
        <v>0</v>
      </c>
      <c r="J167" s="104">
        <f>IFERROR(VLOOKUP(A167,#REF!,16,0),0)+IFERROR(VLOOKUP(A167,#REF!,26,0),0)+IFERROR(VLOOKUP(A167,#REF!,11,0),0)+IFERROR(VLOOKUP(A167,#REF!,23,0),0)+IFERROR(VLOOKUP(A167,#REF!,11,0),0)+IFERROR(VLOOKUP(A167,#REF!,11,0),0)+IFERROR(VLOOKUP(A167,#REF!,11,0),0)</f>
        <v>0</v>
      </c>
      <c r="K167" s="96" t="str">
        <f>"07.02.24"</f>
        <v>07.02.24</v>
      </c>
    </row>
    <row r="168" spans="1:11" ht="11.25" customHeight="1" outlineLevel="1">
      <c r="A168" s="89" t="n">
        <v>27396</v>
      </c>
      <c r="B168" s="114" t="s">
        <v>211</v>
      </c>
      <c r="C168" s="89" t="s">
        <v>276</v>
      </c>
      <c r="D168" s="89" t="s">
        <v>15</v>
      </c>
      <c r="E168" s="89" t="s">
        <v>277</v>
      </c>
      <c r="F168" s="102" t="n">
        <v>6621</v>
      </c>
      <c r="G168" s="102" t="n">
        <v>8274</v>
      </c>
      <c r="H168" s="103" t="s">
        <v>48</v>
      </c>
      <c r="I168" s="103">
        <f>IFERROR(VLOOKUP(A168,#REF!,15,0),0)+IFERROR(VLOOKUP(A168,#REF!,25,0),0)+IFERROR(VLOOKUP(A168,#REF!,10,0),0)+IFERROR(VLOOKUP(A168,#REF!,14,0),0)+IFERROR(VLOOKUP(A168,#REF!,10,0),0)+IFERROR(VLOOKUP(A168,#REF!,10,0),0)+IFERROR(VLOOKUP(A168,#REF!,10,0),0)+IFERROR(VLOOKUP(A168,#REF!,9,0),0)+IFERROR(VLOOKUP(A168,#REF!,9,0),0)+IFERROR(VLOOKUP(A168,#REF!,9,0),0)+IFERROR(VLOOKUP(A168,#REF!,9,0),0)</f>
        <v>0</v>
      </c>
      <c r="J168" s="104">
        <f>IFERROR(VLOOKUP(A168,#REF!,16,0),0)+IFERROR(VLOOKUP(A168,#REF!,26,0),0)+IFERROR(VLOOKUP(A168,#REF!,11,0),0)+IFERROR(VLOOKUP(A168,#REF!,23,0),0)+IFERROR(VLOOKUP(A168,#REF!,11,0),0)+IFERROR(VLOOKUP(A168,#REF!,11,0),0)+IFERROR(VLOOKUP(A168,#REF!,11,0),0)</f>
        <v>0</v>
      </c>
      <c r="K168" s="96" t="str">
        <f>"07.02.24"</f>
        <v>07.02.24</v>
      </c>
    </row>
    <row r="169" spans="1:11" ht="11.25" customHeight="1" outlineLevel="1">
      <c r="A169" s="89" t="n">
        <v>7342</v>
      </c>
      <c r="B169" s="114" t="s">
        <v>211</v>
      </c>
      <c r="C169" s="89" t="s">
        <v>278</v>
      </c>
      <c r="D169" s="89" t="s">
        <v>15</v>
      </c>
      <c r="E169" s="89" t="s">
        <v>279</v>
      </c>
      <c r="F169" s="102" t="n">
        <v>24656</v>
      </c>
      <c r="G169" s="102" t="n">
        <v>30820</v>
      </c>
      <c r="H169" s="103" t="s">
        <v>48</v>
      </c>
      <c r="I169" s="103">
        <f>IFERROR(VLOOKUP(A169,#REF!,15,0),0)+IFERROR(VLOOKUP(A169,#REF!,25,0),0)+IFERROR(VLOOKUP(A169,#REF!,10,0),0)+IFERROR(VLOOKUP(A169,#REF!,14,0),0)+IFERROR(VLOOKUP(A169,#REF!,10,0),0)+IFERROR(VLOOKUP(A169,#REF!,10,0),0)+IFERROR(VLOOKUP(A169,#REF!,10,0),0)+IFERROR(VLOOKUP(A169,#REF!,9,0),0)+IFERROR(VLOOKUP(A169,#REF!,9,0),0)+IFERROR(VLOOKUP(A169,#REF!,9,0),0)+IFERROR(VLOOKUP(A169,#REF!,9,0),0)</f>
        <v>0</v>
      </c>
      <c r="J169" s="104">
        <f>IFERROR(VLOOKUP(A169,#REF!,16,0),0)+IFERROR(VLOOKUP(A169,#REF!,26,0),0)+IFERROR(VLOOKUP(A169,#REF!,11,0),0)+IFERROR(VLOOKUP(A169,#REF!,23,0),0)+IFERROR(VLOOKUP(A169,#REF!,11,0),0)+IFERROR(VLOOKUP(A169,#REF!,11,0),0)+IFERROR(VLOOKUP(A169,#REF!,11,0),0)</f>
        <v>0</v>
      </c>
      <c r="K169" s="96" t="str">
        <f>"07.02.24"</f>
        <v>07.02.24</v>
      </c>
    </row>
    <row r="170" spans="1:11" ht="11.25" customHeight="1" outlineLevel="1">
      <c r="A170" s="89" t="n">
        <v>8094560</v>
      </c>
      <c r="B170" s="114" t="s">
        <v>211</v>
      </c>
      <c r="C170" s="89" t="s">
        <v>280</v>
      </c>
      <c r="D170" s="89" t="s">
        <v>15</v>
      </c>
      <c r="E170" s="89"/>
      <c r="F170" s="102" t="n">
        <v>18714</v>
      </c>
      <c r="G170" s="102" t="n">
        <v>23391</v>
      </c>
      <c r="H170" s="103" t="s">
        <v>17</v>
      </c>
      <c r="I170" s="103">
        <f>IFERROR(VLOOKUP(A170,#REF!,15,0),0)+IFERROR(VLOOKUP(A170,#REF!,25,0),0)+IFERROR(VLOOKUP(A170,#REF!,10,0),0)+IFERROR(VLOOKUP(A170,#REF!,14,0),0)+IFERROR(VLOOKUP(A170,#REF!,10,0),0)+IFERROR(VLOOKUP(A170,#REF!,10,0),0)+IFERROR(VLOOKUP(A170,#REF!,10,0),0)+IFERROR(VLOOKUP(A170,#REF!,9,0),0)+IFERROR(VLOOKUP(A170,#REF!,9,0),0)+IFERROR(VLOOKUP(A170,#REF!,9,0),0)+IFERROR(VLOOKUP(A170,#REF!,9,0),0)</f>
        <v>0</v>
      </c>
      <c r="J170" s="104">
        <f>IFERROR(VLOOKUP(A170,#REF!,16,0),0)+IFERROR(VLOOKUP(A170,#REF!,26,0),0)+IFERROR(VLOOKUP(A170,#REF!,11,0),0)+IFERROR(VLOOKUP(A170,#REF!,23,0),0)+IFERROR(VLOOKUP(A170,#REF!,11,0),0)+IFERROR(VLOOKUP(A170,#REF!,11,0),0)+IFERROR(VLOOKUP(A170,#REF!,11,0),0)</f>
        <v>0</v>
      </c>
      <c r="K170" s="96" t="str">
        <f>"07.02.24"</f>
        <v>07.02.24</v>
      </c>
    </row>
    <row r="171" spans="1:11" ht="11.25" customHeight="1" outlineLevel="1">
      <c r="A171" s="89" t="n">
        <v>7360</v>
      </c>
      <c r="B171" s="114" t="s">
        <v>211</v>
      </c>
      <c r="C171" s="89" t="s">
        <v>281</v>
      </c>
      <c r="D171" s="89" t="s">
        <v>15</v>
      </c>
      <c r="E171" s="89" t="s">
        <v>282</v>
      </c>
      <c r="F171" s="102" t="n">
        <v>12598</v>
      </c>
      <c r="G171" s="102" t="n">
        <v>15748</v>
      </c>
      <c r="H171" s="103" t="s">
        <v>17</v>
      </c>
      <c r="I171" s="103">
        <f>IFERROR(VLOOKUP(A171,#REF!,15,0),0)+IFERROR(VLOOKUP(A171,#REF!,25,0),0)+IFERROR(VLOOKUP(A171,#REF!,10,0),0)+IFERROR(VLOOKUP(A171,#REF!,14,0),0)+IFERROR(VLOOKUP(A171,#REF!,10,0),0)+IFERROR(VLOOKUP(A171,#REF!,10,0),0)+IFERROR(VLOOKUP(A171,#REF!,10,0),0)+IFERROR(VLOOKUP(A171,#REF!,9,0),0)+IFERROR(VLOOKUP(A171,#REF!,9,0),0)+IFERROR(VLOOKUP(A171,#REF!,9,0),0)+IFERROR(VLOOKUP(A171,#REF!,9,0),0)</f>
        <v>0</v>
      </c>
      <c r="J171" s="104">
        <f>IFERROR(VLOOKUP(A171,#REF!,16,0),0)+IFERROR(VLOOKUP(A171,#REF!,26,0),0)+IFERROR(VLOOKUP(A171,#REF!,11,0),0)+IFERROR(VLOOKUP(A171,#REF!,23,0),0)+IFERROR(VLOOKUP(A171,#REF!,11,0),0)+IFERROR(VLOOKUP(A171,#REF!,11,0),0)+IFERROR(VLOOKUP(A171,#REF!,11,0),0)</f>
        <v>0</v>
      </c>
      <c r="K171" s="96" t="str">
        <f>"07.02.24"</f>
        <v>07.02.24</v>
      </c>
    </row>
    <row r="172" spans="1:11" ht="11.25" customHeight="1" outlineLevel="1">
      <c r="A172" s="89" t="n">
        <v>30453</v>
      </c>
      <c r="B172" s="114" t="s">
        <v>211</v>
      </c>
      <c r="C172" s="89" t="s">
        <v>283</v>
      </c>
      <c r="D172" s="89" t="s">
        <v>15</v>
      </c>
      <c r="E172" s="89" t="s">
        <v>284</v>
      </c>
      <c r="F172" s="102" t="n">
        <v>3131</v>
      </c>
      <c r="G172" s="102" t="n">
        <v>3913</v>
      </c>
      <c r="H172" s="103" t="s">
        <v>17</v>
      </c>
      <c r="I172" s="103">
        <f>IFERROR(VLOOKUP(A172,#REF!,15,0),0)+IFERROR(VLOOKUP(A172,#REF!,25,0),0)+IFERROR(VLOOKUP(A172,#REF!,10,0),0)+IFERROR(VLOOKUP(A172,#REF!,14,0),0)+IFERROR(VLOOKUP(A172,#REF!,10,0),0)+IFERROR(VLOOKUP(A172,#REF!,10,0),0)+IFERROR(VLOOKUP(A172,#REF!,10,0),0)+IFERROR(VLOOKUP(A172,#REF!,9,0),0)+IFERROR(VLOOKUP(A172,#REF!,9,0),0)+IFERROR(VLOOKUP(A172,#REF!,9,0),0)+IFERROR(VLOOKUP(A172,#REF!,9,0),0)</f>
        <v>0</v>
      </c>
      <c r="J172" s="104">
        <f>IFERROR(VLOOKUP(A172,#REF!,16,0),0)+IFERROR(VLOOKUP(A172,#REF!,26,0),0)+IFERROR(VLOOKUP(A172,#REF!,11,0),0)+IFERROR(VLOOKUP(A172,#REF!,23,0),0)+IFERROR(VLOOKUP(A172,#REF!,11,0),0)+IFERROR(VLOOKUP(A172,#REF!,11,0),0)+IFERROR(VLOOKUP(A172,#REF!,11,0),0)</f>
        <v>0</v>
      </c>
      <c r="K172" s="96" t="str">
        <f>"07.02.24"</f>
        <v>07.02.24</v>
      </c>
    </row>
    <row r="173" spans="1:11" ht="11.25" customHeight="1" outlineLevel="1">
      <c r="A173" s="89" t="n">
        <v>38593</v>
      </c>
      <c r="B173" s="114" t="s">
        <v>211</v>
      </c>
      <c r="C173" s="89" t="s">
        <v>285</v>
      </c>
      <c r="D173" s="89" t="s">
        <v>15</v>
      </c>
      <c r="E173" s="89" t="s">
        <v>286</v>
      </c>
      <c r="F173" s="102" t="n">
        <v>64910</v>
      </c>
      <c r="G173" s="102" t="n">
        <v>80488</v>
      </c>
      <c r="H173" s="103" t="s">
        <v>48</v>
      </c>
      <c r="I173" s="103">
        <f>IFERROR(VLOOKUP(A173,#REF!,15,0),0)+IFERROR(VLOOKUP(A173,#REF!,25,0),0)+IFERROR(VLOOKUP(A173,#REF!,10,0),0)+IFERROR(VLOOKUP(A173,#REF!,14,0),0)+IFERROR(VLOOKUP(A173,#REF!,10,0),0)+IFERROR(VLOOKUP(A173,#REF!,10,0),0)+IFERROR(VLOOKUP(A173,#REF!,10,0),0)+IFERROR(VLOOKUP(A173,#REF!,9,0),0)+IFERROR(VLOOKUP(A173,#REF!,9,0),0)+IFERROR(VLOOKUP(A173,#REF!,9,0),0)+IFERROR(VLOOKUP(A173,#REF!,9,0),0)</f>
        <v>0</v>
      </c>
      <c r="J173" s="104">
        <f>IFERROR(VLOOKUP(A173,#REF!,16,0),0)+IFERROR(VLOOKUP(A173,#REF!,26,0),0)+IFERROR(VLOOKUP(A173,#REF!,11,0),0)+IFERROR(VLOOKUP(A173,#REF!,23,0),0)+IFERROR(VLOOKUP(A173,#REF!,11,0),0)+IFERROR(VLOOKUP(A173,#REF!,11,0),0)+IFERROR(VLOOKUP(A173,#REF!,11,0),0)</f>
        <v>0</v>
      </c>
      <c r="K173" s="96" t="str">
        <f>"07.02.24"</f>
        <v>07.02.24</v>
      </c>
    </row>
    <row r="174" spans="1:11" ht="11.25" customHeight="1" outlineLevel="1">
      <c r="A174" s="89" t="n">
        <v>7367</v>
      </c>
      <c r="B174" s="114" t="s">
        <v>211</v>
      </c>
      <c r="C174" s="89" t="s">
        <v>287</v>
      </c>
      <c r="D174" s="89" t="s">
        <v>15</v>
      </c>
      <c r="E174" s="89" t="s">
        <v>288</v>
      </c>
      <c r="F174" s="102" t="n">
        <v>5686</v>
      </c>
      <c r="G174" s="102" t="n">
        <v>7107</v>
      </c>
      <c r="H174" s="103" t="s">
        <v>48</v>
      </c>
      <c r="I174" s="103">
        <f>IFERROR(VLOOKUP(A174,#REF!,15,0),0)+IFERROR(VLOOKUP(A174,#REF!,25,0),0)+IFERROR(VLOOKUP(A174,#REF!,10,0),0)+IFERROR(VLOOKUP(A174,#REF!,14,0),0)+IFERROR(VLOOKUP(A174,#REF!,10,0),0)+IFERROR(VLOOKUP(A174,#REF!,10,0),0)+IFERROR(VLOOKUP(A174,#REF!,10,0),0)+IFERROR(VLOOKUP(A174,#REF!,9,0),0)+IFERROR(VLOOKUP(A174,#REF!,9,0),0)+IFERROR(VLOOKUP(A174,#REF!,9,0),0)+IFERROR(VLOOKUP(A174,#REF!,9,0),0)</f>
        <v>0</v>
      </c>
      <c r="J174" s="104">
        <f>IFERROR(VLOOKUP(A174,#REF!,16,0),0)+IFERROR(VLOOKUP(A174,#REF!,26,0),0)+IFERROR(VLOOKUP(A174,#REF!,11,0),0)+IFERROR(VLOOKUP(A174,#REF!,23,0),0)+IFERROR(VLOOKUP(A174,#REF!,11,0),0)+IFERROR(VLOOKUP(A174,#REF!,11,0),0)+IFERROR(VLOOKUP(A174,#REF!,11,0),0)</f>
        <v>0</v>
      </c>
      <c r="K174" s="96" t="str">
        <f>"07.02.24"</f>
        <v>07.02.24</v>
      </c>
    </row>
    <row r="175" spans="1:11" ht="11.25" customHeight="1" outlineLevel="1">
      <c r="A175" s="89" t="n">
        <v>27397</v>
      </c>
      <c r="B175" s="114" t="s">
        <v>211</v>
      </c>
      <c r="C175" s="89" t="s">
        <v>289</v>
      </c>
      <c r="D175" s="89" t="s">
        <v>15</v>
      </c>
      <c r="E175" s="89" t="s">
        <v>290</v>
      </c>
      <c r="F175" s="102" t="n">
        <v>10688</v>
      </c>
      <c r="G175" s="102" t="n">
        <v>13362</v>
      </c>
      <c r="H175" s="103" t="s">
        <v>48</v>
      </c>
      <c r="I175" s="103">
        <f>IFERROR(VLOOKUP(A175,#REF!,15,0),0)+IFERROR(VLOOKUP(A175,#REF!,25,0),0)+IFERROR(VLOOKUP(A175,#REF!,10,0),0)+IFERROR(VLOOKUP(A175,#REF!,14,0),0)+IFERROR(VLOOKUP(A175,#REF!,10,0),0)+IFERROR(VLOOKUP(A175,#REF!,10,0),0)+IFERROR(VLOOKUP(A175,#REF!,10,0),0)+IFERROR(VLOOKUP(A175,#REF!,9,0),0)+IFERROR(VLOOKUP(A175,#REF!,9,0),0)+IFERROR(VLOOKUP(A175,#REF!,9,0),0)+IFERROR(VLOOKUP(A175,#REF!,9,0),0)</f>
        <v>0</v>
      </c>
      <c r="J175" s="104">
        <f>IFERROR(VLOOKUP(A175,#REF!,16,0),0)+IFERROR(VLOOKUP(A175,#REF!,26,0),0)+IFERROR(VLOOKUP(A175,#REF!,11,0),0)+IFERROR(VLOOKUP(A175,#REF!,23,0),0)+IFERROR(VLOOKUP(A175,#REF!,11,0),0)+IFERROR(VLOOKUP(A175,#REF!,11,0),0)+IFERROR(VLOOKUP(A175,#REF!,11,0),0)</f>
        <v>0</v>
      </c>
      <c r="K175" s="96" t="str">
        <f>"07.02.24"</f>
        <v>07.02.24</v>
      </c>
    </row>
    <row r="176" spans="1:11" ht="11.25" customHeight="1" outlineLevel="1">
      <c r="A176" s="89" t="n">
        <v>2142700</v>
      </c>
      <c r="B176" s="114" t="s">
        <v>211</v>
      </c>
      <c r="C176" s="89" t="s">
        <v>291</v>
      </c>
      <c r="D176" s="89" t="s">
        <v>15</v>
      </c>
      <c r="E176" s="89" t="s">
        <v>292</v>
      </c>
      <c r="F176" s="102" t="n">
        <v>11182</v>
      </c>
      <c r="G176" s="102" t="n">
        <v>13978</v>
      </c>
      <c r="H176" s="103" t="s">
        <v>48</v>
      </c>
      <c r="I176" s="103">
        <f>IFERROR(VLOOKUP(A176,#REF!,15,0),0)+IFERROR(VLOOKUP(A176,#REF!,25,0),0)+IFERROR(VLOOKUP(A176,#REF!,10,0),0)+IFERROR(VLOOKUP(A176,#REF!,14,0),0)+IFERROR(VLOOKUP(A176,#REF!,10,0),0)+IFERROR(VLOOKUP(A176,#REF!,10,0),0)+IFERROR(VLOOKUP(A176,#REF!,10,0),0)+IFERROR(VLOOKUP(A176,#REF!,9,0),0)+IFERROR(VLOOKUP(A176,#REF!,9,0),0)+IFERROR(VLOOKUP(A176,#REF!,9,0),0)+IFERROR(VLOOKUP(A176,#REF!,9,0),0)</f>
        <v>0</v>
      </c>
      <c r="J176" s="104">
        <f>IFERROR(VLOOKUP(A176,#REF!,16,0),0)+IFERROR(VLOOKUP(A176,#REF!,26,0),0)+IFERROR(VLOOKUP(A176,#REF!,11,0),0)+IFERROR(VLOOKUP(A176,#REF!,23,0),0)+IFERROR(VLOOKUP(A176,#REF!,11,0),0)+IFERROR(VLOOKUP(A176,#REF!,11,0),0)+IFERROR(VLOOKUP(A176,#REF!,11,0),0)</f>
        <v>0</v>
      </c>
      <c r="K176" s="96" t="str">
        <f>"07.02.24"</f>
        <v>07.02.24</v>
      </c>
    </row>
    <row r="177" spans="1:11" ht="11.25" customHeight="1" outlineLevel="1">
      <c r="A177" s="89" t="n">
        <v>8094580</v>
      </c>
      <c r="B177" s="114" t="s">
        <v>211</v>
      </c>
      <c r="C177" s="89" t="s">
        <v>293</v>
      </c>
      <c r="D177" s="89" t="s">
        <v>15</v>
      </c>
      <c r="E177" s="89"/>
      <c r="F177" s="102" t="n">
        <v>14150</v>
      </c>
      <c r="G177" s="102" t="n">
        <v>17688</v>
      </c>
      <c r="H177" s="103" t="s">
        <v>48</v>
      </c>
      <c r="I177" s="103">
        <f>IFERROR(VLOOKUP(A177,#REF!,15,0),0)+IFERROR(VLOOKUP(A177,#REF!,25,0),0)+IFERROR(VLOOKUP(A177,#REF!,10,0),0)+IFERROR(VLOOKUP(A177,#REF!,14,0),0)+IFERROR(VLOOKUP(A177,#REF!,10,0),0)+IFERROR(VLOOKUP(A177,#REF!,10,0),0)+IFERROR(VLOOKUP(A177,#REF!,10,0),0)+IFERROR(VLOOKUP(A177,#REF!,9,0),0)+IFERROR(VLOOKUP(A177,#REF!,9,0),0)+IFERROR(VLOOKUP(A177,#REF!,9,0),0)+IFERROR(VLOOKUP(A177,#REF!,9,0),0)</f>
        <v>0</v>
      </c>
      <c r="J177" s="104">
        <f>IFERROR(VLOOKUP(A177,#REF!,16,0),0)+IFERROR(VLOOKUP(A177,#REF!,26,0),0)+IFERROR(VLOOKUP(A177,#REF!,11,0),0)+IFERROR(VLOOKUP(A177,#REF!,23,0),0)+IFERROR(VLOOKUP(A177,#REF!,11,0),0)+IFERROR(VLOOKUP(A177,#REF!,11,0),0)+IFERROR(VLOOKUP(A177,#REF!,11,0),0)</f>
        <v>0</v>
      </c>
      <c r="K177" s="96" t="str">
        <f>"07.02.24"</f>
        <v>07.02.24</v>
      </c>
    </row>
    <row r="178" spans="1:11" ht="11.25" customHeight="1" outlineLevel="1">
      <c r="A178" s="89" t="n">
        <v>11230</v>
      </c>
      <c r="B178" s="114" t="s">
        <v>211</v>
      </c>
      <c r="C178" s="89" t="s">
        <v>294</v>
      </c>
      <c r="D178" s="89" t="s">
        <v>15</v>
      </c>
      <c r="E178" s="89" t="s">
        <v>295</v>
      </c>
      <c r="F178" s="102" t="n">
        <v>6733</v>
      </c>
      <c r="G178" s="102" t="n">
        <v>8418</v>
      </c>
      <c r="H178" s="103" t="s">
        <v>17</v>
      </c>
      <c r="I178" s="103">
        <f>IFERROR(VLOOKUP(A178,#REF!,15,0),0)+IFERROR(VLOOKUP(A178,#REF!,25,0),0)+IFERROR(VLOOKUP(A178,#REF!,10,0),0)+IFERROR(VLOOKUP(A178,#REF!,14,0),0)+IFERROR(VLOOKUP(A178,#REF!,10,0),0)+IFERROR(VLOOKUP(A178,#REF!,10,0),0)+IFERROR(VLOOKUP(A178,#REF!,10,0),0)+IFERROR(VLOOKUP(A178,#REF!,9,0),0)+IFERROR(VLOOKUP(A178,#REF!,9,0),0)+IFERROR(VLOOKUP(A178,#REF!,9,0),0)+IFERROR(VLOOKUP(A178,#REF!,9,0),0)</f>
        <v>0</v>
      </c>
      <c r="J178" s="104">
        <f>IFERROR(VLOOKUP(A178,#REF!,16,0),0)+IFERROR(VLOOKUP(A178,#REF!,26,0),0)+IFERROR(VLOOKUP(A178,#REF!,11,0),0)+IFERROR(VLOOKUP(A178,#REF!,23,0),0)+IFERROR(VLOOKUP(A178,#REF!,11,0),0)+IFERROR(VLOOKUP(A178,#REF!,11,0),0)+IFERROR(VLOOKUP(A178,#REF!,11,0),0)</f>
        <v>0</v>
      </c>
      <c r="K178" s="96" t="str">
        <f>"07.02.24"</f>
        <v>07.02.24</v>
      </c>
    </row>
    <row r="179" spans="1:11" ht="11.25" customHeight="1" outlineLevel="1">
      <c r="A179" s="89" t="n">
        <v>30389</v>
      </c>
      <c r="B179" s="114" t="s">
        <v>211</v>
      </c>
      <c r="C179" s="89" t="s">
        <v>296</v>
      </c>
      <c r="D179" s="89" t="s">
        <v>15</v>
      </c>
      <c r="E179" s="89" t="s">
        <v>297</v>
      </c>
      <c r="F179" s="102" t="n">
        <v>4742</v>
      </c>
      <c r="G179" s="102" t="n">
        <v>5928</v>
      </c>
      <c r="H179" s="103" t="s">
        <v>17</v>
      </c>
      <c r="I179" s="103">
        <f>IFERROR(VLOOKUP(A179,#REF!,15,0),0)+IFERROR(VLOOKUP(A179,#REF!,25,0),0)+IFERROR(VLOOKUP(A179,#REF!,10,0),0)+IFERROR(VLOOKUP(A179,#REF!,14,0),0)+IFERROR(VLOOKUP(A179,#REF!,10,0),0)+IFERROR(VLOOKUP(A179,#REF!,10,0),0)+IFERROR(VLOOKUP(A179,#REF!,10,0),0)+IFERROR(VLOOKUP(A179,#REF!,9,0),0)+IFERROR(VLOOKUP(A179,#REF!,9,0),0)+IFERROR(VLOOKUP(A179,#REF!,9,0),0)+IFERROR(VLOOKUP(A179,#REF!,9,0),0)</f>
        <v>0</v>
      </c>
      <c r="J179" s="104">
        <f>IFERROR(VLOOKUP(A179,#REF!,16,0),0)+IFERROR(VLOOKUP(A179,#REF!,26,0),0)+IFERROR(VLOOKUP(A179,#REF!,11,0),0)+IFERROR(VLOOKUP(A179,#REF!,23,0),0)+IFERROR(VLOOKUP(A179,#REF!,11,0),0)+IFERROR(VLOOKUP(A179,#REF!,11,0),0)+IFERROR(VLOOKUP(A179,#REF!,11,0),0)</f>
        <v>0</v>
      </c>
      <c r="K179" s="96" t="str">
        <f>"07.02.24"</f>
        <v>07.02.24</v>
      </c>
    </row>
    <row r="180" spans="1:11" ht="11.25" customHeight="1" outlineLevel="1">
      <c r="A180" s="89" t="n">
        <v>7308</v>
      </c>
      <c r="B180" s="114" t="s">
        <v>211</v>
      </c>
      <c r="C180" s="89" t="s">
        <v>298</v>
      </c>
      <c r="D180" s="89" t="s">
        <v>15</v>
      </c>
      <c r="E180" s="89" t="s">
        <v>299</v>
      </c>
      <c r="F180" s="102" t="n">
        <v>22649</v>
      </c>
      <c r="G180" s="102" t="n">
        <v>28312</v>
      </c>
      <c r="H180" s="103" t="s">
        <v>48</v>
      </c>
      <c r="I180" s="103">
        <f>IFERROR(VLOOKUP(A180,#REF!,15,0),0)+IFERROR(VLOOKUP(A180,#REF!,25,0),0)+IFERROR(VLOOKUP(A180,#REF!,10,0),0)+IFERROR(VLOOKUP(A180,#REF!,14,0),0)+IFERROR(VLOOKUP(A180,#REF!,10,0),0)+IFERROR(VLOOKUP(A180,#REF!,10,0),0)+IFERROR(VLOOKUP(A180,#REF!,10,0),0)+IFERROR(VLOOKUP(A180,#REF!,9,0),0)+IFERROR(VLOOKUP(A180,#REF!,9,0),0)+IFERROR(VLOOKUP(A180,#REF!,9,0),0)+IFERROR(VLOOKUP(A180,#REF!,9,0),0)</f>
        <v>0</v>
      </c>
      <c r="J180" s="104">
        <f>IFERROR(VLOOKUP(A180,#REF!,16,0),0)+IFERROR(VLOOKUP(A180,#REF!,26,0),0)+IFERROR(VLOOKUP(A180,#REF!,11,0),0)+IFERROR(VLOOKUP(A180,#REF!,23,0),0)+IFERROR(VLOOKUP(A180,#REF!,11,0),0)+IFERROR(VLOOKUP(A180,#REF!,11,0),0)+IFERROR(VLOOKUP(A180,#REF!,11,0),0)</f>
        <v>0</v>
      </c>
      <c r="K180" s="96" t="str">
        <f>"07.02.24"</f>
        <v>07.02.24</v>
      </c>
    </row>
    <row r="181" spans="1:11" ht="11.25" customHeight="1" outlineLevel="1">
      <c r="A181" s="89" t="n">
        <v>11227</v>
      </c>
      <c r="B181" s="114" t="s">
        <v>211</v>
      </c>
      <c r="C181" s="89" t="s">
        <v>300</v>
      </c>
      <c r="D181" s="89" t="s">
        <v>15</v>
      </c>
      <c r="E181" s="89" t="s">
        <v>301</v>
      </c>
      <c r="F181" s="102" t="n">
        <v>27699</v>
      </c>
      <c r="G181" s="102" t="n">
        <v>34624</v>
      </c>
      <c r="H181" s="103" t="s">
        <v>17</v>
      </c>
      <c r="I181" s="103">
        <f>IFERROR(VLOOKUP(A181,#REF!,15,0),0)+IFERROR(VLOOKUP(A181,#REF!,25,0),0)+IFERROR(VLOOKUP(A181,#REF!,10,0),0)+IFERROR(VLOOKUP(A181,#REF!,14,0),0)+IFERROR(VLOOKUP(A181,#REF!,10,0),0)+IFERROR(VLOOKUP(A181,#REF!,10,0),0)+IFERROR(VLOOKUP(A181,#REF!,10,0),0)+IFERROR(VLOOKUP(A181,#REF!,9,0),0)+IFERROR(VLOOKUP(A181,#REF!,9,0),0)+IFERROR(VLOOKUP(A181,#REF!,9,0),0)+IFERROR(VLOOKUP(A181,#REF!,9,0),0)</f>
        <v>0</v>
      </c>
      <c r="J181" s="104">
        <f>IFERROR(VLOOKUP(A181,#REF!,16,0),0)+IFERROR(VLOOKUP(A181,#REF!,26,0),0)+IFERROR(VLOOKUP(A181,#REF!,11,0),0)+IFERROR(VLOOKUP(A181,#REF!,23,0),0)+IFERROR(VLOOKUP(A181,#REF!,11,0),0)+IFERROR(VLOOKUP(A181,#REF!,11,0),0)+IFERROR(VLOOKUP(A181,#REF!,11,0),0)</f>
        <v>0</v>
      </c>
      <c r="K181" s="96" t="str">
        <f>"07.02.24"</f>
        <v>07.02.24</v>
      </c>
    </row>
    <row r="182" spans="1:11" ht="11.25" customHeight="1" outlineLevel="1">
      <c r="A182" s="89" t="n">
        <v>7378</v>
      </c>
      <c r="B182" s="114" t="s">
        <v>211</v>
      </c>
      <c r="C182" s="89" t="s">
        <v>302</v>
      </c>
      <c r="D182" s="89" t="s">
        <v>15</v>
      </c>
      <c r="E182" s="89" t="s">
        <v>303</v>
      </c>
      <c r="F182" s="102" t="n">
        <v>16604</v>
      </c>
      <c r="G182" s="102" t="n">
        <v>20755</v>
      </c>
      <c r="H182" s="103" t="s">
        <v>48</v>
      </c>
      <c r="I182" s="103">
        <f>IFERROR(VLOOKUP(A182,#REF!,15,0),0)+IFERROR(VLOOKUP(A182,#REF!,25,0),0)+IFERROR(VLOOKUP(A182,#REF!,10,0),0)+IFERROR(VLOOKUP(A182,#REF!,14,0),0)+IFERROR(VLOOKUP(A182,#REF!,10,0),0)+IFERROR(VLOOKUP(A182,#REF!,10,0),0)+IFERROR(VLOOKUP(A182,#REF!,10,0),0)+IFERROR(VLOOKUP(A182,#REF!,9,0),0)+IFERROR(VLOOKUP(A182,#REF!,9,0),0)+IFERROR(VLOOKUP(A182,#REF!,9,0),0)+IFERROR(VLOOKUP(A182,#REF!,9,0),0)</f>
        <v>0</v>
      </c>
      <c r="J182" s="104">
        <f>IFERROR(VLOOKUP(A182,#REF!,16,0),0)+IFERROR(VLOOKUP(A182,#REF!,26,0),0)+IFERROR(VLOOKUP(A182,#REF!,11,0),0)+IFERROR(VLOOKUP(A182,#REF!,23,0),0)+IFERROR(VLOOKUP(A182,#REF!,11,0),0)+IFERROR(VLOOKUP(A182,#REF!,11,0),0)+IFERROR(VLOOKUP(A182,#REF!,11,0),0)</f>
        <v>0</v>
      </c>
      <c r="K182" s="96" t="str">
        <f>"07.02.24"</f>
        <v>07.02.24</v>
      </c>
    </row>
    <row r="183" spans="1:11" ht="11.25" customHeight="1" outlineLevel="1">
      <c r="A183" s="89" t="n">
        <v>7381</v>
      </c>
      <c r="B183" s="114" t="s">
        <v>211</v>
      </c>
      <c r="C183" s="89" t="s">
        <v>304</v>
      </c>
      <c r="D183" s="89" t="s">
        <v>15</v>
      </c>
      <c r="E183" s="89" t="s">
        <v>305</v>
      </c>
      <c r="F183" s="102" t="n">
        <v>30042</v>
      </c>
      <c r="G183" s="102" t="n">
        <v>37553</v>
      </c>
      <c r="H183" s="103" t="s">
        <v>17</v>
      </c>
      <c r="I183" s="103">
        <f>IFERROR(VLOOKUP(A183,#REF!,15,0),0)+IFERROR(VLOOKUP(A183,#REF!,25,0),0)+IFERROR(VLOOKUP(A183,#REF!,10,0),0)+IFERROR(VLOOKUP(A183,#REF!,14,0),0)+IFERROR(VLOOKUP(A183,#REF!,10,0),0)+IFERROR(VLOOKUP(A183,#REF!,10,0),0)+IFERROR(VLOOKUP(A183,#REF!,10,0),0)+IFERROR(VLOOKUP(A183,#REF!,9,0),0)+IFERROR(VLOOKUP(A183,#REF!,9,0),0)+IFERROR(VLOOKUP(A183,#REF!,9,0),0)+IFERROR(VLOOKUP(A183,#REF!,9,0),0)</f>
        <v>0</v>
      </c>
      <c r="J183" s="104">
        <f>IFERROR(VLOOKUP(A183,#REF!,16,0),0)+IFERROR(VLOOKUP(A183,#REF!,26,0),0)+IFERROR(VLOOKUP(A183,#REF!,11,0),0)+IFERROR(VLOOKUP(A183,#REF!,23,0),0)+IFERROR(VLOOKUP(A183,#REF!,11,0),0)+IFERROR(VLOOKUP(A183,#REF!,11,0),0)+IFERROR(VLOOKUP(A183,#REF!,11,0),0)</f>
        <v>0</v>
      </c>
      <c r="K183" s="96" t="str">
        <f>"07.02.24"</f>
        <v>07.02.24</v>
      </c>
    </row>
    <row r="184" spans="1:11" ht="11.25" customHeight="1" outlineLevel="1">
      <c r="A184" s="89" t="n">
        <v>39960</v>
      </c>
      <c r="B184" s="114" t="s">
        <v>211</v>
      </c>
      <c r="C184" s="89" t="s">
        <v>306</v>
      </c>
      <c r="D184" s="89" t="s">
        <v>15</v>
      </c>
      <c r="E184" s="89" t="s">
        <v>307</v>
      </c>
      <c r="F184" s="102" t="n">
        <v>18152</v>
      </c>
      <c r="G184" s="102" t="n">
        <v>22690</v>
      </c>
      <c r="H184" s="103" t="s">
        <v>17</v>
      </c>
      <c r="I184" s="103">
        <f>IFERROR(VLOOKUP(A184,#REF!,15,0),0)+IFERROR(VLOOKUP(A184,#REF!,25,0),0)+IFERROR(VLOOKUP(A184,#REF!,10,0),0)+IFERROR(VLOOKUP(A184,#REF!,14,0),0)+IFERROR(VLOOKUP(A184,#REF!,10,0),0)+IFERROR(VLOOKUP(A184,#REF!,10,0),0)+IFERROR(VLOOKUP(A184,#REF!,10,0),0)+IFERROR(VLOOKUP(A184,#REF!,9,0),0)+IFERROR(VLOOKUP(A184,#REF!,9,0),0)+IFERROR(VLOOKUP(A184,#REF!,9,0),0)+IFERROR(VLOOKUP(A184,#REF!,9,0),0)</f>
        <v>0</v>
      </c>
      <c r="J184" s="104">
        <f>IFERROR(VLOOKUP(A184,#REF!,16,0),0)+IFERROR(VLOOKUP(A184,#REF!,26,0),0)+IFERROR(VLOOKUP(A184,#REF!,11,0),0)+IFERROR(VLOOKUP(A184,#REF!,23,0),0)+IFERROR(VLOOKUP(A184,#REF!,11,0),0)+IFERROR(VLOOKUP(A184,#REF!,11,0),0)+IFERROR(VLOOKUP(A184,#REF!,11,0),0)</f>
        <v>0</v>
      </c>
      <c r="K184" s="96" t="str">
        <f>"07.02.24"</f>
        <v>07.02.24</v>
      </c>
    </row>
    <row r="185" spans="1:11" ht="11.25" customHeight="1" outlineLevel="1">
      <c r="A185" s="89" t="n">
        <v>9659</v>
      </c>
      <c r="B185" s="114" t="s">
        <v>211</v>
      </c>
      <c r="C185" s="89" t="s">
        <v>308</v>
      </c>
      <c r="D185" s="89" t="s">
        <v>15</v>
      </c>
      <c r="E185" s="89" t="s">
        <v>295</v>
      </c>
      <c r="F185" s="102" t="n">
        <v>8783</v>
      </c>
      <c r="G185" s="102" t="n">
        <v>10979</v>
      </c>
      <c r="H185" s="103" t="s">
        <v>48</v>
      </c>
      <c r="I185" s="103">
        <f>IFERROR(VLOOKUP(A185,#REF!,15,0),0)+IFERROR(VLOOKUP(A185,#REF!,25,0),0)+IFERROR(VLOOKUP(A185,#REF!,10,0),0)+IFERROR(VLOOKUP(A185,#REF!,14,0),0)+IFERROR(VLOOKUP(A185,#REF!,10,0),0)+IFERROR(VLOOKUP(A185,#REF!,10,0),0)+IFERROR(VLOOKUP(A185,#REF!,10,0),0)+IFERROR(VLOOKUP(A185,#REF!,9,0),0)+IFERROR(VLOOKUP(A185,#REF!,9,0),0)+IFERROR(VLOOKUP(A185,#REF!,9,0),0)+IFERROR(VLOOKUP(A185,#REF!,9,0),0)</f>
        <v>0</v>
      </c>
      <c r="J185" s="104">
        <f>IFERROR(VLOOKUP(A185,#REF!,16,0),0)+IFERROR(VLOOKUP(A185,#REF!,26,0),0)+IFERROR(VLOOKUP(A185,#REF!,11,0),0)+IFERROR(VLOOKUP(A185,#REF!,23,0),0)+IFERROR(VLOOKUP(A185,#REF!,11,0),0)+IFERROR(VLOOKUP(A185,#REF!,11,0),0)+IFERROR(VLOOKUP(A185,#REF!,11,0),0)</f>
        <v>0</v>
      </c>
      <c r="K185" s="96" t="str">
        <f>"07.02.24"</f>
        <v>07.02.24</v>
      </c>
    </row>
    <row r="186" spans="1:11" ht="11.25" customHeight="1" outlineLevel="1">
      <c r="A186" s="89" t="n">
        <v>30181</v>
      </c>
      <c r="B186" s="114" t="s">
        <v>211</v>
      </c>
      <c r="C186" s="89" t="s">
        <v>309</v>
      </c>
      <c r="D186" s="89" t="s">
        <v>15</v>
      </c>
      <c r="E186" s="89" t="s">
        <v>310</v>
      </c>
      <c r="F186" s="102" t="n">
        <v>6623</v>
      </c>
      <c r="G186" s="102" t="n">
        <v>8281</v>
      </c>
      <c r="H186" s="103" t="s">
        <v>48</v>
      </c>
      <c r="I186" s="103">
        <f>IFERROR(VLOOKUP(A186,#REF!,15,0),0)+IFERROR(VLOOKUP(A186,#REF!,25,0),0)+IFERROR(VLOOKUP(A186,#REF!,10,0),0)+IFERROR(VLOOKUP(A186,#REF!,14,0),0)+IFERROR(VLOOKUP(A186,#REF!,10,0),0)+IFERROR(VLOOKUP(A186,#REF!,10,0),0)+IFERROR(VLOOKUP(A186,#REF!,10,0),0)+IFERROR(VLOOKUP(A186,#REF!,9,0),0)+IFERROR(VLOOKUP(A186,#REF!,9,0),0)+IFERROR(VLOOKUP(A186,#REF!,9,0),0)+IFERROR(VLOOKUP(A186,#REF!,9,0),0)</f>
        <v>0</v>
      </c>
      <c r="J186" s="104">
        <f>IFERROR(VLOOKUP(A186,#REF!,16,0),0)+IFERROR(VLOOKUP(A186,#REF!,26,0),0)+IFERROR(VLOOKUP(A186,#REF!,11,0),0)+IFERROR(VLOOKUP(A186,#REF!,23,0),0)+IFERROR(VLOOKUP(A186,#REF!,11,0),0)+IFERROR(VLOOKUP(A186,#REF!,11,0),0)+IFERROR(VLOOKUP(A186,#REF!,11,0),0)</f>
        <v>0</v>
      </c>
      <c r="K186" s="96" t="str">
        <f>"07.02.24"</f>
        <v>07.02.24</v>
      </c>
    </row>
    <row r="187" spans="1:11" ht="11.25" customHeight="1" outlineLevel="1">
      <c r="A187" s="89" t="n">
        <v>38594</v>
      </c>
      <c r="B187" s="114" t="s">
        <v>211</v>
      </c>
      <c r="C187" s="89" t="s">
        <v>311</v>
      </c>
      <c r="D187" s="89" t="s">
        <v>15</v>
      </c>
      <c r="E187" s="89" t="s">
        <v>312</v>
      </c>
      <c r="F187" s="102" t="n">
        <v>38555</v>
      </c>
      <c r="G187" s="102" t="n">
        <v>48193</v>
      </c>
      <c r="H187" s="103" t="s">
        <v>17</v>
      </c>
      <c r="I187" s="103">
        <f>IFERROR(VLOOKUP(A187,#REF!,15,0),0)+IFERROR(VLOOKUP(A187,#REF!,25,0),0)+IFERROR(VLOOKUP(A187,#REF!,10,0),0)+IFERROR(VLOOKUP(A187,#REF!,14,0),0)+IFERROR(VLOOKUP(A187,#REF!,10,0),0)+IFERROR(VLOOKUP(A187,#REF!,10,0),0)+IFERROR(VLOOKUP(A187,#REF!,10,0),0)+IFERROR(VLOOKUP(A187,#REF!,9,0),0)+IFERROR(VLOOKUP(A187,#REF!,9,0),0)+IFERROR(VLOOKUP(A187,#REF!,9,0),0)+IFERROR(VLOOKUP(A187,#REF!,9,0),0)</f>
        <v>0</v>
      </c>
      <c r="J187" s="104">
        <f>IFERROR(VLOOKUP(A187,#REF!,16,0),0)+IFERROR(VLOOKUP(A187,#REF!,26,0),0)+IFERROR(VLOOKUP(A187,#REF!,11,0),0)+IFERROR(VLOOKUP(A187,#REF!,23,0),0)+IFERROR(VLOOKUP(A187,#REF!,11,0),0)+IFERROR(VLOOKUP(A187,#REF!,11,0),0)+IFERROR(VLOOKUP(A187,#REF!,11,0),0)</f>
        <v>0</v>
      </c>
      <c r="K187" s="96" t="str">
        <f>"07.02.24"</f>
        <v>07.02.24</v>
      </c>
    </row>
    <row r="188" spans="1:11" ht="11.25" customHeight="1" outlineLevel="1">
      <c r="A188" s="89" t="n">
        <v>30394</v>
      </c>
      <c r="B188" s="114" t="s">
        <v>211</v>
      </c>
      <c r="C188" s="89" t="s">
        <v>313</v>
      </c>
      <c r="D188" s="89" t="s">
        <v>15</v>
      </c>
      <c r="E188" s="89" t="s">
        <v>314</v>
      </c>
      <c r="F188" s="102" t="n">
        <v>8727</v>
      </c>
      <c r="G188" s="102" t="n">
        <v>10909</v>
      </c>
      <c r="H188" s="103" t="s">
        <v>48</v>
      </c>
      <c r="I188" s="103">
        <f>IFERROR(VLOOKUP(A188,#REF!,15,0),0)+IFERROR(VLOOKUP(A188,#REF!,25,0),0)+IFERROR(VLOOKUP(A188,#REF!,10,0),0)+IFERROR(VLOOKUP(A188,#REF!,14,0),0)+IFERROR(VLOOKUP(A188,#REF!,10,0),0)+IFERROR(VLOOKUP(A188,#REF!,10,0),0)+IFERROR(VLOOKUP(A188,#REF!,10,0),0)+IFERROR(VLOOKUP(A188,#REF!,9,0),0)+IFERROR(VLOOKUP(A188,#REF!,9,0),0)+IFERROR(VLOOKUP(A188,#REF!,9,0),0)+IFERROR(VLOOKUP(A188,#REF!,9,0),0)</f>
        <v>0</v>
      </c>
      <c r="J188" s="104">
        <f>IFERROR(VLOOKUP(A188,#REF!,16,0),0)+IFERROR(VLOOKUP(A188,#REF!,26,0),0)+IFERROR(VLOOKUP(A188,#REF!,11,0),0)+IFERROR(VLOOKUP(A188,#REF!,23,0),0)+IFERROR(VLOOKUP(A188,#REF!,11,0),0)+IFERROR(VLOOKUP(A188,#REF!,11,0),0)+IFERROR(VLOOKUP(A188,#REF!,11,0),0)</f>
        <v>0</v>
      </c>
      <c r="K188" s="96" t="str">
        <f>"07.02.24"</f>
        <v>07.02.24</v>
      </c>
    </row>
    <row r="189" spans="1:11" ht="11.25" customHeight="1" outlineLevel="1">
      <c r="A189" s="89" t="n">
        <v>7357</v>
      </c>
      <c r="B189" s="114" t="s">
        <v>211</v>
      </c>
      <c r="C189" s="89" t="s">
        <v>315</v>
      </c>
      <c r="D189" s="89" t="s">
        <v>15</v>
      </c>
      <c r="E189" s="89" t="s">
        <v>316</v>
      </c>
      <c r="F189" s="102" t="n">
        <v>20545</v>
      </c>
      <c r="G189" s="102" t="n">
        <v>25681</v>
      </c>
      <c r="H189" s="103" t="s">
        <v>17</v>
      </c>
      <c r="I189" s="103">
        <f>IFERROR(VLOOKUP(A189,#REF!,15,0),0)+IFERROR(VLOOKUP(A189,#REF!,25,0),0)+IFERROR(VLOOKUP(A189,#REF!,10,0),0)+IFERROR(VLOOKUP(A189,#REF!,14,0),0)+IFERROR(VLOOKUP(A189,#REF!,10,0),0)+IFERROR(VLOOKUP(A189,#REF!,10,0),0)+IFERROR(VLOOKUP(A189,#REF!,10,0),0)+IFERROR(VLOOKUP(A189,#REF!,9,0),0)+IFERROR(VLOOKUP(A189,#REF!,9,0),0)+IFERROR(VLOOKUP(A189,#REF!,9,0),0)+IFERROR(VLOOKUP(A189,#REF!,9,0),0)</f>
        <v>0</v>
      </c>
      <c r="J189" s="104">
        <f>IFERROR(VLOOKUP(A189,#REF!,16,0),0)+IFERROR(VLOOKUP(A189,#REF!,26,0),0)+IFERROR(VLOOKUP(A189,#REF!,11,0),0)+IFERROR(VLOOKUP(A189,#REF!,23,0),0)+IFERROR(VLOOKUP(A189,#REF!,11,0),0)+IFERROR(VLOOKUP(A189,#REF!,11,0),0)+IFERROR(VLOOKUP(A189,#REF!,11,0),0)</f>
        <v>0</v>
      </c>
      <c r="K189" s="96" t="str">
        <f>"07.02.24"</f>
        <v>07.02.24</v>
      </c>
    </row>
    <row r="190" spans="1:11" ht="11.25" customHeight="1" outlineLevel="1">
      <c r="A190" s="89" t="n">
        <v>7298</v>
      </c>
      <c r="B190" s="114" t="s">
        <v>211</v>
      </c>
      <c r="C190" s="89" t="s">
        <v>317</v>
      </c>
      <c r="D190" s="89" t="s">
        <v>15</v>
      </c>
      <c r="E190" s="89" t="s">
        <v>318</v>
      </c>
      <c r="F190" s="102" t="n">
        <v>26942</v>
      </c>
      <c r="G190" s="102" t="n">
        <v>33677</v>
      </c>
      <c r="H190" s="103" t="s">
        <v>48</v>
      </c>
      <c r="I190" s="103">
        <f>IFERROR(VLOOKUP(A190,#REF!,15,0),0)+IFERROR(VLOOKUP(A190,#REF!,25,0),0)+IFERROR(VLOOKUP(A190,#REF!,10,0),0)+IFERROR(VLOOKUP(A190,#REF!,14,0),0)+IFERROR(VLOOKUP(A190,#REF!,10,0),0)+IFERROR(VLOOKUP(A190,#REF!,10,0),0)+IFERROR(VLOOKUP(A190,#REF!,10,0),0)+IFERROR(VLOOKUP(A190,#REF!,9,0),0)+IFERROR(VLOOKUP(A190,#REF!,9,0),0)+IFERROR(VLOOKUP(A190,#REF!,9,0),0)+IFERROR(VLOOKUP(A190,#REF!,9,0),0)</f>
        <v>0</v>
      </c>
      <c r="J190" s="104">
        <f>IFERROR(VLOOKUP(A190,#REF!,16,0),0)+IFERROR(VLOOKUP(A190,#REF!,26,0),0)+IFERROR(VLOOKUP(A190,#REF!,11,0),0)+IFERROR(VLOOKUP(A190,#REF!,23,0),0)+IFERROR(VLOOKUP(A190,#REF!,11,0),0)+IFERROR(VLOOKUP(A190,#REF!,11,0),0)+IFERROR(VLOOKUP(A190,#REF!,11,0),0)</f>
        <v>0</v>
      </c>
      <c r="K190" s="96" t="str">
        <f>"07.02.24"</f>
        <v>07.02.24</v>
      </c>
    </row>
    <row r="191" spans="1:11" ht="11.25" customHeight="1" outlineLevel="1">
      <c r="A191" s="89" t="n">
        <v>4117800</v>
      </c>
      <c r="B191" s="114" t="s">
        <v>211</v>
      </c>
      <c r="C191" s="89" t="s">
        <v>319</v>
      </c>
      <c r="D191" s="89" t="s">
        <v>15</v>
      </c>
      <c r="E191" s="89" t="s">
        <v>320</v>
      </c>
      <c r="F191" s="102" t="n">
        <v>21247</v>
      </c>
      <c r="G191" s="102" t="n">
        <v>26347</v>
      </c>
      <c r="H191" s="103" t="s">
        <v>17</v>
      </c>
      <c r="I191" s="103">
        <f>IFERROR(VLOOKUP(A191,#REF!,15,0),0)+IFERROR(VLOOKUP(A191,#REF!,25,0),0)+IFERROR(VLOOKUP(A191,#REF!,10,0),0)+IFERROR(VLOOKUP(A191,#REF!,14,0),0)+IFERROR(VLOOKUP(A191,#REF!,10,0),0)+IFERROR(VLOOKUP(A191,#REF!,10,0),0)+IFERROR(VLOOKUP(A191,#REF!,10,0),0)+IFERROR(VLOOKUP(A191,#REF!,9,0),0)+IFERROR(VLOOKUP(A191,#REF!,9,0),0)+IFERROR(VLOOKUP(A191,#REF!,9,0),0)+IFERROR(VLOOKUP(A191,#REF!,9,0),0)</f>
        <v>0</v>
      </c>
      <c r="J191" s="104">
        <f>IFERROR(VLOOKUP(A191,#REF!,16,0),0)+IFERROR(VLOOKUP(A191,#REF!,26,0),0)+IFERROR(VLOOKUP(A191,#REF!,11,0),0)+IFERROR(VLOOKUP(A191,#REF!,23,0),0)+IFERROR(VLOOKUP(A191,#REF!,11,0),0)+IFERROR(VLOOKUP(A191,#REF!,11,0),0)+IFERROR(VLOOKUP(A191,#REF!,11,0),0)</f>
        <v>0</v>
      </c>
      <c r="K191" s="96" t="str">
        <f>"07.02.24"</f>
        <v>07.02.24</v>
      </c>
    </row>
    <row r="192" spans="1:11" ht="11.25" customHeight="1" outlineLevel="1">
      <c r="A192" s="89" t="n">
        <v>30385</v>
      </c>
      <c r="B192" s="114" t="s">
        <v>211</v>
      </c>
      <c r="C192" s="89" t="s">
        <v>321</v>
      </c>
      <c r="D192" s="89" t="s">
        <v>15</v>
      </c>
      <c r="E192" s="89" t="s">
        <v>322</v>
      </c>
      <c r="F192" s="102" t="n">
        <v>11652</v>
      </c>
      <c r="G192" s="102" t="n">
        <v>14448</v>
      </c>
      <c r="H192" s="103" t="s">
        <v>17</v>
      </c>
      <c r="I192" s="103">
        <f>IFERROR(VLOOKUP(A192,#REF!,15,0),0)+IFERROR(VLOOKUP(A192,#REF!,25,0),0)+IFERROR(VLOOKUP(A192,#REF!,10,0),0)+IFERROR(VLOOKUP(A192,#REF!,14,0),0)+IFERROR(VLOOKUP(A192,#REF!,10,0),0)+IFERROR(VLOOKUP(A192,#REF!,10,0),0)+IFERROR(VLOOKUP(A192,#REF!,10,0),0)+IFERROR(VLOOKUP(A192,#REF!,9,0),0)+IFERROR(VLOOKUP(A192,#REF!,9,0),0)+IFERROR(VLOOKUP(A192,#REF!,9,0),0)+IFERROR(VLOOKUP(A192,#REF!,9,0),0)</f>
        <v>0</v>
      </c>
      <c r="J192" s="104">
        <f>IFERROR(VLOOKUP(A192,#REF!,16,0),0)+IFERROR(VLOOKUP(A192,#REF!,26,0),0)+IFERROR(VLOOKUP(A192,#REF!,11,0),0)+IFERROR(VLOOKUP(A192,#REF!,23,0),0)+IFERROR(VLOOKUP(A192,#REF!,11,0),0)+IFERROR(VLOOKUP(A192,#REF!,11,0),0)+IFERROR(VLOOKUP(A192,#REF!,11,0),0)</f>
        <v>0</v>
      </c>
      <c r="K192" s="96" t="str">
        <f>"07.02.24"</f>
        <v>07.02.24</v>
      </c>
    </row>
    <row r="193" spans="1:11" ht="11.25" customHeight="1" outlineLevel="1">
      <c r="A193" s="89" t="n">
        <v>7377</v>
      </c>
      <c r="B193" s="114" t="s">
        <v>211</v>
      </c>
      <c r="C193" s="89" t="s">
        <v>323</v>
      </c>
      <c r="D193" s="89" t="s">
        <v>15</v>
      </c>
      <c r="E193" s="89" t="s">
        <v>324</v>
      </c>
      <c r="F193" s="102" t="n">
        <v>10053</v>
      </c>
      <c r="G193" s="102" t="n">
        <v>12568</v>
      </c>
      <c r="H193" s="103" t="s">
        <v>17</v>
      </c>
      <c r="I193" s="103">
        <f>IFERROR(VLOOKUP(A193,#REF!,15,0),0)+IFERROR(VLOOKUP(A193,#REF!,25,0),0)+IFERROR(VLOOKUP(A193,#REF!,10,0),0)+IFERROR(VLOOKUP(A193,#REF!,14,0),0)+IFERROR(VLOOKUP(A193,#REF!,10,0),0)+IFERROR(VLOOKUP(A193,#REF!,10,0),0)+IFERROR(VLOOKUP(A193,#REF!,10,0),0)+IFERROR(VLOOKUP(A193,#REF!,9,0),0)+IFERROR(VLOOKUP(A193,#REF!,9,0),0)+IFERROR(VLOOKUP(A193,#REF!,9,0),0)+IFERROR(VLOOKUP(A193,#REF!,9,0),0)</f>
        <v>0</v>
      </c>
      <c r="J193" s="104">
        <f>IFERROR(VLOOKUP(A193,#REF!,16,0),0)+IFERROR(VLOOKUP(A193,#REF!,26,0),0)+IFERROR(VLOOKUP(A193,#REF!,11,0),0)+IFERROR(VLOOKUP(A193,#REF!,23,0),0)+IFERROR(VLOOKUP(A193,#REF!,11,0),0)+IFERROR(VLOOKUP(A193,#REF!,11,0),0)+IFERROR(VLOOKUP(A193,#REF!,11,0),0)</f>
        <v>0</v>
      </c>
      <c r="K193" s="96" t="str">
        <f>"07.02.24"</f>
        <v>07.02.24</v>
      </c>
    </row>
    <row r="194" spans="1:11" ht="11.25" customHeight="1" outlineLevel="1">
      <c r="A194" s="89" t="n">
        <v>8095000</v>
      </c>
      <c r="B194" s="114" t="s">
        <v>211</v>
      </c>
      <c r="C194" s="89" t="s">
        <v>325</v>
      </c>
      <c r="D194" s="89" t="s">
        <v>15</v>
      </c>
      <c r="E194" s="89"/>
      <c r="F194" s="102" t="n">
        <v>31447</v>
      </c>
      <c r="G194" s="102" t="n">
        <v>39309</v>
      </c>
      <c r="H194" s="103" t="s">
        <v>17</v>
      </c>
      <c r="I194" s="103">
        <f>IFERROR(VLOOKUP(A194,#REF!,15,0),0)+IFERROR(VLOOKUP(A194,#REF!,25,0),0)+IFERROR(VLOOKUP(A194,#REF!,10,0),0)+IFERROR(VLOOKUP(A194,#REF!,14,0),0)+IFERROR(VLOOKUP(A194,#REF!,10,0),0)+IFERROR(VLOOKUP(A194,#REF!,10,0),0)+IFERROR(VLOOKUP(A194,#REF!,10,0),0)+IFERROR(VLOOKUP(A194,#REF!,9,0),0)+IFERROR(VLOOKUP(A194,#REF!,9,0),0)+IFERROR(VLOOKUP(A194,#REF!,9,0),0)+IFERROR(VLOOKUP(A194,#REF!,9,0),0)</f>
        <v>0</v>
      </c>
      <c r="J194" s="104">
        <f>IFERROR(VLOOKUP(A194,#REF!,16,0),0)+IFERROR(VLOOKUP(A194,#REF!,26,0),0)+IFERROR(VLOOKUP(A194,#REF!,11,0),0)+IFERROR(VLOOKUP(A194,#REF!,23,0),0)+IFERROR(VLOOKUP(A194,#REF!,11,0),0)+IFERROR(VLOOKUP(A194,#REF!,11,0),0)+IFERROR(VLOOKUP(A194,#REF!,11,0),0)</f>
        <v>0</v>
      </c>
      <c r="K194" s="96" t="str">
        <f>"07.02.24"</f>
        <v>07.02.24</v>
      </c>
    </row>
    <row r="195" spans="1:11" ht="11.25" customHeight="1" outlineLevel="1">
      <c r="A195" s="89" t="n">
        <v>27401</v>
      </c>
      <c r="B195" s="114" t="s">
        <v>211</v>
      </c>
      <c r="C195" s="89" t="s">
        <v>326</v>
      </c>
      <c r="D195" s="89" t="s">
        <v>15</v>
      </c>
      <c r="E195" s="89" t="s">
        <v>327</v>
      </c>
      <c r="F195" s="102" t="n">
        <v>6930</v>
      </c>
      <c r="G195" s="102" t="n">
        <v>8664</v>
      </c>
      <c r="H195" s="103" t="s">
        <v>48</v>
      </c>
      <c r="I195" s="103">
        <f>IFERROR(VLOOKUP(A195,#REF!,15,0),0)+IFERROR(VLOOKUP(A195,#REF!,25,0),0)+IFERROR(VLOOKUP(A195,#REF!,10,0),0)+IFERROR(VLOOKUP(A195,#REF!,14,0),0)+IFERROR(VLOOKUP(A195,#REF!,10,0),0)+IFERROR(VLOOKUP(A195,#REF!,10,0),0)+IFERROR(VLOOKUP(A195,#REF!,10,0),0)+IFERROR(VLOOKUP(A195,#REF!,9,0),0)+IFERROR(VLOOKUP(A195,#REF!,9,0),0)+IFERROR(VLOOKUP(A195,#REF!,9,0),0)+IFERROR(VLOOKUP(A195,#REF!,9,0),0)</f>
        <v>0</v>
      </c>
      <c r="J195" s="104">
        <f>IFERROR(VLOOKUP(A195,#REF!,16,0),0)+IFERROR(VLOOKUP(A195,#REF!,26,0),0)+IFERROR(VLOOKUP(A195,#REF!,11,0),0)+IFERROR(VLOOKUP(A195,#REF!,23,0),0)+IFERROR(VLOOKUP(A195,#REF!,11,0),0)+IFERROR(VLOOKUP(A195,#REF!,11,0),0)+IFERROR(VLOOKUP(A195,#REF!,11,0),0)</f>
        <v>0</v>
      </c>
      <c r="K195" s="96" t="str">
        <f>"07.02.24"</f>
        <v>07.02.24</v>
      </c>
    </row>
    <row r="196" spans="1:11" ht="11.25" customHeight="1" outlineLevel="1">
      <c r="A196" s="89" t="n">
        <v>682560</v>
      </c>
      <c r="B196" s="114" t="s">
        <v>211</v>
      </c>
      <c r="C196" s="89" t="s">
        <v>328</v>
      </c>
      <c r="D196" s="89" t="s">
        <v>15</v>
      </c>
      <c r="E196" s="89" t="s">
        <v>329</v>
      </c>
      <c r="F196" s="102" t="n">
        <v>6773</v>
      </c>
      <c r="G196" s="102" t="n">
        <v>8466</v>
      </c>
      <c r="H196" s="103" t="s">
        <v>17</v>
      </c>
      <c r="I196" s="103">
        <f>IFERROR(VLOOKUP(A196,#REF!,15,0),0)+IFERROR(VLOOKUP(A196,#REF!,25,0),0)+IFERROR(VLOOKUP(A196,#REF!,10,0),0)+IFERROR(VLOOKUP(A196,#REF!,14,0),0)+IFERROR(VLOOKUP(A196,#REF!,10,0),0)+IFERROR(VLOOKUP(A196,#REF!,10,0),0)+IFERROR(VLOOKUP(A196,#REF!,10,0),0)+IFERROR(VLOOKUP(A196,#REF!,9,0),0)+IFERROR(VLOOKUP(A196,#REF!,9,0),0)+IFERROR(VLOOKUP(A196,#REF!,9,0),0)+IFERROR(VLOOKUP(A196,#REF!,9,0),0)</f>
        <v>0</v>
      </c>
      <c r="J196" s="104">
        <f>IFERROR(VLOOKUP(A196,#REF!,16,0),0)+IFERROR(VLOOKUP(A196,#REF!,26,0),0)+IFERROR(VLOOKUP(A196,#REF!,11,0),0)+IFERROR(VLOOKUP(A196,#REF!,23,0),0)+IFERROR(VLOOKUP(A196,#REF!,11,0),0)+IFERROR(VLOOKUP(A196,#REF!,11,0),0)+IFERROR(VLOOKUP(A196,#REF!,11,0),0)</f>
        <v>0</v>
      </c>
      <c r="K196" s="96" t="str">
        <f>"07.02.24"</f>
        <v>07.02.24</v>
      </c>
    </row>
    <row r="197" spans="1:11" ht="11.25" customHeight="1" outlineLevel="1">
      <c r="A197" s="89" t="n">
        <v>4110730</v>
      </c>
      <c r="B197" s="114" t="s">
        <v>211</v>
      </c>
      <c r="C197" s="89" t="s">
        <v>330</v>
      </c>
      <c r="D197" s="89" t="s">
        <v>15</v>
      </c>
      <c r="E197" s="89" t="s">
        <v>331</v>
      </c>
      <c r="F197" s="102" t="n">
        <v>3308</v>
      </c>
      <c r="G197" s="102" t="n">
        <v>4136</v>
      </c>
      <c r="H197" s="103" t="s">
        <v>17</v>
      </c>
      <c r="I197" s="103">
        <f>IFERROR(VLOOKUP(A197,#REF!,15,0),0)+IFERROR(VLOOKUP(A197,#REF!,25,0),0)+IFERROR(VLOOKUP(A197,#REF!,10,0),0)+IFERROR(VLOOKUP(A197,#REF!,14,0),0)+IFERROR(VLOOKUP(A197,#REF!,10,0),0)+IFERROR(VLOOKUP(A197,#REF!,10,0),0)+IFERROR(VLOOKUP(A197,#REF!,10,0),0)+IFERROR(VLOOKUP(A197,#REF!,9,0),0)+IFERROR(VLOOKUP(A197,#REF!,9,0),0)+IFERROR(VLOOKUP(A197,#REF!,9,0),0)+IFERROR(VLOOKUP(A197,#REF!,9,0),0)</f>
        <v>0</v>
      </c>
      <c r="J197" s="104">
        <f>IFERROR(VLOOKUP(A197,#REF!,16,0),0)+IFERROR(VLOOKUP(A197,#REF!,26,0),0)+IFERROR(VLOOKUP(A197,#REF!,11,0),0)+IFERROR(VLOOKUP(A197,#REF!,23,0),0)+IFERROR(VLOOKUP(A197,#REF!,11,0),0)+IFERROR(VLOOKUP(A197,#REF!,11,0),0)+IFERROR(VLOOKUP(A197,#REF!,11,0),0)</f>
        <v>0</v>
      </c>
      <c r="K197" s="96" t="str">
        <f>"07.02.24"</f>
        <v>07.02.24</v>
      </c>
    </row>
    <row r="198" spans="1:11" ht="11.25" customHeight="1" outlineLevel="1">
      <c r="A198" s="89" t="n">
        <v>35152</v>
      </c>
      <c r="B198" s="114" t="s">
        <v>211</v>
      </c>
      <c r="C198" s="89" t="s">
        <v>332</v>
      </c>
      <c r="D198" s="89" t="s">
        <v>15</v>
      </c>
      <c r="E198" s="89" t="s">
        <v>333</v>
      </c>
      <c r="F198" s="102" t="n">
        <v>6907</v>
      </c>
      <c r="G198" s="102" t="n">
        <v>8636</v>
      </c>
      <c r="H198" s="103" t="s">
        <v>17</v>
      </c>
      <c r="I198" s="103">
        <f>IFERROR(VLOOKUP(A198,#REF!,15,0),0)+IFERROR(VLOOKUP(A198,#REF!,25,0),0)+IFERROR(VLOOKUP(A198,#REF!,10,0),0)+IFERROR(VLOOKUP(A198,#REF!,14,0),0)+IFERROR(VLOOKUP(A198,#REF!,10,0),0)+IFERROR(VLOOKUP(A198,#REF!,10,0),0)+IFERROR(VLOOKUP(A198,#REF!,10,0),0)+IFERROR(VLOOKUP(A198,#REF!,9,0),0)+IFERROR(VLOOKUP(A198,#REF!,9,0),0)+IFERROR(VLOOKUP(A198,#REF!,9,0),0)+IFERROR(VLOOKUP(A198,#REF!,9,0),0)</f>
        <v>0</v>
      </c>
      <c r="J198" s="104">
        <f>IFERROR(VLOOKUP(A198,#REF!,16,0),0)+IFERROR(VLOOKUP(A198,#REF!,26,0),0)+IFERROR(VLOOKUP(A198,#REF!,11,0),0)+IFERROR(VLOOKUP(A198,#REF!,23,0),0)+IFERROR(VLOOKUP(A198,#REF!,11,0),0)+IFERROR(VLOOKUP(A198,#REF!,11,0),0)+IFERROR(VLOOKUP(A198,#REF!,11,0),0)</f>
        <v>0</v>
      </c>
      <c r="K198" s="96" t="str">
        <f>"07.02.24"</f>
        <v>07.02.24</v>
      </c>
    </row>
    <row r="199" spans="1:11" ht="11.25" customHeight="1" outlineLevel="1">
      <c r="A199" s="89" t="n">
        <v>11228</v>
      </c>
      <c r="B199" s="114" t="s">
        <v>211</v>
      </c>
      <c r="C199" s="89" t="s">
        <v>334</v>
      </c>
      <c r="D199" s="89" t="s">
        <v>15</v>
      </c>
      <c r="E199" s="89" t="s">
        <v>335</v>
      </c>
      <c r="F199" s="102" t="n">
        <v>45925</v>
      </c>
      <c r="G199" s="102" t="n">
        <v>57406</v>
      </c>
      <c r="H199" s="103" t="s">
        <v>17</v>
      </c>
      <c r="I199" s="103">
        <f>IFERROR(VLOOKUP(A199,#REF!,15,0),0)+IFERROR(VLOOKUP(A199,#REF!,25,0),0)+IFERROR(VLOOKUP(A199,#REF!,10,0),0)+IFERROR(VLOOKUP(A199,#REF!,14,0),0)+IFERROR(VLOOKUP(A199,#REF!,10,0),0)+IFERROR(VLOOKUP(A199,#REF!,10,0),0)+IFERROR(VLOOKUP(A199,#REF!,10,0),0)+IFERROR(VLOOKUP(A199,#REF!,9,0),0)+IFERROR(VLOOKUP(A199,#REF!,9,0),0)+IFERROR(VLOOKUP(A199,#REF!,9,0),0)+IFERROR(VLOOKUP(A199,#REF!,9,0),0)</f>
        <v>0</v>
      </c>
      <c r="J199" s="104">
        <f>IFERROR(VLOOKUP(A199,#REF!,16,0),0)+IFERROR(VLOOKUP(A199,#REF!,26,0),0)+IFERROR(VLOOKUP(A199,#REF!,11,0),0)+IFERROR(VLOOKUP(A199,#REF!,23,0),0)+IFERROR(VLOOKUP(A199,#REF!,11,0),0)+IFERROR(VLOOKUP(A199,#REF!,11,0),0)+IFERROR(VLOOKUP(A199,#REF!,11,0),0)</f>
        <v>0</v>
      </c>
      <c r="K199" s="96" t="str">
        <f>"07.02.24"</f>
        <v>07.02.24</v>
      </c>
    </row>
    <row r="200" spans="1:11" ht="11.25" customHeight="1" outlineLevel="1">
      <c r="A200" s="89" t="n">
        <v>38697</v>
      </c>
      <c r="B200" s="114" t="s">
        <v>211</v>
      </c>
      <c r="C200" s="89" t="s">
        <v>336</v>
      </c>
      <c r="D200" s="89" t="s">
        <v>15</v>
      </c>
      <c r="E200" s="89" t="s">
        <v>337</v>
      </c>
      <c r="F200" s="102" t="n">
        <v>12904</v>
      </c>
      <c r="G200" s="102" t="n">
        <v>16131</v>
      </c>
      <c r="H200" s="103" t="s">
        <v>17</v>
      </c>
      <c r="I200" s="103">
        <f>IFERROR(VLOOKUP(A200,#REF!,15,0),0)+IFERROR(VLOOKUP(A200,#REF!,25,0),0)+IFERROR(VLOOKUP(A200,#REF!,10,0),0)+IFERROR(VLOOKUP(A200,#REF!,14,0),0)+IFERROR(VLOOKUP(A200,#REF!,10,0),0)+IFERROR(VLOOKUP(A200,#REF!,10,0),0)+IFERROR(VLOOKUP(A200,#REF!,10,0),0)+IFERROR(VLOOKUP(A200,#REF!,9,0),0)+IFERROR(VLOOKUP(A200,#REF!,9,0),0)+IFERROR(VLOOKUP(A200,#REF!,9,0),0)+IFERROR(VLOOKUP(A200,#REF!,9,0),0)</f>
        <v>0</v>
      </c>
      <c r="J200" s="104">
        <f>IFERROR(VLOOKUP(A200,#REF!,16,0),0)+IFERROR(VLOOKUP(A200,#REF!,26,0),0)+IFERROR(VLOOKUP(A200,#REF!,11,0),0)+IFERROR(VLOOKUP(A200,#REF!,23,0),0)+IFERROR(VLOOKUP(A200,#REF!,11,0),0)+IFERROR(VLOOKUP(A200,#REF!,11,0),0)+IFERROR(VLOOKUP(A200,#REF!,11,0),0)</f>
        <v>0</v>
      </c>
      <c r="K200" s="96" t="str">
        <f>"07.02.24"</f>
        <v>07.02.24</v>
      </c>
    </row>
    <row r="201" spans="1:11" ht="11.25" customHeight="1" outlineLevel="1">
      <c r="A201" s="89" t="n">
        <v>7345</v>
      </c>
      <c r="B201" s="114" t="s">
        <v>211</v>
      </c>
      <c r="C201" s="89" t="s">
        <v>338</v>
      </c>
      <c r="D201" s="89" t="s">
        <v>15</v>
      </c>
      <c r="E201" s="89" t="s">
        <v>17</v>
      </c>
      <c r="F201" s="102" t="n">
        <v>49285</v>
      </c>
      <c r="G201" s="102" t="n">
        <v>61607</v>
      </c>
      <c r="H201" s="103" t="s">
        <v>17</v>
      </c>
      <c r="I201" s="103">
        <f>IFERROR(VLOOKUP(A201,#REF!,15,0),0)+IFERROR(VLOOKUP(A201,#REF!,25,0),0)+IFERROR(VLOOKUP(A201,#REF!,10,0),0)+IFERROR(VLOOKUP(A201,#REF!,14,0),0)+IFERROR(VLOOKUP(A201,#REF!,10,0),0)+IFERROR(VLOOKUP(A201,#REF!,10,0),0)+IFERROR(VLOOKUP(A201,#REF!,10,0),0)+IFERROR(VLOOKUP(A201,#REF!,9,0),0)+IFERROR(VLOOKUP(A201,#REF!,9,0),0)+IFERROR(VLOOKUP(A201,#REF!,9,0),0)+IFERROR(VLOOKUP(A201,#REF!,9,0),0)</f>
        <v>0</v>
      </c>
      <c r="J201" s="104">
        <f>IFERROR(VLOOKUP(A201,#REF!,16,0),0)+IFERROR(VLOOKUP(A201,#REF!,26,0),0)+IFERROR(VLOOKUP(A201,#REF!,11,0),0)+IFERROR(VLOOKUP(A201,#REF!,23,0),0)+IFERROR(VLOOKUP(A201,#REF!,11,0),0)+IFERROR(VLOOKUP(A201,#REF!,11,0),0)+IFERROR(VLOOKUP(A201,#REF!,11,0),0)</f>
        <v>0</v>
      </c>
      <c r="K201" s="96" t="str">
        <f>"07.02.24"</f>
        <v>07.02.24</v>
      </c>
    </row>
    <row r="202" spans="1:11" ht="11.25" customHeight="1" outlineLevel="1">
      <c r="A202" s="89" t="n">
        <v>31880</v>
      </c>
      <c r="B202" s="114" t="s">
        <v>211</v>
      </c>
      <c r="C202" s="89" t="s">
        <v>339</v>
      </c>
      <c r="D202" s="89" t="s">
        <v>15</v>
      </c>
      <c r="E202" s="89" t="s">
        <v>340</v>
      </c>
      <c r="F202" s="102" t="n">
        <v>9302</v>
      </c>
      <c r="G202" s="102" t="n">
        <v>11627</v>
      </c>
      <c r="H202" s="103" t="s">
        <v>17</v>
      </c>
      <c r="I202" s="103">
        <f>IFERROR(VLOOKUP(A202,#REF!,15,0),0)+IFERROR(VLOOKUP(A202,#REF!,25,0),0)+IFERROR(VLOOKUP(A202,#REF!,10,0),0)+IFERROR(VLOOKUP(A202,#REF!,14,0),0)+IFERROR(VLOOKUP(A202,#REF!,10,0),0)+IFERROR(VLOOKUP(A202,#REF!,10,0),0)+IFERROR(VLOOKUP(A202,#REF!,10,0),0)+IFERROR(VLOOKUP(A202,#REF!,9,0),0)+IFERROR(VLOOKUP(A202,#REF!,9,0),0)+IFERROR(VLOOKUP(A202,#REF!,9,0),0)+IFERROR(VLOOKUP(A202,#REF!,9,0),0)</f>
        <v>0</v>
      </c>
      <c r="J202" s="104">
        <f>IFERROR(VLOOKUP(A202,#REF!,16,0),0)+IFERROR(VLOOKUP(A202,#REF!,26,0),0)+IFERROR(VLOOKUP(A202,#REF!,11,0),0)+IFERROR(VLOOKUP(A202,#REF!,23,0),0)+IFERROR(VLOOKUP(A202,#REF!,11,0),0)+IFERROR(VLOOKUP(A202,#REF!,11,0),0)+IFERROR(VLOOKUP(A202,#REF!,11,0),0)</f>
        <v>0</v>
      </c>
      <c r="K202" s="96" t="str">
        <f>"07.02.24"</f>
        <v>07.02.24</v>
      </c>
    </row>
    <row r="203" spans="1:11" ht="11.25" customHeight="1" outlineLevel="1">
      <c r="A203" s="89" t="n">
        <v>31874</v>
      </c>
      <c r="B203" s="114" t="s">
        <v>211</v>
      </c>
      <c r="C203" s="89" t="s">
        <v>341</v>
      </c>
      <c r="D203" s="89" t="s">
        <v>15</v>
      </c>
      <c r="E203" s="89" t="s">
        <v>342</v>
      </c>
      <c r="F203" s="102" t="n">
        <v>12501</v>
      </c>
      <c r="G203" s="102" t="n">
        <v>15627</v>
      </c>
      <c r="H203" s="103" t="s">
        <v>17</v>
      </c>
      <c r="I203" s="103">
        <f>IFERROR(VLOOKUP(A203,#REF!,15,0),0)+IFERROR(VLOOKUP(A203,#REF!,25,0),0)+IFERROR(VLOOKUP(A203,#REF!,10,0),0)+IFERROR(VLOOKUP(A203,#REF!,14,0),0)+IFERROR(VLOOKUP(A203,#REF!,10,0),0)+IFERROR(VLOOKUP(A203,#REF!,10,0),0)+IFERROR(VLOOKUP(A203,#REF!,10,0),0)+IFERROR(VLOOKUP(A203,#REF!,9,0),0)+IFERROR(VLOOKUP(A203,#REF!,9,0),0)+IFERROR(VLOOKUP(A203,#REF!,9,0),0)+IFERROR(VLOOKUP(A203,#REF!,9,0),0)</f>
        <v>0</v>
      </c>
      <c r="J203" s="104">
        <f>IFERROR(VLOOKUP(A203,#REF!,16,0),0)+IFERROR(VLOOKUP(A203,#REF!,26,0),0)+IFERROR(VLOOKUP(A203,#REF!,11,0),0)+IFERROR(VLOOKUP(A203,#REF!,23,0),0)+IFERROR(VLOOKUP(A203,#REF!,11,0),0)+IFERROR(VLOOKUP(A203,#REF!,11,0),0)+IFERROR(VLOOKUP(A203,#REF!,11,0),0)</f>
        <v>0</v>
      </c>
      <c r="K203" s="96" t="str">
        <f>"07.02.24"</f>
        <v>07.02.24</v>
      </c>
    </row>
    <row r="204" spans="1:11" ht="11.25" customHeight="1" outlineLevel="1">
      <c r="A204" s="89" t="n">
        <v>7365</v>
      </c>
      <c r="B204" s="114" t="s">
        <v>211</v>
      </c>
      <c r="C204" s="89" t="s">
        <v>343</v>
      </c>
      <c r="D204" s="89" t="s">
        <v>15</v>
      </c>
      <c r="E204" s="89" t="s">
        <v>344</v>
      </c>
      <c r="F204" s="102" t="n">
        <v>11970</v>
      </c>
      <c r="G204" s="102" t="n">
        <v>14963</v>
      </c>
      <c r="H204" s="103" t="s">
        <v>48</v>
      </c>
      <c r="I204" s="103">
        <f>IFERROR(VLOOKUP(A204,#REF!,15,0),0)+IFERROR(VLOOKUP(A204,#REF!,25,0),0)+IFERROR(VLOOKUP(A204,#REF!,10,0),0)+IFERROR(VLOOKUP(A204,#REF!,14,0),0)+IFERROR(VLOOKUP(A204,#REF!,10,0),0)+IFERROR(VLOOKUP(A204,#REF!,10,0),0)+IFERROR(VLOOKUP(A204,#REF!,10,0),0)+IFERROR(VLOOKUP(A204,#REF!,9,0),0)+IFERROR(VLOOKUP(A204,#REF!,9,0),0)+IFERROR(VLOOKUP(A204,#REF!,9,0),0)+IFERROR(VLOOKUP(A204,#REF!,9,0),0)</f>
        <v>0</v>
      </c>
      <c r="J204" s="104">
        <f>IFERROR(VLOOKUP(A204,#REF!,16,0),0)+IFERROR(VLOOKUP(A204,#REF!,26,0),0)+IFERROR(VLOOKUP(A204,#REF!,11,0),0)+IFERROR(VLOOKUP(A204,#REF!,23,0),0)+IFERROR(VLOOKUP(A204,#REF!,11,0),0)+IFERROR(VLOOKUP(A204,#REF!,11,0),0)+IFERROR(VLOOKUP(A204,#REF!,11,0),0)</f>
        <v>0</v>
      </c>
      <c r="K204" s="96" t="str">
        <f>"07.02.24"</f>
        <v>07.02.24</v>
      </c>
    </row>
    <row r="205" spans="1:11" ht="11.25" customHeight="1" outlineLevel="1">
      <c r="A205" s="89" t="n">
        <v>496180</v>
      </c>
      <c r="B205" s="114" t="s">
        <v>211</v>
      </c>
      <c r="C205" s="89" t="s">
        <v>345</v>
      </c>
      <c r="D205" s="89" t="s">
        <v>15</v>
      </c>
      <c r="E205" s="89" t="s">
        <v>346</v>
      </c>
      <c r="F205" s="102" t="n">
        <v>22060</v>
      </c>
      <c r="G205" s="102" t="n">
        <v>27577</v>
      </c>
      <c r="H205" s="103" t="s">
        <v>17</v>
      </c>
      <c r="I205" s="103">
        <f>IFERROR(VLOOKUP(A205,#REF!,15,0),0)+IFERROR(VLOOKUP(A205,#REF!,25,0),0)+IFERROR(VLOOKUP(A205,#REF!,10,0),0)+IFERROR(VLOOKUP(A205,#REF!,14,0),0)+IFERROR(VLOOKUP(A205,#REF!,10,0),0)+IFERROR(VLOOKUP(A205,#REF!,10,0),0)+IFERROR(VLOOKUP(A205,#REF!,10,0),0)+IFERROR(VLOOKUP(A205,#REF!,9,0),0)+IFERROR(VLOOKUP(A205,#REF!,9,0),0)+IFERROR(VLOOKUP(A205,#REF!,9,0),0)+IFERROR(VLOOKUP(A205,#REF!,9,0),0)</f>
        <v>0</v>
      </c>
      <c r="J205" s="104">
        <f>IFERROR(VLOOKUP(A205,#REF!,16,0),0)+IFERROR(VLOOKUP(A205,#REF!,26,0),0)+IFERROR(VLOOKUP(A205,#REF!,11,0),0)+IFERROR(VLOOKUP(A205,#REF!,23,0),0)+IFERROR(VLOOKUP(A205,#REF!,11,0),0)+IFERROR(VLOOKUP(A205,#REF!,11,0),0)+IFERROR(VLOOKUP(A205,#REF!,11,0),0)</f>
        <v>0</v>
      </c>
      <c r="K205" s="96" t="str">
        <f>"07.02.24"</f>
        <v>07.02.24</v>
      </c>
    </row>
    <row r="206" spans="1:11" ht="11.25" customHeight="1" outlineLevel="1">
      <c r="A206" s="89" t="n">
        <v>27398</v>
      </c>
      <c r="B206" s="114" t="s">
        <v>211</v>
      </c>
      <c r="C206" s="89" t="s">
        <v>347</v>
      </c>
      <c r="D206" s="89" t="s">
        <v>15</v>
      </c>
      <c r="E206" s="89" t="s">
        <v>348</v>
      </c>
      <c r="F206" s="102" t="n">
        <v>40441</v>
      </c>
      <c r="G206" s="102" t="n">
        <v>50551</v>
      </c>
      <c r="H206" s="103" t="s">
        <v>17</v>
      </c>
      <c r="I206" s="103">
        <f>IFERROR(VLOOKUP(A206,#REF!,15,0),0)+IFERROR(VLOOKUP(A206,#REF!,25,0),0)+IFERROR(VLOOKUP(A206,#REF!,10,0),0)+IFERROR(VLOOKUP(A206,#REF!,14,0),0)+IFERROR(VLOOKUP(A206,#REF!,10,0),0)+IFERROR(VLOOKUP(A206,#REF!,10,0),0)+IFERROR(VLOOKUP(A206,#REF!,10,0),0)+IFERROR(VLOOKUP(A206,#REF!,9,0),0)+IFERROR(VLOOKUP(A206,#REF!,9,0),0)+IFERROR(VLOOKUP(A206,#REF!,9,0),0)+IFERROR(VLOOKUP(A206,#REF!,9,0),0)</f>
        <v>0</v>
      </c>
      <c r="J206" s="104">
        <f>IFERROR(VLOOKUP(A206,#REF!,16,0),0)+IFERROR(VLOOKUP(A206,#REF!,26,0),0)+IFERROR(VLOOKUP(A206,#REF!,11,0),0)+IFERROR(VLOOKUP(A206,#REF!,23,0),0)+IFERROR(VLOOKUP(A206,#REF!,11,0),0)+IFERROR(VLOOKUP(A206,#REF!,11,0),0)+IFERROR(VLOOKUP(A206,#REF!,11,0),0)</f>
        <v>0</v>
      </c>
      <c r="K206" s="96" t="str">
        <f>"07.02.24"</f>
        <v>07.02.24</v>
      </c>
    </row>
    <row r="207" spans="1:11" ht="11.25" customHeight="1" outlineLevel="1">
      <c r="A207" s="89" t="n">
        <v>547830</v>
      </c>
      <c r="B207" s="114" t="s">
        <v>211</v>
      </c>
      <c r="C207" s="89" t="s">
        <v>349</v>
      </c>
      <c r="D207" s="89" t="s">
        <v>15</v>
      </c>
      <c r="E207" s="89" t="s">
        <v>350</v>
      </c>
      <c r="F207" s="102" t="n">
        <v>51953</v>
      </c>
      <c r="G207" s="102" t="n">
        <v>64942</v>
      </c>
      <c r="H207" s="103" t="s">
        <v>17</v>
      </c>
      <c r="I207" s="103">
        <f>IFERROR(VLOOKUP(A207,#REF!,15,0),0)+IFERROR(VLOOKUP(A207,#REF!,25,0),0)+IFERROR(VLOOKUP(A207,#REF!,10,0),0)+IFERROR(VLOOKUP(A207,#REF!,14,0),0)+IFERROR(VLOOKUP(A207,#REF!,10,0),0)+IFERROR(VLOOKUP(A207,#REF!,10,0),0)+IFERROR(VLOOKUP(A207,#REF!,10,0),0)+IFERROR(VLOOKUP(A207,#REF!,9,0),0)+IFERROR(VLOOKUP(A207,#REF!,9,0),0)+IFERROR(VLOOKUP(A207,#REF!,9,0),0)+IFERROR(VLOOKUP(A207,#REF!,9,0),0)</f>
        <v>0</v>
      </c>
      <c r="J207" s="104">
        <f>IFERROR(VLOOKUP(A207,#REF!,16,0),0)+IFERROR(VLOOKUP(A207,#REF!,26,0),0)+IFERROR(VLOOKUP(A207,#REF!,11,0),0)+IFERROR(VLOOKUP(A207,#REF!,23,0),0)+IFERROR(VLOOKUP(A207,#REF!,11,0),0)+IFERROR(VLOOKUP(A207,#REF!,11,0),0)+IFERROR(VLOOKUP(A207,#REF!,11,0),0)</f>
        <v>0</v>
      </c>
      <c r="K207" s="96" t="str">
        <f>"07.02.24"</f>
        <v>07.02.24</v>
      </c>
    </row>
    <row r="208" spans="1:11" ht="11.25" customHeight="1" outlineLevel="1">
      <c r="A208" s="89" t="n">
        <v>27388</v>
      </c>
      <c r="B208" s="114" t="s">
        <v>211</v>
      </c>
      <c r="C208" s="89" t="s">
        <v>351</v>
      </c>
      <c r="D208" s="89" t="s">
        <v>15</v>
      </c>
      <c r="E208" s="89" t="s">
        <v>352</v>
      </c>
      <c r="F208" s="102" t="n">
        <v>11198</v>
      </c>
      <c r="G208" s="102" t="n">
        <v>13997</v>
      </c>
      <c r="H208" s="103" t="s">
        <v>17</v>
      </c>
      <c r="I208" s="103">
        <f>IFERROR(VLOOKUP(A208,#REF!,15,0),0)+IFERROR(VLOOKUP(A208,#REF!,25,0),0)+IFERROR(VLOOKUP(A208,#REF!,10,0),0)+IFERROR(VLOOKUP(A208,#REF!,14,0),0)+IFERROR(VLOOKUP(A208,#REF!,10,0),0)+IFERROR(VLOOKUP(A208,#REF!,10,0),0)+IFERROR(VLOOKUP(A208,#REF!,10,0),0)+IFERROR(VLOOKUP(A208,#REF!,9,0),0)+IFERROR(VLOOKUP(A208,#REF!,9,0),0)+IFERROR(VLOOKUP(A208,#REF!,9,0),0)+IFERROR(VLOOKUP(A208,#REF!,9,0),0)</f>
        <v>0</v>
      </c>
      <c r="J208" s="104">
        <f>IFERROR(VLOOKUP(A208,#REF!,16,0),0)+IFERROR(VLOOKUP(A208,#REF!,26,0),0)+IFERROR(VLOOKUP(A208,#REF!,11,0),0)+IFERROR(VLOOKUP(A208,#REF!,23,0),0)+IFERROR(VLOOKUP(A208,#REF!,11,0),0)+IFERROR(VLOOKUP(A208,#REF!,11,0),0)+IFERROR(VLOOKUP(A208,#REF!,11,0),0)</f>
        <v>0</v>
      </c>
      <c r="K208" s="96" t="str">
        <f>"07.02.24"</f>
        <v>07.02.24</v>
      </c>
    </row>
    <row r="209" spans="1:11" ht="11.25" customHeight="1" outlineLevel="1">
      <c r="A209" s="89" t="n">
        <v>4117980</v>
      </c>
      <c r="B209" s="114" t="s">
        <v>211</v>
      </c>
      <c r="C209" s="89" t="s">
        <v>353</v>
      </c>
      <c r="D209" s="89" t="s">
        <v>15</v>
      </c>
      <c r="E209" s="89" t="s">
        <v>354</v>
      </c>
      <c r="F209" s="102" t="n">
        <v>5583</v>
      </c>
      <c r="G209" s="102" t="n">
        <v>6980</v>
      </c>
      <c r="H209" s="103" t="s">
        <v>17</v>
      </c>
      <c r="I209" s="103">
        <f>IFERROR(VLOOKUP(A209,#REF!,15,0),0)+IFERROR(VLOOKUP(A209,#REF!,25,0),0)+IFERROR(VLOOKUP(A209,#REF!,10,0),0)+IFERROR(VLOOKUP(A209,#REF!,14,0),0)+IFERROR(VLOOKUP(A209,#REF!,10,0),0)+IFERROR(VLOOKUP(A209,#REF!,10,0),0)+IFERROR(VLOOKUP(A209,#REF!,10,0),0)+IFERROR(VLOOKUP(A209,#REF!,9,0),0)+IFERROR(VLOOKUP(A209,#REF!,9,0),0)+IFERROR(VLOOKUP(A209,#REF!,9,0),0)+IFERROR(VLOOKUP(A209,#REF!,9,0),0)</f>
        <v>0</v>
      </c>
      <c r="J209" s="104">
        <f>IFERROR(VLOOKUP(A209,#REF!,16,0),0)+IFERROR(VLOOKUP(A209,#REF!,26,0),0)+IFERROR(VLOOKUP(A209,#REF!,11,0),0)+IFERROR(VLOOKUP(A209,#REF!,23,0),0)+IFERROR(VLOOKUP(A209,#REF!,11,0),0)+IFERROR(VLOOKUP(A209,#REF!,11,0),0)+IFERROR(VLOOKUP(A209,#REF!,11,0),0)</f>
        <v>0</v>
      </c>
      <c r="K209" s="96" t="str">
        <f>"07.02.24"</f>
        <v>07.02.24</v>
      </c>
    </row>
    <row r="210" spans="1:11" ht="11.25" customHeight="1" outlineLevel="1">
      <c r="A210" s="89" t="n">
        <v>35086</v>
      </c>
      <c r="B210" s="114" t="s">
        <v>211</v>
      </c>
      <c r="C210" s="89" t="s">
        <v>355</v>
      </c>
      <c r="D210" s="89" t="s">
        <v>15</v>
      </c>
      <c r="E210" s="89" t="s">
        <v>356</v>
      </c>
      <c r="F210" s="102" t="n">
        <v>23129</v>
      </c>
      <c r="G210" s="102" t="n">
        <v>28910</v>
      </c>
      <c r="H210" s="103" t="s">
        <v>17</v>
      </c>
      <c r="I210" s="103">
        <f>IFERROR(VLOOKUP(A210,#REF!,15,0),0)+IFERROR(VLOOKUP(A210,#REF!,25,0),0)+IFERROR(VLOOKUP(A210,#REF!,10,0),0)+IFERROR(VLOOKUP(A210,#REF!,14,0),0)+IFERROR(VLOOKUP(A210,#REF!,10,0),0)+IFERROR(VLOOKUP(A210,#REF!,10,0),0)+IFERROR(VLOOKUP(A210,#REF!,10,0),0)+IFERROR(VLOOKUP(A210,#REF!,9,0),0)+IFERROR(VLOOKUP(A210,#REF!,9,0),0)+IFERROR(VLOOKUP(A210,#REF!,9,0),0)+IFERROR(VLOOKUP(A210,#REF!,9,0),0)</f>
        <v>0</v>
      </c>
      <c r="J210" s="104">
        <f>IFERROR(VLOOKUP(A210,#REF!,16,0),0)+IFERROR(VLOOKUP(A210,#REF!,26,0),0)+IFERROR(VLOOKUP(A210,#REF!,11,0),0)+IFERROR(VLOOKUP(A210,#REF!,23,0),0)+IFERROR(VLOOKUP(A210,#REF!,11,0),0)+IFERROR(VLOOKUP(A210,#REF!,11,0),0)+IFERROR(VLOOKUP(A210,#REF!,11,0),0)</f>
        <v>0</v>
      </c>
      <c r="K210" s="96" t="str">
        <f>"07.02.24"</f>
        <v>07.02.24</v>
      </c>
    </row>
    <row r="211" spans="1:11" ht="11.25" customHeight="1" outlineLevel="1">
      <c r="A211" s="89" t="n">
        <v>38696</v>
      </c>
      <c r="B211" s="114" t="s">
        <v>211</v>
      </c>
      <c r="C211" s="89" t="s">
        <v>357</v>
      </c>
      <c r="D211" s="89" t="s">
        <v>15</v>
      </c>
      <c r="E211" s="89" t="s">
        <v>358</v>
      </c>
      <c r="F211" s="102" t="n">
        <v>9755</v>
      </c>
      <c r="G211" s="102" t="n">
        <v>12192</v>
      </c>
      <c r="H211" s="103" t="s">
        <v>17</v>
      </c>
      <c r="I211" s="103">
        <f>IFERROR(VLOOKUP(A211,#REF!,15,0),0)+IFERROR(VLOOKUP(A211,#REF!,25,0),0)+IFERROR(VLOOKUP(A211,#REF!,10,0),0)+IFERROR(VLOOKUP(A211,#REF!,14,0),0)+IFERROR(VLOOKUP(A211,#REF!,10,0),0)+IFERROR(VLOOKUP(A211,#REF!,10,0),0)+IFERROR(VLOOKUP(A211,#REF!,10,0),0)+IFERROR(VLOOKUP(A211,#REF!,9,0),0)+IFERROR(VLOOKUP(A211,#REF!,9,0),0)+IFERROR(VLOOKUP(A211,#REF!,9,0),0)+IFERROR(VLOOKUP(A211,#REF!,9,0),0)</f>
        <v>0</v>
      </c>
      <c r="J211" s="104">
        <f>IFERROR(VLOOKUP(A211,#REF!,16,0),0)+IFERROR(VLOOKUP(A211,#REF!,26,0),0)+IFERROR(VLOOKUP(A211,#REF!,11,0),0)+IFERROR(VLOOKUP(A211,#REF!,23,0),0)+IFERROR(VLOOKUP(A211,#REF!,11,0),0)+IFERROR(VLOOKUP(A211,#REF!,11,0),0)+IFERROR(VLOOKUP(A211,#REF!,11,0),0)</f>
        <v>0</v>
      </c>
      <c r="K211" s="96" t="str">
        <f>"07.02.24"</f>
        <v>07.02.24</v>
      </c>
    </row>
    <row r="212" spans="1:11" ht="11.25" customHeight="1" outlineLevel="1">
      <c r="A212" s="89" t="n">
        <v>7364</v>
      </c>
      <c r="B212" s="114" t="s">
        <v>211</v>
      </c>
      <c r="C212" s="89" t="s">
        <v>359</v>
      </c>
      <c r="D212" s="89" t="s">
        <v>15</v>
      </c>
      <c r="E212" s="89" t="s">
        <v>360</v>
      </c>
      <c r="F212" s="102" t="n">
        <v>12963</v>
      </c>
      <c r="G212" s="102" t="n">
        <v>16203</v>
      </c>
      <c r="H212" s="103" t="s">
        <v>17</v>
      </c>
      <c r="I212" s="103">
        <f>IFERROR(VLOOKUP(A212,#REF!,15,0),0)+IFERROR(VLOOKUP(A212,#REF!,25,0),0)+IFERROR(VLOOKUP(A212,#REF!,10,0),0)+IFERROR(VLOOKUP(A212,#REF!,14,0),0)+IFERROR(VLOOKUP(A212,#REF!,10,0),0)+IFERROR(VLOOKUP(A212,#REF!,10,0),0)+IFERROR(VLOOKUP(A212,#REF!,10,0),0)+IFERROR(VLOOKUP(A212,#REF!,9,0),0)+IFERROR(VLOOKUP(A212,#REF!,9,0),0)+IFERROR(VLOOKUP(A212,#REF!,9,0),0)+IFERROR(VLOOKUP(A212,#REF!,9,0),0)</f>
        <v>0</v>
      </c>
      <c r="J212" s="104">
        <f>IFERROR(VLOOKUP(A212,#REF!,16,0),0)+IFERROR(VLOOKUP(A212,#REF!,26,0),0)+IFERROR(VLOOKUP(A212,#REF!,11,0),0)+IFERROR(VLOOKUP(A212,#REF!,23,0),0)+IFERROR(VLOOKUP(A212,#REF!,11,0),0)+IFERROR(VLOOKUP(A212,#REF!,11,0),0)+IFERROR(VLOOKUP(A212,#REF!,11,0),0)</f>
        <v>0</v>
      </c>
      <c r="K212" s="96" t="str">
        <f>"07.02.24"</f>
        <v>07.02.24</v>
      </c>
    </row>
    <row r="213" spans="1:11" ht="11.25" customHeight="1" outlineLevel="1">
      <c r="A213" s="89" t="n">
        <v>11226</v>
      </c>
      <c r="B213" s="114" t="s">
        <v>211</v>
      </c>
      <c r="C213" s="89" t="s">
        <v>361</v>
      </c>
      <c r="D213" s="89" t="s">
        <v>15</v>
      </c>
      <c r="E213" s="89" t="s">
        <v>362</v>
      </c>
      <c r="F213" s="102" t="n">
        <v>26835</v>
      </c>
      <c r="G213" s="102" t="n">
        <v>33543</v>
      </c>
      <c r="H213" s="103" t="s">
        <v>17</v>
      </c>
      <c r="I213" s="103">
        <f>IFERROR(VLOOKUP(A213,#REF!,15,0),0)+IFERROR(VLOOKUP(A213,#REF!,25,0),0)+IFERROR(VLOOKUP(A213,#REF!,10,0),0)+IFERROR(VLOOKUP(A213,#REF!,14,0),0)+IFERROR(VLOOKUP(A213,#REF!,10,0),0)+IFERROR(VLOOKUP(A213,#REF!,10,0),0)+IFERROR(VLOOKUP(A213,#REF!,10,0),0)+IFERROR(VLOOKUP(A213,#REF!,9,0),0)+IFERROR(VLOOKUP(A213,#REF!,9,0),0)+IFERROR(VLOOKUP(A213,#REF!,9,0),0)+IFERROR(VLOOKUP(A213,#REF!,9,0),0)</f>
        <v>0</v>
      </c>
      <c r="J213" s="104">
        <f>IFERROR(VLOOKUP(A213,#REF!,16,0),0)+IFERROR(VLOOKUP(A213,#REF!,26,0),0)+IFERROR(VLOOKUP(A213,#REF!,11,0),0)+IFERROR(VLOOKUP(A213,#REF!,23,0),0)+IFERROR(VLOOKUP(A213,#REF!,11,0),0)+IFERROR(VLOOKUP(A213,#REF!,11,0),0)+IFERROR(VLOOKUP(A213,#REF!,11,0),0)</f>
        <v>0</v>
      </c>
      <c r="K213" s="96" t="str">
        <f>"07.02.24"</f>
        <v>07.02.24</v>
      </c>
    </row>
    <row r="214" spans="1:11" ht="11.25" customHeight="1" outlineLevel="1">
      <c r="A214" s="89" t="n">
        <v>7366</v>
      </c>
      <c r="B214" s="114" t="s">
        <v>211</v>
      </c>
      <c r="C214" s="89" t="s">
        <v>363</v>
      </c>
      <c r="D214" s="89" t="s">
        <v>15</v>
      </c>
      <c r="E214" s="89" t="s">
        <v>364</v>
      </c>
      <c r="F214" s="102" t="n">
        <v>16371</v>
      </c>
      <c r="G214" s="102" t="n">
        <v>22101</v>
      </c>
      <c r="H214" s="103" t="s">
        <v>17</v>
      </c>
      <c r="I214" s="103">
        <f>IFERROR(VLOOKUP(A214,#REF!,15,0),0)+IFERROR(VLOOKUP(A214,#REF!,25,0),0)+IFERROR(VLOOKUP(A214,#REF!,10,0),0)+IFERROR(VLOOKUP(A214,#REF!,14,0),0)+IFERROR(VLOOKUP(A214,#REF!,10,0),0)+IFERROR(VLOOKUP(A214,#REF!,10,0),0)+IFERROR(VLOOKUP(A214,#REF!,10,0),0)+IFERROR(VLOOKUP(A214,#REF!,9,0),0)+IFERROR(VLOOKUP(A214,#REF!,9,0),0)+IFERROR(VLOOKUP(A214,#REF!,9,0),0)+IFERROR(VLOOKUP(A214,#REF!,9,0),0)</f>
        <v>0</v>
      </c>
      <c r="J214" s="104">
        <f>IFERROR(VLOOKUP(A214,#REF!,16,0),0)+IFERROR(VLOOKUP(A214,#REF!,26,0),0)+IFERROR(VLOOKUP(A214,#REF!,11,0),0)+IFERROR(VLOOKUP(A214,#REF!,23,0),0)+IFERROR(VLOOKUP(A214,#REF!,11,0),0)+IFERROR(VLOOKUP(A214,#REF!,11,0),0)+IFERROR(VLOOKUP(A214,#REF!,11,0),0)</f>
        <v>0</v>
      </c>
      <c r="K214" s="96" t="str">
        <f>"07.02.24"</f>
        <v>07.02.24</v>
      </c>
    </row>
    <row r="215" spans="1:11" ht="11.25" customHeight="1" outlineLevel="1">
      <c r="A215" s="89" t="n">
        <v>4119130</v>
      </c>
      <c r="B215" s="114" t="s">
        <v>211</v>
      </c>
      <c r="C215" s="89" t="s">
        <v>365</v>
      </c>
      <c r="D215" s="89" t="s">
        <v>15</v>
      </c>
      <c r="E215" s="89" t="s">
        <v>366</v>
      </c>
      <c r="F215" s="102" t="n">
        <v>12082</v>
      </c>
      <c r="G215" s="102" t="n">
        <v>15103</v>
      </c>
      <c r="H215" s="103" t="s">
        <v>17</v>
      </c>
      <c r="I215" s="103">
        <f>IFERROR(VLOOKUP(A215,#REF!,15,0),0)+IFERROR(VLOOKUP(A215,#REF!,25,0),0)+IFERROR(VLOOKUP(A215,#REF!,10,0),0)+IFERROR(VLOOKUP(A215,#REF!,14,0),0)+IFERROR(VLOOKUP(A215,#REF!,10,0),0)+IFERROR(VLOOKUP(A215,#REF!,10,0),0)+IFERROR(VLOOKUP(A215,#REF!,10,0),0)+IFERROR(VLOOKUP(A215,#REF!,9,0),0)+IFERROR(VLOOKUP(A215,#REF!,9,0),0)+IFERROR(VLOOKUP(A215,#REF!,9,0),0)+IFERROR(VLOOKUP(A215,#REF!,9,0),0)</f>
        <v>0</v>
      </c>
      <c r="J215" s="104">
        <f>IFERROR(VLOOKUP(A215,#REF!,16,0),0)+IFERROR(VLOOKUP(A215,#REF!,26,0),0)+IFERROR(VLOOKUP(A215,#REF!,11,0),0)+IFERROR(VLOOKUP(A215,#REF!,23,0),0)+IFERROR(VLOOKUP(A215,#REF!,11,0),0)+IFERROR(VLOOKUP(A215,#REF!,11,0),0)+IFERROR(VLOOKUP(A215,#REF!,11,0),0)</f>
        <v>0</v>
      </c>
      <c r="K215" s="96" t="str">
        <f>"07.02.24"</f>
        <v>07.02.24</v>
      </c>
    </row>
    <row r="216" spans="1:11" ht="11.25" customHeight="1" outlineLevel="1">
      <c r="A216" s="89" t="n">
        <v>35084</v>
      </c>
      <c r="B216" s="114" t="s">
        <v>211</v>
      </c>
      <c r="C216" s="89" t="s">
        <v>367</v>
      </c>
      <c r="D216" s="89" t="s">
        <v>15</v>
      </c>
      <c r="E216" s="89" t="s">
        <v>368</v>
      </c>
      <c r="F216" s="102" t="n">
        <v>12075</v>
      </c>
      <c r="G216" s="102" t="n">
        <v>15092</v>
      </c>
      <c r="H216" s="103" t="s">
        <v>17</v>
      </c>
      <c r="I216" s="103">
        <f>IFERROR(VLOOKUP(A216,#REF!,15,0),0)+IFERROR(VLOOKUP(A216,#REF!,25,0),0)+IFERROR(VLOOKUP(A216,#REF!,10,0),0)+IFERROR(VLOOKUP(A216,#REF!,14,0),0)+IFERROR(VLOOKUP(A216,#REF!,10,0),0)+IFERROR(VLOOKUP(A216,#REF!,10,0),0)+IFERROR(VLOOKUP(A216,#REF!,10,0),0)+IFERROR(VLOOKUP(A216,#REF!,9,0),0)+IFERROR(VLOOKUP(A216,#REF!,9,0),0)+IFERROR(VLOOKUP(A216,#REF!,9,0),0)+IFERROR(VLOOKUP(A216,#REF!,9,0),0)</f>
        <v>0</v>
      </c>
      <c r="J216" s="104">
        <f>IFERROR(VLOOKUP(A216,#REF!,16,0),0)+IFERROR(VLOOKUP(A216,#REF!,26,0),0)+IFERROR(VLOOKUP(A216,#REF!,11,0),0)+IFERROR(VLOOKUP(A216,#REF!,23,0),0)+IFERROR(VLOOKUP(A216,#REF!,11,0),0)+IFERROR(VLOOKUP(A216,#REF!,11,0),0)+IFERROR(VLOOKUP(A216,#REF!,11,0),0)</f>
        <v>0</v>
      </c>
      <c r="K216" s="96" t="str">
        <f>"07.02.24"</f>
        <v>07.02.24</v>
      </c>
    </row>
    <row r="217" spans="1:11" ht="11.25" customHeight="1" outlineLevel="1">
      <c r="A217" s="89" t="n">
        <v>31884</v>
      </c>
      <c r="B217" s="114" t="s">
        <v>211</v>
      </c>
      <c r="C217" s="89" t="s">
        <v>369</v>
      </c>
      <c r="D217" s="89" t="s">
        <v>15</v>
      </c>
      <c r="E217" s="89" t="s">
        <v>370</v>
      </c>
      <c r="F217" s="102" t="n">
        <v>9179</v>
      </c>
      <c r="G217" s="102" t="n">
        <v>11475</v>
      </c>
      <c r="H217" s="103" t="s">
        <v>17</v>
      </c>
      <c r="I217" s="103">
        <f>IFERROR(VLOOKUP(A217,#REF!,15,0),0)+IFERROR(VLOOKUP(A217,#REF!,25,0),0)+IFERROR(VLOOKUP(A217,#REF!,10,0),0)+IFERROR(VLOOKUP(A217,#REF!,14,0),0)+IFERROR(VLOOKUP(A217,#REF!,10,0),0)+IFERROR(VLOOKUP(A217,#REF!,10,0),0)+IFERROR(VLOOKUP(A217,#REF!,10,0),0)+IFERROR(VLOOKUP(A217,#REF!,9,0),0)+IFERROR(VLOOKUP(A217,#REF!,9,0),0)+IFERROR(VLOOKUP(A217,#REF!,9,0),0)+IFERROR(VLOOKUP(A217,#REF!,9,0),0)</f>
        <v>0</v>
      </c>
      <c r="J217" s="104">
        <f>IFERROR(VLOOKUP(A217,#REF!,16,0),0)+IFERROR(VLOOKUP(A217,#REF!,26,0),0)+IFERROR(VLOOKUP(A217,#REF!,11,0),0)+IFERROR(VLOOKUP(A217,#REF!,23,0),0)+IFERROR(VLOOKUP(A217,#REF!,11,0),0)+IFERROR(VLOOKUP(A217,#REF!,11,0),0)+IFERROR(VLOOKUP(A217,#REF!,11,0),0)</f>
        <v>0</v>
      </c>
      <c r="K217" s="96" t="str">
        <f>"07.02.24"</f>
        <v>07.02.24</v>
      </c>
    </row>
    <row r="218" spans="1:11" ht="11.25" customHeight="1" outlineLevel="1">
      <c r="A218" s="89" t="n">
        <v>11229</v>
      </c>
      <c r="B218" s="114" t="s">
        <v>211</v>
      </c>
      <c r="C218" s="89" t="s">
        <v>371</v>
      </c>
      <c r="D218" s="89" t="s">
        <v>15</v>
      </c>
      <c r="E218" s="89" t="s">
        <v>372</v>
      </c>
      <c r="F218" s="102" t="n">
        <v>50484</v>
      </c>
      <c r="G218" s="102" t="n">
        <v>63105</v>
      </c>
      <c r="H218" s="103" t="s">
        <v>17</v>
      </c>
      <c r="I218" s="103">
        <f>IFERROR(VLOOKUP(A218,#REF!,15,0),0)+IFERROR(VLOOKUP(A218,#REF!,25,0),0)+IFERROR(VLOOKUP(A218,#REF!,10,0),0)+IFERROR(VLOOKUP(A218,#REF!,14,0),0)+IFERROR(VLOOKUP(A218,#REF!,10,0),0)+IFERROR(VLOOKUP(A218,#REF!,10,0),0)+IFERROR(VLOOKUP(A218,#REF!,10,0),0)+IFERROR(VLOOKUP(A218,#REF!,9,0),0)+IFERROR(VLOOKUP(A218,#REF!,9,0),0)+IFERROR(VLOOKUP(A218,#REF!,9,0),0)+IFERROR(VLOOKUP(A218,#REF!,9,0),0)</f>
        <v>0</v>
      </c>
      <c r="J218" s="104">
        <f>IFERROR(VLOOKUP(A218,#REF!,16,0),0)+IFERROR(VLOOKUP(A218,#REF!,26,0),0)+IFERROR(VLOOKUP(A218,#REF!,11,0),0)+IFERROR(VLOOKUP(A218,#REF!,23,0),0)+IFERROR(VLOOKUP(A218,#REF!,11,0),0)+IFERROR(VLOOKUP(A218,#REF!,11,0),0)+IFERROR(VLOOKUP(A218,#REF!,11,0),0)</f>
        <v>0</v>
      </c>
      <c r="K218" s="96" t="str">
        <f>"07.02.24"</f>
        <v>07.02.24</v>
      </c>
    </row>
    <row r="219" spans="1:11" ht="11.25" customHeight="1" outlineLevel="1">
      <c r="A219" s="89" t="n">
        <v>39980</v>
      </c>
      <c r="B219" s="114" t="s">
        <v>211</v>
      </c>
      <c r="C219" s="89" t="s">
        <v>373</v>
      </c>
      <c r="D219" s="89" t="s">
        <v>15</v>
      </c>
      <c r="E219" s="89" t="s">
        <v>374</v>
      </c>
      <c r="F219" s="102" t="n">
        <v>21762</v>
      </c>
      <c r="G219" s="102" t="n">
        <v>27202</v>
      </c>
      <c r="H219" s="103" t="s">
        <v>17</v>
      </c>
      <c r="I219" s="103">
        <f>IFERROR(VLOOKUP(A219,#REF!,15,0),0)+IFERROR(VLOOKUP(A219,#REF!,25,0),0)+IFERROR(VLOOKUP(A219,#REF!,10,0),0)+IFERROR(VLOOKUP(A219,#REF!,14,0),0)+IFERROR(VLOOKUP(A219,#REF!,10,0),0)+IFERROR(VLOOKUP(A219,#REF!,10,0),0)+IFERROR(VLOOKUP(A219,#REF!,10,0),0)+IFERROR(VLOOKUP(A219,#REF!,9,0),0)+IFERROR(VLOOKUP(A219,#REF!,9,0),0)+IFERROR(VLOOKUP(A219,#REF!,9,0),0)+IFERROR(VLOOKUP(A219,#REF!,9,0),0)</f>
        <v>0</v>
      </c>
      <c r="J219" s="104">
        <f>IFERROR(VLOOKUP(A219,#REF!,16,0),0)+IFERROR(VLOOKUP(A219,#REF!,26,0),0)+IFERROR(VLOOKUP(A219,#REF!,11,0),0)+IFERROR(VLOOKUP(A219,#REF!,23,0),0)+IFERROR(VLOOKUP(A219,#REF!,11,0),0)+IFERROR(VLOOKUP(A219,#REF!,11,0),0)+IFERROR(VLOOKUP(A219,#REF!,11,0),0)</f>
        <v>0</v>
      </c>
      <c r="K219" s="96" t="str">
        <f>"07.02.24"</f>
        <v>07.02.24</v>
      </c>
    </row>
    <row r="220" spans="1:11" ht="11.25" customHeight="1" outlineLevel="1">
      <c r="A220" s="89" t="n">
        <v>4117820</v>
      </c>
      <c r="B220" s="114" t="s">
        <v>211</v>
      </c>
      <c r="C220" s="89" t="s">
        <v>375</v>
      </c>
      <c r="D220" s="89" t="s">
        <v>15</v>
      </c>
      <c r="E220" s="89" t="s">
        <v>376</v>
      </c>
      <c r="F220" s="102" t="n">
        <v>39333</v>
      </c>
      <c r="G220" s="102" t="n">
        <v>49166</v>
      </c>
      <c r="H220" s="103" t="s">
        <v>17</v>
      </c>
      <c r="I220" s="103">
        <f>IFERROR(VLOOKUP(A220,#REF!,15,0),0)+IFERROR(VLOOKUP(A220,#REF!,25,0),0)+IFERROR(VLOOKUP(A220,#REF!,10,0),0)+IFERROR(VLOOKUP(A220,#REF!,14,0),0)+IFERROR(VLOOKUP(A220,#REF!,10,0),0)+IFERROR(VLOOKUP(A220,#REF!,10,0),0)+IFERROR(VLOOKUP(A220,#REF!,10,0),0)+IFERROR(VLOOKUP(A220,#REF!,9,0),0)+IFERROR(VLOOKUP(A220,#REF!,9,0),0)+IFERROR(VLOOKUP(A220,#REF!,9,0),0)+IFERROR(VLOOKUP(A220,#REF!,9,0),0)</f>
        <v>0</v>
      </c>
      <c r="J220" s="104">
        <f>IFERROR(VLOOKUP(A220,#REF!,16,0),0)+IFERROR(VLOOKUP(A220,#REF!,26,0),0)+IFERROR(VLOOKUP(A220,#REF!,11,0),0)+IFERROR(VLOOKUP(A220,#REF!,23,0),0)+IFERROR(VLOOKUP(A220,#REF!,11,0),0)+IFERROR(VLOOKUP(A220,#REF!,11,0),0)+IFERROR(VLOOKUP(A220,#REF!,11,0),0)</f>
        <v>0</v>
      </c>
      <c r="K220" s="96" t="str">
        <f>"07.02.24"</f>
        <v>07.02.24</v>
      </c>
    </row>
    <row r="221" spans="1:11" ht="11.25" customHeight="1" outlineLevel="1">
      <c r="A221" s="89" t="n">
        <v>4119160</v>
      </c>
      <c r="B221" s="114" t="s">
        <v>211</v>
      </c>
      <c r="C221" s="89" t="s">
        <v>377</v>
      </c>
      <c r="D221" s="89" t="s">
        <v>15</v>
      </c>
      <c r="E221" s="89" t="s">
        <v>378</v>
      </c>
      <c r="F221" s="102" t="n">
        <v>5826</v>
      </c>
      <c r="G221" s="102" t="n">
        <v>7282</v>
      </c>
      <c r="H221" s="103" t="s">
        <v>17</v>
      </c>
      <c r="I221" s="103">
        <f>IFERROR(VLOOKUP(A221,#REF!,15,0),0)+IFERROR(VLOOKUP(A221,#REF!,25,0),0)+IFERROR(VLOOKUP(A221,#REF!,10,0),0)+IFERROR(VLOOKUP(A221,#REF!,14,0),0)+IFERROR(VLOOKUP(A221,#REF!,10,0),0)+IFERROR(VLOOKUP(A221,#REF!,10,0),0)+IFERROR(VLOOKUP(A221,#REF!,10,0),0)+IFERROR(VLOOKUP(A221,#REF!,9,0),0)+IFERROR(VLOOKUP(A221,#REF!,9,0),0)+IFERROR(VLOOKUP(A221,#REF!,9,0),0)+IFERROR(VLOOKUP(A221,#REF!,9,0),0)</f>
        <v>0</v>
      </c>
      <c r="J221" s="104">
        <f>IFERROR(VLOOKUP(A221,#REF!,16,0),0)+IFERROR(VLOOKUP(A221,#REF!,26,0),0)+IFERROR(VLOOKUP(A221,#REF!,11,0),0)+IFERROR(VLOOKUP(A221,#REF!,23,0),0)+IFERROR(VLOOKUP(A221,#REF!,11,0),0)+IFERROR(VLOOKUP(A221,#REF!,11,0),0)+IFERROR(VLOOKUP(A221,#REF!,11,0),0)</f>
        <v>0</v>
      </c>
      <c r="K221" s="96" t="str">
        <f>"07.02.24"</f>
        <v>07.02.24</v>
      </c>
    </row>
    <row r="222" spans="1:11" ht="11.25" customHeight="1" outlineLevel="1">
      <c r="A222" s="89" t="n">
        <v>4119090</v>
      </c>
      <c r="B222" s="114" t="s">
        <v>211</v>
      </c>
      <c r="C222" s="89" t="s">
        <v>379</v>
      </c>
      <c r="D222" s="89" t="s">
        <v>15</v>
      </c>
      <c r="E222" s="89" t="s">
        <v>380</v>
      </c>
      <c r="F222" s="102" t="n">
        <v>16676</v>
      </c>
      <c r="G222" s="102" t="n">
        <v>20844</v>
      </c>
      <c r="H222" s="103" t="s">
        <v>17</v>
      </c>
      <c r="I222" s="103">
        <f>IFERROR(VLOOKUP(A222,#REF!,15,0),0)+IFERROR(VLOOKUP(A222,#REF!,25,0),0)+IFERROR(VLOOKUP(A222,#REF!,10,0),0)+IFERROR(VLOOKUP(A222,#REF!,14,0),0)+IFERROR(VLOOKUP(A222,#REF!,10,0),0)+IFERROR(VLOOKUP(A222,#REF!,10,0),0)+IFERROR(VLOOKUP(A222,#REF!,10,0),0)+IFERROR(VLOOKUP(A222,#REF!,9,0),0)+IFERROR(VLOOKUP(A222,#REF!,9,0),0)+IFERROR(VLOOKUP(A222,#REF!,9,0),0)+IFERROR(VLOOKUP(A222,#REF!,9,0),0)</f>
        <v>0</v>
      </c>
      <c r="J222" s="104">
        <f>IFERROR(VLOOKUP(A222,#REF!,16,0),0)+IFERROR(VLOOKUP(A222,#REF!,26,0),0)+IFERROR(VLOOKUP(A222,#REF!,11,0),0)+IFERROR(VLOOKUP(A222,#REF!,23,0),0)+IFERROR(VLOOKUP(A222,#REF!,11,0),0)+IFERROR(VLOOKUP(A222,#REF!,11,0),0)+IFERROR(VLOOKUP(A222,#REF!,11,0),0)</f>
        <v>0</v>
      </c>
      <c r="K222" s="96" t="str">
        <f>"07.02.24"</f>
        <v>07.02.24</v>
      </c>
    </row>
    <row r="223" spans="1:11" ht="11.25" customHeight="1" outlineLevel="1">
      <c r="A223" s="89" t="n">
        <v>4118960</v>
      </c>
      <c r="B223" s="114" t="s">
        <v>211</v>
      </c>
      <c r="C223" s="89" t="s">
        <v>381</v>
      </c>
      <c r="D223" s="89" t="s">
        <v>15</v>
      </c>
      <c r="E223" s="89" t="s">
        <v>382</v>
      </c>
      <c r="F223" s="102" t="n">
        <v>12738</v>
      </c>
      <c r="G223" s="102" t="n">
        <v>15923</v>
      </c>
      <c r="H223" s="103" t="s">
        <v>17</v>
      </c>
      <c r="I223" s="103">
        <f>IFERROR(VLOOKUP(A223,#REF!,15,0),0)+IFERROR(VLOOKUP(A223,#REF!,25,0),0)+IFERROR(VLOOKUP(A223,#REF!,10,0),0)+IFERROR(VLOOKUP(A223,#REF!,14,0),0)+IFERROR(VLOOKUP(A223,#REF!,10,0),0)+IFERROR(VLOOKUP(A223,#REF!,10,0),0)+IFERROR(VLOOKUP(A223,#REF!,10,0),0)+IFERROR(VLOOKUP(A223,#REF!,9,0),0)+IFERROR(VLOOKUP(A223,#REF!,9,0),0)+IFERROR(VLOOKUP(A223,#REF!,9,0),0)+IFERROR(VLOOKUP(A223,#REF!,9,0),0)</f>
        <v>0</v>
      </c>
      <c r="J223" s="104">
        <f>IFERROR(VLOOKUP(A223,#REF!,16,0),0)+IFERROR(VLOOKUP(A223,#REF!,26,0),0)+IFERROR(VLOOKUP(A223,#REF!,11,0),0)+IFERROR(VLOOKUP(A223,#REF!,23,0),0)+IFERROR(VLOOKUP(A223,#REF!,11,0),0)+IFERROR(VLOOKUP(A223,#REF!,11,0),0)+IFERROR(VLOOKUP(A223,#REF!,11,0),0)</f>
        <v>0</v>
      </c>
      <c r="K223" s="96" t="str">
        <f>"07.02.24"</f>
        <v>07.02.24</v>
      </c>
    </row>
    <row r="224" spans="1:11" ht="11.25" customHeight="1" outlineLevel="1">
      <c r="A224" s="89" t="n">
        <v>8094630</v>
      </c>
      <c r="B224" s="114" t="s">
        <v>211</v>
      </c>
      <c r="C224" s="89" t="s">
        <v>383</v>
      </c>
      <c r="D224" s="89" t="s">
        <v>15</v>
      </c>
      <c r="E224" s="89"/>
      <c r="F224" s="102" t="n">
        <v>58676</v>
      </c>
      <c r="G224" s="102" t="n">
        <v>73344</v>
      </c>
      <c r="H224" s="103" t="s">
        <v>17</v>
      </c>
      <c r="I224" s="103">
        <f>IFERROR(VLOOKUP(A224,#REF!,15,0),0)+IFERROR(VLOOKUP(A224,#REF!,25,0),0)+IFERROR(VLOOKUP(A224,#REF!,10,0),0)+IFERROR(VLOOKUP(A224,#REF!,14,0),0)+IFERROR(VLOOKUP(A224,#REF!,10,0),0)+IFERROR(VLOOKUP(A224,#REF!,10,0),0)+IFERROR(VLOOKUP(A224,#REF!,10,0),0)+IFERROR(VLOOKUP(A224,#REF!,9,0),0)+IFERROR(VLOOKUP(A224,#REF!,9,0),0)+IFERROR(VLOOKUP(A224,#REF!,9,0),0)+IFERROR(VLOOKUP(A224,#REF!,9,0),0)</f>
        <v>0</v>
      </c>
      <c r="J224" s="104">
        <f>IFERROR(VLOOKUP(A224,#REF!,16,0),0)+IFERROR(VLOOKUP(A224,#REF!,26,0),0)+IFERROR(VLOOKUP(A224,#REF!,11,0),0)+IFERROR(VLOOKUP(A224,#REF!,23,0),0)+IFERROR(VLOOKUP(A224,#REF!,11,0),0)+IFERROR(VLOOKUP(A224,#REF!,11,0),0)+IFERROR(VLOOKUP(A224,#REF!,11,0),0)</f>
        <v>0</v>
      </c>
      <c r="K224" s="96" t="str">
        <f>"07.02.24"</f>
        <v>07.02.24</v>
      </c>
    </row>
    <row r="225" spans="1:11" ht="11.25" customHeight="1" outlineLevel="1">
      <c r="A225" s="89" t="n">
        <v>8094640</v>
      </c>
      <c r="B225" s="114" t="s">
        <v>211</v>
      </c>
      <c r="C225" s="89" t="s">
        <v>384</v>
      </c>
      <c r="D225" s="89" t="s">
        <v>15</v>
      </c>
      <c r="E225" s="89"/>
      <c r="F225" s="102" t="n">
        <v>31111</v>
      </c>
      <c r="G225" s="102" t="n">
        <v>38889</v>
      </c>
      <c r="H225" s="103" t="s">
        <v>17</v>
      </c>
      <c r="I225" s="103">
        <f>IFERROR(VLOOKUP(A225,#REF!,15,0),0)+IFERROR(VLOOKUP(A225,#REF!,25,0),0)+IFERROR(VLOOKUP(A225,#REF!,10,0),0)+IFERROR(VLOOKUP(A225,#REF!,14,0),0)+IFERROR(VLOOKUP(A225,#REF!,10,0),0)+IFERROR(VLOOKUP(A225,#REF!,10,0),0)+IFERROR(VLOOKUP(A225,#REF!,10,0),0)+IFERROR(VLOOKUP(A225,#REF!,9,0),0)+IFERROR(VLOOKUP(A225,#REF!,9,0),0)+IFERROR(VLOOKUP(A225,#REF!,9,0),0)+IFERROR(VLOOKUP(A225,#REF!,9,0),0)</f>
        <v>0</v>
      </c>
      <c r="J225" s="104">
        <f>IFERROR(VLOOKUP(A225,#REF!,16,0),0)+IFERROR(VLOOKUP(A225,#REF!,26,0),0)+IFERROR(VLOOKUP(A225,#REF!,11,0),0)+IFERROR(VLOOKUP(A225,#REF!,23,0),0)+IFERROR(VLOOKUP(A225,#REF!,11,0),0)+IFERROR(VLOOKUP(A225,#REF!,11,0),0)+IFERROR(VLOOKUP(A225,#REF!,11,0),0)</f>
        <v>0</v>
      </c>
      <c r="K225" s="96" t="str">
        <f>"07.02.24"</f>
        <v>07.02.24</v>
      </c>
    </row>
    <row r="226" spans="1:11" ht="11.25" customHeight="1" outlineLevel="1">
      <c r="A226" s="89" t="n">
        <v>8094540</v>
      </c>
      <c r="B226" s="114" t="s">
        <v>211</v>
      </c>
      <c r="C226" s="89" t="s">
        <v>385</v>
      </c>
      <c r="D226" s="89" t="s">
        <v>15</v>
      </c>
      <c r="E226" s="89"/>
      <c r="F226" s="102" t="n">
        <v>45038</v>
      </c>
      <c r="G226" s="102" t="n">
        <v>56297</v>
      </c>
      <c r="H226" s="103" t="s">
        <v>17</v>
      </c>
      <c r="I226" s="103">
        <f>IFERROR(VLOOKUP(A226,#REF!,15,0),0)+IFERROR(VLOOKUP(A226,#REF!,25,0),0)+IFERROR(VLOOKUP(A226,#REF!,10,0),0)+IFERROR(VLOOKUP(A226,#REF!,14,0),0)+IFERROR(VLOOKUP(A226,#REF!,10,0),0)+IFERROR(VLOOKUP(A226,#REF!,10,0),0)+IFERROR(VLOOKUP(A226,#REF!,10,0),0)+IFERROR(VLOOKUP(A226,#REF!,9,0),0)+IFERROR(VLOOKUP(A226,#REF!,9,0),0)+IFERROR(VLOOKUP(A226,#REF!,9,0),0)+IFERROR(VLOOKUP(A226,#REF!,9,0),0)</f>
        <v>0</v>
      </c>
      <c r="J226" s="104">
        <f>IFERROR(VLOOKUP(A226,#REF!,16,0),0)+IFERROR(VLOOKUP(A226,#REF!,26,0),0)+IFERROR(VLOOKUP(A226,#REF!,11,0),0)+IFERROR(VLOOKUP(A226,#REF!,23,0),0)+IFERROR(VLOOKUP(A226,#REF!,11,0),0)+IFERROR(VLOOKUP(A226,#REF!,11,0),0)+IFERROR(VLOOKUP(A226,#REF!,11,0),0)</f>
        <v>0</v>
      </c>
      <c r="K226" s="96" t="str">
        <f>"07.02.24"</f>
        <v>07.02.24</v>
      </c>
    </row>
    <row r="227" spans="1:11" ht="11.25" customHeight="1" outlineLevel="1">
      <c r="A227" s="89" t="n">
        <v>8094530</v>
      </c>
      <c r="B227" s="114" t="s">
        <v>211</v>
      </c>
      <c r="C227" s="89" t="s">
        <v>386</v>
      </c>
      <c r="D227" s="89" t="s">
        <v>15</v>
      </c>
      <c r="E227" s="89"/>
      <c r="F227" s="102" t="n">
        <v>50145</v>
      </c>
      <c r="G227" s="102" t="n">
        <v>62682</v>
      </c>
      <c r="H227" s="103" t="s">
        <v>17</v>
      </c>
      <c r="I227" s="103">
        <f>IFERROR(VLOOKUP(A227,#REF!,15,0),0)+IFERROR(VLOOKUP(A227,#REF!,25,0),0)+IFERROR(VLOOKUP(A227,#REF!,10,0),0)+IFERROR(VLOOKUP(A227,#REF!,14,0),0)+IFERROR(VLOOKUP(A227,#REF!,10,0),0)+IFERROR(VLOOKUP(A227,#REF!,10,0),0)+IFERROR(VLOOKUP(A227,#REF!,10,0),0)+IFERROR(VLOOKUP(A227,#REF!,9,0),0)+IFERROR(VLOOKUP(A227,#REF!,9,0),0)+IFERROR(VLOOKUP(A227,#REF!,9,0),0)+IFERROR(VLOOKUP(A227,#REF!,9,0),0)</f>
        <v>0</v>
      </c>
      <c r="J227" s="104">
        <f>IFERROR(VLOOKUP(A227,#REF!,16,0),0)+IFERROR(VLOOKUP(A227,#REF!,26,0),0)+IFERROR(VLOOKUP(A227,#REF!,11,0),0)+IFERROR(VLOOKUP(A227,#REF!,23,0),0)+IFERROR(VLOOKUP(A227,#REF!,11,0),0)+IFERROR(VLOOKUP(A227,#REF!,11,0),0)+IFERROR(VLOOKUP(A227,#REF!,11,0),0)</f>
        <v>0</v>
      </c>
      <c r="K227" s="96" t="str">
        <f>"07.02.24"</f>
        <v>07.02.24</v>
      </c>
    </row>
    <row r="228" spans="1:11" ht="11.25" customHeight="1" outlineLevel="1">
      <c r="A228" s="89" t="n">
        <v>4119310</v>
      </c>
      <c r="B228" s="114" t="s">
        <v>211</v>
      </c>
      <c r="C228" s="89" t="s">
        <v>387</v>
      </c>
      <c r="D228" s="89" t="s">
        <v>15</v>
      </c>
      <c r="E228" s="89" t="s">
        <v>388</v>
      </c>
      <c r="F228" s="102" t="n">
        <v>59337</v>
      </c>
      <c r="G228" s="102" t="n">
        <v>74171</v>
      </c>
      <c r="H228" s="103" t="s">
        <v>17</v>
      </c>
      <c r="I228" s="103">
        <f>IFERROR(VLOOKUP(A228,#REF!,15,0),0)+IFERROR(VLOOKUP(A228,#REF!,25,0),0)+IFERROR(VLOOKUP(A228,#REF!,10,0),0)+IFERROR(VLOOKUP(A228,#REF!,14,0),0)+IFERROR(VLOOKUP(A228,#REF!,10,0),0)+IFERROR(VLOOKUP(A228,#REF!,10,0),0)+IFERROR(VLOOKUP(A228,#REF!,10,0),0)+IFERROR(VLOOKUP(A228,#REF!,9,0),0)+IFERROR(VLOOKUP(A228,#REF!,9,0),0)+IFERROR(VLOOKUP(A228,#REF!,9,0),0)+IFERROR(VLOOKUP(A228,#REF!,9,0),0)</f>
        <v>0</v>
      </c>
      <c r="J228" s="104">
        <f>IFERROR(VLOOKUP(A228,#REF!,16,0),0)+IFERROR(VLOOKUP(A228,#REF!,26,0),0)+IFERROR(VLOOKUP(A228,#REF!,11,0),0)+IFERROR(VLOOKUP(A228,#REF!,23,0),0)+IFERROR(VLOOKUP(A228,#REF!,11,0),0)+IFERROR(VLOOKUP(A228,#REF!,11,0),0)+IFERROR(VLOOKUP(A228,#REF!,11,0),0)</f>
        <v>0</v>
      </c>
      <c r="K228" s="96" t="str">
        <f>"07.02.24"</f>
        <v>07.02.24</v>
      </c>
    </row>
    <row r="229" spans="1:11" ht="11.25" customHeight="1" outlineLevel="1">
      <c r="A229" s="89" t="n">
        <v>4118260</v>
      </c>
      <c r="B229" s="114" t="s">
        <v>211</v>
      </c>
      <c r="C229" s="89" t="s">
        <v>389</v>
      </c>
      <c r="D229" s="89" t="s">
        <v>15</v>
      </c>
      <c r="E229" s="89" t="s">
        <v>390</v>
      </c>
      <c r="F229" s="102" t="n">
        <v>17785</v>
      </c>
      <c r="G229" s="102" t="n">
        <v>22231</v>
      </c>
      <c r="H229" s="103" t="s">
        <v>17</v>
      </c>
      <c r="I229" s="103">
        <f>IFERROR(VLOOKUP(A229,#REF!,15,0),0)+IFERROR(VLOOKUP(A229,#REF!,25,0),0)+IFERROR(VLOOKUP(A229,#REF!,10,0),0)+IFERROR(VLOOKUP(A229,#REF!,14,0),0)+IFERROR(VLOOKUP(A229,#REF!,10,0),0)+IFERROR(VLOOKUP(A229,#REF!,10,0),0)+IFERROR(VLOOKUP(A229,#REF!,10,0),0)+IFERROR(VLOOKUP(A229,#REF!,9,0),0)+IFERROR(VLOOKUP(A229,#REF!,9,0),0)+IFERROR(VLOOKUP(A229,#REF!,9,0),0)+IFERROR(VLOOKUP(A229,#REF!,9,0),0)</f>
        <v>0</v>
      </c>
      <c r="J229" s="104">
        <f>IFERROR(VLOOKUP(A229,#REF!,16,0),0)+IFERROR(VLOOKUP(A229,#REF!,26,0),0)+IFERROR(VLOOKUP(A229,#REF!,11,0),0)+IFERROR(VLOOKUP(A229,#REF!,23,0),0)+IFERROR(VLOOKUP(A229,#REF!,11,0),0)+IFERROR(VLOOKUP(A229,#REF!,11,0),0)+IFERROR(VLOOKUP(A229,#REF!,11,0),0)</f>
        <v>0</v>
      </c>
      <c r="K229" s="96" t="str">
        <f>"07.02.24"</f>
        <v>07.02.24</v>
      </c>
    </row>
    <row r="230" spans="1:11" ht="11.25" customHeight="1" outlineLevel="1">
      <c r="A230" s="89" t="n">
        <v>8094610</v>
      </c>
      <c r="B230" s="114" t="s">
        <v>211</v>
      </c>
      <c r="C230" s="89" t="s">
        <v>391</v>
      </c>
      <c r="D230" s="89" t="s">
        <v>15</v>
      </c>
      <c r="E230" s="89"/>
      <c r="F230" s="102" t="n">
        <v>21890</v>
      </c>
      <c r="G230" s="102" t="n">
        <v>27362</v>
      </c>
      <c r="H230" s="103" t="s">
        <v>17</v>
      </c>
      <c r="I230" s="103">
        <f>IFERROR(VLOOKUP(A230,#REF!,15,0),0)+IFERROR(VLOOKUP(A230,#REF!,25,0),0)+IFERROR(VLOOKUP(A230,#REF!,10,0),0)+IFERROR(VLOOKUP(A230,#REF!,14,0),0)+IFERROR(VLOOKUP(A230,#REF!,10,0),0)+IFERROR(VLOOKUP(A230,#REF!,10,0),0)+IFERROR(VLOOKUP(A230,#REF!,10,0),0)+IFERROR(VLOOKUP(A230,#REF!,9,0),0)+IFERROR(VLOOKUP(A230,#REF!,9,0),0)+IFERROR(VLOOKUP(A230,#REF!,9,0),0)+IFERROR(VLOOKUP(A230,#REF!,9,0),0)</f>
        <v>0</v>
      </c>
      <c r="J230" s="104">
        <f>IFERROR(VLOOKUP(A230,#REF!,16,0),0)+IFERROR(VLOOKUP(A230,#REF!,26,0),0)+IFERROR(VLOOKUP(A230,#REF!,11,0),0)+IFERROR(VLOOKUP(A230,#REF!,23,0),0)+IFERROR(VLOOKUP(A230,#REF!,11,0),0)+IFERROR(VLOOKUP(A230,#REF!,11,0),0)+IFERROR(VLOOKUP(A230,#REF!,11,0),0)</f>
        <v>0</v>
      </c>
      <c r="K230" s="96" t="str">
        <f>"07.02.24"</f>
        <v>07.02.24</v>
      </c>
    </row>
    <row r="231" spans="1:11" ht="11.25" customHeight="1" outlineLevel="1">
      <c r="A231" s="89" t="n">
        <v>35088</v>
      </c>
      <c r="B231" s="114" t="s">
        <v>211</v>
      </c>
      <c r="C231" s="89" t="s">
        <v>392</v>
      </c>
      <c r="D231" s="89" t="s">
        <v>15</v>
      </c>
      <c r="E231" s="89" t="s">
        <v>393</v>
      </c>
      <c r="F231" s="102" t="n">
        <v>39975</v>
      </c>
      <c r="G231" s="102" t="n">
        <v>49968</v>
      </c>
      <c r="H231" s="103" t="s">
        <v>17</v>
      </c>
      <c r="I231" s="103">
        <f>IFERROR(VLOOKUP(A231,#REF!,15,0),0)+IFERROR(VLOOKUP(A231,#REF!,25,0),0)+IFERROR(VLOOKUP(A231,#REF!,10,0),0)+IFERROR(VLOOKUP(A231,#REF!,14,0),0)+IFERROR(VLOOKUP(A231,#REF!,10,0),0)+IFERROR(VLOOKUP(A231,#REF!,10,0),0)+IFERROR(VLOOKUP(A231,#REF!,10,0),0)+IFERROR(VLOOKUP(A231,#REF!,9,0),0)+IFERROR(VLOOKUP(A231,#REF!,9,0),0)+IFERROR(VLOOKUP(A231,#REF!,9,0),0)+IFERROR(VLOOKUP(A231,#REF!,9,0),0)</f>
        <v>0</v>
      </c>
      <c r="J231" s="104">
        <f>IFERROR(VLOOKUP(A231,#REF!,16,0),0)+IFERROR(VLOOKUP(A231,#REF!,26,0),0)+IFERROR(VLOOKUP(A231,#REF!,11,0),0)+IFERROR(VLOOKUP(A231,#REF!,23,0),0)+IFERROR(VLOOKUP(A231,#REF!,11,0),0)+IFERROR(VLOOKUP(A231,#REF!,11,0),0)+IFERROR(VLOOKUP(A231,#REF!,11,0),0)</f>
        <v>0</v>
      </c>
      <c r="K231" s="96" t="str">
        <f>"07.02.24"</f>
        <v>07.02.24</v>
      </c>
    </row>
    <row r="232" spans="1:11" ht="11.25" customHeight="1" outlineLevel="1">
      <c r="A232" s="89" t="n">
        <v>35089</v>
      </c>
      <c r="B232" s="114" t="s">
        <v>211</v>
      </c>
      <c r="C232" s="89" t="s">
        <v>394</v>
      </c>
      <c r="D232" s="89" t="s">
        <v>15</v>
      </c>
      <c r="E232" s="89" t="s">
        <v>395</v>
      </c>
      <c r="F232" s="102" t="n">
        <v>61721</v>
      </c>
      <c r="G232" s="102" t="n">
        <v>77151</v>
      </c>
      <c r="H232" s="103" t="s">
        <v>17</v>
      </c>
      <c r="I232" s="103">
        <f>IFERROR(VLOOKUP(A232,#REF!,15,0),0)+IFERROR(VLOOKUP(A232,#REF!,25,0),0)+IFERROR(VLOOKUP(A232,#REF!,10,0),0)+IFERROR(VLOOKUP(A232,#REF!,14,0),0)+IFERROR(VLOOKUP(A232,#REF!,10,0),0)+IFERROR(VLOOKUP(A232,#REF!,10,0),0)+IFERROR(VLOOKUP(A232,#REF!,10,0),0)+IFERROR(VLOOKUP(A232,#REF!,9,0),0)+IFERROR(VLOOKUP(A232,#REF!,9,0),0)+IFERROR(VLOOKUP(A232,#REF!,9,0),0)+IFERROR(VLOOKUP(A232,#REF!,9,0),0)</f>
        <v>0</v>
      </c>
      <c r="J232" s="104">
        <f>IFERROR(VLOOKUP(A232,#REF!,16,0),0)+IFERROR(VLOOKUP(A232,#REF!,26,0),0)+IFERROR(VLOOKUP(A232,#REF!,11,0),0)+IFERROR(VLOOKUP(A232,#REF!,23,0),0)+IFERROR(VLOOKUP(A232,#REF!,11,0),0)+IFERROR(VLOOKUP(A232,#REF!,11,0),0)+IFERROR(VLOOKUP(A232,#REF!,11,0),0)</f>
        <v>0</v>
      </c>
      <c r="K232" s="96" t="str">
        <f>"07.02.24"</f>
        <v>07.02.24</v>
      </c>
    </row>
    <row r="233" spans="1:11" ht="11.25" customHeight="1" outlineLevel="1">
      <c r="A233" s="89" t="n">
        <v>38592</v>
      </c>
      <c r="B233" s="114" t="s">
        <v>211</v>
      </c>
      <c r="C233" s="89" t="s">
        <v>396</v>
      </c>
      <c r="D233" s="89" t="s">
        <v>15</v>
      </c>
      <c r="E233" s="89" t="s">
        <v>397</v>
      </c>
      <c r="F233" s="102" t="n">
        <v>66408</v>
      </c>
      <c r="G233" s="102" t="n">
        <v>83009</v>
      </c>
      <c r="H233" s="103" t="s">
        <v>17</v>
      </c>
      <c r="I233" s="103">
        <f>IFERROR(VLOOKUP(A233,#REF!,15,0),0)+IFERROR(VLOOKUP(A233,#REF!,25,0),0)+IFERROR(VLOOKUP(A233,#REF!,10,0),0)+IFERROR(VLOOKUP(A233,#REF!,14,0),0)+IFERROR(VLOOKUP(A233,#REF!,10,0),0)+IFERROR(VLOOKUP(A233,#REF!,10,0),0)+IFERROR(VLOOKUP(A233,#REF!,10,0),0)+IFERROR(VLOOKUP(A233,#REF!,9,0),0)+IFERROR(VLOOKUP(A233,#REF!,9,0),0)+IFERROR(VLOOKUP(A233,#REF!,9,0),0)+IFERROR(VLOOKUP(A233,#REF!,9,0),0)</f>
        <v>0</v>
      </c>
      <c r="J233" s="104">
        <f>IFERROR(VLOOKUP(A233,#REF!,16,0),0)+IFERROR(VLOOKUP(A233,#REF!,26,0),0)+IFERROR(VLOOKUP(A233,#REF!,11,0),0)+IFERROR(VLOOKUP(A233,#REF!,23,0),0)+IFERROR(VLOOKUP(A233,#REF!,11,0),0)+IFERROR(VLOOKUP(A233,#REF!,11,0),0)+IFERROR(VLOOKUP(A233,#REF!,11,0),0)</f>
        <v>0</v>
      </c>
      <c r="K233" s="96" t="str">
        <f>"07.02.24"</f>
        <v>07.02.24</v>
      </c>
    </row>
    <row r="234" spans="1:11" ht="11.25" customHeight="1" outlineLevel="1">
      <c r="A234" s="89" t="n">
        <v>4117670</v>
      </c>
      <c r="B234" s="114" t="s">
        <v>211</v>
      </c>
      <c r="C234" s="89" t="s">
        <v>398</v>
      </c>
      <c r="D234" s="89" t="s">
        <v>15</v>
      </c>
      <c r="E234" s="89" t="s">
        <v>399</v>
      </c>
      <c r="F234" s="102" t="n">
        <v>26318</v>
      </c>
      <c r="G234" s="102" t="n">
        <v>32896</v>
      </c>
      <c r="H234" s="103" t="s">
        <v>17</v>
      </c>
      <c r="I234" s="103">
        <f>IFERROR(VLOOKUP(A234,#REF!,15,0),0)+IFERROR(VLOOKUP(A234,#REF!,25,0),0)+IFERROR(VLOOKUP(A234,#REF!,10,0),0)+IFERROR(VLOOKUP(A234,#REF!,14,0),0)+IFERROR(VLOOKUP(A234,#REF!,10,0),0)+IFERROR(VLOOKUP(A234,#REF!,10,0),0)+IFERROR(VLOOKUP(A234,#REF!,10,0),0)+IFERROR(VLOOKUP(A234,#REF!,9,0),0)+IFERROR(VLOOKUP(A234,#REF!,9,0),0)+IFERROR(VLOOKUP(A234,#REF!,9,0),0)+IFERROR(VLOOKUP(A234,#REF!,9,0),0)</f>
        <v>0</v>
      </c>
      <c r="J234" s="104">
        <f>IFERROR(VLOOKUP(A234,#REF!,16,0),0)+IFERROR(VLOOKUP(A234,#REF!,26,0),0)+IFERROR(VLOOKUP(A234,#REF!,11,0),0)+IFERROR(VLOOKUP(A234,#REF!,23,0),0)+IFERROR(VLOOKUP(A234,#REF!,11,0),0)+IFERROR(VLOOKUP(A234,#REF!,11,0),0)+IFERROR(VLOOKUP(A234,#REF!,11,0),0)</f>
        <v>0</v>
      </c>
      <c r="K234" s="96" t="str">
        <f>"07.02.24"</f>
        <v>07.02.24</v>
      </c>
    </row>
    <row r="235" spans="1:11" ht="11.25" customHeight="1" outlineLevel="1">
      <c r="A235" s="89" t="n">
        <v>4117500</v>
      </c>
      <c r="B235" s="114" t="s">
        <v>211</v>
      </c>
      <c r="C235" s="89" t="s">
        <v>400</v>
      </c>
      <c r="D235" s="89" t="s">
        <v>15</v>
      </c>
      <c r="E235" s="89" t="s">
        <v>401</v>
      </c>
      <c r="F235" s="102" t="n">
        <v>18528</v>
      </c>
      <c r="G235" s="102" t="n">
        <v>23160</v>
      </c>
      <c r="H235" s="103" t="s">
        <v>48</v>
      </c>
      <c r="I235" s="103">
        <f>IFERROR(VLOOKUP(A235,#REF!,15,0),0)+IFERROR(VLOOKUP(A235,#REF!,25,0),0)+IFERROR(VLOOKUP(A235,#REF!,10,0),0)+IFERROR(VLOOKUP(A235,#REF!,14,0),0)+IFERROR(VLOOKUP(A235,#REF!,10,0),0)+IFERROR(VLOOKUP(A235,#REF!,10,0),0)+IFERROR(VLOOKUP(A235,#REF!,10,0),0)+IFERROR(VLOOKUP(A235,#REF!,9,0),0)+IFERROR(VLOOKUP(A235,#REF!,9,0),0)+IFERROR(VLOOKUP(A235,#REF!,9,0),0)+IFERROR(VLOOKUP(A235,#REF!,9,0),0)</f>
        <v>0</v>
      </c>
      <c r="J235" s="104">
        <f>IFERROR(VLOOKUP(A235,#REF!,16,0),0)+IFERROR(VLOOKUP(A235,#REF!,26,0),0)+IFERROR(VLOOKUP(A235,#REF!,11,0),0)+IFERROR(VLOOKUP(A235,#REF!,23,0),0)+IFERROR(VLOOKUP(A235,#REF!,11,0),0)+IFERROR(VLOOKUP(A235,#REF!,11,0),0)+IFERROR(VLOOKUP(A235,#REF!,11,0),0)</f>
        <v>0</v>
      </c>
      <c r="K235" s="96" t="str">
        <f>"07.02.24"</f>
        <v>07.02.24</v>
      </c>
    </row>
    <row r="236" spans="1:11" ht="11.25" customHeight="1" outlineLevel="1">
      <c r="A236" s="89" t="n">
        <v>7361</v>
      </c>
      <c r="B236" s="114" t="s">
        <v>211</v>
      </c>
      <c r="C236" s="89" t="s">
        <v>402</v>
      </c>
      <c r="D236" s="89" t="s">
        <v>15</v>
      </c>
      <c r="E236" s="89" t="s">
        <v>403</v>
      </c>
      <c r="F236" s="102" t="n">
        <v>17765</v>
      </c>
      <c r="G236" s="102" t="n">
        <v>22207</v>
      </c>
      <c r="H236" s="103" t="s">
        <v>17</v>
      </c>
      <c r="I236" s="103">
        <f>IFERROR(VLOOKUP(A236,#REF!,15,0),0)+IFERROR(VLOOKUP(A236,#REF!,25,0),0)+IFERROR(VLOOKUP(A236,#REF!,10,0),0)+IFERROR(VLOOKUP(A236,#REF!,14,0),0)+IFERROR(VLOOKUP(A236,#REF!,10,0),0)+IFERROR(VLOOKUP(A236,#REF!,10,0),0)+IFERROR(VLOOKUP(A236,#REF!,10,0),0)+IFERROR(VLOOKUP(A236,#REF!,9,0),0)+IFERROR(VLOOKUP(A236,#REF!,9,0),0)+IFERROR(VLOOKUP(A236,#REF!,9,0),0)+IFERROR(VLOOKUP(A236,#REF!,9,0),0)</f>
        <v>0</v>
      </c>
      <c r="J236" s="104">
        <f>IFERROR(VLOOKUP(A236,#REF!,16,0),0)+IFERROR(VLOOKUP(A236,#REF!,26,0),0)+IFERROR(VLOOKUP(A236,#REF!,11,0),0)+IFERROR(VLOOKUP(A236,#REF!,23,0),0)+IFERROR(VLOOKUP(A236,#REF!,11,0),0)+IFERROR(VLOOKUP(A236,#REF!,11,0),0)+IFERROR(VLOOKUP(A236,#REF!,11,0),0)</f>
        <v>0</v>
      </c>
      <c r="K236" s="96" t="str">
        <f>"07.02.24"</f>
        <v>07.02.24</v>
      </c>
    </row>
    <row r="237" spans="1:11" ht="11.25" customHeight="1" outlineLevel="1">
      <c r="A237" s="89" t="n">
        <v>8087210</v>
      </c>
      <c r="B237" s="114" t="s">
        <v>211</v>
      </c>
      <c r="C237" s="89" t="s">
        <v>404</v>
      </c>
      <c r="D237" s="89" t="s">
        <v>15</v>
      </c>
      <c r="E237" s="89" t="s">
        <v>405</v>
      </c>
      <c r="F237" s="102" t="n">
        <v>5332</v>
      </c>
      <c r="G237" s="102" t="n">
        <v>6666</v>
      </c>
      <c r="H237" s="103" t="s">
        <v>17</v>
      </c>
      <c r="I237" s="103">
        <f>IFERROR(VLOOKUP(A237,#REF!,15,0),0)+IFERROR(VLOOKUP(A237,#REF!,25,0),0)+IFERROR(VLOOKUP(A237,#REF!,10,0),0)+IFERROR(VLOOKUP(A237,#REF!,14,0),0)+IFERROR(VLOOKUP(A237,#REF!,10,0),0)+IFERROR(VLOOKUP(A237,#REF!,10,0),0)+IFERROR(VLOOKUP(A237,#REF!,10,0),0)+IFERROR(VLOOKUP(A237,#REF!,9,0),0)+IFERROR(VLOOKUP(A237,#REF!,9,0),0)+IFERROR(VLOOKUP(A237,#REF!,9,0),0)+IFERROR(VLOOKUP(A237,#REF!,9,0),0)</f>
        <v>0</v>
      </c>
      <c r="J237" s="104">
        <f>IFERROR(VLOOKUP(A237,#REF!,16,0),0)+IFERROR(VLOOKUP(A237,#REF!,26,0),0)+IFERROR(VLOOKUP(A237,#REF!,11,0),0)+IFERROR(VLOOKUP(A237,#REF!,23,0),0)+IFERROR(VLOOKUP(A237,#REF!,11,0),0)+IFERROR(VLOOKUP(A237,#REF!,11,0),0)+IFERROR(VLOOKUP(A237,#REF!,11,0),0)</f>
        <v>0</v>
      </c>
      <c r="K237" s="96" t="str">
        <f>"07.02.24"</f>
        <v>07.02.24</v>
      </c>
    </row>
    <row r="238" spans="1:11" ht="11.25" customHeight="1" outlineLevel="1">
      <c r="A238" s="89" t="n">
        <v>30423</v>
      </c>
      <c r="B238" s="114" t="s">
        <v>211</v>
      </c>
      <c r="C238" s="89" t="s">
        <v>406</v>
      </c>
      <c r="D238" s="89" t="s">
        <v>407</v>
      </c>
      <c r="E238" s="89" t="s">
        <v>408</v>
      </c>
      <c r="F238" s="102" t="n">
        <v>534</v>
      </c>
      <c r="G238" s="102" t="n">
        <v>665</v>
      </c>
      <c r="H238" s="103" t="s">
        <v>48</v>
      </c>
      <c r="I238" s="103">
        <f>IFERROR(VLOOKUP(A238,#REF!,15,0),0)+IFERROR(VLOOKUP(A238,#REF!,25,0),0)+IFERROR(VLOOKUP(A238,#REF!,10,0),0)+IFERROR(VLOOKUP(A238,#REF!,14,0),0)+IFERROR(VLOOKUP(A238,#REF!,10,0),0)+IFERROR(VLOOKUP(A238,#REF!,10,0),0)+IFERROR(VLOOKUP(A238,#REF!,10,0),0)+IFERROR(VLOOKUP(A238,#REF!,9,0),0)+IFERROR(VLOOKUP(A238,#REF!,9,0),0)+IFERROR(VLOOKUP(A238,#REF!,9,0),0)+IFERROR(VLOOKUP(A238,#REF!,9,0),0)</f>
        <v>0</v>
      </c>
      <c r="J238" s="104">
        <f>IFERROR(VLOOKUP(A238,#REF!,16,0),0)+IFERROR(VLOOKUP(A238,#REF!,26,0),0)+IFERROR(VLOOKUP(A238,#REF!,11,0),0)+IFERROR(VLOOKUP(A238,#REF!,23,0),0)+IFERROR(VLOOKUP(A238,#REF!,11,0),0)+IFERROR(VLOOKUP(A238,#REF!,11,0),0)+IFERROR(VLOOKUP(A238,#REF!,11,0),0)</f>
        <v>0</v>
      </c>
      <c r="K238" s="96" t="str">
        <f>"07.02.24"</f>
        <v>07.02.24</v>
      </c>
    </row>
    <row r="239" spans="1:11" ht="11.25" customHeight="1" outlineLevel="1">
      <c r="A239" s="89" t="n">
        <v>30426</v>
      </c>
      <c r="B239" s="114" t="s">
        <v>211</v>
      </c>
      <c r="C239" s="89" t="s">
        <v>409</v>
      </c>
      <c r="D239" s="89" t="s">
        <v>407</v>
      </c>
      <c r="E239" s="89" t="s">
        <v>410</v>
      </c>
      <c r="F239" s="102" t="n">
        <v>650</v>
      </c>
      <c r="G239" s="102" t="n">
        <v>812</v>
      </c>
      <c r="H239" s="103" t="s">
        <v>48</v>
      </c>
      <c r="I239" s="103">
        <f>IFERROR(VLOOKUP(A239,#REF!,15,0),0)+IFERROR(VLOOKUP(A239,#REF!,25,0),0)+IFERROR(VLOOKUP(A239,#REF!,10,0),0)+IFERROR(VLOOKUP(A239,#REF!,14,0),0)+IFERROR(VLOOKUP(A239,#REF!,10,0),0)+IFERROR(VLOOKUP(A239,#REF!,10,0),0)+IFERROR(VLOOKUP(A239,#REF!,10,0),0)+IFERROR(VLOOKUP(A239,#REF!,9,0),0)+IFERROR(VLOOKUP(A239,#REF!,9,0),0)+IFERROR(VLOOKUP(A239,#REF!,9,0),0)+IFERROR(VLOOKUP(A239,#REF!,9,0),0)</f>
        <v>0</v>
      </c>
      <c r="J239" s="104">
        <f>IFERROR(VLOOKUP(A239,#REF!,16,0),0)+IFERROR(VLOOKUP(A239,#REF!,26,0),0)+IFERROR(VLOOKUP(A239,#REF!,11,0),0)+IFERROR(VLOOKUP(A239,#REF!,23,0),0)+IFERROR(VLOOKUP(A239,#REF!,11,0),0)+IFERROR(VLOOKUP(A239,#REF!,11,0),0)+IFERROR(VLOOKUP(A239,#REF!,11,0),0)</f>
        <v>0</v>
      </c>
      <c r="K239" s="96" t="str">
        <f>"07.02.24"</f>
        <v>07.02.24</v>
      </c>
    </row>
    <row r="240" spans="1:11" ht="11.25" customHeight="1" outlineLevel="1">
      <c r="A240" s="89" t="n">
        <v>30427</v>
      </c>
      <c r="B240" s="114" t="s">
        <v>211</v>
      </c>
      <c r="C240" s="89" t="s">
        <v>411</v>
      </c>
      <c r="D240" s="89" t="s">
        <v>407</v>
      </c>
      <c r="E240" s="89" t="s">
        <v>412</v>
      </c>
      <c r="F240" s="102" t="n">
        <v>721</v>
      </c>
      <c r="G240" s="102" t="n">
        <v>899</v>
      </c>
      <c r="H240" s="103" t="s">
        <v>48</v>
      </c>
      <c r="I240" s="103">
        <f>IFERROR(VLOOKUP(A240,#REF!,15,0),0)+IFERROR(VLOOKUP(A240,#REF!,25,0),0)+IFERROR(VLOOKUP(A240,#REF!,10,0),0)+IFERROR(VLOOKUP(A240,#REF!,14,0),0)+IFERROR(VLOOKUP(A240,#REF!,10,0),0)+IFERROR(VLOOKUP(A240,#REF!,10,0),0)+IFERROR(VLOOKUP(A240,#REF!,10,0),0)+IFERROR(VLOOKUP(A240,#REF!,9,0),0)+IFERROR(VLOOKUP(A240,#REF!,9,0),0)+IFERROR(VLOOKUP(A240,#REF!,9,0),0)+IFERROR(VLOOKUP(A240,#REF!,9,0),0)</f>
        <v>0</v>
      </c>
      <c r="J240" s="104">
        <f>IFERROR(VLOOKUP(A240,#REF!,16,0),0)+IFERROR(VLOOKUP(A240,#REF!,26,0),0)+IFERROR(VLOOKUP(A240,#REF!,11,0),0)+IFERROR(VLOOKUP(A240,#REF!,23,0),0)+IFERROR(VLOOKUP(A240,#REF!,11,0),0)+IFERROR(VLOOKUP(A240,#REF!,11,0),0)+IFERROR(VLOOKUP(A240,#REF!,11,0),0)</f>
        <v>0</v>
      </c>
      <c r="K240" s="96" t="str">
        <f>"07.02.24"</f>
        <v>07.02.24</v>
      </c>
    </row>
    <row r="241" spans="1:11" ht="11.25" customHeight="1" outlineLevel="1">
      <c r="A241" s="89" t="n">
        <v>30421</v>
      </c>
      <c r="B241" s="114" t="s">
        <v>211</v>
      </c>
      <c r="C241" s="89" t="s">
        <v>413</v>
      </c>
      <c r="D241" s="89" t="s">
        <v>407</v>
      </c>
      <c r="E241" s="89" t="s">
        <v>414</v>
      </c>
      <c r="F241" s="102" t="n">
        <v>955</v>
      </c>
      <c r="G241" s="102" t="n">
        <v>1194</v>
      </c>
      <c r="H241" s="103" t="s">
        <v>48</v>
      </c>
      <c r="I241" s="103">
        <f>IFERROR(VLOOKUP(A241,#REF!,15,0),0)+IFERROR(VLOOKUP(A241,#REF!,25,0),0)+IFERROR(VLOOKUP(A241,#REF!,10,0),0)+IFERROR(VLOOKUP(A241,#REF!,14,0),0)+IFERROR(VLOOKUP(A241,#REF!,10,0),0)+IFERROR(VLOOKUP(A241,#REF!,10,0),0)+IFERROR(VLOOKUP(A241,#REF!,10,0),0)+IFERROR(VLOOKUP(A241,#REF!,9,0),0)+IFERROR(VLOOKUP(A241,#REF!,9,0),0)+IFERROR(VLOOKUP(A241,#REF!,9,0),0)+IFERROR(VLOOKUP(A241,#REF!,9,0),0)</f>
        <v>0</v>
      </c>
      <c r="J241" s="104">
        <f>IFERROR(VLOOKUP(A241,#REF!,16,0),0)+IFERROR(VLOOKUP(A241,#REF!,26,0),0)+IFERROR(VLOOKUP(A241,#REF!,11,0),0)+IFERROR(VLOOKUP(A241,#REF!,23,0),0)+IFERROR(VLOOKUP(A241,#REF!,11,0),0)+IFERROR(VLOOKUP(A241,#REF!,11,0),0)+IFERROR(VLOOKUP(A241,#REF!,11,0),0)</f>
        <v>0</v>
      </c>
      <c r="K241" s="96" t="str">
        <f>"07.02.24"</f>
        <v>07.02.24</v>
      </c>
    </row>
    <row r="242" spans="1:11" ht="11.25" customHeight="1" outlineLevel="1">
      <c r="A242" s="89" t="n">
        <v>31380</v>
      </c>
      <c r="B242" s="114" t="s">
        <v>211</v>
      </c>
      <c r="C242" s="89" t="s">
        <v>415</v>
      </c>
      <c r="D242" s="89" t="s">
        <v>407</v>
      </c>
      <c r="E242" s="89" t="s">
        <v>416</v>
      </c>
      <c r="F242" s="102" t="n">
        <v>761</v>
      </c>
      <c r="G242" s="102" t="n">
        <v>944</v>
      </c>
      <c r="H242" s="103" t="s">
        <v>48</v>
      </c>
      <c r="I242" s="103">
        <f>IFERROR(VLOOKUP(A242,#REF!,15,0),0)+IFERROR(VLOOKUP(A242,#REF!,25,0),0)+IFERROR(VLOOKUP(A242,#REF!,10,0),0)+IFERROR(VLOOKUP(A242,#REF!,14,0),0)+IFERROR(VLOOKUP(A242,#REF!,10,0),0)+IFERROR(VLOOKUP(A242,#REF!,10,0),0)+IFERROR(VLOOKUP(A242,#REF!,10,0),0)+IFERROR(VLOOKUP(A242,#REF!,9,0),0)+IFERROR(VLOOKUP(A242,#REF!,9,0),0)+IFERROR(VLOOKUP(A242,#REF!,9,0),0)+IFERROR(VLOOKUP(A242,#REF!,9,0),0)</f>
        <v>0</v>
      </c>
      <c r="J242" s="104">
        <f>IFERROR(VLOOKUP(A242,#REF!,16,0),0)+IFERROR(VLOOKUP(A242,#REF!,26,0),0)+IFERROR(VLOOKUP(A242,#REF!,11,0),0)+IFERROR(VLOOKUP(A242,#REF!,23,0),0)+IFERROR(VLOOKUP(A242,#REF!,11,0),0)+IFERROR(VLOOKUP(A242,#REF!,11,0),0)+IFERROR(VLOOKUP(A242,#REF!,11,0),0)</f>
        <v>0</v>
      </c>
      <c r="K242" s="96" t="str">
        <f>"07.02.24"</f>
        <v>07.02.24</v>
      </c>
    </row>
    <row r="243" spans="1:11" ht="11.25" customHeight="1" outlineLevel="1">
      <c r="A243" s="89" t="n">
        <v>31381</v>
      </c>
      <c r="B243" s="114" t="s">
        <v>211</v>
      </c>
      <c r="C243" s="89" t="s">
        <v>417</v>
      </c>
      <c r="D243" s="89" t="s">
        <v>407</v>
      </c>
      <c r="E243" s="89" t="s">
        <v>418</v>
      </c>
      <c r="F243" s="102" t="n">
        <v>885</v>
      </c>
      <c r="G243" s="102" t="n">
        <v>1106</v>
      </c>
      <c r="H243" s="103" t="s">
        <v>17</v>
      </c>
      <c r="I243" s="103">
        <f>IFERROR(VLOOKUP(A243,#REF!,15,0),0)+IFERROR(VLOOKUP(A243,#REF!,25,0),0)+IFERROR(VLOOKUP(A243,#REF!,10,0),0)+IFERROR(VLOOKUP(A243,#REF!,14,0),0)+IFERROR(VLOOKUP(A243,#REF!,10,0),0)+IFERROR(VLOOKUP(A243,#REF!,10,0),0)+IFERROR(VLOOKUP(A243,#REF!,10,0),0)+IFERROR(VLOOKUP(A243,#REF!,9,0),0)+IFERROR(VLOOKUP(A243,#REF!,9,0),0)+IFERROR(VLOOKUP(A243,#REF!,9,0),0)+IFERROR(VLOOKUP(A243,#REF!,9,0),0)</f>
        <v>0</v>
      </c>
      <c r="J243" s="104">
        <f>IFERROR(VLOOKUP(A243,#REF!,16,0),0)+IFERROR(VLOOKUP(A243,#REF!,26,0),0)+IFERROR(VLOOKUP(A243,#REF!,11,0),0)+IFERROR(VLOOKUP(A243,#REF!,23,0),0)+IFERROR(VLOOKUP(A243,#REF!,11,0),0)+IFERROR(VLOOKUP(A243,#REF!,11,0),0)+IFERROR(VLOOKUP(A243,#REF!,11,0),0)</f>
        <v>0</v>
      </c>
      <c r="K243" s="96" t="str">
        <f>"07.02.24"</f>
        <v>07.02.24</v>
      </c>
    </row>
    <row r="244" spans="1:11" ht="11.25" customHeight="1" outlineLevel="1">
      <c r="A244" s="89" t="n">
        <v>30424</v>
      </c>
      <c r="B244" s="114" t="s">
        <v>211</v>
      </c>
      <c r="C244" s="89" t="s">
        <v>419</v>
      </c>
      <c r="D244" s="89" t="s">
        <v>407</v>
      </c>
      <c r="E244" s="89" t="s">
        <v>420</v>
      </c>
      <c r="F244" s="102" t="n">
        <v>606</v>
      </c>
      <c r="G244" s="102" t="n">
        <v>758</v>
      </c>
      <c r="H244" s="103" t="s">
        <v>48</v>
      </c>
      <c r="I244" s="103">
        <f>IFERROR(VLOOKUP(A244,#REF!,15,0),0)+IFERROR(VLOOKUP(A244,#REF!,25,0),0)+IFERROR(VLOOKUP(A244,#REF!,10,0),0)+IFERROR(VLOOKUP(A244,#REF!,14,0),0)+IFERROR(VLOOKUP(A244,#REF!,10,0),0)+IFERROR(VLOOKUP(A244,#REF!,10,0),0)+IFERROR(VLOOKUP(A244,#REF!,10,0),0)+IFERROR(VLOOKUP(A244,#REF!,9,0),0)+IFERROR(VLOOKUP(A244,#REF!,9,0),0)+IFERROR(VLOOKUP(A244,#REF!,9,0),0)+IFERROR(VLOOKUP(A244,#REF!,9,0),0)</f>
        <v>0</v>
      </c>
      <c r="J244" s="104">
        <f>IFERROR(VLOOKUP(A244,#REF!,16,0),0)+IFERROR(VLOOKUP(A244,#REF!,26,0),0)+IFERROR(VLOOKUP(A244,#REF!,11,0),0)+IFERROR(VLOOKUP(A244,#REF!,23,0),0)+IFERROR(VLOOKUP(A244,#REF!,11,0),0)+IFERROR(VLOOKUP(A244,#REF!,11,0),0)+IFERROR(VLOOKUP(A244,#REF!,11,0),0)</f>
        <v>0</v>
      </c>
      <c r="K244" s="96" t="str">
        <f>"07.02.24"</f>
        <v>07.02.24</v>
      </c>
    </row>
    <row r="245" spans="1:11" ht="11.25" customHeight="1" outlineLevel="1">
      <c r="A245" s="89" t="n">
        <v>31383</v>
      </c>
      <c r="B245" s="114" t="s">
        <v>211</v>
      </c>
      <c r="C245" s="89" t="s">
        <v>421</v>
      </c>
      <c r="D245" s="89" t="s">
        <v>407</v>
      </c>
      <c r="E245" s="89" t="s">
        <v>422</v>
      </c>
      <c r="F245" s="102" t="n">
        <v>1113</v>
      </c>
      <c r="G245" s="102" t="n">
        <v>1392</v>
      </c>
      <c r="H245" s="103" t="s">
        <v>48</v>
      </c>
      <c r="I245" s="103">
        <f>IFERROR(VLOOKUP(A245,#REF!,15,0),0)+IFERROR(VLOOKUP(A245,#REF!,25,0),0)+IFERROR(VLOOKUP(A245,#REF!,10,0),0)+IFERROR(VLOOKUP(A245,#REF!,14,0),0)+IFERROR(VLOOKUP(A245,#REF!,10,0),0)+IFERROR(VLOOKUP(A245,#REF!,10,0),0)+IFERROR(VLOOKUP(A245,#REF!,10,0),0)+IFERROR(VLOOKUP(A245,#REF!,9,0),0)+IFERROR(VLOOKUP(A245,#REF!,9,0),0)+IFERROR(VLOOKUP(A245,#REF!,9,0),0)+IFERROR(VLOOKUP(A245,#REF!,9,0),0)</f>
        <v>0</v>
      </c>
      <c r="J245" s="104">
        <f>IFERROR(VLOOKUP(A245,#REF!,16,0),0)+IFERROR(VLOOKUP(A245,#REF!,26,0),0)+IFERROR(VLOOKUP(A245,#REF!,11,0),0)+IFERROR(VLOOKUP(A245,#REF!,23,0),0)+IFERROR(VLOOKUP(A245,#REF!,11,0),0)+IFERROR(VLOOKUP(A245,#REF!,11,0),0)+IFERROR(VLOOKUP(A245,#REF!,11,0),0)</f>
        <v>0</v>
      </c>
      <c r="K245" s="96" t="str">
        <f>"07.02.24"</f>
        <v>07.02.24</v>
      </c>
    </row>
    <row r="246" spans="1:11" ht="11.25" customHeight="1" outlineLevel="1">
      <c r="A246" s="89" t="n">
        <v>31379</v>
      </c>
      <c r="B246" s="114" t="s">
        <v>211</v>
      </c>
      <c r="C246" s="89" t="s">
        <v>423</v>
      </c>
      <c r="D246" s="89" t="s">
        <v>407</v>
      </c>
      <c r="E246" s="89" t="s">
        <v>424</v>
      </c>
      <c r="F246" s="102" t="n">
        <v>644</v>
      </c>
      <c r="G246" s="102" t="n">
        <v>805</v>
      </c>
      <c r="H246" s="103" t="s">
        <v>48</v>
      </c>
      <c r="I246" s="103">
        <f>IFERROR(VLOOKUP(A246,#REF!,15,0),0)+IFERROR(VLOOKUP(A246,#REF!,25,0),0)+IFERROR(VLOOKUP(A246,#REF!,10,0),0)+IFERROR(VLOOKUP(A246,#REF!,14,0),0)+IFERROR(VLOOKUP(A246,#REF!,10,0),0)+IFERROR(VLOOKUP(A246,#REF!,10,0),0)+IFERROR(VLOOKUP(A246,#REF!,10,0),0)+IFERROR(VLOOKUP(A246,#REF!,9,0),0)+IFERROR(VLOOKUP(A246,#REF!,9,0),0)+IFERROR(VLOOKUP(A246,#REF!,9,0),0)+IFERROR(VLOOKUP(A246,#REF!,9,0),0)</f>
        <v>0</v>
      </c>
      <c r="J246" s="104">
        <f>IFERROR(VLOOKUP(A246,#REF!,16,0),0)+IFERROR(VLOOKUP(A246,#REF!,26,0),0)+IFERROR(VLOOKUP(A246,#REF!,11,0),0)+IFERROR(VLOOKUP(A246,#REF!,23,0),0)+IFERROR(VLOOKUP(A246,#REF!,11,0),0)+IFERROR(VLOOKUP(A246,#REF!,11,0),0)+IFERROR(VLOOKUP(A246,#REF!,11,0),0)</f>
        <v>0</v>
      </c>
      <c r="K246" s="96" t="str">
        <f>"07.02.24"</f>
        <v>07.02.24</v>
      </c>
    </row>
    <row r="247" spans="1:11" ht="11.25" customHeight="1" outlineLevel="1">
      <c r="A247" s="89" t="n">
        <v>30370</v>
      </c>
      <c r="B247" s="114" t="s">
        <v>211</v>
      </c>
      <c r="C247" s="89" t="s">
        <v>425</v>
      </c>
      <c r="D247" s="89" t="s">
        <v>407</v>
      </c>
      <c r="E247" s="89" t="s">
        <v>426</v>
      </c>
      <c r="F247" s="102" t="n">
        <v>1360</v>
      </c>
      <c r="G247" s="102" t="n">
        <v>1700</v>
      </c>
      <c r="H247" s="103" t="s">
        <v>48</v>
      </c>
      <c r="I247" s="103">
        <f>IFERROR(VLOOKUP(A247,#REF!,15,0),0)+IFERROR(VLOOKUP(A247,#REF!,25,0),0)+IFERROR(VLOOKUP(A247,#REF!,10,0),0)+IFERROR(VLOOKUP(A247,#REF!,14,0),0)+IFERROR(VLOOKUP(A247,#REF!,10,0),0)+IFERROR(VLOOKUP(A247,#REF!,10,0),0)+IFERROR(VLOOKUP(A247,#REF!,10,0),0)+IFERROR(VLOOKUP(A247,#REF!,9,0),0)+IFERROR(VLOOKUP(A247,#REF!,9,0),0)+IFERROR(VLOOKUP(A247,#REF!,9,0),0)+IFERROR(VLOOKUP(A247,#REF!,9,0),0)</f>
        <v>0</v>
      </c>
      <c r="J247" s="104">
        <f>IFERROR(VLOOKUP(A247,#REF!,16,0),0)+IFERROR(VLOOKUP(A247,#REF!,26,0),0)+IFERROR(VLOOKUP(A247,#REF!,11,0),0)+IFERROR(VLOOKUP(A247,#REF!,23,0),0)+IFERROR(VLOOKUP(A247,#REF!,11,0),0)+IFERROR(VLOOKUP(A247,#REF!,11,0),0)+IFERROR(VLOOKUP(A247,#REF!,11,0),0)</f>
        <v>0</v>
      </c>
      <c r="K247" s="96" t="str">
        <f>"07.02.24"</f>
        <v>07.02.24</v>
      </c>
    </row>
    <row r="248" spans="1:11" ht="11.25" customHeight="1" outlineLevel="1">
      <c r="A248" s="89" t="n">
        <v>30420</v>
      </c>
      <c r="B248" s="114" t="s">
        <v>211</v>
      </c>
      <c r="C248" s="89" t="s">
        <v>427</v>
      </c>
      <c r="D248" s="89" t="s">
        <v>407</v>
      </c>
      <c r="E248" s="89" t="s">
        <v>428</v>
      </c>
      <c r="F248" s="102" t="n">
        <v>800</v>
      </c>
      <c r="G248" s="102" t="n">
        <v>998</v>
      </c>
      <c r="H248" s="103" t="s">
        <v>48</v>
      </c>
      <c r="I248" s="103">
        <f>IFERROR(VLOOKUP(A248,#REF!,15,0),0)+IFERROR(VLOOKUP(A248,#REF!,25,0),0)+IFERROR(VLOOKUP(A248,#REF!,10,0),0)+IFERROR(VLOOKUP(A248,#REF!,14,0),0)+IFERROR(VLOOKUP(A248,#REF!,10,0),0)+IFERROR(VLOOKUP(A248,#REF!,10,0),0)+IFERROR(VLOOKUP(A248,#REF!,10,0),0)+IFERROR(VLOOKUP(A248,#REF!,9,0),0)+IFERROR(VLOOKUP(A248,#REF!,9,0),0)+IFERROR(VLOOKUP(A248,#REF!,9,0),0)+IFERROR(VLOOKUP(A248,#REF!,9,0),0)</f>
        <v>0</v>
      </c>
      <c r="J248" s="104">
        <f>IFERROR(VLOOKUP(A248,#REF!,16,0),0)+IFERROR(VLOOKUP(A248,#REF!,26,0),0)+IFERROR(VLOOKUP(A248,#REF!,11,0),0)+IFERROR(VLOOKUP(A248,#REF!,23,0),0)+IFERROR(VLOOKUP(A248,#REF!,11,0),0)+IFERROR(VLOOKUP(A248,#REF!,11,0),0)+IFERROR(VLOOKUP(A248,#REF!,11,0),0)</f>
        <v>0</v>
      </c>
      <c r="K248" s="96" t="str">
        <f>"07.02.24"</f>
        <v>07.02.24</v>
      </c>
    </row>
    <row r="249" spans="1:11" ht="11.25" customHeight="1" outlineLevel="1">
      <c r="A249" s="89" t="n">
        <v>30367</v>
      </c>
      <c r="B249" s="114" t="s">
        <v>211</v>
      </c>
      <c r="C249" s="89" t="s">
        <v>429</v>
      </c>
      <c r="D249" s="89" t="s">
        <v>15</v>
      </c>
      <c r="E249" s="89" t="s">
        <v>430</v>
      </c>
      <c r="F249" s="102" t="n">
        <v>457</v>
      </c>
      <c r="G249" s="102" t="n">
        <v>572</v>
      </c>
      <c r="H249" s="103" t="s">
        <v>48</v>
      </c>
      <c r="I249" s="103">
        <f>IFERROR(VLOOKUP(A249,#REF!,15,0),0)+IFERROR(VLOOKUP(A249,#REF!,25,0),0)+IFERROR(VLOOKUP(A249,#REF!,10,0),0)+IFERROR(VLOOKUP(A249,#REF!,14,0),0)+IFERROR(VLOOKUP(A249,#REF!,10,0),0)+IFERROR(VLOOKUP(A249,#REF!,10,0),0)+IFERROR(VLOOKUP(A249,#REF!,10,0),0)+IFERROR(VLOOKUP(A249,#REF!,9,0),0)+IFERROR(VLOOKUP(A249,#REF!,9,0),0)+IFERROR(VLOOKUP(A249,#REF!,9,0),0)+IFERROR(VLOOKUP(A249,#REF!,9,0),0)</f>
        <v>0</v>
      </c>
      <c r="J249" s="104">
        <f>IFERROR(VLOOKUP(A249,#REF!,16,0),0)+IFERROR(VLOOKUP(A249,#REF!,26,0),0)+IFERROR(VLOOKUP(A249,#REF!,11,0),0)+IFERROR(VLOOKUP(A249,#REF!,23,0),0)+IFERROR(VLOOKUP(A249,#REF!,11,0),0)+IFERROR(VLOOKUP(A249,#REF!,11,0),0)+IFERROR(VLOOKUP(A249,#REF!,11,0),0)</f>
        <v>0</v>
      </c>
      <c r="K249" s="96" t="str">
        <f>"07.02.24"</f>
        <v>07.02.24</v>
      </c>
    </row>
    <row r="250" spans="1:11" ht="11.25" customHeight="1" outlineLevel="1">
      <c r="A250" s="89" t="n">
        <v>30415</v>
      </c>
      <c r="B250" s="114" t="s">
        <v>211</v>
      </c>
      <c r="C250" s="89" t="s">
        <v>431</v>
      </c>
      <c r="D250" s="89" t="s">
        <v>407</v>
      </c>
      <c r="E250" s="89" t="s">
        <v>432</v>
      </c>
      <c r="F250" s="102" t="n">
        <v>576</v>
      </c>
      <c r="G250" s="102" t="n">
        <v>720</v>
      </c>
      <c r="H250" s="103" t="s">
        <v>48</v>
      </c>
      <c r="I250" s="103">
        <f>IFERROR(VLOOKUP(A250,#REF!,15,0),0)+IFERROR(VLOOKUP(A250,#REF!,25,0),0)+IFERROR(VLOOKUP(A250,#REF!,10,0),0)+IFERROR(VLOOKUP(A250,#REF!,14,0),0)+IFERROR(VLOOKUP(A250,#REF!,10,0),0)+IFERROR(VLOOKUP(A250,#REF!,10,0),0)+IFERROR(VLOOKUP(A250,#REF!,10,0),0)+IFERROR(VLOOKUP(A250,#REF!,9,0),0)+IFERROR(VLOOKUP(A250,#REF!,9,0),0)+IFERROR(VLOOKUP(A250,#REF!,9,0),0)+IFERROR(VLOOKUP(A250,#REF!,9,0),0)</f>
        <v>0</v>
      </c>
      <c r="J250" s="104">
        <f>IFERROR(VLOOKUP(A250,#REF!,16,0),0)+IFERROR(VLOOKUP(A250,#REF!,26,0),0)+IFERROR(VLOOKUP(A250,#REF!,11,0),0)+IFERROR(VLOOKUP(A250,#REF!,23,0),0)+IFERROR(VLOOKUP(A250,#REF!,11,0),0)+IFERROR(VLOOKUP(A250,#REF!,11,0),0)+IFERROR(VLOOKUP(A250,#REF!,11,0),0)</f>
        <v>0</v>
      </c>
      <c r="K250" s="96" t="str">
        <f>"07.02.24"</f>
        <v>07.02.24</v>
      </c>
    </row>
    <row r="251" spans="1:11" ht="11.25" customHeight="1" outlineLevel="1">
      <c r="A251" s="89" t="n">
        <v>31382</v>
      </c>
      <c r="B251" s="114" t="s">
        <v>211</v>
      </c>
      <c r="C251" s="89" t="s">
        <v>433</v>
      </c>
      <c r="D251" s="89" t="s">
        <v>407</v>
      </c>
      <c r="E251" s="89" t="s">
        <v>434</v>
      </c>
      <c r="F251" s="102" t="n">
        <v>1000</v>
      </c>
      <c r="G251" s="102" t="n">
        <v>1251</v>
      </c>
      <c r="H251" s="103" t="s">
        <v>17</v>
      </c>
      <c r="I251" s="103">
        <f>IFERROR(VLOOKUP(A251,#REF!,15,0),0)+IFERROR(VLOOKUP(A251,#REF!,25,0),0)+IFERROR(VLOOKUP(A251,#REF!,10,0),0)+IFERROR(VLOOKUP(A251,#REF!,14,0),0)+IFERROR(VLOOKUP(A251,#REF!,10,0),0)+IFERROR(VLOOKUP(A251,#REF!,10,0),0)+IFERROR(VLOOKUP(A251,#REF!,10,0),0)+IFERROR(VLOOKUP(A251,#REF!,9,0),0)+IFERROR(VLOOKUP(A251,#REF!,9,0),0)+IFERROR(VLOOKUP(A251,#REF!,9,0),0)+IFERROR(VLOOKUP(A251,#REF!,9,0),0)</f>
        <v>0</v>
      </c>
      <c r="J251" s="104">
        <f>IFERROR(VLOOKUP(A251,#REF!,16,0),0)+IFERROR(VLOOKUP(A251,#REF!,26,0),0)+IFERROR(VLOOKUP(A251,#REF!,11,0),0)+IFERROR(VLOOKUP(A251,#REF!,23,0),0)+IFERROR(VLOOKUP(A251,#REF!,11,0),0)+IFERROR(VLOOKUP(A251,#REF!,11,0),0)+IFERROR(VLOOKUP(A251,#REF!,11,0),0)</f>
        <v>0</v>
      </c>
      <c r="K251" s="96" t="str">
        <f>"07.02.24"</f>
        <v>07.02.24</v>
      </c>
    </row>
    <row r="252" spans="1:11" ht="11.25" customHeight="1" outlineLevel="1">
      <c r="A252" s="89" t="n">
        <v>30363</v>
      </c>
      <c r="B252" s="114" t="s">
        <v>211</v>
      </c>
      <c r="C252" s="89" t="s">
        <v>435</v>
      </c>
      <c r="D252" s="89" t="s">
        <v>15</v>
      </c>
      <c r="E252" s="89" t="s">
        <v>436</v>
      </c>
      <c r="F252" s="102" t="n">
        <v>139</v>
      </c>
      <c r="G252" s="102" t="n">
        <v>173</v>
      </c>
      <c r="H252" s="103" t="s">
        <v>48</v>
      </c>
      <c r="I252" s="103">
        <f>IFERROR(VLOOKUP(A252,#REF!,15,0),0)+IFERROR(VLOOKUP(A252,#REF!,25,0),0)+IFERROR(VLOOKUP(A252,#REF!,10,0),0)+IFERROR(VLOOKUP(A252,#REF!,14,0),0)+IFERROR(VLOOKUP(A252,#REF!,10,0),0)+IFERROR(VLOOKUP(A252,#REF!,10,0),0)+IFERROR(VLOOKUP(A252,#REF!,10,0),0)+IFERROR(VLOOKUP(A252,#REF!,9,0),0)+IFERROR(VLOOKUP(A252,#REF!,9,0),0)+IFERROR(VLOOKUP(A252,#REF!,9,0),0)+IFERROR(VLOOKUP(A252,#REF!,9,0),0)</f>
        <v>0</v>
      </c>
      <c r="J252" s="104">
        <f>IFERROR(VLOOKUP(A252,#REF!,16,0),0)+IFERROR(VLOOKUP(A252,#REF!,26,0),0)+IFERROR(VLOOKUP(A252,#REF!,11,0),0)+IFERROR(VLOOKUP(A252,#REF!,23,0),0)+IFERROR(VLOOKUP(A252,#REF!,11,0),0)+IFERROR(VLOOKUP(A252,#REF!,11,0),0)+IFERROR(VLOOKUP(A252,#REF!,11,0),0)</f>
        <v>0</v>
      </c>
      <c r="K252" s="96" t="str">
        <f>"07.02.24"</f>
        <v>07.02.24</v>
      </c>
    </row>
    <row r="253" spans="1:11" ht="11.25" customHeight="1" outlineLevel="1">
      <c r="A253" s="89" t="n">
        <v>30417</v>
      </c>
      <c r="B253" s="114" t="s">
        <v>211</v>
      </c>
      <c r="C253" s="89" t="s">
        <v>437</v>
      </c>
      <c r="D253" s="89" t="s">
        <v>407</v>
      </c>
      <c r="E253" s="89" t="s">
        <v>438</v>
      </c>
      <c r="F253" s="102" t="n">
        <v>670</v>
      </c>
      <c r="G253" s="102" t="n">
        <v>838</v>
      </c>
      <c r="H253" s="103" t="s">
        <v>17</v>
      </c>
      <c r="I253" s="103">
        <f>IFERROR(VLOOKUP(A253,#REF!,15,0),0)+IFERROR(VLOOKUP(A253,#REF!,25,0),0)+IFERROR(VLOOKUP(A253,#REF!,10,0),0)+IFERROR(VLOOKUP(A253,#REF!,14,0),0)+IFERROR(VLOOKUP(A253,#REF!,10,0),0)+IFERROR(VLOOKUP(A253,#REF!,10,0),0)+IFERROR(VLOOKUP(A253,#REF!,10,0),0)+IFERROR(VLOOKUP(A253,#REF!,9,0),0)+IFERROR(VLOOKUP(A253,#REF!,9,0),0)+IFERROR(VLOOKUP(A253,#REF!,9,0),0)+IFERROR(VLOOKUP(A253,#REF!,9,0),0)</f>
        <v>0</v>
      </c>
      <c r="J253" s="104">
        <f>IFERROR(VLOOKUP(A253,#REF!,16,0),0)+IFERROR(VLOOKUP(A253,#REF!,26,0),0)+IFERROR(VLOOKUP(A253,#REF!,11,0),0)+IFERROR(VLOOKUP(A253,#REF!,23,0),0)+IFERROR(VLOOKUP(A253,#REF!,11,0),0)+IFERROR(VLOOKUP(A253,#REF!,11,0),0)+IFERROR(VLOOKUP(A253,#REF!,11,0),0)</f>
        <v>0</v>
      </c>
      <c r="K253" s="96" t="str">
        <f>"07.02.24"</f>
        <v>07.02.24</v>
      </c>
    </row>
    <row r="254" spans="1:11" ht="11.25" customHeight="1" outlineLevel="1">
      <c r="A254" s="89" t="n">
        <v>31385</v>
      </c>
      <c r="B254" s="114" t="s">
        <v>211</v>
      </c>
      <c r="C254" s="89" t="s">
        <v>439</v>
      </c>
      <c r="D254" s="89" t="s">
        <v>407</v>
      </c>
      <c r="E254" s="89" t="s">
        <v>440</v>
      </c>
      <c r="F254" s="102" t="n">
        <v>933</v>
      </c>
      <c r="G254" s="102" t="n">
        <v>1166</v>
      </c>
      <c r="H254" s="103" t="s">
        <v>17</v>
      </c>
      <c r="I254" s="103">
        <f>IFERROR(VLOOKUP(A254,#REF!,15,0),0)+IFERROR(VLOOKUP(A254,#REF!,25,0),0)+IFERROR(VLOOKUP(A254,#REF!,10,0),0)+IFERROR(VLOOKUP(A254,#REF!,14,0),0)+IFERROR(VLOOKUP(A254,#REF!,10,0),0)+IFERROR(VLOOKUP(A254,#REF!,10,0),0)+IFERROR(VLOOKUP(A254,#REF!,10,0),0)+IFERROR(VLOOKUP(A254,#REF!,9,0),0)+IFERROR(VLOOKUP(A254,#REF!,9,0),0)+IFERROR(VLOOKUP(A254,#REF!,9,0),0)+IFERROR(VLOOKUP(A254,#REF!,9,0),0)</f>
        <v>0</v>
      </c>
      <c r="J254" s="104">
        <f>IFERROR(VLOOKUP(A254,#REF!,16,0),0)+IFERROR(VLOOKUP(A254,#REF!,26,0),0)+IFERROR(VLOOKUP(A254,#REF!,11,0),0)+IFERROR(VLOOKUP(A254,#REF!,23,0),0)+IFERROR(VLOOKUP(A254,#REF!,11,0),0)+IFERROR(VLOOKUP(A254,#REF!,11,0),0)+IFERROR(VLOOKUP(A254,#REF!,11,0),0)</f>
        <v>0</v>
      </c>
      <c r="K254" s="96" t="str">
        <f>"07.02.24"</f>
        <v>07.02.24</v>
      </c>
    </row>
    <row r="255" spans="1:11" ht="11.25" customHeight="1" outlineLevel="1">
      <c r="A255" s="89" t="n">
        <v>30428</v>
      </c>
      <c r="B255" s="114" t="s">
        <v>211</v>
      </c>
      <c r="C255" s="89" t="s">
        <v>441</v>
      </c>
      <c r="D255" s="89" t="s">
        <v>407</v>
      </c>
      <c r="E255" s="89" t="s">
        <v>442</v>
      </c>
      <c r="F255" s="102" t="n">
        <v>846</v>
      </c>
      <c r="G255" s="102" t="n">
        <v>1057</v>
      </c>
      <c r="H255" s="103" t="s">
        <v>48</v>
      </c>
      <c r="I255" s="103">
        <f>IFERROR(VLOOKUP(A255,#REF!,15,0),0)+IFERROR(VLOOKUP(A255,#REF!,25,0),0)+IFERROR(VLOOKUP(A255,#REF!,10,0),0)+IFERROR(VLOOKUP(A255,#REF!,14,0),0)+IFERROR(VLOOKUP(A255,#REF!,10,0),0)+IFERROR(VLOOKUP(A255,#REF!,10,0),0)+IFERROR(VLOOKUP(A255,#REF!,10,0),0)+IFERROR(VLOOKUP(A255,#REF!,9,0),0)+IFERROR(VLOOKUP(A255,#REF!,9,0),0)+IFERROR(VLOOKUP(A255,#REF!,9,0),0)+IFERROR(VLOOKUP(A255,#REF!,9,0),0)</f>
        <v>0</v>
      </c>
      <c r="J255" s="104">
        <f>IFERROR(VLOOKUP(A255,#REF!,16,0),0)+IFERROR(VLOOKUP(A255,#REF!,26,0),0)+IFERROR(VLOOKUP(A255,#REF!,11,0),0)+IFERROR(VLOOKUP(A255,#REF!,23,0),0)+IFERROR(VLOOKUP(A255,#REF!,11,0),0)+IFERROR(VLOOKUP(A255,#REF!,11,0),0)+IFERROR(VLOOKUP(A255,#REF!,11,0),0)</f>
        <v>0</v>
      </c>
      <c r="K255" s="96" t="str">
        <f>"07.02.24"</f>
        <v>07.02.24</v>
      </c>
    </row>
    <row r="256" spans="1:11" ht="11.25" customHeight="1" outlineLevel="1">
      <c r="A256" s="89" t="n">
        <v>30416</v>
      </c>
      <c r="B256" s="114" t="s">
        <v>211</v>
      </c>
      <c r="C256" s="89" t="s">
        <v>443</v>
      </c>
      <c r="D256" s="89" t="s">
        <v>407</v>
      </c>
      <c r="E256" s="89" t="s">
        <v>444</v>
      </c>
      <c r="F256" s="102" t="n">
        <v>616</v>
      </c>
      <c r="G256" s="102" t="n">
        <v>770</v>
      </c>
      <c r="H256" s="103" t="s">
        <v>17</v>
      </c>
      <c r="I256" s="103">
        <f>IFERROR(VLOOKUP(A256,#REF!,15,0),0)+IFERROR(VLOOKUP(A256,#REF!,25,0),0)+IFERROR(VLOOKUP(A256,#REF!,10,0),0)+IFERROR(VLOOKUP(A256,#REF!,14,0),0)+IFERROR(VLOOKUP(A256,#REF!,10,0),0)+IFERROR(VLOOKUP(A256,#REF!,10,0),0)+IFERROR(VLOOKUP(A256,#REF!,10,0),0)+IFERROR(VLOOKUP(A256,#REF!,9,0),0)+IFERROR(VLOOKUP(A256,#REF!,9,0),0)+IFERROR(VLOOKUP(A256,#REF!,9,0),0)+IFERROR(VLOOKUP(A256,#REF!,9,0),0)</f>
        <v>0</v>
      </c>
      <c r="J256" s="104">
        <f>IFERROR(VLOOKUP(A256,#REF!,16,0),0)+IFERROR(VLOOKUP(A256,#REF!,26,0),0)+IFERROR(VLOOKUP(A256,#REF!,11,0),0)+IFERROR(VLOOKUP(A256,#REF!,23,0),0)+IFERROR(VLOOKUP(A256,#REF!,11,0),0)+IFERROR(VLOOKUP(A256,#REF!,11,0),0)+IFERROR(VLOOKUP(A256,#REF!,11,0),0)</f>
        <v>0</v>
      </c>
      <c r="K256" s="96" t="str">
        <f>"07.02.24"</f>
        <v>07.02.24</v>
      </c>
    </row>
    <row r="257" spans="1:11" ht="11.25" customHeight="1" outlineLevel="1">
      <c r="A257" s="89" t="n">
        <v>30418</v>
      </c>
      <c r="B257" s="114" t="s">
        <v>211</v>
      </c>
      <c r="C257" s="89" t="s">
        <v>445</v>
      </c>
      <c r="D257" s="89" t="s">
        <v>407</v>
      </c>
      <c r="E257" s="89" t="s">
        <v>446</v>
      </c>
      <c r="F257" s="102" t="n">
        <v>739</v>
      </c>
      <c r="G257" s="102" t="n">
        <v>924</v>
      </c>
      <c r="H257" s="103" t="s">
        <v>17</v>
      </c>
      <c r="I257" s="103">
        <f>IFERROR(VLOOKUP(A257,#REF!,15,0),0)+IFERROR(VLOOKUP(A257,#REF!,25,0),0)+IFERROR(VLOOKUP(A257,#REF!,10,0),0)+IFERROR(VLOOKUP(A257,#REF!,14,0),0)+IFERROR(VLOOKUP(A257,#REF!,10,0),0)+IFERROR(VLOOKUP(A257,#REF!,10,0),0)+IFERROR(VLOOKUP(A257,#REF!,10,0),0)+IFERROR(VLOOKUP(A257,#REF!,9,0),0)+IFERROR(VLOOKUP(A257,#REF!,9,0),0)+IFERROR(VLOOKUP(A257,#REF!,9,0),0)+IFERROR(VLOOKUP(A257,#REF!,9,0),0)</f>
        <v>0</v>
      </c>
      <c r="J257" s="104">
        <f>IFERROR(VLOOKUP(A257,#REF!,16,0),0)+IFERROR(VLOOKUP(A257,#REF!,26,0),0)+IFERROR(VLOOKUP(A257,#REF!,11,0),0)+IFERROR(VLOOKUP(A257,#REF!,23,0),0)+IFERROR(VLOOKUP(A257,#REF!,11,0),0)+IFERROR(VLOOKUP(A257,#REF!,11,0),0)+IFERROR(VLOOKUP(A257,#REF!,11,0),0)</f>
        <v>0</v>
      </c>
      <c r="K257" s="96" t="str">
        <f>"07.02.24"</f>
        <v>07.02.24</v>
      </c>
    </row>
    <row r="258" spans="1:11" ht="11.25" customHeight="1" outlineLevel="1">
      <c r="A258" s="89" t="n">
        <v>30369</v>
      </c>
      <c r="B258" s="114" t="s">
        <v>211</v>
      </c>
      <c r="C258" s="89" t="s">
        <v>447</v>
      </c>
      <c r="D258" s="89" t="s">
        <v>407</v>
      </c>
      <c r="E258" s="89" t="s">
        <v>448</v>
      </c>
      <c r="F258" s="102" t="n">
        <v>1232</v>
      </c>
      <c r="G258" s="102" t="n">
        <v>1540</v>
      </c>
      <c r="H258" s="103" t="s">
        <v>17</v>
      </c>
      <c r="I258" s="103">
        <f>IFERROR(VLOOKUP(A258,#REF!,15,0),0)+IFERROR(VLOOKUP(A258,#REF!,25,0),0)+IFERROR(VLOOKUP(A258,#REF!,10,0),0)+IFERROR(VLOOKUP(A258,#REF!,14,0),0)+IFERROR(VLOOKUP(A258,#REF!,10,0),0)+IFERROR(VLOOKUP(A258,#REF!,10,0),0)+IFERROR(VLOOKUP(A258,#REF!,10,0),0)+IFERROR(VLOOKUP(A258,#REF!,9,0),0)+IFERROR(VLOOKUP(A258,#REF!,9,0),0)+IFERROR(VLOOKUP(A258,#REF!,9,0),0)+IFERROR(VLOOKUP(A258,#REF!,9,0),0)</f>
        <v>0</v>
      </c>
      <c r="J258" s="104">
        <f>IFERROR(VLOOKUP(A258,#REF!,16,0),0)+IFERROR(VLOOKUP(A258,#REF!,26,0),0)+IFERROR(VLOOKUP(A258,#REF!,11,0),0)+IFERROR(VLOOKUP(A258,#REF!,23,0),0)+IFERROR(VLOOKUP(A258,#REF!,11,0),0)+IFERROR(VLOOKUP(A258,#REF!,11,0),0)+IFERROR(VLOOKUP(A258,#REF!,11,0),0)</f>
        <v>0</v>
      </c>
      <c r="K258" s="96" t="str">
        <f>"07.02.24"</f>
        <v>07.02.24</v>
      </c>
    </row>
    <row r="259" spans="1:11" ht="11.25" customHeight="1" outlineLevel="1">
      <c r="A259" s="89" t="n">
        <v>31891</v>
      </c>
      <c r="B259" s="114" t="s">
        <v>211</v>
      </c>
      <c r="C259" s="89" t="s">
        <v>449</v>
      </c>
      <c r="D259" s="89" t="s">
        <v>407</v>
      </c>
      <c r="E259" s="89" t="s">
        <v>450</v>
      </c>
      <c r="F259" s="102" t="n">
        <v>1217</v>
      </c>
      <c r="G259" s="102" t="n">
        <v>1521</v>
      </c>
      <c r="H259" s="103" t="s">
        <v>48</v>
      </c>
      <c r="I259" s="103">
        <f>IFERROR(VLOOKUP(A259,#REF!,15,0),0)+IFERROR(VLOOKUP(A259,#REF!,25,0),0)+IFERROR(VLOOKUP(A259,#REF!,10,0),0)+IFERROR(VLOOKUP(A259,#REF!,14,0),0)+IFERROR(VLOOKUP(A259,#REF!,10,0),0)+IFERROR(VLOOKUP(A259,#REF!,10,0),0)+IFERROR(VLOOKUP(A259,#REF!,10,0),0)+IFERROR(VLOOKUP(A259,#REF!,9,0),0)+IFERROR(VLOOKUP(A259,#REF!,9,0),0)+IFERROR(VLOOKUP(A259,#REF!,9,0),0)+IFERROR(VLOOKUP(A259,#REF!,9,0),0)</f>
        <v>0</v>
      </c>
      <c r="J259" s="104">
        <f>IFERROR(VLOOKUP(A259,#REF!,16,0),0)+IFERROR(VLOOKUP(A259,#REF!,26,0),0)+IFERROR(VLOOKUP(A259,#REF!,11,0),0)+IFERROR(VLOOKUP(A259,#REF!,23,0),0)+IFERROR(VLOOKUP(A259,#REF!,11,0),0)+IFERROR(VLOOKUP(A259,#REF!,11,0),0)+IFERROR(VLOOKUP(A259,#REF!,11,0),0)</f>
        <v>0</v>
      </c>
      <c r="K259" s="96" t="str">
        <f>"07.02.24"</f>
        <v>07.02.24</v>
      </c>
    </row>
    <row r="260" spans="1:11" ht="11.25" customHeight="1" outlineLevel="1">
      <c r="A260" s="89" t="n">
        <v>30368</v>
      </c>
      <c r="B260" s="114" t="s">
        <v>211</v>
      </c>
      <c r="C260" s="89" t="s">
        <v>451</v>
      </c>
      <c r="D260" s="89" t="s">
        <v>15</v>
      </c>
      <c r="E260" s="89" t="s">
        <v>452</v>
      </c>
      <c r="F260" s="102" t="n">
        <v>739</v>
      </c>
      <c r="G260" s="102" t="n">
        <v>924</v>
      </c>
      <c r="H260" s="103" t="s">
        <v>48</v>
      </c>
      <c r="I260" s="103">
        <f>IFERROR(VLOOKUP(A260,#REF!,15,0),0)+IFERROR(VLOOKUP(A260,#REF!,25,0),0)+IFERROR(VLOOKUP(A260,#REF!,10,0),0)+IFERROR(VLOOKUP(A260,#REF!,14,0),0)+IFERROR(VLOOKUP(A260,#REF!,10,0),0)+IFERROR(VLOOKUP(A260,#REF!,10,0),0)+IFERROR(VLOOKUP(A260,#REF!,10,0),0)+IFERROR(VLOOKUP(A260,#REF!,9,0),0)+IFERROR(VLOOKUP(A260,#REF!,9,0),0)+IFERROR(VLOOKUP(A260,#REF!,9,0),0)+IFERROR(VLOOKUP(A260,#REF!,9,0),0)</f>
        <v>0</v>
      </c>
      <c r="J260" s="104">
        <f>IFERROR(VLOOKUP(A260,#REF!,16,0),0)+IFERROR(VLOOKUP(A260,#REF!,26,0),0)+IFERROR(VLOOKUP(A260,#REF!,11,0),0)+IFERROR(VLOOKUP(A260,#REF!,23,0),0)+IFERROR(VLOOKUP(A260,#REF!,11,0),0)+IFERROR(VLOOKUP(A260,#REF!,11,0),0)+IFERROR(VLOOKUP(A260,#REF!,11,0),0)</f>
        <v>0</v>
      </c>
      <c r="K260" s="96" t="str">
        <f>"07.02.24"</f>
        <v>07.02.24</v>
      </c>
    </row>
    <row r="261" spans="1:11" ht="11.25" customHeight="1" outlineLevel="1">
      <c r="A261" s="89" t="n">
        <v>31892</v>
      </c>
      <c r="B261" s="114" t="s">
        <v>211</v>
      </c>
      <c r="C261" s="89" t="s">
        <v>453</v>
      </c>
      <c r="D261" s="89" t="s">
        <v>407</v>
      </c>
      <c r="E261" s="89" t="s">
        <v>454</v>
      </c>
      <c r="F261" s="102" t="n">
        <v>1529</v>
      </c>
      <c r="G261" s="102" t="n">
        <v>1911</v>
      </c>
      <c r="H261" s="103" t="s">
        <v>48</v>
      </c>
      <c r="I261" s="103">
        <f>IFERROR(VLOOKUP(A261,#REF!,15,0),0)+IFERROR(VLOOKUP(A261,#REF!,25,0),0)+IFERROR(VLOOKUP(A261,#REF!,10,0),0)+IFERROR(VLOOKUP(A261,#REF!,14,0),0)+IFERROR(VLOOKUP(A261,#REF!,10,0),0)+IFERROR(VLOOKUP(A261,#REF!,10,0),0)+IFERROR(VLOOKUP(A261,#REF!,10,0),0)+IFERROR(VLOOKUP(A261,#REF!,9,0),0)+IFERROR(VLOOKUP(A261,#REF!,9,0),0)+IFERROR(VLOOKUP(A261,#REF!,9,0),0)+IFERROR(VLOOKUP(A261,#REF!,9,0),0)</f>
        <v>0</v>
      </c>
      <c r="J261" s="104">
        <f>IFERROR(VLOOKUP(A261,#REF!,16,0),0)+IFERROR(VLOOKUP(A261,#REF!,26,0),0)+IFERROR(VLOOKUP(A261,#REF!,11,0),0)+IFERROR(VLOOKUP(A261,#REF!,23,0),0)+IFERROR(VLOOKUP(A261,#REF!,11,0),0)+IFERROR(VLOOKUP(A261,#REF!,11,0),0)+IFERROR(VLOOKUP(A261,#REF!,11,0),0)</f>
        <v>0</v>
      </c>
      <c r="K261" s="96" t="str">
        <f>"07.02.24"</f>
        <v>07.02.24</v>
      </c>
    </row>
    <row r="262" spans="1:11" ht="11.25" customHeight="1" outlineLevel="1">
      <c r="A262" s="89" t="n">
        <v>31895</v>
      </c>
      <c r="B262" s="114" t="s">
        <v>211</v>
      </c>
      <c r="C262" s="89" t="s">
        <v>455</v>
      </c>
      <c r="D262" s="89" t="s">
        <v>407</v>
      </c>
      <c r="E262" s="89" t="s">
        <v>456</v>
      </c>
      <c r="F262" s="102" t="n">
        <v>1835</v>
      </c>
      <c r="G262" s="102" t="n">
        <v>2294</v>
      </c>
      <c r="H262" s="103" t="s">
        <v>48</v>
      </c>
      <c r="I262" s="103">
        <f>IFERROR(VLOOKUP(A262,#REF!,15,0),0)+IFERROR(VLOOKUP(A262,#REF!,25,0),0)+IFERROR(VLOOKUP(A262,#REF!,10,0),0)+IFERROR(VLOOKUP(A262,#REF!,14,0),0)+IFERROR(VLOOKUP(A262,#REF!,10,0),0)+IFERROR(VLOOKUP(A262,#REF!,10,0),0)+IFERROR(VLOOKUP(A262,#REF!,10,0),0)+IFERROR(VLOOKUP(A262,#REF!,9,0),0)+IFERROR(VLOOKUP(A262,#REF!,9,0),0)+IFERROR(VLOOKUP(A262,#REF!,9,0),0)+IFERROR(VLOOKUP(A262,#REF!,9,0),0)</f>
        <v>0</v>
      </c>
      <c r="J262" s="104">
        <f>IFERROR(VLOOKUP(A262,#REF!,16,0),0)+IFERROR(VLOOKUP(A262,#REF!,26,0),0)+IFERROR(VLOOKUP(A262,#REF!,11,0),0)+IFERROR(VLOOKUP(A262,#REF!,23,0),0)+IFERROR(VLOOKUP(A262,#REF!,11,0),0)+IFERROR(VLOOKUP(A262,#REF!,11,0),0)+IFERROR(VLOOKUP(A262,#REF!,11,0),0)</f>
        <v>0</v>
      </c>
      <c r="K262" s="96" t="str">
        <f>"07.02.24"</f>
        <v>07.02.24</v>
      </c>
    </row>
    <row r="263" spans="1:11" ht="11.25" customHeight="1" outlineLevel="1">
      <c r="A263" s="89" t="n">
        <v>30366</v>
      </c>
      <c r="B263" s="114" t="s">
        <v>211</v>
      </c>
      <c r="C263" s="89" t="s">
        <v>457</v>
      </c>
      <c r="D263" s="89" t="s">
        <v>15</v>
      </c>
      <c r="E263" s="89" t="s">
        <v>458</v>
      </c>
      <c r="F263" s="102" t="n">
        <v>1209</v>
      </c>
      <c r="G263" s="102" t="n">
        <v>1451</v>
      </c>
      <c r="H263" s="103" t="s">
        <v>48</v>
      </c>
      <c r="I263" s="103">
        <f>IFERROR(VLOOKUP(A263,#REF!,15,0),0)+IFERROR(VLOOKUP(A263,#REF!,25,0),0)+IFERROR(VLOOKUP(A263,#REF!,10,0),0)+IFERROR(VLOOKUP(A263,#REF!,14,0),0)+IFERROR(VLOOKUP(A263,#REF!,10,0),0)+IFERROR(VLOOKUP(A263,#REF!,10,0),0)+IFERROR(VLOOKUP(A263,#REF!,10,0),0)+IFERROR(VLOOKUP(A263,#REF!,9,0),0)+IFERROR(VLOOKUP(A263,#REF!,9,0),0)+IFERROR(VLOOKUP(A263,#REF!,9,0),0)+IFERROR(VLOOKUP(A263,#REF!,9,0),0)</f>
        <v>0</v>
      </c>
      <c r="J263" s="104">
        <f>IFERROR(VLOOKUP(A263,#REF!,16,0),0)+IFERROR(VLOOKUP(A263,#REF!,26,0),0)+IFERROR(VLOOKUP(A263,#REF!,11,0),0)+IFERROR(VLOOKUP(A263,#REF!,23,0),0)+IFERROR(VLOOKUP(A263,#REF!,11,0),0)+IFERROR(VLOOKUP(A263,#REF!,11,0),0)+IFERROR(VLOOKUP(A263,#REF!,11,0),0)</f>
        <v>0</v>
      </c>
      <c r="K263" s="96" t="str">
        <f>"07.02.24"</f>
        <v>07.02.24</v>
      </c>
    </row>
    <row r="264" spans="1:11" ht="11.25" customHeight="1" outlineLevel="1">
      <c r="A264" s="89" t="n">
        <v>637010</v>
      </c>
      <c r="B264" s="114" t="s">
        <v>211</v>
      </c>
      <c r="C264" s="89" t="s">
        <v>459</v>
      </c>
      <c r="D264" s="89" t="s">
        <v>15</v>
      </c>
      <c r="E264" s="89" t="s">
        <v>460</v>
      </c>
      <c r="F264" s="102" t="n">
        <v>1788</v>
      </c>
      <c r="G264" s="102" t="n">
        <v>2411</v>
      </c>
      <c r="H264" s="103" t="s">
        <v>17</v>
      </c>
      <c r="I264" s="103">
        <f>IFERROR(VLOOKUP(A264,#REF!,15,0),0)+IFERROR(VLOOKUP(A264,#REF!,25,0),0)+IFERROR(VLOOKUP(A264,#REF!,10,0),0)+IFERROR(VLOOKUP(A264,#REF!,14,0),0)+IFERROR(VLOOKUP(A264,#REF!,10,0),0)+IFERROR(VLOOKUP(A264,#REF!,10,0),0)+IFERROR(VLOOKUP(A264,#REF!,10,0),0)+IFERROR(VLOOKUP(A264,#REF!,9,0),0)+IFERROR(VLOOKUP(A264,#REF!,9,0),0)+IFERROR(VLOOKUP(A264,#REF!,9,0),0)+IFERROR(VLOOKUP(A264,#REF!,9,0),0)</f>
        <v>0</v>
      </c>
      <c r="J264" s="104">
        <f>IFERROR(VLOOKUP(A264,#REF!,16,0),0)+IFERROR(VLOOKUP(A264,#REF!,26,0),0)+IFERROR(VLOOKUP(A264,#REF!,11,0),0)+IFERROR(VLOOKUP(A264,#REF!,23,0),0)+IFERROR(VLOOKUP(A264,#REF!,11,0),0)+IFERROR(VLOOKUP(A264,#REF!,11,0),0)+IFERROR(VLOOKUP(A264,#REF!,11,0),0)</f>
        <v>0</v>
      </c>
      <c r="K264" s="96" t="str">
        <f>"07.02.24"</f>
        <v>07.02.24</v>
      </c>
    </row>
    <row r="265" spans="1:11" ht="11.25" customHeight="1" outlineLevel="1">
      <c r="A265" s="89" t="n">
        <v>30414</v>
      </c>
      <c r="B265" s="114" t="s">
        <v>211</v>
      </c>
      <c r="C265" s="89" t="s">
        <v>461</v>
      </c>
      <c r="D265" s="89" t="s">
        <v>407</v>
      </c>
      <c r="E265" s="89" t="s">
        <v>462</v>
      </c>
      <c r="F265" s="102" t="n">
        <v>528</v>
      </c>
      <c r="G265" s="102" t="n">
        <v>658</v>
      </c>
      <c r="H265" s="103" t="s">
        <v>48</v>
      </c>
      <c r="I265" s="103">
        <f>IFERROR(VLOOKUP(A265,#REF!,15,0),0)+IFERROR(VLOOKUP(A265,#REF!,25,0),0)+IFERROR(VLOOKUP(A265,#REF!,10,0),0)+IFERROR(VLOOKUP(A265,#REF!,14,0),0)+IFERROR(VLOOKUP(A265,#REF!,10,0),0)+IFERROR(VLOOKUP(A265,#REF!,10,0),0)+IFERROR(VLOOKUP(A265,#REF!,10,0),0)+IFERROR(VLOOKUP(A265,#REF!,9,0),0)+IFERROR(VLOOKUP(A265,#REF!,9,0),0)+IFERROR(VLOOKUP(A265,#REF!,9,0),0)+IFERROR(VLOOKUP(A265,#REF!,9,0),0)</f>
        <v>0</v>
      </c>
      <c r="J265" s="104">
        <f>IFERROR(VLOOKUP(A265,#REF!,16,0),0)+IFERROR(VLOOKUP(A265,#REF!,26,0),0)+IFERROR(VLOOKUP(A265,#REF!,11,0),0)+IFERROR(VLOOKUP(A265,#REF!,23,0),0)+IFERROR(VLOOKUP(A265,#REF!,11,0),0)+IFERROR(VLOOKUP(A265,#REF!,11,0),0)+IFERROR(VLOOKUP(A265,#REF!,11,0),0)</f>
        <v>0</v>
      </c>
      <c r="K265" s="96" t="str">
        <f>"07.02.24"</f>
        <v>07.02.24</v>
      </c>
    </row>
    <row r="266" spans="1:11" ht="11.25" customHeight="1" outlineLevel="1">
      <c r="A266" s="89" t="n">
        <v>31894</v>
      </c>
      <c r="B266" s="114" t="s">
        <v>211</v>
      </c>
      <c r="C266" s="89" t="s">
        <v>463</v>
      </c>
      <c r="D266" s="89" t="s">
        <v>407</v>
      </c>
      <c r="E266" s="89" t="s">
        <v>464</v>
      </c>
      <c r="F266" s="102" t="n">
        <v>1548</v>
      </c>
      <c r="G266" s="102" t="n">
        <v>1936</v>
      </c>
      <c r="H266" s="103" t="s">
        <v>48</v>
      </c>
      <c r="I266" s="103">
        <f>IFERROR(VLOOKUP(A266,#REF!,15,0),0)+IFERROR(VLOOKUP(A266,#REF!,25,0),0)+IFERROR(VLOOKUP(A266,#REF!,10,0),0)+IFERROR(VLOOKUP(A266,#REF!,14,0),0)+IFERROR(VLOOKUP(A266,#REF!,10,0),0)+IFERROR(VLOOKUP(A266,#REF!,10,0),0)+IFERROR(VLOOKUP(A266,#REF!,10,0),0)+IFERROR(VLOOKUP(A266,#REF!,9,0),0)+IFERROR(VLOOKUP(A266,#REF!,9,0),0)+IFERROR(VLOOKUP(A266,#REF!,9,0),0)+IFERROR(VLOOKUP(A266,#REF!,9,0),0)</f>
        <v>0</v>
      </c>
      <c r="J266" s="104">
        <f>IFERROR(VLOOKUP(A266,#REF!,16,0),0)+IFERROR(VLOOKUP(A266,#REF!,26,0),0)+IFERROR(VLOOKUP(A266,#REF!,11,0),0)+IFERROR(VLOOKUP(A266,#REF!,23,0),0)+IFERROR(VLOOKUP(A266,#REF!,11,0),0)+IFERROR(VLOOKUP(A266,#REF!,11,0),0)+IFERROR(VLOOKUP(A266,#REF!,11,0),0)</f>
        <v>0</v>
      </c>
      <c r="K266" s="96" t="str">
        <f>"07.02.24"</f>
        <v>07.02.24</v>
      </c>
    </row>
    <row r="267" spans="1:11" ht="11.25" customHeight="1" outlineLevel="1">
      <c r="A267" s="89" t="n">
        <v>35155</v>
      </c>
      <c r="B267" s="114" t="s">
        <v>211</v>
      </c>
      <c r="C267" s="89" t="s">
        <v>465</v>
      </c>
      <c r="D267" s="89" t="s">
        <v>15</v>
      </c>
      <c r="E267" s="89" t="s">
        <v>466</v>
      </c>
      <c r="F267" s="102" t="n">
        <v>758</v>
      </c>
      <c r="G267" s="102" t="n">
        <v>947</v>
      </c>
      <c r="H267" s="103" t="s">
        <v>17</v>
      </c>
      <c r="I267" s="103">
        <f>IFERROR(VLOOKUP(A267,#REF!,15,0),0)+IFERROR(VLOOKUP(A267,#REF!,25,0),0)+IFERROR(VLOOKUP(A267,#REF!,10,0),0)+IFERROR(VLOOKUP(A267,#REF!,14,0),0)+IFERROR(VLOOKUP(A267,#REF!,10,0),0)+IFERROR(VLOOKUP(A267,#REF!,10,0),0)+IFERROR(VLOOKUP(A267,#REF!,10,0),0)+IFERROR(VLOOKUP(A267,#REF!,9,0),0)+IFERROR(VLOOKUP(A267,#REF!,9,0),0)+IFERROR(VLOOKUP(A267,#REF!,9,0),0)+IFERROR(VLOOKUP(A267,#REF!,9,0),0)</f>
        <v>0</v>
      </c>
      <c r="J267" s="104">
        <f>IFERROR(VLOOKUP(A267,#REF!,16,0),0)+IFERROR(VLOOKUP(A267,#REF!,26,0),0)+IFERROR(VLOOKUP(A267,#REF!,11,0),0)+IFERROR(VLOOKUP(A267,#REF!,23,0),0)+IFERROR(VLOOKUP(A267,#REF!,11,0),0)+IFERROR(VLOOKUP(A267,#REF!,11,0),0)+IFERROR(VLOOKUP(A267,#REF!,11,0),0)</f>
        <v>0</v>
      </c>
      <c r="K267" s="96" t="str">
        <f>"07.02.24"</f>
        <v>07.02.24</v>
      </c>
    </row>
    <row r="268" spans="1:11" ht="11.25" customHeight="1" outlineLevel="1">
      <c r="A268" s="89" t="n">
        <v>637000</v>
      </c>
      <c r="B268" s="114" t="s">
        <v>211</v>
      </c>
      <c r="C268" s="89" t="s">
        <v>467</v>
      </c>
      <c r="D268" s="89" t="s">
        <v>15</v>
      </c>
      <c r="E268" s="89" t="s">
        <v>460</v>
      </c>
      <c r="F268" s="102" t="n">
        <v>2977</v>
      </c>
      <c r="G268" s="102" t="n">
        <v>4019</v>
      </c>
      <c r="H268" s="103" t="s">
        <v>17</v>
      </c>
      <c r="I268" s="103">
        <f>IFERROR(VLOOKUP(A268,#REF!,15,0),0)+IFERROR(VLOOKUP(A268,#REF!,25,0),0)+IFERROR(VLOOKUP(A268,#REF!,10,0),0)+IFERROR(VLOOKUP(A268,#REF!,14,0),0)+IFERROR(VLOOKUP(A268,#REF!,10,0),0)+IFERROR(VLOOKUP(A268,#REF!,10,0),0)+IFERROR(VLOOKUP(A268,#REF!,10,0),0)+IFERROR(VLOOKUP(A268,#REF!,9,0),0)+IFERROR(VLOOKUP(A268,#REF!,9,0),0)+IFERROR(VLOOKUP(A268,#REF!,9,0),0)+IFERROR(VLOOKUP(A268,#REF!,9,0),0)</f>
        <v>0</v>
      </c>
      <c r="J268" s="104">
        <f>IFERROR(VLOOKUP(A268,#REF!,16,0),0)+IFERROR(VLOOKUP(A268,#REF!,26,0),0)+IFERROR(VLOOKUP(A268,#REF!,11,0),0)+IFERROR(VLOOKUP(A268,#REF!,23,0),0)+IFERROR(VLOOKUP(A268,#REF!,11,0),0)+IFERROR(VLOOKUP(A268,#REF!,11,0),0)+IFERROR(VLOOKUP(A268,#REF!,11,0),0)</f>
        <v>0</v>
      </c>
      <c r="K268" s="96" t="str">
        <f>"07.02.24"</f>
        <v>07.02.24</v>
      </c>
    </row>
    <row r="269" spans="1:11" ht="11.25" customHeight="1" outlineLevel="1">
      <c r="A269" s="89" t="n">
        <v>31890</v>
      </c>
      <c r="B269" s="114" t="s">
        <v>211</v>
      </c>
      <c r="C269" s="89" t="s">
        <v>468</v>
      </c>
      <c r="D269" s="89" t="s">
        <v>407</v>
      </c>
      <c r="E269" s="89" t="s">
        <v>469</v>
      </c>
      <c r="F269" s="102" t="n">
        <v>1140</v>
      </c>
      <c r="G269" s="102" t="n">
        <v>1425</v>
      </c>
      <c r="H269" s="103" t="s">
        <v>17</v>
      </c>
      <c r="I269" s="103">
        <f>IFERROR(VLOOKUP(A269,#REF!,15,0),0)+IFERROR(VLOOKUP(A269,#REF!,25,0),0)+IFERROR(VLOOKUP(A269,#REF!,10,0),0)+IFERROR(VLOOKUP(A269,#REF!,14,0),0)+IFERROR(VLOOKUP(A269,#REF!,10,0),0)+IFERROR(VLOOKUP(A269,#REF!,10,0),0)+IFERROR(VLOOKUP(A269,#REF!,10,0),0)+IFERROR(VLOOKUP(A269,#REF!,9,0),0)+IFERROR(VLOOKUP(A269,#REF!,9,0),0)+IFERROR(VLOOKUP(A269,#REF!,9,0),0)+IFERROR(VLOOKUP(A269,#REF!,9,0),0)</f>
        <v>0</v>
      </c>
      <c r="J269" s="104">
        <f>IFERROR(VLOOKUP(A269,#REF!,16,0),0)+IFERROR(VLOOKUP(A269,#REF!,26,0),0)+IFERROR(VLOOKUP(A269,#REF!,11,0),0)+IFERROR(VLOOKUP(A269,#REF!,23,0),0)+IFERROR(VLOOKUP(A269,#REF!,11,0),0)+IFERROR(VLOOKUP(A269,#REF!,11,0),0)+IFERROR(VLOOKUP(A269,#REF!,11,0),0)</f>
        <v>0</v>
      </c>
      <c r="K269" s="96" t="str">
        <f>"07.02.24"</f>
        <v>07.02.24</v>
      </c>
    </row>
    <row r="270" spans="1:11" ht="11.25" customHeight="1" outlineLevel="1">
      <c r="A270" s="89" t="n">
        <v>7024630</v>
      </c>
      <c r="B270" s="114" t="s">
        <v>211</v>
      </c>
      <c r="C270" s="89" t="s">
        <v>470</v>
      </c>
      <c r="D270" s="89" t="s">
        <v>15</v>
      </c>
      <c r="E270" s="89" t="s">
        <v>471</v>
      </c>
      <c r="F270" s="102" t="n">
        <v>569</v>
      </c>
      <c r="G270" s="102" t="n">
        <v>709</v>
      </c>
      <c r="H270" s="103" t="s">
        <v>17</v>
      </c>
      <c r="I270" s="103">
        <f>IFERROR(VLOOKUP(A270,#REF!,15,0),0)+IFERROR(VLOOKUP(A270,#REF!,25,0),0)+IFERROR(VLOOKUP(A270,#REF!,10,0),0)+IFERROR(VLOOKUP(A270,#REF!,14,0),0)+IFERROR(VLOOKUP(A270,#REF!,10,0),0)+IFERROR(VLOOKUP(A270,#REF!,10,0),0)+IFERROR(VLOOKUP(A270,#REF!,10,0),0)+IFERROR(VLOOKUP(A270,#REF!,9,0),0)+IFERROR(VLOOKUP(A270,#REF!,9,0),0)+IFERROR(VLOOKUP(A270,#REF!,9,0),0)+IFERROR(VLOOKUP(A270,#REF!,9,0),0)</f>
        <v>0</v>
      </c>
      <c r="J270" s="104">
        <f>IFERROR(VLOOKUP(A270,#REF!,16,0),0)+IFERROR(VLOOKUP(A270,#REF!,26,0),0)+IFERROR(VLOOKUP(A270,#REF!,11,0),0)+IFERROR(VLOOKUP(A270,#REF!,23,0),0)+IFERROR(VLOOKUP(A270,#REF!,11,0),0)+IFERROR(VLOOKUP(A270,#REF!,11,0),0)+IFERROR(VLOOKUP(A270,#REF!,11,0),0)</f>
        <v>0</v>
      </c>
      <c r="K270" s="96" t="str">
        <f>"07.02.24"</f>
        <v>07.02.24</v>
      </c>
    </row>
    <row r="271" spans="1:11" ht="11.25" customHeight="1" outlineLevel="1">
      <c r="A271" s="89" t="n">
        <v>12274</v>
      </c>
      <c r="B271" s="114" t="s">
        <v>211</v>
      </c>
      <c r="C271" s="89" t="s">
        <v>472</v>
      </c>
      <c r="D271" s="89" t="s">
        <v>15</v>
      </c>
      <c r="E271" s="89" t="s">
        <v>473</v>
      </c>
      <c r="F271" s="102" t="n">
        <v>1042</v>
      </c>
      <c r="G271" s="102" t="n">
        <v>1302</v>
      </c>
      <c r="H271" s="103" t="s">
        <v>48</v>
      </c>
      <c r="I271" s="103">
        <f>IFERROR(VLOOKUP(A271,#REF!,15,0),0)+IFERROR(VLOOKUP(A271,#REF!,25,0),0)+IFERROR(VLOOKUP(A271,#REF!,10,0),0)+IFERROR(VLOOKUP(A271,#REF!,14,0),0)+IFERROR(VLOOKUP(A271,#REF!,10,0),0)+IFERROR(VLOOKUP(A271,#REF!,10,0),0)+IFERROR(VLOOKUP(A271,#REF!,10,0),0)+IFERROR(VLOOKUP(A271,#REF!,9,0),0)+IFERROR(VLOOKUP(A271,#REF!,9,0),0)+IFERROR(VLOOKUP(A271,#REF!,9,0),0)+IFERROR(VLOOKUP(A271,#REF!,9,0),0)</f>
        <v>0</v>
      </c>
      <c r="J271" s="104">
        <f>IFERROR(VLOOKUP(A271,#REF!,16,0),0)+IFERROR(VLOOKUP(A271,#REF!,26,0),0)+IFERROR(VLOOKUP(A271,#REF!,11,0),0)+IFERROR(VLOOKUP(A271,#REF!,23,0),0)+IFERROR(VLOOKUP(A271,#REF!,11,0),0)+IFERROR(VLOOKUP(A271,#REF!,11,0),0)+IFERROR(VLOOKUP(A271,#REF!,11,0),0)</f>
        <v>0</v>
      </c>
      <c r="K271" s="96" t="str">
        <f>"07.02.24"</f>
        <v>07.02.24</v>
      </c>
    </row>
    <row r="272" spans="1:11" ht="11.25" customHeight="1" outlineLevel="1">
      <c r="A272" s="89" t="n">
        <v>636990</v>
      </c>
      <c r="B272" s="114" t="s">
        <v>211</v>
      </c>
      <c r="C272" s="89" t="s">
        <v>474</v>
      </c>
      <c r="D272" s="89" t="s">
        <v>15</v>
      </c>
      <c r="E272" s="89" t="s">
        <v>475</v>
      </c>
      <c r="F272" s="102" t="n">
        <v>5943</v>
      </c>
      <c r="G272" s="102" t="n">
        <v>8024</v>
      </c>
      <c r="H272" s="103" t="s">
        <v>48</v>
      </c>
      <c r="I272" s="103">
        <f>IFERROR(VLOOKUP(A272,#REF!,15,0),0)+IFERROR(VLOOKUP(A272,#REF!,25,0),0)+IFERROR(VLOOKUP(A272,#REF!,10,0),0)+IFERROR(VLOOKUP(A272,#REF!,14,0),0)+IFERROR(VLOOKUP(A272,#REF!,10,0),0)+IFERROR(VLOOKUP(A272,#REF!,10,0),0)+IFERROR(VLOOKUP(A272,#REF!,10,0),0)+IFERROR(VLOOKUP(A272,#REF!,9,0),0)+IFERROR(VLOOKUP(A272,#REF!,9,0),0)+IFERROR(VLOOKUP(A272,#REF!,9,0),0)+IFERROR(VLOOKUP(A272,#REF!,9,0),0)</f>
        <v>0</v>
      </c>
      <c r="J272" s="104">
        <f>IFERROR(VLOOKUP(A272,#REF!,16,0),0)+IFERROR(VLOOKUP(A272,#REF!,26,0),0)+IFERROR(VLOOKUP(A272,#REF!,11,0),0)+IFERROR(VLOOKUP(A272,#REF!,23,0),0)+IFERROR(VLOOKUP(A272,#REF!,11,0),0)+IFERROR(VLOOKUP(A272,#REF!,11,0),0)+IFERROR(VLOOKUP(A272,#REF!,11,0),0)</f>
        <v>0</v>
      </c>
      <c r="K272" s="96" t="str">
        <f>"07.02.24"</f>
        <v>07.02.24</v>
      </c>
    </row>
    <row r="273" spans="1:11" ht="11.25" customHeight="1" outlineLevel="1">
      <c r="A273" s="89" t="n">
        <v>12275</v>
      </c>
      <c r="B273" s="114" t="s">
        <v>211</v>
      </c>
      <c r="C273" s="89" t="s">
        <v>476</v>
      </c>
      <c r="D273" s="89" t="s">
        <v>15</v>
      </c>
      <c r="E273" s="89" t="s">
        <v>477</v>
      </c>
      <c r="F273" s="102" t="n">
        <v>1512</v>
      </c>
      <c r="G273" s="102" t="n">
        <v>1890</v>
      </c>
      <c r="H273" s="103" t="s">
        <v>48</v>
      </c>
      <c r="I273" s="103">
        <f>IFERROR(VLOOKUP(A273,#REF!,15,0),0)+IFERROR(VLOOKUP(A273,#REF!,25,0),0)+IFERROR(VLOOKUP(A273,#REF!,10,0),0)+IFERROR(VLOOKUP(A273,#REF!,14,0),0)+IFERROR(VLOOKUP(A273,#REF!,10,0),0)+IFERROR(VLOOKUP(A273,#REF!,10,0),0)+IFERROR(VLOOKUP(A273,#REF!,10,0),0)+IFERROR(VLOOKUP(A273,#REF!,9,0),0)+IFERROR(VLOOKUP(A273,#REF!,9,0),0)+IFERROR(VLOOKUP(A273,#REF!,9,0),0)+IFERROR(VLOOKUP(A273,#REF!,9,0),0)</f>
        <v>0</v>
      </c>
      <c r="J273" s="104">
        <f>IFERROR(VLOOKUP(A273,#REF!,16,0),0)+IFERROR(VLOOKUP(A273,#REF!,26,0),0)+IFERROR(VLOOKUP(A273,#REF!,11,0),0)+IFERROR(VLOOKUP(A273,#REF!,23,0),0)+IFERROR(VLOOKUP(A273,#REF!,11,0),0)+IFERROR(VLOOKUP(A273,#REF!,11,0),0)+IFERROR(VLOOKUP(A273,#REF!,11,0),0)</f>
        <v>0</v>
      </c>
      <c r="K273" s="96" t="str">
        <f>"07.02.24"</f>
        <v>07.02.24</v>
      </c>
    </row>
    <row r="274" spans="1:11" ht="11.25" customHeight="1" outlineLevel="1">
      <c r="A274" s="89" t="n">
        <v>11224</v>
      </c>
      <c r="B274" s="114" t="s">
        <v>211</v>
      </c>
      <c r="C274" s="89" t="s">
        <v>478</v>
      </c>
      <c r="D274" s="89" t="s">
        <v>15</v>
      </c>
      <c r="E274" s="89" t="s">
        <v>479</v>
      </c>
      <c r="F274" s="102" t="n">
        <v>730</v>
      </c>
      <c r="G274" s="102" t="n">
        <v>912</v>
      </c>
      <c r="H274" s="103" t="s">
        <v>17</v>
      </c>
      <c r="I274" s="103">
        <f>IFERROR(VLOOKUP(A274,#REF!,15,0),0)+IFERROR(VLOOKUP(A274,#REF!,25,0),0)+IFERROR(VLOOKUP(A274,#REF!,10,0),0)+IFERROR(VLOOKUP(A274,#REF!,14,0),0)+IFERROR(VLOOKUP(A274,#REF!,10,0),0)+IFERROR(VLOOKUP(A274,#REF!,10,0),0)+IFERROR(VLOOKUP(A274,#REF!,10,0),0)+IFERROR(VLOOKUP(A274,#REF!,9,0),0)+IFERROR(VLOOKUP(A274,#REF!,9,0),0)+IFERROR(VLOOKUP(A274,#REF!,9,0),0)+IFERROR(VLOOKUP(A274,#REF!,9,0),0)</f>
        <v>0</v>
      </c>
      <c r="J274" s="104">
        <f>IFERROR(VLOOKUP(A274,#REF!,16,0),0)+IFERROR(VLOOKUP(A274,#REF!,26,0),0)+IFERROR(VLOOKUP(A274,#REF!,11,0),0)+IFERROR(VLOOKUP(A274,#REF!,23,0),0)+IFERROR(VLOOKUP(A274,#REF!,11,0),0)+IFERROR(VLOOKUP(A274,#REF!,11,0),0)+IFERROR(VLOOKUP(A274,#REF!,11,0),0)</f>
        <v>0</v>
      </c>
      <c r="K274" s="96" t="str">
        <f>"07.02.24"</f>
        <v>07.02.24</v>
      </c>
    </row>
    <row r="275" spans="1:11" ht="11.25" customHeight="1" outlineLevel="1">
      <c r="A275" s="89" t="n">
        <v>7354</v>
      </c>
      <c r="B275" s="114" t="s">
        <v>211</v>
      </c>
      <c r="C275" s="89" t="s">
        <v>480</v>
      </c>
      <c r="D275" s="89" t="s">
        <v>15</v>
      </c>
      <c r="E275" s="89" t="s">
        <v>481</v>
      </c>
      <c r="F275" s="102" t="n">
        <v>1650</v>
      </c>
      <c r="G275" s="102" t="n">
        <v>2228</v>
      </c>
      <c r="H275" s="103" t="s">
        <v>17</v>
      </c>
      <c r="I275" s="103">
        <f>IFERROR(VLOOKUP(A275,#REF!,15,0),0)+IFERROR(VLOOKUP(A275,#REF!,25,0),0)+IFERROR(VLOOKUP(A275,#REF!,10,0),0)+IFERROR(VLOOKUP(A275,#REF!,14,0),0)+IFERROR(VLOOKUP(A275,#REF!,10,0),0)+IFERROR(VLOOKUP(A275,#REF!,10,0),0)+IFERROR(VLOOKUP(A275,#REF!,10,0),0)+IFERROR(VLOOKUP(A275,#REF!,9,0),0)+IFERROR(VLOOKUP(A275,#REF!,9,0),0)+IFERROR(VLOOKUP(A275,#REF!,9,0),0)+IFERROR(VLOOKUP(A275,#REF!,9,0),0)</f>
        <v>0</v>
      </c>
      <c r="J275" s="104">
        <f>IFERROR(VLOOKUP(A275,#REF!,16,0),0)+IFERROR(VLOOKUP(A275,#REF!,26,0),0)+IFERROR(VLOOKUP(A275,#REF!,11,0),0)+IFERROR(VLOOKUP(A275,#REF!,23,0),0)+IFERROR(VLOOKUP(A275,#REF!,11,0),0)+IFERROR(VLOOKUP(A275,#REF!,11,0),0)+IFERROR(VLOOKUP(A275,#REF!,11,0),0)</f>
        <v>0</v>
      </c>
      <c r="K275" s="96" t="str">
        <f>"07.02.24"</f>
        <v>07.02.24</v>
      </c>
    </row>
    <row r="276" spans="1:11" ht="11.25" customHeight="1" outlineLevel="1">
      <c r="A276" s="89" t="n">
        <v>20019</v>
      </c>
      <c r="B276" s="114" t="s">
        <v>211</v>
      </c>
      <c r="C276" s="89" t="s">
        <v>482</v>
      </c>
      <c r="D276" s="89" t="s">
        <v>15</v>
      </c>
      <c r="E276" s="89" t="s">
        <v>483</v>
      </c>
      <c r="F276" s="102" t="n">
        <v>825</v>
      </c>
      <c r="G276" s="102" t="n">
        <v>1028</v>
      </c>
      <c r="H276" s="103" t="s">
        <v>48</v>
      </c>
      <c r="I276" s="103">
        <f>IFERROR(VLOOKUP(A276,#REF!,15,0),0)+IFERROR(VLOOKUP(A276,#REF!,25,0),0)+IFERROR(VLOOKUP(A276,#REF!,10,0),0)+IFERROR(VLOOKUP(A276,#REF!,14,0),0)+IFERROR(VLOOKUP(A276,#REF!,10,0),0)+IFERROR(VLOOKUP(A276,#REF!,10,0),0)+IFERROR(VLOOKUP(A276,#REF!,10,0),0)+IFERROR(VLOOKUP(A276,#REF!,9,0),0)+IFERROR(VLOOKUP(A276,#REF!,9,0),0)+IFERROR(VLOOKUP(A276,#REF!,9,0),0)+IFERROR(VLOOKUP(A276,#REF!,9,0),0)</f>
        <v>0</v>
      </c>
      <c r="J276" s="104">
        <f>IFERROR(VLOOKUP(A276,#REF!,16,0),0)+IFERROR(VLOOKUP(A276,#REF!,26,0),0)+IFERROR(VLOOKUP(A276,#REF!,11,0),0)+IFERROR(VLOOKUP(A276,#REF!,23,0),0)+IFERROR(VLOOKUP(A276,#REF!,11,0),0)+IFERROR(VLOOKUP(A276,#REF!,11,0),0)+IFERROR(VLOOKUP(A276,#REF!,11,0),0)</f>
        <v>0</v>
      </c>
      <c r="K276" s="96" t="str">
        <f>"07.02.24"</f>
        <v>07.02.24</v>
      </c>
    </row>
    <row r="277" spans="1:11" ht="11.25" customHeight="1" outlineLevel="1">
      <c r="A277" s="89" t="n">
        <v>636970</v>
      </c>
      <c r="B277" s="114" t="s">
        <v>211</v>
      </c>
      <c r="C277" s="89" t="s">
        <v>484</v>
      </c>
      <c r="D277" s="89" t="s">
        <v>15</v>
      </c>
      <c r="E277" s="89" t="s">
        <v>485</v>
      </c>
      <c r="F277" s="102" t="n">
        <v>13174</v>
      </c>
      <c r="G277" s="102" t="n">
        <v>17784</v>
      </c>
      <c r="H277" s="103" t="s">
        <v>17</v>
      </c>
      <c r="I277" s="103">
        <f>IFERROR(VLOOKUP(A277,#REF!,15,0),0)+IFERROR(VLOOKUP(A277,#REF!,25,0),0)+IFERROR(VLOOKUP(A277,#REF!,10,0),0)+IFERROR(VLOOKUP(A277,#REF!,14,0),0)+IFERROR(VLOOKUP(A277,#REF!,10,0),0)+IFERROR(VLOOKUP(A277,#REF!,10,0),0)+IFERROR(VLOOKUP(A277,#REF!,10,0),0)+IFERROR(VLOOKUP(A277,#REF!,9,0),0)+IFERROR(VLOOKUP(A277,#REF!,9,0),0)+IFERROR(VLOOKUP(A277,#REF!,9,0),0)+IFERROR(VLOOKUP(A277,#REF!,9,0),0)</f>
        <v>0</v>
      </c>
      <c r="J277" s="104">
        <f>IFERROR(VLOOKUP(A277,#REF!,16,0),0)+IFERROR(VLOOKUP(A277,#REF!,26,0),0)+IFERROR(VLOOKUP(A277,#REF!,11,0),0)+IFERROR(VLOOKUP(A277,#REF!,23,0),0)+IFERROR(VLOOKUP(A277,#REF!,11,0),0)+IFERROR(VLOOKUP(A277,#REF!,11,0),0)+IFERROR(VLOOKUP(A277,#REF!,11,0),0)</f>
        <v>0</v>
      </c>
      <c r="K277" s="96" t="str">
        <f>"07.02.24"</f>
        <v>07.02.24</v>
      </c>
    </row>
    <row r="278" spans="1:11" ht="11.25" customHeight="1" outlineLevel="1">
      <c r="A278" s="89" t="n">
        <v>30449</v>
      </c>
      <c r="B278" s="114" t="s">
        <v>211</v>
      </c>
      <c r="C278" s="89" t="s">
        <v>486</v>
      </c>
      <c r="D278" s="89" t="s">
        <v>407</v>
      </c>
      <c r="E278" s="89" t="s">
        <v>487</v>
      </c>
      <c r="F278" s="102" t="n">
        <v>766</v>
      </c>
      <c r="G278" s="102" t="n">
        <v>956</v>
      </c>
      <c r="H278" s="103" t="s">
        <v>17</v>
      </c>
      <c r="I278" s="103">
        <f>IFERROR(VLOOKUP(A278,#REF!,15,0),0)+IFERROR(VLOOKUP(A278,#REF!,25,0),0)+IFERROR(VLOOKUP(A278,#REF!,10,0),0)+IFERROR(VLOOKUP(A278,#REF!,14,0),0)+IFERROR(VLOOKUP(A278,#REF!,10,0),0)+IFERROR(VLOOKUP(A278,#REF!,10,0),0)+IFERROR(VLOOKUP(A278,#REF!,10,0),0)+IFERROR(VLOOKUP(A278,#REF!,9,0),0)+IFERROR(VLOOKUP(A278,#REF!,9,0),0)+IFERROR(VLOOKUP(A278,#REF!,9,0),0)+IFERROR(VLOOKUP(A278,#REF!,9,0),0)</f>
        <v>0</v>
      </c>
      <c r="J278" s="104">
        <f>IFERROR(VLOOKUP(A278,#REF!,16,0),0)+IFERROR(VLOOKUP(A278,#REF!,26,0),0)+IFERROR(VLOOKUP(A278,#REF!,11,0),0)+IFERROR(VLOOKUP(A278,#REF!,23,0),0)+IFERROR(VLOOKUP(A278,#REF!,11,0),0)+IFERROR(VLOOKUP(A278,#REF!,11,0),0)+IFERROR(VLOOKUP(A278,#REF!,11,0),0)</f>
        <v>0</v>
      </c>
      <c r="K278" s="96" t="str">
        <f>"07.02.24"</f>
        <v>07.02.24</v>
      </c>
    </row>
    <row r="279" spans="1:11" ht="11.25" customHeight="1" outlineLevel="1">
      <c r="A279" s="89" t="n">
        <v>881140</v>
      </c>
      <c r="B279" s="114" t="s">
        <v>211</v>
      </c>
      <c r="C279" s="89" t="s">
        <v>488</v>
      </c>
      <c r="D279" s="89" t="s">
        <v>407</v>
      </c>
      <c r="E279" s="89" t="s">
        <v>489</v>
      </c>
      <c r="F279" s="102" t="n">
        <v>10028</v>
      </c>
      <c r="G279" s="102" t="n">
        <v>12535</v>
      </c>
      <c r="H279" s="103" t="s">
        <v>17</v>
      </c>
      <c r="I279" s="103">
        <f>IFERROR(VLOOKUP(A279,#REF!,15,0),0)+IFERROR(VLOOKUP(A279,#REF!,25,0),0)+IFERROR(VLOOKUP(A279,#REF!,10,0),0)+IFERROR(VLOOKUP(A279,#REF!,14,0),0)+IFERROR(VLOOKUP(A279,#REF!,10,0),0)+IFERROR(VLOOKUP(A279,#REF!,10,0),0)+IFERROR(VLOOKUP(A279,#REF!,10,0),0)+IFERROR(VLOOKUP(A279,#REF!,9,0),0)+IFERROR(VLOOKUP(A279,#REF!,9,0),0)+IFERROR(VLOOKUP(A279,#REF!,9,0),0)+IFERROR(VLOOKUP(A279,#REF!,9,0),0)</f>
        <v>0</v>
      </c>
      <c r="J279" s="104">
        <f>IFERROR(VLOOKUP(A279,#REF!,16,0),0)+IFERROR(VLOOKUP(A279,#REF!,26,0),0)+IFERROR(VLOOKUP(A279,#REF!,11,0),0)+IFERROR(VLOOKUP(A279,#REF!,23,0),0)+IFERROR(VLOOKUP(A279,#REF!,11,0),0)+IFERROR(VLOOKUP(A279,#REF!,11,0),0)+IFERROR(VLOOKUP(A279,#REF!,11,0),0)</f>
        <v>0</v>
      </c>
      <c r="K279" s="96" t="str">
        <f>"07.02.24"</f>
        <v>07.02.24</v>
      </c>
    </row>
    <row r="280" spans="1:11" ht="11.25" customHeight="1" outlineLevel="1">
      <c r="A280" s="89" t="n">
        <v>636980</v>
      </c>
      <c r="B280" s="114" t="s">
        <v>211</v>
      </c>
      <c r="C280" s="89" t="s">
        <v>490</v>
      </c>
      <c r="D280" s="89" t="s">
        <v>15</v>
      </c>
      <c r="E280" s="89" t="s">
        <v>475</v>
      </c>
      <c r="F280" s="102" t="n">
        <v>10160</v>
      </c>
      <c r="G280" s="102" t="n">
        <v>13717</v>
      </c>
      <c r="H280" s="103" t="s">
        <v>48</v>
      </c>
      <c r="I280" s="103">
        <f>IFERROR(VLOOKUP(A280,#REF!,15,0),0)+IFERROR(VLOOKUP(A280,#REF!,25,0),0)+IFERROR(VLOOKUP(A280,#REF!,10,0),0)+IFERROR(VLOOKUP(A280,#REF!,14,0),0)+IFERROR(VLOOKUP(A280,#REF!,10,0),0)+IFERROR(VLOOKUP(A280,#REF!,10,0),0)+IFERROR(VLOOKUP(A280,#REF!,10,0),0)+IFERROR(VLOOKUP(A280,#REF!,9,0),0)+IFERROR(VLOOKUP(A280,#REF!,9,0),0)+IFERROR(VLOOKUP(A280,#REF!,9,0),0)+IFERROR(VLOOKUP(A280,#REF!,9,0),0)</f>
        <v>0</v>
      </c>
      <c r="J280" s="104">
        <f>IFERROR(VLOOKUP(A280,#REF!,16,0),0)+IFERROR(VLOOKUP(A280,#REF!,26,0),0)+IFERROR(VLOOKUP(A280,#REF!,11,0),0)+IFERROR(VLOOKUP(A280,#REF!,23,0),0)+IFERROR(VLOOKUP(A280,#REF!,11,0),0)+IFERROR(VLOOKUP(A280,#REF!,11,0),0)+IFERROR(VLOOKUP(A280,#REF!,11,0),0)</f>
        <v>0</v>
      </c>
      <c r="K280" s="96" t="str">
        <f>"07.02.24"</f>
        <v>07.02.24</v>
      </c>
    </row>
    <row r="281" spans="1:11" ht="11.25" customHeight="1" outlineLevel="1">
      <c r="A281" s="89" t="n">
        <v>881160</v>
      </c>
      <c r="B281" s="114" t="s">
        <v>211</v>
      </c>
      <c r="C281" s="89" t="s">
        <v>491</v>
      </c>
      <c r="D281" s="89" t="s">
        <v>407</v>
      </c>
      <c r="E281" s="89" t="s">
        <v>492</v>
      </c>
      <c r="F281" s="102" t="n">
        <v>13810</v>
      </c>
      <c r="G281" s="102" t="n">
        <v>17264</v>
      </c>
      <c r="H281" s="103" t="s">
        <v>17</v>
      </c>
      <c r="I281" s="103">
        <f>IFERROR(VLOOKUP(A281,#REF!,15,0),0)+IFERROR(VLOOKUP(A281,#REF!,25,0),0)+IFERROR(VLOOKUP(A281,#REF!,10,0),0)+IFERROR(VLOOKUP(A281,#REF!,14,0),0)+IFERROR(VLOOKUP(A281,#REF!,10,0),0)+IFERROR(VLOOKUP(A281,#REF!,10,0),0)+IFERROR(VLOOKUP(A281,#REF!,10,0),0)+IFERROR(VLOOKUP(A281,#REF!,9,0),0)+IFERROR(VLOOKUP(A281,#REF!,9,0),0)+IFERROR(VLOOKUP(A281,#REF!,9,0),0)+IFERROR(VLOOKUP(A281,#REF!,9,0),0)</f>
        <v>0</v>
      </c>
      <c r="J281" s="104">
        <f>IFERROR(VLOOKUP(A281,#REF!,16,0),0)+IFERROR(VLOOKUP(A281,#REF!,26,0),0)+IFERROR(VLOOKUP(A281,#REF!,11,0),0)+IFERROR(VLOOKUP(A281,#REF!,23,0),0)+IFERROR(VLOOKUP(A281,#REF!,11,0),0)+IFERROR(VLOOKUP(A281,#REF!,11,0),0)+IFERROR(VLOOKUP(A281,#REF!,11,0),0)</f>
        <v>0</v>
      </c>
      <c r="K281" s="96" t="str">
        <f>"07.02.24"</f>
        <v>07.02.24</v>
      </c>
    </row>
    <row r="282" spans="1:11" ht="11.25" customHeight="1" outlineLevel="1">
      <c r="A282" s="89" t="n">
        <v>31888</v>
      </c>
      <c r="B282" s="114" t="s">
        <v>211</v>
      </c>
      <c r="C282" s="89" t="s">
        <v>493</v>
      </c>
      <c r="D282" s="89" t="s">
        <v>407</v>
      </c>
      <c r="E282" s="89" t="s">
        <v>494</v>
      </c>
      <c r="F282" s="102" t="n">
        <v>865</v>
      </c>
      <c r="G282" s="102" t="n">
        <v>1080</v>
      </c>
      <c r="H282" s="103" t="s">
        <v>17</v>
      </c>
      <c r="I282" s="103">
        <f>IFERROR(VLOOKUP(A282,#REF!,15,0),0)+IFERROR(VLOOKUP(A282,#REF!,25,0),0)+IFERROR(VLOOKUP(A282,#REF!,10,0),0)+IFERROR(VLOOKUP(A282,#REF!,14,0),0)+IFERROR(VLOOKUP(A282,#REF!,10,0),0)+IFERROR(VLOOKUP(A282,#REF!,10,0),0)+IFERROR(VLOOKUP(A282,#REF!,10,0),0)+IFERROR(VLOOKUP(A282,#REF!,9,0),0)+IFERROR(VLOOKUP(A282,#REF!,9,0),0)+IFERROR(VLOOKUP(A282,#REF!,9,0),0)+IFERROR(VLOOKUP(A282,#REF!,9,0),0)</f>
        <v>0</v>
      </c>
      <c r="J282" s="104">
        <f>IFERROR(VLOOKUP(A282,#REF!,16,0),0)+IFERROR(VLOOKUP(A282,#REF!,26,0),0)+IFERROR(VLOOKUP(A282,#REF!,11,0),0)+IFERROR(VLOOKUP(A282,#REF!,23,0),0)+IFERROR(VLOOKUP(A282,#REF!,11,0),0)+IFERROR(VLOOKUP(A282,#REF!,11,0),0)+IFERROR(VLOOKUP(A282,#REF!,11,0),0)</f>
        <v>0</v>
      </c>
      <c r="K282" s="96" t="str">
        <f>"07.02.24"</f>
        <v>07.02.24</v>
      </c>
    </row>
    <row r="283" spans="1:11" ht="11.25" customHeight="1" outlineLevel="1">
      <c r="A283" s="89" t="n">
        <v>3634450</v>
      </c>
      <c r="B283" s="114" t="s">
        <v>211</v>
      </c>
      <c r="C283" s="89" t="s">
        <v>495</v>
      </c>
      <c r="D283" s="89" t="s">
        <v>15</v>
      </c>
      <c r="E283" s="89" t="s">
        <v>496</v>
      </c>
      <c r="F283" s="102" t="n">
        <v>9268</v>
      </c>
      <c r="G283" s="102" t="n">
        <v>11584</v>
      </c>
      <c r="H283" s="103" t="s">
        <v>17</v>
      </c>
      <c r="I283" s="103">
        <f>IFERROR(VLOOKUP(A283,#REF!,15,0),0)+IFERROR(VLOOKUP(A283,#REF!,25,0),0)+IFERROR(VLOOKUP(A283,#REF!,10,0),0)+IFERROR(VLOOKUP(A283,#REF!,14,0),0)+IFERROR(VLOOKUP(A283,#REF!,10,0),0)+IFERROR(VLOOKUP(A283,#REF!,10,0),0)+IFERROR(VLOOKUP(A283,#REF!,10,0),0)+IFERROR(VLOOKUP(A283,#REF!,9,0),0)+IFERROR(VLOOKUP(A283,#REF!,9,0),0)+IFERROR(VLOOKUP(A283,#REF!,9,0),0)+IFERROR(VLOOKUP(A283,#REF!,9,0),0)</f>
        <v>0</v>
      </c>
      <c r="J283" s="104">
        <f>IFERROR(VLOOKUP(A283,#REF!,16,0),0)+IFERROR(VLOOKUP(A283,#REF!,26,0),0)+IFERROR(VLOOKUP(A283,#REF!,11,0),0)+IFERROR(VLOOKUP(A283,#REF!,23,0),0)+IFERROR(VLOOKUP(A283,#REF!,11,0),0)+IFERROR(VLOOKUP(A283,#REF!,11,0),0)+IFERROR(VLOOKUP(A283,#REF!,11,0),0)</f>
        <v>0</v>
      </c>
      <c r="K283" s="96" t="str">
        <f>"07.02.24"</f>
        <v>07.02.24</v>
      </c>
    </row>
    <row r="284" spans="1:11" ht="11.25" customHeight="1" outlineLevel="1">
      <c r="A284" s="89" t="n">
        <v>31899</v>
      </c>
      <c r="B284" s="114" t="s">
        <v>211</v>
      </c>
      <c r="C284" s="89" t="s">
        <v>497</v>
      </c>
      <c r="D284" s="89" t="s">
        <v>407</v>
      </c>
      <c r="E284" s="89"/>
      <c r="F284" s="102" t="n">
        <v>582</v>
      </c>
      <c r="G284" s="102" t="n">
        <v>728</v>
      </c>
      <c r="H284" s="103" t="s">
        <v>17</v>
      </c>
      <c r="I284" s="103">
        <f>IFERROR(VLOOKUP(A284,#REF!,15,0),0)+IFERROR(VLOOKUP(A284,#REF!,25,0),0)+IFERROR(VLOOKUP(A284,#REF!,10,0),0)+IFERROR(VLOOKUP(A284,#REF!,14,0),0)+IFERROR(VLOOKUP(A284,#REF!,10,0),0)+IFERROR(VLOOKUP(A284,#REF!,10,0),0)+IFERROR(VLOOKUP(A284,#REF!,10,0),0)+IFERROR(VLOOKUP(A284,#REF!,9,0),0)+IFERROR(VLOOKUP(A284,#REF!,9,0),0)+IFERROR(VLOOKUP(A284,#REF!,9,0),0)+IFERROR(VLOOKUP(A284,#REF!,9,0),0)</f>
        <v>0</v>
      </c>
      <c r="J284" s="104">
        <f>IFERROR(VLOOKUP(A284,#REF!,16,0),0)+IFERROR(VLOOKUP(A284,#REF!,26,0),0)+IFERROR(VLOOKUP(A284,#REF!,11,0),0)+IFERROR(VLOOKUP(A284,#REF!,23,0),0)+IFERROR(VLOOKUP(A284,#REF!,11,0),0)+IFERROR(VLOOKUP(A284,#REF!,11,0),0)+IFERROR(VLOOKUP(A284,#REF!,11,0),0)</f>
        <v>0</v>
      </c>
      <c r="K284" s="96" t="str">
        <f>"07.02.24"</f>
        <v>07.02.24</v>
      </c>
    </row>
    <row r="285" spans="1:11" ht="11.25" customHeight="1" outlineLevel="1">
      <c r="A285" s="89" t="n">
        <v>31904</v>
      </c>
      <c r="B285" s="114" t="s">
        <v>211</v>
      </c>
      <c r="C285" s="89" t="s">
        <v>498</v>
      </c>
      <c r="D285" s="89" t="s">
        <v>407</v>
      </c>
      <c r="E285" s="89"/>
      <c r="F285" s="102" t="n">
        <v>896</v>
      </c>
      <c r="G285" s="102" t="n">
        <v>1120</v>
      </c>
      <c r="H285" s="103" t="s">
        <v>17</v>
      </c>
      <c r="I285" s="103">
        <f>IFERROR(VLOOKUP(A285,#REF!,15,0),0)+IFERROR(VLOOKUP(A285,#REF!,25,0),0)+IFERROR(VLOOKUP(A285,#REF!,10,0),0)+IFERROR(VLOOKUP(A285,#REF!,14,0),0)+IFERROR(VLOOKUP(A285,#REF!,10,0),0)+IFERROR(VLOOKUP(A285,#REF!,10,0),0)+IFERROR(VLOOKUP(A285,#REF!,10,0),0)+IFERROR(VLOOKUP(A285,#REF!,9,0),0)+IFERROR(VLOOKUP(A285,#REF!,9,0),0)+IFERROR(VLOOKUP(A285,#REF!,9,0),0)+IFERROR(VLOOKUP(A285,#REF!,9,0),0)</f>
        <v>0</v>
      </c>
      <c r="J285" s="104">
        <f>IFERROR(VLOOKUP(A285,#REF!,16,0),0)+IFERROR(VLOOKUP(A285,#REF!,26,0),0)+IFERROR(VLOOKUP(A285,#REF!,11,0),0)+IFERROR(VLOOKUP(A285,#REF!,23,0),0)+IFERROR(VLOOKUP(A285,#REF!,11,0),0)+IFERROR(VLOOKUP(A285,#REF!,11,0),0)+IFERROR(VLOOKUP(A285,#REF!,11,0),0)</f>
        <v>0</v>
      </c>
      <c r="K285" s="96" t="str">
        <f>"07.02.24"</f>
        <v>07.02.24</v>
      </c>
    </row>
    <row r="286" spans="1:11" ht="11.25" customHeight="1" outlineLevel="1">
      <c r="A286" s="89" t="n">
        <v>31906</v>
      </c>
      <c r="B286" s="114" t="s">
        <v>211</v>
      </c>
      <c r="C286" s="89" t="s">
        <v>499</v>
      </c>
      <c r="D286" s="89" t="s">
        <v>407</v>
      </c>
      <c r="E286" s="89"/>
      <c r="F286" s="102" t="n">
        <v>1117</v>
      </c>
      <c r="G286" s="102" t="n">
        <v>1396</v>
      </c>
      <c r="H286" s="103" t="s">
        <v>17</v>
      </c>
      <c r="I286" s="103">
        <f>IFERROR(VLOOKUP(A286,#REF!,15,0),0)+IFERROR(VLOOKUP(A286,#REF!,25,0),0)+IFERROR(VLOOKUP(A286,#REF!,10,0),0)+IFERROR(VLOOKUP(A286,#REF!,14,0),0)+IFERROR(VLOOKUP(A286,#REF!,10,0),0)+IFERROR(VLOOKUP(A286,#REF!,10,0),0)+IFERROR(VLOOKUP(A286,#REF!,10,0),0)+IFERROR(VLOOKUP(A286,#REF!,9,0),0)+IFERROR(VLOOKUP(A286,#REF!,9,0),0)+IFERROR(VLOOKUP(A286,#REF!,9,0),0)+IFERROR(VLOOKUP(A286,#REF!,9,0),0)</f>
        <v>0</v>
      </c>
      <c r="J286" s="104">
        <f>IFERROR(VLOOKUP(A286,#REF!,16,0),0)+IFERROR(VLOOKUP(A286,#REF!,26,0),0)+IFERROR(VLOOKUP(A286,#REF!,11,0),0)+IFERROR(VLOOKUP(A286,#REF!,23,0),0)+IFERROR(VLOOKUP(A286,#REF!,11,0),0)+IFERROR(VLOOKUP(A286,#REF!,11,0),0)+IFERROR(VLOOKUP(A286,#REF!,11,0),0)</f>
        <v>0</v>
      </c>
      <c r="K286" s="96" t="str">
        <f>"07.02.24"</f>
        <v>07.02.24</v>
      </c>
    </row>
    <row r="287" spans="1:11" ht="11.25" customHeight="1" outlineLevel="1">
      <c r="A287" s="89" t="n">
        <v>31908</v>
      </c>
      <c r="B287" s="114" t="s">
        <v>211</v>
      </c>
      <c r="C287" s="89" t="s">
        <v>500</v>
      </c>
      <c r="D287" s="89" t="s">
        <v>407</v>
      </c>
      <c r="E287" s="89"/>
      <c r="F287" s="102" t="n">
        <v>1183</v>
      </c>
      <c r="G287" s="102" t="n">
        <v>1477</v>
      </c>
      <c r="H287" s="103" t="s">
        <v>17</v>
      </c>
      <c r="I287" s="103">
        <f>IFERROR(VLOOKUP(A287,#REF!,15,0),0)+IFERROR(VLOOKUP(A287,#REF!,25,0),0)+IFERROR(VLOOKUP(A287,#REF!,10,0),0)+IFERROR(VLOOKUP(A287,#REF!,14,0),0)+IFERROR(VLOOKUP(A287,#REF!,10,0),0)+IFERROR(VLOOKUP(A287,#REF!,10,0),0)+IFERROR(VLOOKUP(A287,#REF!,10,0),0)+IFERROR(VLOOKUP(A287,#REF!,9,0),0)+IFERROR(VLOOKUP(A287,#REF!,9,0),0)+IFERROR(VLOOKUP(A287,#REF!,9,0),0)+IFERROR(VLOOKUP(A287,#REF!,9,0),0)</f>
        <v>0</v>
      </c>
      <c r="J287" s="104">
        <f>IFERROR(VLOOKUP(A287,#REF!,16,0),0)+IFERROR(VLOOKUP(A287,#REF!,26,0),0)+IFERROR(VLOOKUP(A287,#REF!,11,0),0)+IFERROR(VLOOKUP(A287,#REF!,23,0),0)+IFERROR(VLOOKUP(A287,#REF!,11,0),0)+IFERROR(VLOOKUP(A287,#REF!,11,0),0)+IFERROR(VLOOKUP(A287,#REF!,11,0),0)</f>
        <v>0</v>
      </c>
      <c r="K287" s="96" t="str">
        <f>"07.02.24"</f>
        <v>07.02.24</v>
      </c>
    </row>
    <row r="288" spans="1:11" ht="11.25" customHeight="1" outlineLevel="1">
      <c r="A288" s="89" t="n">
        <v>31909</v>
      </c>
      <c r="B288" s="114" t="s">
        <v>211</v>
      </c>
      <c r="C288" s="89" t="s">
        <v>501</v>
      </c>
      <c r="D288" s="89" t="s">
        <v>407</v>
      </c>
      <c r="E288" s="89"/>
      <c r="F288" s="102" t="n">
        <v>1514</v>
      </c>
      <c r="G288" s="102" t="n">
        <v>1893</v>
      </c>
      <c r="H288" s="103" t="s">
        <v>17</v>
      </c>
      <c r="I288" s="103">
        <f>IFERROR(VLOOKUP(A288,#REF!,15,0),0)+IFERROR(VLOOKUP(A288,#REF!,25,0),0)+IFERROR(VLOOKUP(A288,#REF!,10,0),0)+IFERROR(VLOOKUP(A288,#REF!,14,0),0)+IFERROR(VLOOKUP(A288,#REF!,10,0),0)+IFERROR(VLOOKUP(A288,#REF!,10,0),0)+IFERROR(VLOOKUP(A288,#REF!,10,0),0)+IFERROR(VLOOKUP(A288,#REF!,9,0),0)+IFERROR(VLOOKUP(A288,#REF!,9,0),0)+IFERROR(VLOOKUP(A288,#REF!,9,0),0)+IFERROR(VLOOKUP(A288,#REF!,9,0),0)</f>
        <v>0</v>
      </c>
      <c r="J288" s="104">
        <f>IFERROR(VLOOKUP(A288,#REF!,16,0),0)+IFERROR(VLOOKUP(A288,#REF!,26,0),0)+IFERROR(VLOOKUP(A288,#REF!,11,0),0)+IFERROR(VLOOKUP(A288,#REF!,23,0),0)+IFERROR(VLOOKUP(A288,#REF!,11,0),0)+IFERROR(VLOOKUP(A288,#REF!,11,0),0)+IFERROR(VLOOKUP(A288,#REF!,11,0),0)</f>
        <v>0</v>
      </c>
      <c r="K288" s="96" t="str">
        <f>"07.02.24"</f>
        <v>07.02.24</v>
      </c>
    </row>
    <row r="289" spans="1:11" ht="11.25" customHeight="1" outlineLevel="1">
      <c r="A289" s="89" t="n">
        <v>1380550</v>
      </c>
      <c r="B289" s="114" t="s">
        <v>211</v>
      </c>
      <c r="C289" s="89" t="s">
        <v>502</v>
      </c>
      <c r="D289" s="89" t="s">
        <v>15</v>
      </c>
      <c r="E289" s="89"/>
      <c r="F289" s="102" t="n">
        <v>1433</v>
      </c>
      <c r="G289" s="102" t="n">
        <v>1793</v>
      </c>
      <c r="H289" s="103" t="s">
        <v>17</v>
      </c>
      <c r="I289" s="103">
        <f>IFERROR(VLOOKUP(A289,#REF!,15,0),0)+IFERROR(VLOOKUP(A289,#REF!,25,0),0)+IFERROR(VLOOKUP(A289,#REF!,10,0),0)+IFERROR(VLOOKUP(A289,#REF!,14,0),0)+IFERROR(VLOOKUP(A289,#REF!,10,0),0)+IFERROR(VLOOKUP(A289,#REF!,10,0),0)+IFERROR(VLOOKUP(A289,#REF!,10,0),0)+IFERROR(VLOOKUP(A289,#REF!,9,0),0)+IFERROR(VLOOKUP(A289,#REF!,9,0),0)+IFERROR(VLOOKUP(A289,#REF!,9,0),0)+IFERROR(VLOOKUP(A289,#REF!,9,0),0)</f>
        <v>0</v>
      </c>
      <c r="J289" s="104">
        <f>IFERROR(VLOOKUP(A289,#REF!,16,0),0)+IFERROR(VLOOKUP(A289,#REF!,26,0),0)+IFERROR(VLOOKUP(A289,#REF!,11,0),0)+IFERROR(VLOOKUP(A289,#REF!,23,0),0)+IFERROR(VLOOKUP(A289,#REF!,11,0),0)+IFERROR(VLOOKUP(A289,#REF!,11,0),0)+IFERROR(VLOOKUP(A289,#REF!,11,0),0)</f>
        <v>0</v>
      </c>
      <c r="K289" s="96" t="str">
        <f>"07.02.24"</f>
        <v>07.02.24</v>
      </c>
    </row>
    <row r="290" spans="1:11" ht="11.25" customHeight="1" outlineLevel="1">
      <c r="A290" s="89" t="n">
        <v>30404</v>
      </c>
      <c r="B290" s="114" t="s">
        <v>211</v>
      </c>
      <c r="C290" s="89" t="s">
        <v>503</v>
      </c>
      <c r="D290" s="89" t="s">
        <v>407</v>
      </c>
      <c r="E290" s="89"/>
      <c r="F290" s="102" t="n">
        <v>504</v>
      </c>
      <c r="G290" s="102" t="n">
        <v>630</v>
      </c>
      <c r="H290" s="103" t="s">
        <v>17</v>
      </c>
      <c r="I290" s="103">
        <f>IFERROR(VLOOKUP(A290,#REF!,15,0),0)+IFERROR(VLOOKUP(A290,#REF!,25,0),0)+IFERROR(VLOOKUP(A290,#REF!,10,0),0)+IFERROR(VLOOKUP(A290,#REF!,14,0),0)+IFERROR(VLOOKUP(A290,#REF!,10,0),0)+IFERROR(VLOOKUP(A290,#REF!,10,0),0)+IFERROR(VLOOKUP(A290,#REF!,10,0),0)+IFERROR(VLOOKUP(A290,#REF!,9,0),0)+IFERROR(VLOOKUP(A290,#REF!,9,0),0)+IFERROR(VLOOKUP(A290,#REF!,9,0),0)+IFERROR(VLOOKUP(A290,#REF!,9,0),0)</f>
        <v>0</v>
      </c>
      <c r="J290" s="104">
        <f>IFERROR(VLOOKUP(A290,#REF!,16,0),0)+IFERROR(VLOOKUP(A290,#REF!,26,0),0)+IFERROR(VLOOKUP(A290,#REF!,11,0),0)+IFERROR(VLOOKUP(A290,#REF!,23,0),0)+IFERROR(VLOOKUP(A290,#REF!,11,0),0)+IFERROR(VLOOKUP(A290,#REF!,11,0),0)+IFERROR(VLOOKUP(A290,#REF!,11,0),0)</f>
        <v>0</v>
      </c>
      <c r="K290" s="96" t="str">
        <f>"07.02.24"</f>
        <v>07.02.24</v>
      </c>
    </row>
    <row r="291" spans="1:11" ht="11.25" customHeight="1" outlineLevel="1">
      <c r="A291" s="89" t="n">
        <v>30448</v>
      </c>
      <c r="B291" s="114" t="s">
        <v>211</v>
      </c>
      <c r="C291" s="89" t="s">
        <v>504</v>
      </c>
      <c r="D291" s="89" t="s">
        <v>407</v>
      </c>
      <c r="E291" s="89"/>
      <c r="F291" s="102" t="n">
        <v>766</v>
      </c>
      <c r="G291" s="102" t="n">
        <v>956</v>
      </c>
      <c r="H291" s="103" t="s">
        <v>17</v>
      </c>
      <c r="I291" s="103">
        <f>IFERROR(VLOOKUP(A291,#REF!,15,0),0)+IFERROR(VLOOKUP(A291,#REF!,25,0),0)+IFERROR(VLOOKUP(A291,#REF!,10,0),0)+IFERROR(VLOOKUP(A291,#REF!,14,0),0)+IFERROR(VLOOKUP(A291,#REF!,10,0),0)+IFERROR(VLOOKUP(A291,#REF!,10,0),0)+IFERROR(VLOOKUP(A291,#REF!,10,0),0)+IFERROR(VLOOKUP(A291,#REF!,9,0),0)+IFERROR(VLOOKUP(A291,#REF!,9,0),0)+IFERROR(VLOOKUP(A291,#REF!,9,0),0)+IFERROR(VLOOKUP(A291,#REF!,9,0),0)</f>
        <v>0</v>
      </c>
      <c r="J291" s="104">
        <f>IFERROR(VLOOKUP(A291,#REF!,16,0),0)+IFERROR(VLOOKUP(A291,#REF!,26,0),0)+IFERROR(VLOOKUP(A291,#REF!,11,0),0)+IFERROR(VLOOKUP(A291,#REF!,23,0),0)+IFERROR(VLOOKUP(A291,#REF!,11,0),0)+IFERROR(VLOOKUP(A291,#REF!,11,0),0)+IFERROR(VLOOKUP(A291,#REF!,11,0),0)</f>
        <v>0</v>
      </c>
      <c r="K291" s="96" t="str">
        <f>"07.02.24"</f>
        <v>07.02.24</v>
      </c>
    </row>
    <row r="292" spans="1:11" ht="11.25" customHeight="1" outlineLevel="1">
      <c r="A292" s="89" t="n">
        <v>8096240</v>
      </c>
      <c r="B292" s="114" t="s">
        <v>211</v>
      </c>
      <c r="C292" s="89" t="s">
        <v>505</v>
      </c>
      <c r="D292" s="89" t="s">
        <v>15</v>
      </c>
      <c r="E292" s="89"/>
      <c r="F292" s="102" t="n">
        <v>17679</v>
      </c>
      <c r="G292" s="102" t="n">
        <v>22097</v>
      </c>
      <c r="H292" s="103" t="s">
        <v>17</v>
      </c>
      <c r="I292" s="103">
        <f>IFERROR(VLOOKUP(A292,#REF!,15,0),0)+IFERROR(VLOOKUP(A292,#REF!,25,0),0)+IFERROR(VLOOKUP(A292,#REF!,10,0),0)+IFERROR(VLOOKUP(A292,#REF!,14,0),0)+IFERROR(VLOOKUP(A292,#REF!,10,0),0)+IFERROR(VLOOKUP(A292,#REF!,10,0),0)+IFERROR(VLOOKUP(A292,#REF!,10,0),0)+IFERROR(VLOOKUP(A292,#REF!,9,0),0)+IFERROR(VLOOKUP(A292,#REF!,9,0),0)+IFERROR(VLOOKUP(A292,#REF!,9,0),0)+IFERROR(VLOOKUP(A292,#REF!,9,0),0)</f>
        <v>0</v>
      </c>
      <c r="J292" s="104">
        <f>IFERROR(VLOOKUP(A292,#REF!,16,0),0)+IFERROR(VLOOKUP(A292,#REF!,26,0),0)+IFERROR(VLOOKUP(A292,#REF!,11,0),0)+IFERROR(VLOOKUP(A292,#REF!,23,0),0)+IFERROR(VLOOKUP(A292,#REF!,11,0),0)+IFERROR(VLOOKUP(A292,#REF!,11,0),0)+IFERROR(VLOOKUP(A292,#REF!,11,0),0)</f>
        <v>0</v>
      </c>
      <c r="K292" s="96" t="str">
        <f>"07.02.24"</f>
        <v>07.02.24</v>
      </c>
    </row>
    <row r="293" spans="1:11" ht="11.25" customHeight="1" outlineLevel="1">
      <c r="A293" s="89" t="n">
        <v>8096260</v>
      </c>
      <c r="B293" s="114" t="s">
        <v>211</v>
      </c>
      <c r="C293" s="89" t="s">
        <v>506</v>
      </c>
      <c r="D293" s="89" t="s">
        <v>15</v>
      </c>
      <c r="E293" s="89"/>
      <c r="F293" s="102" t="n">
        <v>7725</v>
      </c>
      <c r="G293" s="102" t="n">
        <v>9656</v>
      </c>
      <c r="H293" s="103" t="s">
        <v>17</v>
      </c>
      <c r="I293" s="103">
        <f>IFERROR(VLOOKUP(A293,#REF!,15,0),0)+IFERROR(VLOOKUP(A293,#REF!,25,0),0)+IFERROR(VLOOKUP(A293,#REF!,10,0),0)+IFERROR(VLOOKUP(A293,#REF!,14,0),0)+IFERROR(VLOOKUP(A293,#REF!,10,0),0)+IFERROR(VLOOKUP(A293,#REF!,10,0),0)+IFERROR(VLOOKUP(A293,#REF!,10,0),0)+IFERROR(VLOOKUP(A293,#REF!,9,0),0)+IFERROR(VLOOKUP(A293,#REF!,9,0),0)+IFERROR(VLOOKUP(A293,#REF!,9,0),0)+IFERROR(VLOOKUP(A293,#REF!,9,0),0)</f>
        <v>0</v>
      </c>
      <c r="J293" s="104">
        <f>IFERROR(VLOOKUP(A293,#REF!,16,0),0)+IFERROR(VLOOKUP(A293,#REF!,26,0),0)+IFERROR(VLOOKUP(A293,#REF!,11,0),0)+IFERROR(VLOOKUP(A293,#REF!,23,0),0)+IFERROR(VLOOKUP(A293,#REF!,11,0),0)+IFERROR(VLOOKUP(A293,#REF!,11,0),0)+IFERROR(VLOOKUP(A293,#REF!,11,0),0)</f>
        <v>0</v>
      </c>
      <c r="K293" s="96" t="str">
        <f>"07.02.24"</f>
        <v>07.02.24</v>
      </c>
    </row>
    <row r="294" spans="1:11" ht="11.25" customHeight="1" outlineLevel="1">
      <c r="A294" s="89" t="n">
        <v>8096250</v>
      </c>
      <c r="B294" s="114" t="s">
        <v>211</v>
      </c>
      <c r="C294" s="89" t="s">
        <v>507</v>
      </c>
      <c r="D294" s="89" t="s">
        <v>15</v>
      </c>
      <c r="E294" s="89"/>
      <c r="F294" s="102" t="n">
        <v>12869</v>
      </c>
      <c r="G294" s="102" t="n">
        <v>16086</v>
      </c>
      <c r="H294" s="103" t="s">
        <v>17</v>
      </c>
      <c r="I294" s="103">
        <f>IFERROR(VLOOKUP(A294,#REF!,15,0),0)+IFERROR(VLOOKUP(A294,#REF!,25,0),0)+IFERROR(VLOOKUP(A294,#REF!,10,0),0)+IFERROR(VLOOKUP(A294,#REF!,14,0),0)+IFERROR(VLOOKUP(A294,#REF!,10,0),0)+IFERROR(VLOOKUP(A294,#REF!,10,0),0)+IFERROR(VLOOKUP(A294,#REF!,10,0),0)+IFERROR(VLOOKUP(A294,#REF!,9,0),0)+IFERROR(VLOOKUP(A294,#REF!,9,0),0)+IFERROR(VLOOKUP(A294,#REF!,9,0),0)+IFERROR(VLOOKUP(A294,#REF!,9,0),0)</f>
        <v>0</v>
      </c>
      <c r="J294" s="104">
        <f>IFERROR(VLOOKUP(A294,#REF!,16,0),0)+IFERROR(VLOOKUP(A294,#REF!,26,0),0)+IFERROR(VLOOKUP(A294,#REF!,11,0),0)+IFERROR(VLOOKUP(A294,#REF!,23,0),0)+IFERROR(VLOOKUP(A294,#REF!,11,0),0)+IFERROR(VLOOKUP(A294,#REF!,11,0),0)+IFERROR(VLOOKUP(A294,#REF!,11,0),0)</f>
        <v>0</v>
      </c>
      <c r="K294" s="96" t="str">
        <f>"07.02.24"</f>
        <v>07.02.24</v>
      </c>
    </row>
    <row r="295" spans="1:11" ht="11.25" customHeight="1" outlineLevel="1">
      <c r="A295" s="89" t="n">
        <v>8096300</v>
      </c>
      <c r="B295" s="114" t="s">
        <v>211</v>
      </c>
      <c r="C295" s="89" t="s">
        <v>508</v>
      </c>
      <c r="D295" s="89" t="s">
        <v>15</v>
      </c>
      <c r="E295" s="89"/>
      <c r="F295" s="102" t="n">
        <v>4038</v>
      </c>
      <c r="G295" s="102" t="n">
        <v>5049</v>
      </c>
      <c r="H295" s="103" t="s">
        <v>17</v>
      </c>
      <c r="I295" s="103">
        <f>IFERROR(VLOOKUP(A295,#REF!,15,0),0)+IFERROR(VLOOKUP(A295,#REF!,25,0),0)+IFERROR(VLOOKUP(A295,#REF!,10,0),0)+IFERROR(VLOOKUP(A295,#REF!,14,0),0)+IFERROR(VLOOKUP(A295,#REF!,10,0),0)+IFERROR(VLOOKUP(A295,#REF!,10,0),0)+IFERROR(VLOOKUP(A295,#REF!,10,0),0)+IFERROR(VLOOKUP(A295,#REF!,9,0),0)+IFERROR(VLOOKUP(A295,#REF!,9,0),0)+IFERROR(VLOOKUP(A295,#REF!,9,0),0)+IFERROR(VLOOKUP(A295,#REF!,9,0),0)</f>
        <v>0</v>
      </c>
      <c r="J295" s="104">
        <f>IFERROR(VLOOKUP(A295,#REF!,16,0),0)+IFERROR(VLOOKUP(A295,#REF!,26,0),0)+IFERROR(VLOOKUP(A295,#REF!,11,0),0)+IFERROR(VLOOKUP(A295,#REF!,23,0),0)+IFERROR(VLOOKUP(A295,#REF!,11,0),0)+IFERROR(VLOOKUP(A295,#REF!,11,0),0)+IFERROR(VLOOKUP(A295,#REF!,11,0),0)</f>
        <v>0</v>
      </c>
      <c r="K295" s="96" t="str">
        <f>"07.02.24"</f>
        <v>07.02.24</v>
      </c>
    </row>
    <row r="296" spans="1:11" ht="11.25" customHeight="1" outlineLevel="1">
      <c r="A296" s="89" t="n">
        <v>8096340</v>
      </c>
      <c r="B296" s="114" t="s">
        <v>211</v>
      </c>
      <c r="C296" s="89" t="s">
        <v>509</v>
      </c>
      <c r="D296" s="89" t="s">
        <v>15</v>
      </c>
      <c r="E296" s="89"/>
      <c r="F296" s="102" t="n">
        <v>10293</v>
      </c>
      <c r="G296" s="102" t="n">
        <v>12864</v>
      </c>
      <c r="H296" s="103" t="s">
        <v>17</v>
      </c>
      <c r="I296" s="103">
        <f>IFERROR(VLOOKUP(A296,#REF!,15,0),0)+IFERROR(VLOOKUP(A296,#REF!,25,0),0)+IFERROR(VLOOKUP(A296,#REF!,10,0),0)+IFERROR(VLOOKUP(A296,#REF!,14,0),0)+IFERROR(VLOOKUP(A296,#REF!,10,0),0)+IFERROR(VLOOKUP(A296,#REF!,10,0),0)+IFERROR(VLOOKUP(A296,#REF!,10,0),0)+IFERROR(VLOOKUP(A296,#REF!,9,0),0)+IFERROR(VLOOKUP(A296,#REF!,9,0),0)+IFERROR(VLOOKUP(A296,#REF!,9,0),0)+IFERROR(VLOOKUP(A296,#REF!,9,0),0)</f>
        <v>0</v>
      </c>
      <c r="J296" s="104">
        <f>IFERROR(VLOOKUP(A296,#REF!,16,0),0)+IFERROR(VLOOKUP(A296,#REF!,26,0),0)+IFERROR(VLOOKUP(A296,#REF!,11,0),0)+IFERROR(VLOOKUP(A296,#REF!,23,0),0)+IFERROR(VLOOKUP(A296,#REF!,11,0),0)+IFERROR(VLOOKUP(A296,#REF!,11,0),0)+IFERROR(VLOOKUP(A296,#REF!,11,0),0)</f>
        <v>0</v>
      </c>
      <c r="K296" s="96" t="str">
        <f>"07.02.24"</f>
        <v>07.02.24</v>
      </c>
    </row>
    <row r="297" spans="1:11" ht="11.25" customHeight="1" outlineLevel="1">
      <c r="A297" s="89" t="n">
        <v>8097550</v>
      </c>
      <c r="B297" s="114" t="s">
        <v>211</v>
      </c>
      <c r="C297" s="89" t="s">
        <v>510</v>
      </c>
      <c r="D297" s="89" t="s">
        <v>15</v>
      </c>
      <c r="E297" s="89"/>
      <c r="F297" s="102" t="n">
        <v>40672</v>
      </c>
      <c r="G297" s="102" t="n">
        <v>50839</v>
      </c>
      <c r="H297" s="103" t="s">
        <v>17</v>
      </c>
      <c r="I297" s="103">
        <f>IFERROR(VLOOKUP(A297,#REF!,15,0),0)+IFERROR(VLOOKUP(A297,#REF!,25,0),0)+IFERROR(VLOOKUP(A297,#REF!,10,0),0)+IFERROR(VLOOKUP(A297,#REF!,14,0),0)+IFERROR(VLOOKUP(A297,#REF!,10,0),0)+IFERROR(VLOOKUP(A297,#REF!,10,0),0)+IFERROR(VLOOKUP(A297,#REF!,10,0),0)+IFERROR(VLOOKUP(A297,#REF!,9,0),0)+IFERROR(VLOOKUP(A297,#REF!,9,0),0)+IFERROR(VLOOKUP(A297,#REF!,9,0),0)+IFERROR(VLOOKUP(A297,#REF!,9,0),0)</f>
        <v>0</v>
      </c>
      <c r="J297" s="104">
        <f>IFERROR(VLOOKUP(A297,#REF!,16,0),0)+IFERROR(VLOOKUP(A297,#REF!,26,0),0)+IFERROR(VLOOKUP(A297,#REF!,11,0),0)+IFERROR(VLOOKUP(A297,#REF!,23,0),0)+IFERROR(VLOOKUP(A297,#REF!,11,0),0)+IFERROR(VLOOKUP(A297,#REF!,11,0),0)+IFERROR(VLOOKUP(A297,#REF!,11,0),0)</f>
        <v>0</v>
      </c>
      <c r="K297" s="96" t="str">
        <f>"07.02.24"</f>
        <v>07.02.24</v>
      </c>
    </row>
    <row r="298" spans="1:11" ht="11.25" customHeight="1" outlineLevel="1">
      <c r="A298" s="89" t="n">
        <v>8097560</v>
      </c>
      <c r="B298" s="114" t="s">
        <v>211</v>
      </c>
      <c r="C298" s="89" t="s">
        <v>511</v>
      </c>
      <c r="D298" s="89" t="s">
        <v>15</v>
      </c>
      <c r="E298" s="89"/>
      <c r="F298" s="102" t="n">
        <v>29224</v>
      </c>
      <c r="G298" s="102" t="n">
        <v>36531</v>
      </c>
      <c r="H298" s="103" t="s">
        <v>17</v>
      </c>
      <c r="I298" s="103">
        <f>IFERROR(VLOOKUP(A298,#REF!,15,0),0)+IFERROR(VLOOKUP(A298,#REF!,25,0),0)+IFERROR(VLOOKUP(A298,#REF!,10,0),0)+IFERROR(VLOOKUP(A298,#REF!,14,0),0)+IFERROR(VLOOKUP(A298,#REF!,10,0),0)+IFERROR(VLOOKUP(A298,#REF!,10,0),0)+IFERROR(VLOOKUP(A298,#REF!,10,0),0)+IFERROR(VLOOKUP(A298,#REF!,9,0),0)+IFERROR(VLOOKUP(A298,#REF!,9,0),0)+IFERROR(VLOOKUP(A298,#REF!,9,0),0)+IFERROR(VLOOKUP(A298,#REF!,9,0),0)</f>
        <v>0</v>
      </c>
      <c r="J298" s="104">
        <f>IFERROR(VLOOKUP(A298,#REF!,16,0),0)+IFERROR(VLOOKUP(A298,#REF!,26,0),0)+IFERROR(VLOOKUP(A298,#REF!,11,0),0)+IFERROR(VLOOKUP(A298,#REF!,23,0),0)+IFERROR(VLOOKUP(A298,#REF!,11,0),0)+IFERROR(VLOOKUP(A298,#REF!,11,0),0)+IFERROR(VLOOKUP(A298,#REF!,11,0),0)</f>
        <v>0</v>
      </c>
      <c r="K298" s="96" t="str">
        <f>"07.02.24"</f>
        <v>07.02.24</v>
      </c>
    </row>
    <row r="299" spans="1:11" ht="11.25" customHeight="1" outlineLevel="1">
      <c r="A299" s="89" t="n">
        <v>8097590</v>
      </c>
      <c r="B299" s="114" t="s">
        <v>211</v>
      </c>
      <c r="C299" s="89" t="s">
        <v>512</v>
      </c>
      <c r="D299" s="89" t="s">
        <v>15</v>
      </c>
      <c r="E299" s="89"/>
      <c r="F299" s="102" t="n">
        <v>16812</v>
      </c>
      <c r="G299" s="102" t="n">
        <v>21016</v>
      </c>
      <c r="H299" s="103" t="s">
        <v>17</v>
      </c>
      <c r="I299" s="103">
        <f>IFERROR(VLOOKUP(A299,#REF!,15,0),0)+IFERROR(VLOOKUP(A299,#REF!,25,0),0)+IFERROR(VLOOKUP(A299,#REF!,10,0),0)+IFERROR(VLOOKUP(A299,#REF!,14,0),0)+IFERROR(VLOOKUP(A299,#REF!,10,0),0)+IFERROR(VLOOKUP(A299,#REF!,10,0),0)+IFERROR(VLOOKUP(A299,#REF!,10,0),0)+IFERROR(VLOOKUP(A299,#REF!,9,0),0)+IFERROR(VLOOKUP(A299,#REF!,9,0),0)+IFERROR(VLOOKUP(A299,#REF!,9,0),0)+IFERROR(VLOOKUP(A299,#REF!,9,0),0)</f>
        <v>0</v>
      </c>
      <c r="J299" s="104">
        <f>IFERROR(VLOOKUP(A299,#REF!,16,0),0)+IFERROR(VLOOKUP(A299,#REF!,26,0),0)+IFERROR(VLOOKUP(A299,#REF!,11,0),0)+IFERROR(VLOOKUP(A299,#REF!,23,0),0)+IFERROR(VLOOKUP(A299,#REF!,11,0),0)+IFERROR(VLOOKUP(A299,#REF!,11,0),0)+IFERROR(VLOOKUP(A299,#REF!,11,0),0)</f>
        <v>0</v>
      </c>
      <c r="K299" s="96" t="str">
        <f>"07.02.24"</f>
        <v>07.02.24</v>
      </c>
    </row>
    <row r="300" spans="1:11" ht="11.25" customHeight="1" outlineLevel="1">
      <c r="A300" s="89" t="n">
        <v>8097580</v>
      </c>
      <c r="B300" s="114" t="s">
        <v>211</v>
      </c>
      <c r="C300" s="89" t="s">
        <v>513</v>
      </c>
      <c r="D300" s="89" t="s">
        <v>15</v>
      </c>
      <c r="E300" s="89"/>
      <c r="F300" s="102" t="n">
        <v>19054</v>
      </c>
      <c r="G300" s="102" t="n">
        <v>23818</v>
      </c>
      <c r="H300" s="103" t="s">
        <v>17</v>
      </c>
      <c r="I300" s="103">
        <f>IFERROR(VLOOKUP(A300,#REF!,15,0),0)+IFERROR(VLOOKUP(A300,#REF!,25,0),0)+IFERROR(VLOOKUP(A300,#REF!,10,0),0)+IFERROR(VLOOKUP(A300,#REF!,14,0),0)+IFERROR(VLOOKUP(A300,#REF!,10,0),0)+IFERROR(VLOOKUP(A300,#REF!,10,0),0)+IFERROR(VLOOKUP(A300,#REF!,10,0),0)+IFERROR(VLOOKUP(A300,#REF!,9,0),0)+IFERROR(VLOOKUP(A300,#REF!,9,0),0)+IFERROR(VLOOKUP(A300,#REF!,9,0),0)+IFERROR(VLOOKUP(A300,#REF!,9,0),0)</f>
        <v>0</v>
      </c>
      <c r="J300" s="104">
        <f>IFERROR(VLOOKUP(A300,#REF!,16,0),0)+IFERROR(VLOOKUP(A300,#REF!,26,0),0)+IFERROR(VLOOKUP(A300,#REF!,11,0),0)+IFERROR(VLOOKUP(A300,#REF!,23,0),0)+IFERROR(VLOOKUP(A300,#REF!,11,0),0)+IFERROR(VLOOKUP(A300,#REF!,11,0),0)+IFERROR(VLOOKUP(A300,#REF!,11,0),0)</f>
        <v>0</v>
      </c>
      <c r="K300" s="96" t="str">
        <f>"07.02.24"</f>
        <v>07.02.24</v>
      </c>
    </row>
    <row r="301" spans="1:11" ht="11.25" customHeight="1" outlineLevel="1">
      <c r="A301" s="89" t="n">
        <v>8097570</v>
      </c>
      <c r="B301" s="114" t="s">
        <v>211</v>
      </c>
      <c r="C301" s="89" t="s">
        <v>514</v>
      </c>
      <c r="D301" s="89" t="s">
        <v>15</v>
      </c>
      <c r="E301" s="89"/>
      <c r="F301" s="102" t="n">
        <v>12847</v>
      </c>
      <c r="G301" s="102" t="n">
        <v>16059</v>
      </c>
      <c r="H301" s="103" t="s">
        <v>17</v>
      </c>
      <c r="I301" s="103">
        <f>IFERROR(VLOOKUP(A301,#REF!,15,0),0)+IFERROR(VLOOKUP(A301,#REF!,25,0),0)+IFERROR(VLOOKUP(A301,#REF!,10,0),0)+IFERROR(VLOOKUP(A301,#REF!,14,0),0)+IFERROR(VLOOKUP(A301,#REF!,10,0),0)+IFERROR(VLOOKUP(A301,#REF!,10,0),0)+IFERROR(VLOOKUP(A301,#REF!,10,0),0)+IFERROR(VLOOKUP(A301,#REF!,9,0),0)+IFERROR(VLOOKUP(A301,#REF!,9,0),0)+IFERROR(VLOOKUP(A301,#REF!,9,0),0)+IFERROR(VLOOKUP(A301,#REF!,9,0),0)</f>
        <v>0</v>
      </c>
      <c r="J301" s="104">
        <f>IFERROR(VLOOKUP(A301,#REF!,16,0),0)+IFERROR(VLOOKUP(A301,#REF!,26,0),0)+IFERROR(VLOOKUP(A301,#REF!,11,0),0)+IFERROR(VLOOKUP(A301,#REF!,23,0),0)+IFERROR(VLOOKUP(A301,#REF!,11,0),0)+IFERROR(VLOOKUP(A301,#REF!,11,0),0)+IFERROR(VLOOKUP(A301,#REF!,11,0),0)</f>
        <v>0</v>
      </c>
      <c r="K301" s="96" t="str">
        <f>"07.02.24"</f>
        <v>07.02.24</v>
      </c>
    </row>
    <row r="302" spans="1:11" ht="11.25" customHeight="1" outlineLevel="1">
      <c r="A302" s="89" t="n">
        <v>8096230</v>
      </c>
      <c r="B302" s="114" t="s">
        <v>211</v>
      </c>
      <c r="C302" s="89" t="s">
        <v>515</v>
      </c>
      <c r="D302" s="89" t="s">
        <v>15</v>
      </c>
      <c r="E302" s="89"/>
      <c r="F302" s="102" t="n">
        <v>18018</v>
      </c>
      <c r="G302" s="102" t="n">
        <v>22523</v>
      </c>
      <c r="H302" s="103" t="s">
        <v>48</v>
      </c>
      <c r="I302" s="103">
        <f>IFERROR(VLOOKUP(A302,#REF!,15,0),0)+IFERROR(VLOOKUP(A302,#REF!,25,0),0)+IFERROR(VLOOKUP(A302,#REF!,10,0),0)+IFERROR(VLOOKUP(A302,#REF!,14,0),0)+IFERROR(VLOOKUP(A302,#REF!,10,0),0)+IFERROR(VLOOKUP(A302,#REF!,10,0),0)+IFERROR(VLOOKUP(A302,#REF!,10,0),0)+IFERROR(VLOOKUP(A302,#REF!,9,0),0)+IFERROR(VLOOKUP(A302,#REF!,9,0),0)+IFERROR(VLOOKUP(A302,#REF!,9,0),0)+IFERROR(VLOOKUP(A302,#REF!,9,0),0)</f>
        <v>0</v>
      </c>
      <c r="J302" s="104">
        <f>IFERROR(VLOOKUP(A302,#REF!,16,0),0)+IFERROR(VLOOKUP(A302,#REF!,26,0),0)+IFERROR(VLOOKUP(A302,#REF!,11,0),0)+IFERROR(VLOOKUP(A302,#REF!,23,0),0)+IFERROR(VLOOKUP(A302,#REF!,11,0),0)+IFERROR(VLOOKUP(A302,#REF!,11,0),0)+IFERROR(VLOOKUP(A302,#REF!,11,0),0)</f>
        <v>0</v>
      </c>
      <c r="K302" s="96" t="str">
        <f>"07.02.24"</f>
        <v>07.02.24</v>
      </c>
    </row>
    <row r="303" spans="1:11" ht="11.25" customHeight="1" outlineLevel="1">
      <c r="A303" s="89" t="n">
        <v>8097600</v>
      </c>
      <c r="B303" s="114" t="s">
        <v>211</v>
      </c>
      <c r="C303" s="89" t="s">
        <v>516</v>
      </c>
      <c r="D303" s="89" t="s">
        <v>15</v>
      </c>
      <c r="E303" s="89"/>
      <c r="F303" s="102" t="n">
        <v>33150</v>
      </c>
      <c r="G303" s="102" t="n">
        <v>41438</v>
      </c>
      <c r="H303" s="103" t="s">
        <v>17</v>
      </c>
      <c r="I303" s="103">
        <f>IFERROR(VLOOKUP(A303,#REF!,15,0),0)+IFERROR(VLOOKUP(A303,#REF!,25,0),0)+IFERROR(VLOOKUP(A303,#REF!,10,0),0)+IFERROR(VLOOKUP(A303,#REF!,14,0),0)+IFERROR(VLOOKUP(A303,#REF!,10,0),0)+IFERROR(VLOOKUP(A303,#REF!,10,0),0)+IFERROR(VLOOKUP(A303,#REF!,10,0),0)+IFERROR(VLOOKUP(A303,#REF!,9,0),0)+IFERROR(VLOOKUP(A303,#REF!,9,0),0)+IFERROR(VLOOKUP(A303,#REF!,9,0),0)+IFERROR(VLOOKUP(A303,#REF!,9,0),0)</f>
        <v>0</v>
      </c>
      <c r="J303" s="104">
        <f>IFERROR(VLOOKUP(A303,#REF!,16,0),0)+IFERROR(VLOOKUP(A303,#REF!,26,0),0)+IFERROR(VLOOKUP(A303,#REF!,11,0),0)+IFERROR(VLOOKUP(A303,#REF!,23,0),0)+IFERROR(VLOOKUP(A303,#REF!,11,0),0)+IFERROR(VLOOKUP(A303,#REF!,11,0),0)+IFERROR(VLOOKUP(A303,#REF!,11,0),0)</f>
        <v>0</v>
      </c>
      <c r="K303" s="96" t="str">
        <f>"07.02.24"</f>
        <v>07.02.24</v>
      </c>
    </row>
    <row r="304" spans="1:11" ht="11.25" customHeight="1" outlineLevel="1">
      <c r="A304" s="89" t="n">
        <v>7379</v>
      </c>
      <c r="B304" s="114" t="s">
        <v>211</v>
      </c>
      <c r="C304" s="89" t="s">
        <v>517</v>
      </c>
      <c r="D304" s="89" t="s">
        <v>15</v>
      </c>
      <c r="E304" s="89"/>
      <c r="F304" s="102" t="n">
        <v>7208</v>
      </c>
      <c r="G304" s="102" t="n">
        <v>9009</v>
      </c>
      <c r="H304" s="103" t="s">
        <v>17</v>
      </c>
      <c r="I304" s="103">
        <f>IFERROR(VLOOKUP(A304,#REF!,15,0),0)+IFERROR(VLOOKUP(A304,#REF!,25,0),0)+IFERROR(VLOOKUP(A304,#REF!,10,0),0)+IFERROR(VLOOKUP(A304,#REF!,14,0),0)+IFERROR(VLOOKUP(A304,#REF!,10,0),0)+IFERROR(VLOOKUP(A304,#REF!,10,0),0)+IFERROR(VLOOKUP(A304,#REF!,10,0),0)+IFERROR(VLOOKUP(A304,#REF!,9,0),0)+IFERROR(VLOOKUP(A304,#REF!,9,0),0)+IFERROR(VLOOKUP(A304,#REF!,9,0),0)+IFERROR(VLOOKUP(A304,#REF!,9,0),0)</f>
        <v>0</v>
      </c>
      <c r="J304" s="104">
        <f>IFERROR(VLOOKUP(A304,#REF!,16,0),0)+IFERROR(VLOOKUP(A304,#REF!,26,0),0)+IFERROR(VLOOKUP(A304,#REF!,11,0),0)+IFERROR(VLOOKUP(A304,#REF!,23,0),0)+IFERROR(VLOOKUP(A304,#REF!,11,0),0)+IFERROR(VLOOKUP(A304,#REF!,11,0),0)+IFERROR(VLOOKUP(A304,#REF!,11,0),0)</f>
        <v>0</v>
      </c>
      <c r="K304" s="96" t="str">
        <f>"07.02.24"</f>
        <v>07.02.24</v>
      </c>
    </row>
    <row r="305" spans="1:11" ht="11.25" customHeight="1" outlineLevel="1">
      <c r="A305" s="89" t="n">
        <v>8096320</v>
      </c>
      <c r="B305" s="114" t="s">
        <v>211</v>
      </c>
      <c r="C305" s="89" t="s">
        <v>518</v>
      </c>
      <c r="D305" s="89" t="s">
        <v>15</v>
      </c>
      <c r="E305" s="89"/>
      <c r="F305" s="102" t="n">
        <v>3485</v>
      </c>
      <c r="G305" s="102" t="n">
        <v>4356</v>
      </c>
      <c r="H305" s="103" t="s">
        <v>17</v>
      </c>
      <c r="I305" s="103">
        <f>IFERROR(VLOOKUP(A305,#REF!,15,0),0)+IFERROR(VLOOKUP(A305,#REF!,25,0),0)+IFERROR(VLOOKUP(A305,#REF!,10,0),0)+IFERROR(VLOOKUP(A305,#REF!,14,0),0)+IFERROR(VLOOKUP(A305,#REF!,10,0),0)+IFERROR(VLOOKUP(A305,#REF!,10,0),0)+IFERROR(VLOOKUP(A305,#REF!,10,0),0)+IFERROR(VLOOKUP(A305,#REF!,9,0),0)+IFERROR(VLOOKUP(A305,#REF!,9,0),0)+IFERROR(VLOOKUP(A305,#REF!,9,0),0)+IFERROR(VLOOKUP(A305,#REF!,9,0),0)</f>
        <v>0</v>
      </c>
      <c r="J305" s="104">
        <f>IFERROR(VLOOKUP(A305,#REF!,16,0),0)+IFERROR(VLOOKUP(A305,#REF!,26,0),0)+IFERROR(VLOOKUP(A305,#REF!,11,0),0)+IFERROR(VLOOKUP(A305,#REF!,23,0),0)+IFERROR(VLOOKUP(A305,#REF!,11,0),0)+IFERROR(VLOOKUP(A305,#REF!,11,0),0)+IFERROR(VLOOKUP(A305,#REF!,11,0),0)</f>
        <v>0</v>
      </c>
      <c r="K305" s="96" t="str">
        <f>"07.02.24"</f>
        <v>07.02.24</v>
      </c>
    </row>
    <row r="306" spans="1:11" ht="11.25" customHeight="1" outlineLevel="1">
      <c r="A306" s="89" t="n">
        <v>8096330</v>
      </c>
      <c r="B306" s="114" t="s">
        <v>211</v>
      </c>
      <c r="C306" s="89" t="s">
        <v>519</v>
      </c>
      <c r="D306" s="89" t="s">
        <v>15</v>
      </c>
      <c r="E306" s="89"/>
      <c r="F306" s="102" t="n">
        <v>5462</v>
      </c>
      <c r="G306" s="102" t="n">
        <v>6828</v>
      </c>
      <c r="H306" s="103" t="s">
        <v>17</v>
      </c>
      <c r="I306" s="103">
        <f>IFERROR(VLOOKUP(A306,#REF!,15,0),0)+IFERROR(VLOOKUP(A306,#REF!,25,0),0)+IFERROR(VLOOKUP(A306,#REF!,10,0),0)+IFERROR(VLOOKUP(A306,#REF!,14,0),0)+IFERROR(VLOOKUP(A306,#REF!,10,0),0)+IFERROR(VLOOKUP(A306,#REF!,10,0),0)+IFERROR(VLOOKUP(A306,#REF!,10,0),0)+IFERROR(VLOOKUP(A306,#REF!,9,0),0)+IFERROR(VLOOKUP(A306,#REF!,9,0),0)+IFERROR(VLOOKUP(A306,#REF!,9,0),0)+IFERROR(VLOOKUP(A306,#REF!,9,0),0)</f>
        <v>0</v>
      </c>
      <c r="J306" s="104">
        <f>IFERROR(VLOOKUP(A306,#REF!,16,0),0)+IFERROR(VLOOKUP(A306,#REF!,26,0),0)+IFERROR(VLOOKUP(A306,#REF!,11,0),0)+IFERROR(VLOOKUP(A306,#REF!,23,0),0)+IFERROR(VLOOKUP(A306,#REF!,11,0),0)+IFERROR(VLOOKUP(A306,#REF!,11,0),0)+IFERROR(VLOOKUP(A306,#REF!,11,0),0)</f>
        <v>0</v>
      </c>
      <c r="K306" s="96" t="str">
        <f>"07.02.24"</f>
        <v>07.02.24</v>
      </c>
    </row>
    <row r="307" spans="1:11" ht="11.25" customHeight="1" outlineLevel="1">
      <c r="A307" s="89" t="n">
        <v>8102490</v>
      </c>
      <c r="B307" s="114" t="s">
        <v>211</v>
      </c>
      <c r="C307" s="89" t="s">
        <v>520</v>
      </c>
      <c r="D307" s="89" t="s">
        <v>407</v>
      </c>
      <c r="E307" s="89"/>
      <c r="F307" s="102" t="n">
        <v>2486</v>
      </c>
      <c r="G307" s="102" t="n">
        <v>2880</v>
      </c>
      <c r="H307" s="103" t="s">
        <v>48</v>
      </c>
      <c r="I307" s="103">
        <f>IFERROR(VLOOKUP(A307,#REF!,15,0),0)+IFERROR(VLOOKUP(A307,#REF!,25,0),0)+IFERROR(VLOOKUP(A307,#REF!,10,0),0)+IFERROR(VLOOKUP(A307,#REF!,14,0),0)+IFERROR(VLOOKUP(A307,#REF!,10,0),0)+IFERROR(VLOOKUP(A307,#REF!,10,0),0)+IFERROR(VLOOKUP(A307,#REF!,10,0),0)+IFERROR(VLOOKUP(A307,#REF!,9,0),0)+IFERROR(VLOOKUP(A307,#REF!,9,0),0)+IFERROR(VLOOKUP(A307,#REF!,9,0),0)+IFERROR(VLOOKUP(A307,#REF!,9,0),0)</f>
        <v>0</v>
      </c>
      <c r="J307" s="104">
        <f>IFERROR(VLOOKUP(A307,#REF!,16,0),0)+IFERROR(VLOOKUP(A307,#REF!,26,0),0)+IFERROR(VLOOKUP(A307,#REF!,11,0),0)+IFERROR(VLOOKUP(A307,#REF!,23,0),0)+IFERROR(VLOOKUP(A307,#REF!,11,0),0)+IFERROR(VLOOKUP(A307,#REF!,11,0),0)+IFERROR(VLOOKUP(A307,#REF!,11,0),0)</f>
        <v>0</v>
      </c>
      <c r="K307" s="96" t="str">
        <f>"07.02.24"</f>
        <v>07.02.24</v>
      </c>
    </row>
    <row r="308" spans="1:11" ht="11.25" customHeight="1" outlineLevel="1">
      <c r="A308" s="89" t="n">
        <v>8106290</v>
      </c>
      <c r="B308" s="114" t="s">
        <v>211</v>
      </c>
      <c r="C308" s="89" t="s">
        <v>521</v>
      </c>
      <c r="D308" s="89" t="s">
        <v>407</v>
      </c>
      <c r="E308" s="89"/>
      <c r="F308" s="102" t="n">
        <v>1951</v>
      </c>
      <c r="G308" s="102" t="n">
        <v>2441</v>
      </c>
      <c r="H308" s="103" t="s">
        <v>17</v>
      </c>
      <c r="I308" s="103">
        <f>IFERROR(VLOOKUP(A308,#REF!,15,0),0)+IFERROR(VLOOKUP(A308,#REF!,25,0),0)+IFERROR(VLOOKUP(A308,#REF!,10,0),0)+IFERROR(VLOOKUP(A308,#REF!,14,0),0)+IFERROR(VLOOKUP(A308,#REF!,10,0),0)+IFERROR(VLOOKUP(A308,#REF!,10,0),0)+IFERROR(VLOOKUP(A308,#REF!,10,0),0)+IFERROR(VLOOKUP(A308,#REF!,9,0),0)+IFERROR(VLOOKUP(A308,#REF!,9,0),0)+IFERROR(VLOOKUP(A308,#REF!,9,0),0)+IFERROR(VLOOKUP(A308,#REF!,9,0),0)</f>
        <v>0</v>
      </c>
      <c r="J308" s="104">
        <f>IFERROR(VLOOKUP(A308,#REF!,16,0),0)+IFERROR(VLOOKUP(A308,#REF!,26,0),0)+IFERROR(VLOOKUP(A308,#REF!,11,0),0)+IFERROR(VLOOKUP(A308,#REF!,23,0),0)+IFERROR(VLOOKUP(A308,#REF!,11,0),0)+IFERROR(VLOOKUP(A308,#REF!,11,0),0)+IFERROR(VLOOKUP(A308,#REF!,11,0),0)</f>
        <v>0</v>
      </c>
      <c r="K308" s="96" t="str">
        <f>"07.02.24"</f>
        <v>07.02.24</v>
      </c>
    </row>
    <row r="309" spans="1:11" ht="11.25" customHeight="1" outlineLevel="1">
      <c r="A309" s="89" t="n">
        <v>8106300</v>
      </c>
      <c r="B309" s="114" t="s">
        <v>211</v>
      </c>
      <c r="C309" s="89" t="s">
        <v>522</v>
      </c>
      <c r="D309" s="89" t="s">
        <v>407</v>
      </c>
      <c r="E309" s="89"/>
      <c r="F309" s="102" t="n">
        <v>1951</v>
      </c>
      <c r="G309" s="102" t="n">
        <v>2441</v>
      </c>
      <c r="H309" s="103" t="s">
        <v>17</v>
      </c>
      <c r="I309" s="103">
        <f>IFERROR(VLOOKUP(A309,#REF!,15,0),0)+IFERROR(VLOOKUP(A309,#REF!,25,0),0)+IFERROR(VLOOKUP(A309,#REF!,10,0),0)+IFERROR(VLOOKUP(A309,#REF!,14,0),0)+IFERROR(VLOOKUP(A309,#REF!,10,0),0)+IFERROR(VLOOKUP(A309,#REF!,10,0),0)+IFERROR(VLOOKUP(A309,#REF!,10,0),0)+IFERROR(VLOOKUP(A309,#REF!,9,0),0)+IFERROR(VLOOKUP(A309,#REF!,9,0),0)+IFERROR(VLOOKUP(A309,#REF!,9,0),0)+IFERROR(VLOOKUP(A309,#REF!,9,0),0)</f>
        <v>0</v>
      </c>
      <c r="J309" s="104">
        <f>IFERROR(VLOOKUP(A309,#REF!,16,0),0)+IFERROR(VLOOKUP(A309,#REF!,26,0),0)+IFERROR(VLOOKUP(A309,#REF!,11,0),0)+IFERROR(VLOOKUP(A309,#REF!,23,0),0)+IFERROR(VLOOKUP(A309,#REF!,11,0),0)+IFERROR(VLOOKUP(A309,#REF!,11,0),0)+IFERROR(VLOOKUP(A309,#REF!,11,0),0)</f>
        <v>0</v>
      </c>
      <c r="K309" s="96" t="str">
        <f>"07.02.24"</f>
        <v>07.02.24</v>
      </c>
    </row>
    <row r="310" spans="1:11" ht="11.25" customHeight="1" outlineLevel="1">
      <c r="A310" s="89" t="n">
        <v>8106310</v>
      </c>
      <c r="B310" s="114" t="s">
        <v>211</v>
      </c>
      <c r="C310" s="89" t="s">
        <v>523</v>
      </c>
      <c r="D310" s="89" t="s">
        <v>407</v>
      </c>
      <c r="E310" s="89"/>
      <c r="F310" s="102" t="n">
        <v>2074</v>
      </c>
      <c r="G310" s="102" t="n">
        <v>2593</v>
      </c>
      <c r="H310" s="103" t="s">
        <v>17</v>
      </c>
      <c r="I310" s="103">
        <f>IFERROR(VLOOKUP(A310,#REF!,15,0),0)+IFERROR(VLOOKUP(A310,#REF!,25,0),0)+IFERROR(VLOOKUP(A310,#REF!,10,0),0)+IFERROR(VLOOKUP(A310,#REF!,14,0),0)+IFERROR(VLOOKUP(A310,#REF!,10,0),0)+IFERROR(VLOOKUP(A310,#REF!,10,0),0)+IFERROR(VLOOKUP(A310,#REF!,10,0),0)+IFERROR(VLOOKUP(A310,#REF!,9,0),0)+IFERROR(VLOOKUP(A310,#REF!,9,0),0)+IFERROR(VLOOKUP(A310,#REF!,9,0),0)+IFERROR(VLOOKUP(A310,#REF!,9,0),0)</f>
        <v>0</v>
      </c>
      <c r="J310" s="104">
        <f>IFERROR(VLOOKUP(A310,#REF!,16,0),0)+IFERROR(VLOOKUP(A310,#REF!,26,0),0)+IFERROR(VLOOKUP(A310,#REF!,11,0),0)+IFERROR(VLOOKUP(A310,#REF!,23,0),0)+IFERROR(VLOOKUP(A310,#REF!,11,0),0)+IFERROR(VLOOKUP(A310,#REF!,11,0),0)+IFERROR(VLOOKUP(A310,#REF!,11,0),0)</f>
        <v>0</v>
      </c>
      <c r="K310" s="96" t="str">
        <f>"07.02.24"</f>
        <v>07.02.24</v>
      </c>
    </row>
    <row r="311" spans="1:11" ht="11.25" customHeight="1" outlineLevel="1">
      <c r="A311" s="89" t="n">
        <v>8106360</v>
      </c>
      <c r="B311" s="114" t="s">
        <v>211</v>
      </c>
      <c r="C311" s="89" t="s">
        <v>524</v>
      </c>
      <c r="D311" s="89" t="s">
        <v>407</v>
      </c>
      <c r="E311" s="89"/>
      <c r="F311" s="102" t="n">
        <v>2178</v>
      </c>
      <c r="G311" s="102" t="n">
        <v>2722</v>
      </c>
      <c r="H311" s="103" t="s">
        <v>17</v>
      </c>
      <c r="I311" s="103">
        <f>IFERROR(VLOOKUP(A311,#REF!,15,0),0)+IFERROR(VLOOKUP(A311,#REF!,25,0),0)+IFERROR(VLOOKUP(A311,#REF!,10,0),0)+IFERROR(VLOOKUP(A311,#REF!,14,0),0)+IFERROR(VLOOKUP(A311,#REF!,10,0),0)+IFERROR(VLOOKUP(A311,#REF!,10,0),0)+IFERROR(VLOOKUP(A311,#REF!,10,0),0)+IFERROR(VLOOKUP(A311,#REF!,9,0),0)+IFERROR(VLOOKUP(A311,#REF!,9,0),0)+IFERROR(VLOOKUP(A311,#REF!,9,0),0)+IFERROR(VLOOKUP(A311,#REF!,9,0),0)</f>
        <v>0</v>
      </c>
      <c r="J311" s="104">
        <f>IFERROR(VLOOKUP(A311,#REF!,16,0),0)+IFERROR(VLOOKUP(A311,#REF!,26,0),0)+IFERROR(VLOOKUP(A311,#REF!,11,0),0)+IFERROR(VLOOKUP(A311,#REF!,23,0),0)+IFERROR(VLOOKUP(A311,#REF!,11,0),0)+IFERROR(VLOOKUP(A311,#REF!,11,0),0)+IFERROR(VLOOKUP(A311,#REF!,11,0),0)</f>
        <v>0</v>
      </c>
      <c r="K311" s="96" t="str">
        <f>"07.02.24"</f>
        <v>07.02.24</v>
      </c>
    </row>
    <row r="312" spans="1:11" ht="11.25" customHeight="1" outlineLevel="1">
      <c r="A312" s="89" t="n">
        <v>8106370</v>
      </c>
      <c r="B312" s="114" t="s">
        <v>211</v>
      </c>
      <c r="C312" s="89" t="s">
        <v>525</v>
      </c>
      <c r="D312" s="89" t="s">
        <v>407</v>
      </c>
      <c r="E312" s="89"/>
      <c r="F312" s="102" t="n">
        <v>703</v>
      </c>
      <c r="G312" s="102" t="n">
        <v>948</v>
      </c>
      <c r="H312" s="103" t="s">
        <v>17</v>
      </c>
      <c r="I312" s="103">
        <f>IFERROR(VLOOKUP(A312,#REF!,15,0),0)+IFERROR(VLOOKUP(A312,#REF!,25,0),0)+IFERROR(VLOOKUP(A312,#REF!,10,0),0)+IFERROR(VLOOKUP(A312,#REF!,14,0),0)+IFERROR(VLOOKUP(A312,#REF!,10,0),0)+IFERROR(VLOOKUP(A312,#REF!,10,0),0)+IFERROR(VLOOKUP(A312,#REF!,10,0),0)+IFERROR(VLOOKUP(A312,#REF!,9,0),0)+IFERROR(VLOOKUP(A312,#REF!,9,0),0)+IFERROR(VLOOKUP(A312,#REF!,9,0),0)+IFERROR(VLOOKUP(A312,#REF!,9,0),0)</f>
        <v>0</v>
      </c>
      <c r="J312" s="104">
        <f>IFERROR(VLOOKUP(A312,#REF!,16,0),0)+IFERROR(VLOOKUP(A312,#REF!,26,0),0)+IFERROR(VLOOKUP(A312,#REF!,11,0),0)+IFERROR(VLOOKUP(A312,#REF!,23,0),0)+IFERROR(VLOOKUP(A312,#REF!,11,0),0)+IFERROR(VLOOKUP(A312,#REF!,11,0),0)+IFERROR(VLOOKUP(A312,#REF!,11,0),0)</f>
        <v>0</v>
      </c>
      <c r="K312" s="96" t="str">
        <f>"07.02.24"</f>
        <v>07.02.24</v>
      </c>
    </row>
    <row r="313" spans="1:11" ht="11.25" customHeight="1" outlineLevel="1">
      <c r="A313" s="89" t="n">
        <v>8106380</v>
      </c>
      <c r="B313" s="114" t="s">
        <v>211</v>
      </c>
      <c r="C313" s="89" t="s">
        <v>526</v>
      </c>
      <c r="D313" s="89" t="s">
        <v>407</v>
      </c>
      <c r="E313" s="89"/>
      <c r="F313" s="102" t="n">
        <v>815</v>
      </c>
      <c r="G313" s="102" t="n">
        <v>1100</v>
      </c>
      <c r="H313" s="103" t="s">
        <v>17</v>
      </c>
      <c r="I313" s="103">
        <f>IFERROR(VLOOKUP(A313,#REF!,15,0),0)+IFERROR(VLOOKUP(A313,#REF!,25,0),0)+IFERROR(VLOOKUP(A313,#REF!,10,0),0)+IFERROR(VLOOKUP(A313,#REF!,14,0),0)+IFERROR(VLOOKUP(A313,#REF!,10,0),0)+IFERROR(VLOOKUP(A313,#REF!,10,0),0)+IFERROR(VLOOKUP(A313,#REF!,10,0),0)+IFERROR(VLOOKUP(A313,#REF!,9,0),0)+IFERROR(VLOOKUP(A313,#REF!,9,0),0)+IFERROR(VLOOKUP(A313,#REF!,9,0),0)+IFERROR(VLOOKUP(A313,#REF!,9,0),0)</f>
        <v>0</v>
      </c>
      <c r="J313" s="104">
        <f>IFERROR(VLOOKUP(A313,#REF!,16,0),0)+IFERROR(VLOOKUP(A313,#REF!,26,0),0)+IFERROR(VLOOKUP(A313,#REF!,11,0),0)+IFERROR(VLOOKUP(A313,#REF!,23,0),0)+IFERROR(VLOOKUP(A313,#REF!,11,0),0)+IFERROR(VLOOKUP(A313,#REF!,11,0),0)+IFERROR(VLOOKUP(A313,#REF!,11,0),0)</f>
        <v>0</v>
      </c>
      <c r="K313" s="96" t="str">
        <f>"07.02.24"</f>
        <v>07.02.24</v>
      </c>
    </row>
    <row r="314" spans="1:11" ht="11.25" customHeight="1" outlineLevel="1">
      <c r="A314" s="89" t="n">
        <v>8106390</v>
      </c>
      <c r="B314" s="114" t="s">
        <v>211</v>
      </c>
      <c r="C314" s="89" t="s">
        <v>527</v>
      </c>
      <c r="D314" s="89" t="s">
        <v>407</v>
      </c>
      <c r="E314" s="89"/>
      <c r="F314" s="102" t="n">
        <v>917</v>
      </c>
      <c r="G314" s="102" t="n">
        <v>1238</v>
      </c>
      <c r="H314" s="103" t="s">
        <v>17</v>
      </c>
      <c r="I314" s="103">
        <f>IFERROR(VLOOKUP(A314,#REF!,15,0),0)+IFERROR(VLOOKUP(A314,#REF!,25,0),0)+IFERROR(VLOOKUP(A314,#REF!,10,0),0)+IFERROR(VLOOKUP(A314,#REF!,14,0),0)+IFERROR(VLOOKUP(A314,#REF!,10,0),0)+IFERROR(VLOOKUP(A314,#REF!,10,0),0)+IFERROR(VLOOKUP(A314,#REF!,10,0),0)+IFERROR(VLOOKUP(A314,#REF!,9,0),0)+IFERROR(VLOOKUP(A314,#REF!,9,0),0)+IFERROR(VLOOKUP(A314,#REF!,9,0),0)+IFERROR(VLOOKUP(A314,#REF!,9,0),0)</f>
        <v>0</v>
      </c>
      <c r="J314" s="104">
        <f>IFERROR(VLOOKUP(A314,#REF!,16,0),0)+IFERROR(VLOOKUP(A314,#REF!,26,0),0)+IFERROR(VLOOKUP(A314,#REF!,11,0),0)+IFERROR(VLOOKUP(A314,#REF!,23,0),0)+IFERROR(VLOOKUP(A314,#REF!,11,0),0)+IFERROR(VLOOKUP(A314,#REF!,11,0),0)+IFERROR(VLOOKUP(A314,#REF!,11,0),0)</f>
        <v>0</v>
      </c>
      <c r="K314" s="96" t="str">
        <f>"07.02.24"</f>
        <v>07.02.24</v>
      </c>
    </row>
    <row r="315" spans="1:11" ht="11.25" customHeight="1" outlineLevel="1">
      <c r="A315" s="89" t="n">
        <v>8105220</v>
      </c>
      <c r="B315" s="114" t="s">
        <v>211</v>
      </c>
      <c r="C315" s="89" t="s">
        <v>528</v>
      </c>
      <c r="D315" s="89" t="s">
        <v>407</v>
      </c>
      <c r="E315" s="89"/>
      <c r="F315" s="102" t="n">
        <v>653</v>
      </c>
      <c r="G315" s="102" t="n">
        <v>815</v>
      </c>
      <c r="H315" s="103" t="s">
        <v>17</v>
      </c>
      <c r="I315" s="103">
        <f>IFERROR(VLOOKUP(A315,#REF!,15,0),0)+IFERROR(VLOOKUP(A315,#REF!,25,0),0)+IFERROR(VLOOKUP(A315,#REF!,10,0),0)+IFERROR(VLOOKUP(A315,#REF!,14,0),0)+IFERROR(VLOOKUP(A315,#REF!,10,0),0)+IFERROR(VLOOKUP(A315,#REF!,10,0),0)+IFERROR(VLOOKUP(A315,#REF!,10,0),0)+IFERROR(VLOOKUP(A315,#REF!,9,0),0)+IFERROR(VLOOKUP(A315,#REF!,9,0),0)+IFERROR(VLOOKUP(A315,#REF!,9,0),0)+IFERROR(VLOOKUP(A315,#REF!,9,0),0)</f>
        <v>0</v>
      </c>
      <c r="J315" s="104">
        <f>IFERROR(VLOOKUP(A315,#REF!,16,0),0)+IFERROR(VLOOKUP(A315,#REF!,26,0),0)+IFERROR(VLOOKUP(A315,#REF!,11,0),0)+IFERROR(VLOOKUP(A315,#REF!,23,0),0)+IFERROR(VLOOKUP(A315,#REF!,11,0),0)+IFERROR(VLOOKUP(A315,#REF!,11,0),0)+IFERROR(VLOOKUP(A315,#REF!,11,0),0)</f>
        <v>0</v>
      </c>
      <c r="K315" s="96" t="str">
        <f>"07.02.24"</f>
        <v>07.02.24</v>
      </c>
    </row>
    <row r="316" spans="1:11" ht="11.25" customHeight="1" outlineLevel="1">
      <c r="A316" s="89" t="n">
        <v>8106490</v>
      </c>
      <c r="B316" s="114" t="s">
        <v>211</v>
      </c>
      <c r="C316" s="89" t="s">
        <v>529</v>
      </c>
      <c r="D316" s="89" t="s">
        <v>407</v>
      </c>
      <c r="E316" s="89"/>
      <c r="F316" s="102" t="n">
        <v>950</v>
      </c>
      <c r="G316" s="102" t="n">
        <v>1186</v>
      </c>
      <c r="H316" s="103" t="s">
        <v>48</v>
      </c>
      <c r="I316" s="103">
        <f>IFERROR(VLOOKUP(A316,#REF!,15,0),0)+IFERROR(VLOOKUP(A316,#REF!,25,0),0)+IFERROR(VLOOKUP(A316,#REF!,10,0),0)+IFERROR(VLOOKUP(A316,#REF!,14,0),0)+IFERROR(VLOOKUP(A316,#REF!,10,0),0)+IFERROR(VLOOKUP(A316,#REF!,10,0),0)+IFERROR(VLOOKUP(A316,#REF!,10,0),0)+IFERROR(VLOOKUP(A316,#REF!,9,0),0)+IFERROR(VLOOKUP(A316,#REF!,9,0),0)+IFERROR(VLOOKUP(A316,#REF!,9,0),0)+IFERROR(VLOOKUP(A316,#REF!,9,0),0)</f>
        <v>0</v>
      </c>
      <c r="J316" s="104">
        <f>IFERROR(VLOOKUP(A316,#REF!,16,0),0)+IFERROR(VLOOKUP(A316,#REF!,26,0),0)+IFERROR(VLOOKUP(A316,#REF!,11,0),0)+IFERROR(VLOOKUP(A316,#REF!,23,0),0)+IFERROR(VLOOKUP(A316,#REF!,11,0),0)+IFERROR(VLOOKUP(A316,#REF!,11,0),0)+IFERROR(VLOOKUP(A316,#REF!,11,0),0)</f>
        <v>0</v>
      </c>
      <c r="K316" s="96" t="str">
        <f>"07.02.24"</f>
        <v>07.02.24</v>
      </c>
    </row>
    <row r="317" spans="1:11" ht="11.25" customHeight="1" outlineLevel="1">
      <c r="A317" s="89" t="n">
        <v>8106430</v>
      </c>
      <c r="B317" s="114" t="s">
        <v>211</v>
      </c>
      <c r="C317" s="89" t="s">
        <v>530</v>
      </c>
      <c r="D317" s="89" t="s">
        <v>407</v>
      </c>
      <c r="E317" s="89"/>
      <c r="F317" s="102" t="n">
        <v>865</v>
      </c>
      <c r="G317" s="102" t="n">
        <v>1080</v>
      </c>
      <c r="H317" s="103" t="s">
        <v>17</v>
      </c>
      <c r="I317" s="103">
        <f>IFERROR(VLOOKUP(A317,#REF!,15,0),0)+IFERROR(VLOOKUP(A317,#REF!,25,0),0)+IFERROR(VLOOKUP(A317,#REF!,10,0),0)+IFERROR(VLOOKUP(A317,#REF!,14,0),0)+IFERROR(VLOOKUP(A317,#REF!,10,0),0)+IFERROR(VLOOKUP(A317,#REF!,10,0),0)+IFERROR(VLOOKUP(A317,#REF!,10,0),0)+IFERROR(VLOOKUP(A317,#REF!,9,0),0)+IFERROR(VLOOKUP(A317,#REF!,9,0),0)+IFERROR(VLOOKUP(A317,#REF!,9,0),0)+IFERROR(VLOOKUP(A317,#REF!,9,0),0)</f>
        <v>0</v>
      </c>
      <c r="J317" s="104">
        <f>IFERROR(VLOOKUP(A317,#REF!,16,0),0)+IFERROR(VLOOKUP(A317,#REF!,26,0),0)+IFERROR(VLOOKUP(A317,#REF!,11,0),0)+IFERROR(VLOOKUP(A317,#REF!,23,0),0)+IFERROR(VLOOKUP(A317,#REF!,11,0),0)+IFERROR(VLOOKUP(A317,#REF!,11,0),0)+IFERROR(VLOOKUP(A317,#REF!,11,0),0)</f>
        <v>0</v>
      </c>
      <c r="K317" s="96" t="str">
        <f>"07.02.24"</f>
        <v>07.02.24</v>
      </c>
    </row>
    <row r="318" spans="1:11" ht="11.25" customHeight="1" outlineLevel="1">
      <c r="A318" s="89" t="n">
        <v>8106440</v>
      </c>
      <c r="B318" s="114" t="s">
        <v>211</v>
      </c>
      <c r="C318" s="89" t="s">
        <v>531</v>
      </c>
      <c r="D318" s="89" t="s">
        <v>407</v>
      </c>
      <c r="E318" s="89"/>
      <c r="F318" s="102" t="n">
        <v>965</v>
      </c>
      <c r="G318" s="102" t="n">
        <v>1207</v>
      </c>
      <c r="H318" s="103" t="s">
        <v>17</v>
      </c>
      <c r="I318" s="103">
        <f>IFERROR(VLOOKUP(A318,#REF!,15,0),0)+IFERROR(VLOOKUP(A318,#REF!,25,0),0)+IFERROR(VLOOKUP(A318,#REF!,10,0),0)+IFERROR(VLOOKUP(A318,#REF!,14,0),0)+IFERROR(VLOOKUP(A318,#REF!,10,0),0)+IFERROR(VLOOKUP(A318,#REF!,10,0),0)+IFERROR(VLOOKUP(A318,#REF!,10,0),0)+IFERROR(VLOOKUP(A318,#REF!,9,0),0)+IFERROR(VLOOKUP(A318,#REF!,9,0),0)+IFERROR(VLOOKUP(A318,#REF!,9,0),0)+IFERROR(VLOOKUP(A318,#REF!,9,0),0)</f>
        <v>0</v>
      </c>
      <c r="J318" s="104">
        <f>IFERROR(VLOOKUP(A318,#REF!,16,0),0)+IFERROR(VLOOKUP(A318,#REF!,26,0),0)+IFERROR(VLOOKUP(A318,#REF!,11,0),0)+IFERROR(VLOOKUP(A318,#REF!,23,0),0)+IFERROR(VLOOKUP(A318,#REF!,11,0),0)+IFERROR(VLOOKUP(A318,#REF!,11,0),0)+IFERROR(VLOOKUP(A318,#REF!,11,0),0)</f>
        <v>0</v>
      </c>
      <c r="K318" s="96" t="str">
        <f>"07.02.24"</f>
        <v>07.02.24</v>
      </c>
    </row>
    <row r="319" spans="1:11" ht="11.25" customHeight="1" outlineLevel="1">
      <c r="A319" s="89" t="n">
        <v>35157</v>
      </c>
      <c r="B319" s="114" t="s">
        <v>211</v>
      </c>
      <c r="C319" s="89" t="s">
        <v>532</v>
      </c>
      <c r="D319" s="89" t="s">
        <v>15</v>
      </c>
      <c r="E319" s="89"/>
      <c r="F319" s="102" t="n">
        <v>974</v>
      </c>
      <c r="G319" s="102" t="n">
        <v>1216</v>
      </c>
      <c r="H319" s="103" t="s">
        <v>48</v>
      </c>
      <c r="I319" s="103">
        <f>IFERROR(VLOOKUP(A319,#REF!,15,0),0)+IFERROR(VLOOKUP(A319,#REF!,25,0),0)+IFERROR(VLOOKUP(A319,#REF!,10,0),0)+IFERROR(VLOOKUP(A319,#REF!,14,0),0)+IFERROR(VLOOKUP(A319,#REF!,10,0),0)+IFERROR(VLOOKUP(A319,#REF!,10,0),0)+IFERROR(VLOOKUP(A319,#REF!,10,0),0)+IFERROR(VLOOKUP(A319,#REF!,9,0),0)+IFERROR(VLOOKUP(A319,#REF!,9,0),0)+IFERROR(VLOOKUP(A319,#REF!,9,0),0)+IFERROR(VLOOKUP(A319,#REF!,9,0),0)</f>
        <v>0</v>
      </c>
      <c r="J319" s="104">
        <f>IFERROR(VLOOKUP(A319,#REF!,16,0),0)+IFERROR(VLOOKUP(A319,#REF!,26,0),0)+IFERROR(VLOOKUP(A319,#REF!,11,0),0)+IFERROR(VLOOKUP(A319,#REF!,23,0),0)+IFERROR(VLOOKUP(A319,#REF!,11,0),0)+IFERROR(VLOOKUP(A319,#REF!,11,0),0)+IFERROR(VLOOKUP(A319,#REF!,11,0),0)</f>
        <v>0</v>
      </c>
      <c r="K319" s="96" t="str">
        <f>"07.02.24"</f>
        <v>07.02.24</v>
      </c>
    </row>
    <row r="320" spans="1:11" ht="11.25" customHeight="1">
      <c r="A320" s="97" t="s">
        <v>533</v>
      </c>
      <c r="B320" s="98"/>
      <c r="C320" s="98"/>
      <c r="D320" s="98"/>
      <c r="E320" s="98"/>
      <c r="F320" s="99"/>
      <c r="G320" s="99"/>
      <c r="H320" s="100"/>
      <c r="I320" s="100"/>
      <c r="J320" s="108"/>
      <c r="K320" s="96" t="str">
        <f>"07.02.24"</f>
        <v>07.02.24</v>
      </c>
    </row>
    <row r="321" spans="1:11" ht="11.25" customHeight="1" outlineLevel="1">
      <c r="A321" s="89" t="s">
        <v>534</v>
      </c>
      <c r="B321" s="114" t="s">
        <v>533</v>
      </c>
      <c r="C321" s="89" t="s">
        <v>535</v>
      </c>
      <c r="D321" s="89" t="s">
        <v>15</v>
      </c>
      <c r="E321" s="89"/>
      <c r="F321" s="102" t="n">
        <v>9834</v>
      </c>
      <c r="G321" s="102" t="n">
        <v>11802</v>
      </c>
      <c r="H321" s="103" t="s">
        <v>48</v>
      </c>
      <c r="I321" s="103">
        <f>IFERROR(VLOOKUP(A321,#REF!,15,0),0)+IFERROR(VLOOKUP(A321,#REF!,25,0),0)+IFERROR(VLOOKUP(A321,#REF!,10,0),0)+IFERROR(VLOOKUP(A321,#REF!,14,0),0)+IFERROR(VLOOKUP(A321,#REF!,10,0),0)+IFERROR(VLOOKUP(A321,#REF!,10,0),0)+IFERROR(VLOOKUP(A321,#REF!,10,0),0)+IFERROR(VLOOKUP(A321,#REF!,9,0),0)+IFERROR(VLOOKUP(A321,#REF!,9,0),0)+IFERROR(VLOOKUP(A321,#REF!,9,0),0)+IFERROR(VLOOKUP(A321,#REF!,9,0),0)</f>
        <v>0</v>
      </c>
      <c r="J321" s="104">
        <f>IFERROR(VLOOKUP(A321,#REF!,16,0),0)+IFERROR(VLOOKUP(A321,#REF!,26,0),0)+IFERROR(VLOOKUP(A321,#REF!,11,0),0)+IFERROR(VLOOKUP(A321,#REF!,23,0),0)+IFERROR(VLOOKUP(A321,#REF!,11,0),0)+IFERROR(VLOOKUP(A321,#REF!,11,0),0)+IFERROR(VLOOKUP(A321,#REF!,11,0),0)</f>
        <v>0</v>
      </c>
      <c r="K321" s="96" t="str">
        <f>"07.02.24"</f>
        <v>07.02.24</v>
      </c>
    </row>
    <row r="322" spans="1:11" ht="11.25" customHeight="1" outlineLevel="1">
      <c r="A322" s="89" t="s">
        <v>536</v>
      </c>
      <c r="B322" s="114" t="s">
        <v>533</v>
      </c>
      <c r="C322" s="89" t="s">
        <v>537</v>
      </c>
      <c r="D322" s="89" t="s">
        <v>15</v>
      </c>
      <c r="E322" s="89"/>
      <c r="F322" s="102" t="n">
        <v>11207</v>
      </c>
      <c r="G322" s="102" t="n">
        <v>13449</v>
      </c>
      <c r="H322" s="103" t="s">
        <v>17</v>
      </c>
      <c r="I322" s="103">
        <f>IFERROR(VLOOKUP(A322,#REF!,15,0),0)+IFERROR(VLOOKUP(A322,#REF!,25,0),0)+IFERROR(VLOOKUP(A322,#REF!,10,0),0)+IFERROR(VLOOKUP(A322,#REF!,14,0),0)+IFERROR(VLOOKUP(A322,#REF!,10,0),0)+IFERROR(VLOOKUP(A322,#REF!,10,0),0)+IFERROR(VLOOKUP(A322,#REF!,10,0),0)+IFERROR(VLOOKUP(A322,#REF!,9,0),0)+IFERROR(VLOOKUP(A322,#REF!,9,0),0)+IFERROR(VLOOKUP(A322,#REF!,9,0),0)+IFERROR(VLOOKUP(A322,#REF!,9,0),0)</f>
        <v>0</v>
      </c>
      <c r="J322" s="104">
        <f>IFERROR(VLOOKUP(A322,#REF!,16,0),0)+IFERROR(VLOOKUP(A322,#REF!,26,0),0)+IFERROR(VLOOKUP(A322,#REF!,11,0),0)+IFERROR(VLOOKUP(A322,#REF!,23,0),0)+IFERROR(VLOOKUP(A322,#REF!,11,0),0)+IFERROR(VLOOKUP(A322,#REF!,11,0),0)+IFERROR(VLOOKUP(A322,#REF!,11,0),0)</f>
        <v>0</v>
      </c>
      <c r="K322" s="96" t="str">
        <f>"07.02.24"</f>
        <v>07.02.24</v>
      </c>
    </row>
    <row r="323" spans="1:11" ht="11.25" customHeight="1" outlineLevel="1">
      <c r="A323" s="89" t="n">
        <v>8154990</v>
      </c>
      <c r="B323" s="114" t="s">
        <v>533</v>
      </c>
      <c r="C323" s="89" t="s">
        <v>538</v>
      </c>
      <c r="D323" s="89" t="s">
        <v>15</v>
      </c>
      <c r="E323" s="89"/>
      <c r="F323" s="102" t="n">
        <v>4906</v>
      </c>
      <c r="G323" s="102" t="n">
        <v>5936</v>
      </c>
      <c r="H323" s="103" t="s">
        <v>48</v>
      </c>
      <c r="I323" s="103">
        <f>IFERROR(VLOOKUP(A323,#REF!,15,0),0)+IFERROR(VLOOKUP(A323,#REF!,25,0),0)+IFERROR(VLOOKUP(A323,#REF!,10,0),0)+IFERROR(VLOOKUP(A323,#REF!,14,0),0)+IFERROR(VLOOKUP(A323,#REF!,10,0),0)+IFERROR(VLOOKUP(A323,#REF!,10,0),0)+IFERROR(VLOOKUP(A323,#REF!,10,0),0)+IFERROR(VLOOKUP(A323,#REF!,9,0),0)+IFERROR(VLOOKUP(A323,#REF!,9,0),0)+IFERROR(VLOOKUP(A323,#REF!,9,0),0)+IFERROR(VLOOKUP(A323,#REF!,9,0),0)</f>
        <v>0</v>
      </c>
      <c r="J323" s="104">
        <f>IFERROR(VLOOKUP(A323,#REF!,16,0),0)+IFERROR(VLOOKUP(A323,#REF!,26,0),0)+IFERROR(VLOOKUP(A323,#REF!,11,0),0)+IFERROR(VLOOKUP(A323,#REF!,23,0),0)+IFERROR(VLOOKUP(A323,#REF!,11,0),0)+IFERROR(VLOOKUP(A323,#REF!,11,0),0)+IFERROR(VLOOKUP(A323,#REF!,11,0),0)</f>
        <v>0</v>
      </c>
      <c r="K323" s="96" t="str">
        <f>"07.02.24"</f>
        <v>07.02.24</v>
      </c>
    </row>
    <row r="324" spans="1:11" ht="11.25" customHeight="1" outlineLevel="1">
      <c r="A324" s="89" t="n">
        <v>8154980</v>
      </c>
      <c r="B324" s="114" t="s">
        <v>533</v>
      </c>
      <c r="C324" s="89" t="s">
        <v>539</v>
      </c>
      <c r="D324" s="89" t="s">
        <v>15</v>
      </c>
      <c r="E324" s="89"/>
      <c r="F324" s="102" t="n">
        <v>2715</v>
      </c>
      <c r="G324" s="102" t="n">
        <v>3259</v>
      </c>
      <c r="H324" s="103" t="s">
        <v>48</v>
      </c>
      <c r="I324" s="103">
        <f>IFERROR(VLOOKUP(A324,#REF!,15,0),0)+IFERROR(VLOOKUP(A324,#REF!,25,0),0)+IFERROR(VLOOKUP(A324,#REF!,10,0),0)+IFERROR(VLOOKUP(A324,#REF!,14,0),0)+IFERROR(VLOOKUP(A324,#REF!,10,0),0)+IFERROR(VLOOKUP(A324,#REF!,10,0),0)+IFERROR(VLOOKUP(A324,#REF!,10,0),0)+IFERROR(VLOOKUP(A324,#REF!,9,0),0)+IFERROR(VLOOKUP(A324,#REF!,9,0),0)+IFERROR(VLOOKUP(A324,#REF!,9,0),0)+IFERROR(VLOOKUP(A324,#REF!,9,0),0)</f>
        <v>0</v>
      </c>
      <c r="J324" s="104">
        <f>IFERROR(VLOOKUP(A324,#REF!,16,0),0)+IFERROR(VLOOKUP(A324,#REF!,26,0),0)+IFERROR(VLOOKUP(A324,#REF!,11,0),0)+IFERROR(VLOOKUP(A324,#REF!,23,0),0)+IFERROR(VLOOKUP(A324,#REF!,11,0),0)+IFERROR(VLOOKUP(A324,#REF!,11,0),0)+IFERROR(VLOOKUP(A324,#REF!,11,0),0)</f>
        <v>0</v>
      </c>
      <c r="K324" s="96" t="str">
        <f>"07.02.24"</f>
        <v>07.02.24</v>
      </c>
    </row>
    <row r="325" spans="1:11" ht="11.25" customHeight="1" outlineLevel="1">
      <c r="A325" s="89" t="n">
        <v>8144880</v>
      </c>
      <c r="B325" s="114" t="s">
        <v>533</v>
      </c>
      <c r="C325" s="89" t="s">
        <v>540</v>
      </c>
      <c r="D325" s="89" t="s">
        <v>15</v>
      </c>
      <c r="E325" s="89"/>
      <c r="F325" s="102" t="n">
        <v>6772</v>
      </c>
      <c r="G325" s="102" t="n">
        <v>8126</v>
      </c>
      <c r="H325" s="103" t="s">
        <v>48</v>
      </c>
      <c r="I325" s="103">
        <f>IFERROR(VLOOKUP(A325,#REF!,15,0),0)+IFERROR(VLOOKUP(A325,#REF!,25,0),0)+IFERROR(VLOOKUP(A325,#REF!,10,0),0)+IFERROR(VLOOKUP(A325,#REF!,14,0),0)+IFERROR(VLOOKUP(A325,#REF!,10,0),0)+IFERROR(VLOOKUP(A325,#REF!,10,0),0)+IFERROR(VLOOKUP(A325,#REF!,10,0),0)+IFERROR(VLOOKUP(A325,#REF!,9,0),0)+IFERROR(VLOOKUP(A325,#REF!,9,0),0)+IFERROR(VLOOKUP(A325,#REF!,9,0),0)+IFERROR(VLOOKUP(A325,#REF!,9,0),0)</f>
        <v>0</v>
      </c>
      <c r="J325" s="104">
        <f>IFERROR(VLOOKUP(A325,#REF!,16,0),0)+IFERROR(VLOOKUP(A325,#REF!,26,0),0)+IFERROR(VLOOKUP(A325,#REF!,11,0),0)+IFERROR(VLOOKUP(A325,#REF!,23,0),0)+IFERROR(VLOOKUP(A325,#REF!,11,0),0)+IFERROR(VLOOKUP(A325,#REF!,11,0),0)+IFERROR(VLOOKUP(A325,#REF!,11,0),0)</f>
        <v>0</v>
      </c>
      <c r="K325" s="96" t="str">
        <f>"07.02.24"</f>
        <v>07.02.24</v>
      </c>
    </row>
    <row r="326" spans="1:11" ht="11.25" customHeight="1" outlineLevel="1">
      <c r="A326" s="89" t="n">
        <v>8199000</v>
      </c>
      <c r="B326" s="114" t="s">
        <v>533</v>
      </c>
      <c r="C326" s="89" t="s">
        <v>541</v>
      </c>
      <c r="D326" s="89" t="s">
        <v>15</v>
      </c>
      <c r="E326" s="89"/>
      <c r="F326" s="102" t="n">
        <v>4924</v>
      </c>
      <c r="G326" s="102" t="n">
        <v>6402</v>
      </c>
      <c r="H326" s="103" t="s">
        <v>48</v>
      </c>
      <c r="I326" s="103">
        <f>IFERROR(VLOOKUP(A326,#REF!,15,0),0)+IFERROR(VLOOKUP(A326,#REF!,25,0),0)+IFERROR(VLOOKUP(A326,#REF!,10,0),0)+IFERROR(VLOOKUP(A326,#REF!,14,0),0)+IFERROR(VLOOKUP(A326,#REF!,10,0),0)+IFERROR(VLOOKUP(A326,#REF!,10,0),0)+IFERROR(VLOOKUP(A326,#REF!,10,0),0)+IFERROR(VLOOKUP(A326,#REF!,9,0),0)+IFERROR(VLOOKUP(A326,#REF!,9,0),0)+IFERROR(VLOOKUP(A326,#REF!,9,0),0)+IFERROR(VLOOKUP(A326,#REF!,9,0),0)</f>
        <v>0</v>
      </c>
      <c r="J326" s="104">
        <f>IFERROR(VLOOKUP(A326,#REF!,16,0),0)+IFERROR(VLOOKUP(A326,#REF!,26,0),0)+IFERROR(VLOOKUP(A326,#REF!,11,0),0)+IFERROR(VLOOKUP(A326,#REF!,23,0),0)+IFERROR(VLOOKUP(A326,#REF!,11,0),0)+IFERROR(VLOOKUP(A326,#REF!,11,0),0)+IFERROR(VLOOKUP(A326,#REF!,11,0),0)</f>
        <v>0</v>
      </c>
      <c r="K326" s="96" t="str">
        <f>"07.02.24"</f>
        <v>07.02.24</v>
      </c>
    </row>
    <row r="327" spans="1:11" ht="11.25" customHeight="1" outlineLevel="1">
      <c r="A327" s="89" t="n">
        <v>8199010</v>
      </c>
      <c r="B327" s="114" t="s">
        <v>533</v>
      </c>
      <c r="C327" s="89" t="s">
        <v>542</v>
      </c>
      <c r="D327" s="89" t="s">
        <v>15</v>
      </c>
      <c r="E327" s="89"/>
      <c r="F327" s="102" t="n">
        <v>2290</v>
      </c>
      <c r="G327" s="102" t="n">
        <v>2977</v>
      </c>
      <c r="H327" s="103" t="s">
        <v>48</v>
      </c>
      <c r="I327" s="103">
        <f>IFERROR(VLOOKUP(A327,#REF!,15,0),0)+IFERROR(VLOOKUP(A327,#REF!,25,0),0)+IFERROR(VLOOKUP(A327,#REF!,10,0),0)+IFERROR(VLOOKUP(A327,#REF!,14,0),0)+IFERROR(VLOOKUP(A327,#REF!,10,0),0)+IFERROR(VLOOKUP(A327,#REF!,10,0),0)+IFERROR(VLOOKUP(A327,#REF!,10,0),0)+IFERROR(VLOOKUP(A327,#REF!,9,0),0)+IFERROR(VLOOKUP(A327,#REF!,9,0),0)+IFERROR(VLOOKUP(A327,#REF!,9,0),0)+IFERROR(VLOOKUP(A327,#REF!,9,0),0)</f>
        <v>0</v>
      </c>
      <c r="J327" s="104">
        <f>IFERROR(VLOOKUP(A327,#REF!,16,0),0)+IFERROR(VLOOKUP(A327,#REF!,26,0),0)+IFERROR(VLOOKUP(A327,#REF!,11,0),0)+IFERROR(VLOOKUP(A327,#REF!,23,0),0)+IFERROR(VLOOKUP(A327,#REF!,11,0),0)+IFERROR(VLOOKUP(A327,#REF!,11,0),0)+IFERROR(VLOOKUP(A327,#REF!,11,0),0)</f>
        <v>0</v>
      </c>
      <c r="K327" s="96" t="str">
        <f>"07.02.24"</f>
        <v>07.02.24</v>
      </c>
    </row>
    <row r="328" spans="1:11" ht="11.25" customHeight="1" outlineLevel="1">
      <c r="A328" s="89" t="n">
        <v>8199020</v>
      </c>
      <c r="B328" s="114" t="s">
        <v>533</v>
      </c>
      <c r="C328" s="89" t="s">
        <v>543</v>
      </c>
      <c r="D328" s="89" t="s">
        <v>15</v>
      </c>
      <c r="E328" s="89"/>
      <c r="F328" s="102" t="n">
        <v>2323</v>
      </c>
      <c r="G328" s="102" t="n">
        <v>2996</v>
      </c>
      <c r="H328" s="103" t="s">
        <v>48</v>
      </c>
      <c r="I328" s="103">
        <f>IFERROR(VLOOKUP(A328,#REF!,15,0),0)+IFERROR(VLOOKUP(A328,#REF!,25,0),0)+IFERROR(VLOOKUP(A328,#REF!,10,0),0)+IFERROR(VLOOKUP(A328,#REF!,14,0),0)+IFERROR(VLOOKUP(A328,#REF!,10,0),0)+IFERROR(VLOOKUP(A328,#REF!,10,0),0)+IFERROR(VLOOKUP(A328,#REF!,10,0),0)+IFERROR(VLOOKUP(A328,#REF!,9,0),0)+IFERROR(VLOOKUP(A328,#REF!,9,0),0)+IFERROR(VLOOKUP(A328,#REF!,9,0),0)+IFERROR(VLOOKUP(A328,#REF!,9,0),0)</f>
        <v>0</v>
      </c>
      <c r="J328" s="104">
        <f>IFERROR(VLOOKUP(A328,#REF!,16,0),0)+IFERROR(VLOOKUP(A328,#REF!,26,0),0)+IFERROR(VLOOKUP(A328,#REF!,11,0),0)+IFERROR(VLOOKUP(A328,#REF!,23,0),0)+IFERROR(VLOOKUP(A328,#REF!,11,0),0)+IFERROR(VLOOKUP(A328,#REF!,11,0),0)+IFERROR(VLOOKUP(A328,#REF!,11,0),0)</f>
        <v>0</v>
      </c>
      <c r="K328" s="96" t="str">
        <f>"07.02.24"</f>
        <v>07.02.24</v>
      </c>
    </row>
    <row r="329" spans="1:11" ht="11.25" customHeight="1">
      <c r="A329" s="97" t="s">
        <v>544</v>
      </c>
      <c r="B329" s="98"/>
      <c r="C329" s="98"/>
      <c r="D329" s="98"/>
      <c r="E329" s="98"/>
      <c r="F329" s="99"/>
      <c r="G329" s="99"/>
      <c r="H329" s="100"/>
      <c r="I329" s="100"/>
      <c r="J329" s="108"/>
      <c r="K329" s="96" t="str">
        <f>"07.02.24"</f>
        <v>07.02.24</v>
      </c>
    </row>
    <row r="330" spans="1:11" ht="11.25" customHeight="1" outlineLevel="1">
      <c r="A330" s="89" t="s">
        <v>545</v>
      </c>
      <c r="B330" s="114" t="s">
        <v>546</v>
      </c>
      <c r="C330" s="89" t="s">
        <v>547</v>
      </c>
      <c r="D330" s="89" t="s">
        <v>15</v>
      </c>
      <c r="E330" s="89"/>
      <c r="F330" s="102" t="n">
        <v>2183</v>
      </c>
      <c r="G330" s="102" t="n">
        <v>2727</v>
      </c>
      <c r="H330" s="103" t="s">
        <v>17</v>
      </c>
      <c r="I330" s="103">
        <f>IFERROR(VLOOKUP(A330,#REF!,15,0),0)+IFERROR(VLOOKUP(A330,#REF!,25,0),0)+IFERROR(VLOOKUP(A330,#REF!,10,0),0)+IFERROR(VLOOKUP(A330,#REF!,14,0),0)+IFERROR(VLOOKUP(A330,#REF!,10,0),0)+IFERROR(VLOOKUP(A330,#REF!,10,0),0)+IFERROR(VLOOKUP(A330,#REF!,10,0),0)+IFERROR(VLOOKUP(A330,#REF!,9,0),0)+IFERROR(VLOOKUP(A330,#REF!,9,0),0)+IFERROR(VLOOKUP(A330,#REF!,9,0),0)+IFERROR(VLOOKUP(A330,#REF!,9,0),0)</f>
        <v>0</v>
      </c>
      <c r="J330" s="104">
        <f>IFERROR(VLOOKUP(A330,#REF!,16,0),0)+IFERROR(VLOOKUP(A330,#REF!,26,0),0)+IFERROR(VLOOKUP(A330,#REF!,11,0),0)+IFERROR(VLOOKUP(A330,#REF!,23,0),0)+IFERROR(VLOOKUP(A330,#REF!,11,0),0)+IFERROR(VLOOKUP(A330,#REF!,11,0),0)+IFERROR(VLOOKUP(A330,#REF!,11,0),0)</f>
        <v>0</v>
      </c>
      <c r="K330" s="96" t="str">
        <f>"07.02.24"</f>
        <v>07.02.24</v>
      </c>
    </row>
    <row r="331" spans="1:11" ht="11.25" customHeight="1" outlineLevel="1">
      <c r="A331" s="89" t="n">
        <v>8509050</v>
      </c>
      <c r="B331" s="114" t="s">
        <v>546</v>
      </c>
      <c r="C331" s="89" t="s">
        <v>548</v>
      </c>
      <c r="D331" s="89" t="s">
        <v>15</v>
      </c>
      <c r="E331" s="89"/>
      <c r="F331" s="102" t="n">
        <v>21145</v>
      </c>
      <c r="G331" s="102" t="n">
        <v>26431</v>
      </c>
      <c r="H331" s="103" t="s">
        <v>48</v>
      </c>
      <c r="I331" s="103">
        <f>IFERROR(VLOOKUP(A331,#REF!,15,0),0)+IFERROR(VLOOKUP(A331,#REF!,25,0),0)+IFERROR(VLOOKUP(A331,#REF!,10,0),0)+IFERROR(VLOOKUP(A331,#REF!,14,0),0)+IFERROR(VLOOKUP(A331,#REF!,10,0),0)+IFERROR(VLOOKUP(A331,#REF!,10,0),0)+IFERROR(VLOOKUP(A331,#REF!,10,0),0)+IFERROR(VLOOKUP(A331,#REF!,9,0),0)+IFERROR(VLOOKUP(A331,#REF!,9,0),0)+IFERROR(VLOOKUP(A331,#REF!,9,0),0)+IFERROR(VLOOKUP(A331,#REF!,9,0),0)</f>
        <v>0</v>
      </c>
      <c r="J331" s="104">
        <f>IFERROR(VLOOKUP(A331,#REF!,16,0),0)+IFERROR(VLOOKUP(A331,#REF!,26,0),0)+IFERROR(VLOOKUP(A331,#REF!,11,0),0)+IFERROR(VLOOKUP(A331,#REF!,23,0),0)+IFERROR(VLOOKUP(A331,#REF!,11,0),0)+IFERROR(VLOOKUP(A331,#REF!,11,0),0)+IFERROR(VLOOKUP(A331,#REF!,11,0),0)</f>
        <v>0</v>
      </c>
      <c r="K331" s="96" t="str">
        <f>"07.02.24"</f>
        <v>07.02.24</v>
      </c>
    </row>
    <row r="332" spans="1:11" ht="11.25" customHeight="1" outlineLevel="1">
      <c r="A332" s="89" t="n">
        <v>8509040</v>
      </c>
      <c r="B332" s="114" t="s">
        <v>546</v>
      </c>
      <c r="C332" s="89" t="s">
        <v>549</v>
      </c>
      <c r="D332" s="89" t="s">
        <v>15</v>
      </c>
      <c r="E332" s="89"/>
      <c r="F332" s="102" t="n">
        <v>3245</v>
      </c>
      <c r="G332" s="102" t="n">
        <v>4057</v>
      </c>
      <c r="H332" s="103" t="s">
        <v>48</v>
      </c>
      <c r="I332" s="103">
        <f>IFERROR(VLOOKUP(A332,#REF!,15,0),0)+IFERROR(VLOOKUP(A332,#REF!,25,0),0)+IFERROR(VLOOKUP(A332,#REF!,10,0),0)+IFERROR(VLOOKUP(A332,#REF!,14,0),0)+IFERROR(VLOOKUP(A332,#REF!,10,0),0)+IFERROR(VLOOKUP(A332,#REF!,10,0),0)+IFERROR(VLOOKUP(A332,#REF!,10,0),0)+IFERROR(VLOOKUP(A332,#REF!,9,0),0)+IFERROR(VLOOKUP(A332,#REF!,9,0),0)+IFERROR(VLOOKUP(A332,#REF!,9,0),0)+IFERROR(VLOOKUP(A332,#REF!,9,0),0)</f>
        <v>0</v>
      </c>
      <c r="J332" s="104">
        <f>IFERROR(VLOOKUP(A332,#REF!,16,0),0)+IFERROR(VLOOKUP(A332,#REF!,26,0),0)+IFERROR(VLOOKUP(A332,#REF!,11,0),0)+IFERROR(VLOOKUP(A332,#REF!,23,0),0)+IFERROR(VLOOKUP(A332,#REF!,11,0),0)+IFERROR(VLOOKUP(A332,#REF!,11,0),0)+IFERROR(VLOOKUP(A332,#REF!,11,0),0)</f>
        <v>0</v>
      </c>
      <c r="K332" s="96" t="str">
        <f>"07.02.24"</f>
        <v>07.02.24</v>
      </c>
    </row>
    <row r="333" spans="1:11" ht="11.25" customHeight="1" outlineLevel="1">
      <c r="A333" s="89" t="s">
        <v>550</v>
      </c>
      <c r="B333" s="114" t="s">
        <v>546</v>
      </c>
      <c r="C333" s="89" t="s">
        <v>551</v>
      </c>
      <c r="D333" s="89" t="s">
        <v>15</v>
      </c>
      <c r="E333" s="89"/>
      <c r="F333" s="102" t="n">
        <v>3408</v>
      </c>
      <c r="G333" s="102" t="n">
        <v>4089</v>
      </c>
      <c r="H333" s="103" t="s">
        <v>17</v>
      </c>
      <c r="I333" s="103">
        <f>IFERROR(VLOOKUP(A333,#REF!,15,0),0)+IFERROR(VLOOKUP(A333,#REF!,25,0),0)+IFERROR(VLOOKUP(A333,#REF!,10,0),0)+IFERROR(VLOOKUP(A333,#REF!,14,0),0)+IFERROR(VLOOKUP(A333,#REF!,10,0),0)+IFERROR(VLOOKUP(A333,#REF!,10,0),0)+IFERROR(VLOOKUP(A333,#REF!,10,0),0)+IFERROR(VLOOKUP(A333,#REF!,9,0),0)+IFERROR(VLOOKUP(A333,#REF!,9,0),0)+IFERROR(VLOOKUP(A333,#REF!,9,0),0)+IFERROR(VLOOKUP(A333,#REF!,9,0),0)</f>
        <v>0</v>
      </c>
      <c r="J333" s="104">
        <f>IFERROR(VLOOKUP(A333,#REF!,16,0),0)+IFERROR(VLOOKUP(A333,#REF!,26,0),0)+IFERROR(VLOOKUP(A333,#REF!,11,0),0)+IFERROR(VLOOKUP(A333,#REF!,23,0),0)+IFERROR(VLOOKUP(A333,#REF!,11,0),0)+IFERROR(VLOOKUP(A333,#REF!,11,0),0)+IFERROR(VLOOKUP(A333,#REF!,11,0),0)</f>
        <v>0</v>
      </c>
      <c r="K333" s="96" t="str">
        <f>"07.02.24"</f>
        <v>07.02.24</v>
      </c>
    </row>
    <row r="334" spans="1:11" ht="11.25" customHeight="1" outlineLevel="1">
      <c r="A334" s="89" t="s">
        <v>552</v>
      </c>
      <c r="B334" s="114" t="s">
        <v>546</v>
      </c>
      <c r="C334" s="89" t="s">
        <v>553</v>
      </c>
      <c r="D334" s="89" t="s">
        <v>15</v>
      </c>
      <c r="E334" s="89"/>
      <c r="F334" s="102" t="n">
        <v>3960</v>
      </c>
      <c r="G334" s="102" t="n">
        <v>4928</v>
      </c>
      <c r="H334" s="103" t="s">
        <v>17</v>
      </c>
      <c r="I334" s="103">
        <f>IFERROR(VLOOKUP(A334,#REF!,15,0),0)+IFERROR(VLOOKUP(A334,#REF!,25,0),0)+IFERROR(VLOOKUP(A334,#REF!,10,0),0)+IFERROR(VLOOKUP(A334,#REF!,14,0),0)+IFERROR(VLOOKUP(A334,#REF!,10,0),0)+IFERROR(VLOOKUP(A334,#REF!,10,0),0)+IFERROR(VLOOKUP(A334,#REF!,10,0),0)+IFERROR(VLOOKUP(A334,#REF!,9,0),0)+IFERROR(VLOOKUP(A334,#REF!,9,0),0)+IFERROR(VLOOKUP(A334,#REF!,9,0),0)+IFERROR(VLOOKUP(A334,#REF!,9,0),0)</f>
        <v>0</v>
      </c>
      <c r="J334" s="104">
        <f>IFERROR(VLOOKUP(A334,#REF!,16,0),0)+IFERROR(VLOOKUP(A334,#REF!,26,0),0)+IFERROR(VLOOKUP(A334,#REF!,11,0),0)+IFERROR(VLOOKUP(A334,#REF!,23,0),0)+IFERROR(VLOOKUP(A334,#REF!,11,0),0)+IFERROR(VLOOKUP(A334,#REF!,11,0),0)+IFERROR(VLOOKUP(A334,#REF!,11,0),0)</f>
        <v>0</v>
      </c>
      <c r="K334" s="96" t="str">
        <f>"07.02.24"</f>
        <v>07.02.24</v>
      </c>
    </row>
    <row r="335" spans="1:11" ht="11.25" customHeight="1" outlineLevel="1">
      <c r="A335" s="89" t="s">
        <v>554</v>
      </c>
      <c r="B335" s="114" t="s">
        <v>546</v>
      </c>
      <c r="C335" s="89" t="s">
        <v>555</v>
      </c>
      <c r="D335" s="89" t="s">
        <v>15</v>
      </c>
      <c r="E335" s="89"/>
      <c r="F335" s="102" t="n">
        <v>2383</v>
      </c>
      <c r="G335" s="102" t="n">
        <v>2859</v>
      </c>
      <c r="H335" s="103" t="s">
        <v>48</v>
      </c>
      <c r="I335" s="103">
        <f>IFERROR(VLOOKUP(A335,#REF!,15,0),0)+IFERROR(VLOOKUP(A335,#REF!,25,0),0)+IFERROR(VLOOKUP(A335,#REF!,10,0),0)+IFERROR(VLOOKUP(A335,#REF!,14,0),0)+IFERROR(VLOOKUP(A335,#REF!,10,0),0)+IFERROR(VLOOKUP(A335,#REF!,10,0),0)+IFERROR(VLOOKUP(A335,#REF!,10,0),0)+IFERROR(VLOOKUP(A335,#REF!,9,0),0)+IFERROR(VLOOKUP(A335,#REF!,9,0),0)+IFERROR(VLOOKUP(A335,#REF!,9,0),0)+IFERROR(VLOOKUP(A335,#REF!,9,0),0)</f>
        <v>0</v>
      </c>
      <c r="J335" s="104">
        <f>IFERROR(VLOOKUP(A335,#REF!,16,0),0)+IFERROR(VLOOKUP(A335,#REF!,26,0),0)+IFERROR(VLOOKUP(A335,#REF!,11,0),0)+IFERROR(VLOOKUP(A335,#REF!,23,0),0)+IFERROR(VLOOKUP(A335,#REF!,11,0),0)+IFERROR(VLOOKUP(A335,#REF!,11,0),0)+IFERROR(VLOOKUP(A335,#REF!,11,0),0)</f>
        <v>0</v>
      </c>
      <c r="K335" s="96" t="str">
        <f>"07.02.24"</f>
        <v>07.02.24</v>
      </c>
    </row>
    <row r="336" spans="1:11" ht="11.25" customHeight="1" outlineLevel="1">
      <c r="A336" s="89" t="s">
        <v>556</v>
      </c>
      <c r="B336" s="114" t="s">
        <v>546</v>
      </c>
      <c r="C336" s="89" t="s">
        <v>557</v>
      </c>
      <c r="D336" s="89" t="s">
        <v>15</v>
      </c>
      <c r="E336" s="89"/>
      <c r="F336" s="102" t="n">
        <v>3140</v>
      </c>
      <c r="G336" s="102" t="n">
        <v>3891</v>
      </c>
      <c r="H336" s="103" t="s">
        <v>48</v>
      </c>
      <c r="I336" s="103">
        <f>IFERROR(VLOOKUP(A336,#REF!,15,0),0)+IFERROR(VLOOKUP(A336,#REF!,25,0),0)+IFERROR(VLOOKUP(A336,#REF!,10,0),0)+IFERROR(VLOOKUP(A336,#REF!,14,0),0)+IFERROR(VLOOKUP(A336,#REF!,10,0),0)+IFERROR(VLOOKUP(A336,#REF!,10,0),0)+IFERROR(VLOOKUP(A336,#REF!,10,0),0)+IFERROR(VLOOKUP(A336,#REF!,9,0),0)+IFERROR(VLOOKUP(A336,#REF!,9,0),0)+IFERROR(VLOOKUP(A336,#REF!,9,0),0)+IFERROR(VLOOKUP(A336,#REF!,9,0),0)</f>
        <v>0</v>
      </c>
      <c r="J336" s="104">
        <f>IFERROR(VLOOKUP(A336,#REF!,16,0),0)+IFERROR(VLOOKUP(A336,#REF!,26,0),0)+IFERROR(VLOOKUP(A336,#REF!,11,0),0)+IFERROR(VLOOKUP(A336,#REF!,23,0),0)+IFERROR(VLOOKUP(A336,#REF!,11,0),0)+IFERROR(VLOOKUP(A336,#REF!,11,0),0)+IFERROR(VLOOKUP(A336,#REF!,11,0),0)</f>
        <v>0</v>
      </c>
      <c r="K336" s="96" t="str">
        <f>"07.02.24"</f>
        <v>07.02.24</v>
      </c>
    </row>
    <row r="337" spans="1:11" ht="11.25" customHeight="1" outlineLevel="1">
      <c r="A337" s="89" t="s">
        <v>558</v>
      </c>
      <c r="B337" s="114" t="s">
        <v>546</v>
      </c>
      <c r="C337" s="89" t="s">
        <v>559</v>
      </c>
      <c r="D337" s="89" t="s">
        <v>15</v>
      </c>
      <c r="E337" s="89"/>
      <c r="F337" s="102" t="n">
        <v>4580</v>
      </c>
      <c r="G337" s="102" t="n">
        <v>5724</v>
      </c>
      <c r="H337" s="103" t="s">
        <v>17</v>
      </c>
      <c r="I337" s="103">
        <f>IFERROR(VLOOKUP(A337,#REF!,15,0),0)+IFERROR(VLOOKUP(A337,#REF!,25,0),0)+IFERROR(VLOOKUP(A337,#REF!,10,0),0)+IFERROR(VLOOKUP(A337,#REF!,14,0),0)+IFERROR(VLOOKUP(A337,#REF!,10,0),0)+IFERROR(VLOOKUP(A337,#REF!,10,0),0)+IFERROR(VLOOKUP(A337,#REF!,10,0),0)+IFERROR(VLOOKUP(A337,#REF!,9,0),0)+IFERROR(VLOOKUP(A337,#REF!,9,0),0)+IFERROR(VLOOKUP(A337,#REF!,9,0),0)+IFERROR(VLOOKUP(A337,#REF!,9,0),0)</f>
        <v>0</v>
      </c>
      <c r="J337" s="104">
        <f>IFERROR(VLOOKUP(A337,#REF!,16,0),0)+IFERROR(VLOOKUP(A337,#REF!,26,0),0)+IFERROR(VLOOKUP(A337,#REF!,11,0),0)+IFERROR(VLOOKUP(A337,#REF!,23,0),0)+IFERROR(VLOOKUP(A337,#REF!,11,0),0)+IFERROR(VLOOKUP(A337,#REF!,11,0),0)+IFERROR(VLOOKUP(A337,#REF!,11,0),0)</f>
        <v>0</v>
      </c>
      <c r="K337" s="96" t="str">
        <f>"07.02.24"</f>
        <v>07.02.24</v>
      </c>
    </row>
    <row r="338" spans="1:11" ht="11.25" customHeight="1" outlineLevel="1">
      <c r="A338" s="89" t="s">
        <v>560</v>
      </c>
      <c r="B338" s="114" t="s">
        <v>546</v>
      </c>
      <c r="C338" s="89" t="s">
        <v>561</v>
      </c>
      <c r="D338" s="89" t="s">
        <v>15</v>
      </c>
      <c r="E338" s="89"/>
      <c r="F338" s="102" t="n">
        <v>2968</v>
      </c>
      <c r="G338" s="102" t="n">
        <v>3562</v>
      </c>
      <c r="H338" s="103" t="s">
        <v>48</v>
      </c>
      <c r="I338" s="103">
        <f>IFERROR(VLOOKUP(A338,#REF!,15,0),0)+IFERROR(VLOOKUP(A338,#REF!,25,0),0)+IFERROR(VLOOKUP(A338,#REF!,10,0),0)+IFERROR(VLOOKUP(A338,#REF!,14,0),0)+IFERROR(VLOOKUP(A338,#REF!,10,0),0)+IFERROR(VLOOKUP(A338,#REF!,10,0),0)+IFERROR(VLOOKUP(A338,#REF!,10,0),0)+IFERROR(VLOOKUP(A338,#REF!,9,0),0)+IFERROR(VLOOKUP(A338,#REF!,9,0),0)+IFERROR(VLOOKUP(A338,#REF!,9,0),0)+IFERROR(VLOOKUP(A338,#REF!,9,0),0)</f>
        <v>0</v>
      </c>
      <c r="J338" s="104">
        <f>IFERROR(VLOOKUP(A338,#REF!,16,0),0)+IFERROR(VLOOKUP(A338,#REF!,26,0),0)+IFERROR(VLOOKUP(A338,#REF!,11,0),0)+IFERROR(VLOOKUP(A338,#REF!,23,0),0)+IFERROR(VLOOKUP(A338,#REF!,11,0),0)+IFERROR(VLOOKUP(A338,#REF!,11,0),0)+IFERROR(VLOOKUP(A338,#REF!,11,0),0)</f>
        <v>0</v>
      </c>
      <c r="K338" s="96" t="str">
        <f>"07.02.24"</f>
        <v>07.02.24</v>
      </c>
    </row>
    <row r="339" spans="1:11" ht="11.25" customHeight="1" outlineLevel="1">
      <c r="A339" s="89" t="s">
        <v>562</v>
      </c>
      <c r="B339" s="114" t="s">
        <v>546</v>
      </c>
      <c r="C339" s="89" t="s">
        <v>563</v>
      </c>
      <c r="D339" s="89" t="s">
        <v>15</v>
      </c>
      <c r="E339" s="89"/>
      <c r="F339" s="102" t="n">
        <v>2356</v>
      </c>
      <c r="G339" s="102" t="n">
        <v>2953</v>
      </c>
      <c r="H339" s="103" t="s">
        <v>48</v>
      </c>
      <c r="I339" s="103">
        <f>IFERROR(VLOOKUP(A339,#REF!,15,0),0)+IFERROR(VLOOKUP(A339,#REF!,25,0),0)+IFERROR(VLOOKUP(A339,#REF!,10,0),0)+IFERROR(VLOOKUP(A339,#REF!,14,0),0)+IFERROR(VLOOKUP(A339,#REF!,10,0),0)+IFERROR(VLOOKUP(A339,#REF!,10,0),0)+IFERROR(VLOOKUP(A339,#REF!,10,0),0)+IFERROR(VLOOKUP(A339,#REF!,9,0),0)+IFERROR(VLOOKUP(A339,#REF!,9,0),0)+IFERROR(VLOOKUP(A339,#REF!,9,0),0)+IFERROR(VLOOKUP(A339,#REF!,9,0),0)</f>
        <v>0</v>
      </c>
      <c r="J339" s="104">
        <f>IFERROR(VLOOKUP(A339,#REF!,16,0),0)+IFERROR(VLOOKUP(A339,#REF!,26,0),0)+IFERROR(VLOOKUP(A339,#REF!,11,0),0)+IFERROR(VLOOKUP(A339,#REF!,23,0),0)+IFERROR(VLOOKUP(A339,#REF!,11,0),0)+IFERROR(VLOOKUP(A339,#REF!,11,0),0)+IFERROR(VLOOKUP(A339,#REF!,11,0),0)</f>
        <v>0</v>
      </c>
      <c r="K339" s="96" t="str">
        <f>"07.02.24"</f>
        <v>07.02.24</v>
      </c>
    </row>
    <row r="340" spans="1:11" ht="11.25" customHeight="1" outlineLevel="1">
      <c r="A340" s="88" t="s">
        <v>564</v>
      </c>
      <c r="B340" s="121"/>
      <c r="C340" s="121"/>
      <c r="D340" s="121"/>
      <c r="E340" s="121"/>
      <c r="F340" s="122"/>
      <c r="G340" s="122"/>
      <c r="H340" s="123"/>
      <c r="I340" s="123"/>
      <c r="J340" s="107"/>
      <c r="K340" s="96" t="str">
        <f>"07.02.24"</f>
        <v>07.02.24</v>
      </c>
    </row>
    <row r="341" spans="1:11" ht="11.25" customHeight="1" outlineLevel="1">
      <c r="A341" s="89" t="s">
        <v>565</v>
      </c>
      <c r="B341" s="114" t="s">
        <v>546</v>
      </c>
      <c r="C341" s="89" t="s">
        <v>566</v>
      </c>
      <c r="D341" s="89" t="s">
        <v>407</v>
      </c>
      <c r="E341" s="89"/>
      <c r="F341" s="102" t="n">
        <v>228</v>
      </c>
      <c r="G341" s="102" t="n">
        <v>334</v>
      </c>
      <c r="H341" s="103" t="s">
        <v>17</v>
      </c>
      <c r="I341" s="103">
        <f>IFERROR(VLOOKUP(A341,#REF!,15,0),0)+IFERROR(VLOOKUP(A341,#REF!,25,0),0)+IFERROR(VLOOKUP(A341,#REF!,10,0),0)+IFERROR(VLOOKUP(A341,#REF!,14,0),0)+IFERROR(VLOOKUP(A341,#REF!,10,0),0)+IFERROR(VLOOKUP(A341,#REF!,10,0),0)+IFERROR(VLOOKUP(A341,#REF!,10,0),0)+IFERROR(VLOOKUP(A341,#REF!,9,0),0)+IFERROR(VLOOKUP(A341,#REF!,9,0),0)+IFERROR(VLOOKUP(A341,#REF!,9,0),0)+IFERROR(VLOOKUP(A341,#REF!,9,0),0)</f>
        <v>0</v>
      </c>
      <c r="J341" s="104">
        <f>IFERROR(VLOOKUP(A341,#REF!,16,0),0)+IFERROR(VLOOKUP(A341,#REF!,26,0),0)+IFERROR(VLOOKUP(A341,#REF!,11,0),0)+IFERROR(VLOOKUP(A341,#REF!,23,0),0)+IFERROR(VLOOKUP(A341,#REF!,11,0),0)+IFERROR(VLOOKUP(A341,#REF!,11,0),0)+IFERROR(VLOOKUP(A341,#REF!,11,0),0)</f>
        <v>0</v>
      </c>
      <c r="K341" s="96" t="str">
        <f>"07.02.24"</f>
        <v>07.02.24</v>
      </c>
    </row>
    <row r="342" spans="1:11" ht="11.25" customHeight="1" outlineLevel="1">
      <c r="A342" s="89" t="n">
        <v>8142640</v>
      </c>
      <c r="B342" s="114" t="s">
        <v>546</v>
      </c>
      <c r="C342" s="89" t="s">
        <v>567</v>
      </c>
      <c r="D342" s="89" t="s">
        <v>407</v>
      </c>
      <c r="E342" s="89"/>
      <c r="F342" s="102" t="n">
        <v>248</v>
      </c>
      <c r="G342" s="102" t="n">
        <v>310</v>
      </c>
      <c r="H342" s="103" t="s">
        <v>48</v>
      </c>
      <c r="I342" s="103">
        <f>IFERROR(VLOOKUP(A342,#REF!,15,0),0)+IFERROR(VLOOKUP(A342,#REF!,25,0),0)+IFERROR(VLOOKUP(A342,#REF!,10,0),0)+IFERROR(VLOOKUP(A342,#REF!,14,0),0)+IFERROR(VLOOKUP(A342,#REF!,10,0),0)+IFERROR(VLOOKUP(A342,#REF!,10,0),0)+IFERROR(VLOOKUP(A342,#REF!,10,0),0)+IFERROR(VLOOKUP(A342,#REF!,9,0),0)+IFERROR(VLOOKUP(A342,#REF!,9,0),0)+IFERROR(VLOOKUP(A342,#REF!,9,0),0)+IFERROR(VLOOKUP(A342,#REF!,9,0),0)</f>
        <v>0</v>
      </c>
      <c r="J342" s="104">
        <f>IFERROR(VLOOKUP(A342,#REF!,16,0),0)+IFERROR(VLOOKUP(A342,#REF!,26,0),0)+IFERROR(VLOOKUP(A342,#REF!,11,0),0)+IFERROR(VLOOKUP(A342,#REF!,23,0),0)+IFERROR(VLOOKUP(A342,#REF!,11,0),0)+IFERROR(VLOOKUP(A342,#REF!,11,0),0)+IFERROR(VLOOKUP(A342,#REF!,11,0),0)</f>
        <v>0</v>
      </c>
      <c r="K342" s="96" t="str">
        <f>"07.02.24"</f>
        <v>07.02.24</v>
      </c>
    </row>
    <row r="343" spans="1:11" ht="11.25" customHeight="1" outlineLevel="1">
      <c r="A343" s="89" t="n">
        <v>8142650</v>
      </c>
      <c r="B343" s="114" t="s">
        <v>546</v>
      </c>
      <c r="C343" s="89" t="s">
        <v>568</v>
      </c>
      <c r="D343" s="89" t="s">
        <v>407</v>
      </c>
      <c r="E343" s="89"/>
      <c r="F343" s="102" t="n">
        <v>323</v>
      </c>
      <c r="G343" s="102" t="n">
        <v>404</v>
      </c>
      <c r="H343" s="103" t="s">
        <v>48</v>
      </c>
      <c r="I343" s="103">
        <f>IFERROR(VLOOKUP(A343,#REF!,15,0),0)+IFERROR(VLOOKUP(A343,#REF!,25,0),0)+IFERROR(VLOOKUP(A343,#REF!,10,0),0)+IFERROR(VLOOKUP(A343,#REF!,14,0),0)+IFERROR(VLOOKUP(A343,#REF!,10,0),0)+IFERROR(VLOOKUP(A343,#REF!,10,0),0)+IFERROR(VLOOKUP(A343,#REF!,10,0),0)+IFERROR(VLOOKUP(A343,#REF!,9,0),0)+IFERROR(VLOOKUP(A343,#REF!,9,0),0)+IFERROR(VLOOKUP(A343,#REF!,9,0),0)+IFERROR(VLOOKUP(A343,#REF!,9,0),0)</f>
        <v>0</v>
      </c>
      <c r="J343" s="104">
        <f>IFERROR(VLOOKUP(A343,#REF!,16,0),0)+IFERROR(VLOOKUP(A343,#REF!,26,0),0)+IFERROR(VLOOKUP(A343,#REF!,11,0),0)+IFERROR(VLOOKUP(A343,#REF!,23,0),0)+IFERROR(VLOOKUP(A343,#REF!,11,0),0)+IFERROR(VLOOKUP(A343,#REF!,11,0),0)+IFERROR(VLOOKUP(A343,#REF!,11,0),0)</f>
        <v>0</v>
      </c>
      <c r="K343" s="96" t="str">
        <f>"07.02.24"</f>
        <v>07.02.24</v>
      </c>
    </row>
    <row r="344" spans="1:11" ht="11.25" customHeight="1" outlineLevel="1">
      <c r="A344" s="89" t="n">
        <v>8142660</v>
      </c>
      <c r="B344" s="114" t="s">
        <v>546</v>
      </c>
      <c r="C344" s="89" t="s">
        <v>569</v>
      </c>
      <c r="D344" s="89" t="s">
        <v>407</v>
      </c>
      <c r="E344" s="89"/>
      <c r="F344" s="102" t="n">
        <v>400</v>
      </c>
      <c r="G344" s="102" t="n">
        <v>500</v>
      </c>
      <c r="H344" s="103" t="s">
        <v>48</v>
      </c>
      <c r="I344" s="103">
        <f>IFERROR(VLOOKUP(A344,#REF!,15,0),0)+IFERROR(VLOOKUP(A344,#REF!,25,0),0)+IFERROR(VLOOKUP(A344,#REF!,10,0),0)+IFERROR(VLOOKUP(A344,#REF!,14,0),0)+IFERROR(VLOOKUP(A344,#REF!,10,0),0)+IFERROR(VLOOKUP(A344,#REF!,10,0),0)+IFERROR(VLOOKUP(A344,#REF!,10,0),0)+IFERROR(VLOOKUP(A344,#REF!,9,0),0)+IFERROR(VLOOKUP(A344,#REF!,9,0),0)+IFERROR(VLOOKUP(A344,#REF!,9,0),0)+IFERROR(VLOOKUP(A344,#REF!,9,0),0)</f>
        <v>0</v>
      </c>
      <c r="J344" s="104">
        <f>IFERROR(VLOOKUP(A344,#REF!,16,0),0)+IFERROR(VLOOKUP(A344,#REF!,26,0),0)+IFERROR(VLOOKUP(A344,#REF!,11,0),0)+IFERROR(VLOOKUP(A344,#REF!,23,0),0)+IFERROR(VLOOKUP(A344,#REF!,11,0),0)+IFERROR(VLOOKUP(A344,#REF!,11,0),0)+IFERROR(VLOOKUP(A344,#REF!,11,0),0)</f>
        <v>0</v>
      </c>
      <c r="K344" s="96" t="str">
        <f>"07.02.24"</f>
        <v>07.02.24</v>
      </c>
    </row>
    <row r="345" spans="1:11" ht="11.25" customHeight="1" outlineLevel="1">
      <c r="A345" s="89" t="n">
        <v>8142670</v>
      </c>
      <c r="B345" s="114" t="s">
        <v>546</v>
      </c>
      <c r="C345" s="89" t="s">
        <v>570</v>
      </c>
      <c r="D345" s="89" t="s">
        <v>407</v>
      </c>
      <c r="E345" s="89"/>
      <c r="F345" s="102" t="n">
        <v>440</v>
      </c>
      <c r="G345" s="102" t="n">
        <v>551</v>
      </c>
      <c r="H345" s="103" t="s">
        <v>17</v>
      </c>
      <c r="I345" s="103">
        <f>IFERROR(VLOOKUP(A345,#REF!,15,0),0)+IFERROR(VLOOKUP(A345,#REF!,25,0),0)+IFERROR(VLOOKUP(A345,#REF!,10,0),0)+IFERROR(VLOOKUP(A345,#REF!,14,0),0)+IFERROR(VLOOKUP(A345,#REF!,10,0),0)+IFERROR(VLOOKUP(A345,#REF!,10,0),0)+IFERROR(VLOOKUP(A345,#REF!,10,0),0)+IFERROR(VLOOKUP(A345,#REF!,9,0),0)+IFERROR(VLOOKUP(A345,#REF!,9,0),0)+IFERROR(VLOOKUP(A345,#REF!,9,0),0)+IFERROR(VLOOKUP(A345,#REF!,9,0),0)</f>
        <v>0</v>
      </c>
      <c r="J345" s="104">
        <f>IFERROR(VLOOKUP(A345,#REF!,16,0),0)+IFERROR(VLOOKUP(A345,#REF!,26,0),0)+IFERROR(VLOOKUP(A345,#REF!,11,0),0)+IFERROR(VLOOKUP(A345,#REF!,23,0),0)+IFERROR(VLOOKUP(A345,#REF!,11,0),0)+IFERROR(VLOOKUP(A345,#REF!,11,0),0)+IFERROR(VLOOKUP(A345,#REF!,11,0),0)</f>
        <v>0</v>
      </c>
      <c r="K345" s="96" t="str">
        <f>"07.02.24"</f>
        <v>07.02.24</v>
      </c>
    </row>
    <row r="346" spans="1:11" ht="11.25" customHeight="1" outlineLevel="1">
      <c r="A346" s="89" t="n">
        <v>8142680</v>
      </c>
      <c r="B346" s="114" t="s">
        <v>546</v>
      </c>
      <c r="C346" s="89" t="s">
        <v>571</v>
      </c>
      <c r="D346" s="89" t="s">
        <v>407</v>
      </c>
      <c r="E346" s="89"/>
      <c r="F346" s="102" t="n">
        <v>526</v>
      </c>
      <c r="G346" s="102" t="n">
        <v>658</v>
      </c>
      <c r="H346" s="103" t="s">
        <v>48</v>
      </c>
      <c r="I346" s="103">
        <f>IFERROR(VLOOKUP(A346,#REF!,15,0),0)+IFERROR(VLOOKUP(A346,#REF!,25,0),0)+IFERROR(VLOOKUP(A346,#REF!,10,0),0)+IFERROR(VLOOKUP(A346,#REF!,14,0),0)+IFERROR(VLOOKUP(A346,#REF!,10,0),0)+IFERROR(VLOOKUP(A346,#REF!,10,0),0)+IFERROR(VLOOKUP(A346,#REF!,10,0),0)+IFERROR(VLOOKUP(A346,#REF!,9,0),0)+IFERROR(VLOOKUP(A346,#REF!,9,0),0)+IFERROR(VLOOKUP(A346,#REF!,9,0),0)+IFERROR(VLOOKUP(A346,#REF!,9,0),0)</f>
        <v>0</v>
      </c>
      <c r="J346" s="104">
        <f>IFERROR(VLOOKUP(A346,#REF!,16,0),0)+IFERROR(VLOOKUP(A346,#REF!,26,0),0)+IFERROR(VLOOKUP(A346,#REF!,11,0),0)+IFERROR(VLOOKUP(A346,#REF!,23,0),0)+IFERROR(VLOOKUP(A346,#REF!,11,0),0)+IFERROR(VLOOKUP(A346,#REF!,11,0),0)+IFERROR(VLOOKUP(A346,#REF!,11,0),0)</f>
        <v>0</v>
      </c>
      <c r="K346" s="96" t="str">
        <f>"07.02.24"</f>
        <v>07.02.24</v>
      </c>
    </row>
    <row r="347" spans="1:11" ht="11.25" customHeight="1" outlineLevel="1">
      <c r="A347" s="89" t="n">
        <v>8142690</v>
      </c>
      <c r="B347" s="114" t="s">
        <v>546</v>
      </c>
      <c r="C347" s="89" t="s">
        <v>572</v>
      </c>
      <c r="D347" s="89" t="s">
        <v>407</v>
      </c>
      <c r="E347" s="89"/>
      <c r="F347" s="102" t="n">
        <v>624</v>
      </c>
      <c r="G347" s="102" t="n">
        <v>780</v>
      </c>
      <c r="H347" s="103" t="s">
        <v>48</v>
      </c>
      <c r="I347" s="103">
        <f>IFERROR(VLOOKUP(A347,#REF!,15,0),0)+IFERROR(VLOOKUP(A347,#REF!,25,0),0)+IFERROR(VLOOKUP(A347,#REF!,10,0),0)+IFERROR(VLOOKUP(A347,#REF!,14,0),0)+IFERROR(VLOOKUP(A347,#REF!,10,0),0)+IFERROR(VLOOKUP(A347,#REF!,10,0),0)+IFERROR(VLOOKUP(A347,#REF!,10,0),0)+IFERROR(VLOOKUP(A347,#REF!,9,0),0)+IFERROR(VLOOKUP(A347,#REF!,9,0),0)+IFERROR(VLOOKUP(A347,#REF!,9,0),0)+IFERROR(VLOOKUP(A347,#REF!,9,0),0)</f>
        <v>0</v>
      </c>
      <c r="J347" s="104">
        <f>IFERROR(VLOOKUP(A347,#REF!,16,0),0)+IFERROR(VLOOKUP(A347,#REF!,26,0),0)+IFERROR(VLOOKUP(A347,#REF!,11,0),0)+IFERROR(VLOOKUP(A347,#REF!,23,0),0)+IFERROR(VLOOKUP(A347,#REF!,11,0),0)+IFERROR(VLOOKUP(A347,#REF!,11,0),0)+IFERROR(VLOOKUP(A347,#REF!,11,0),0)</f>
        <v>0</v>
      </c>
      <c r="K347" s="96" t="str">
        <f>"07.02.24"</f>
        <v>07.02.24</v>
      </c>
    </row>
    <row r="348" spans="1:11" ht="11.25" customHeight="1" outlineLevel="1">
      <c r="A348" s="89" t="n">
        <v>8142700</v>
      </c>
      <c r="B348" s="114" t="s">
        <v>546</v>
      </c>
      <c r="C348" s="89" t="s">
        <v>573</v>
      </c>
      <c r="D348" s="89" t="s">
        <v>407</v>
      </c>
      <c r="E348" s="89"/>
      <c r="F348" s="102" t="n">
        <v>757</v>
      </c>
      <c r="G348" s="102" t="n">
        <v>946</v>
      </c>
      <c r="H348" s="103" t="s">
        <v>17</v>
      </c>
      <c r="I348" s="103">
        <f>IFERROR(VLOOKUP(A348,#REF!,15,0),0)+IFERROR(VLOOKUP(A348,#REF!,25,0),0)+IFERROR(VLOOKUP(A348,#REF!,10,0),0)+IFERROR(VLOOKUP(A348,#REF!,14,0),0)+IFERROR(VLOOKUP(A348,#REF!,10,0),0)+IFERROR(VLOOKUP(A348,#REF!,10,0),0)+IFERROR(VLOOKUP(A348,#REF!,10,0),0)+IFERROR(VLOOKUP(A348,#REF!,9,0),0)+IFERROR(VLOOKUP(A348,#REF!,9,0),0)+IFERROR(VLOOKUP(A348,#REF!,9,0),0)+IFERROR(VLOOKUP(A348,#REF!,9,0),0)</f>
        <v>0</v>
      </c>
      <c r="J348" s="104">
        <f>IFERROR(VLOOKUP(A348,#REF!,16,0),0)+IFERROR(VLOOKUP(A348,#REF!,26,0),0)+IFERROR(VLOOKUP(A348,#REF!,11,0),0)+IFERROR(VLOOKUP(A348,#REF!,23,0),0)+IFERROR(VLOOKUP(A348,#REF!,11,0),0)+IFERROR(VLOOKUP(A348,#REF!,11,0),0)+IFERROR(VLOOKUP(A348,#REF!,11,0),0)</f>
        <v>0</v>
      </c>
      <c r="K348" s="96" t="str">
        <f>"07.02.24"</f>
        <v>07.02.24</v>
      </c>
    </row>
    <row r="349" spans="1:11" ht="11.25" customHeight="1" outlineLevel="1">
      <c r="A349" s="89" t="n">
        <v>8142710</v>
      </c>
      <c r="B349" s="114" t="s">
        <v>546</v>
      </c>
      <c r="C349" s="89" t="s">
        <v>574</v>
      </c>
      <c r="D349" s="89" t="s">
        <v>407</v>
      </c>
      <c r="E349" s="89"/>
      <c r="F349" s="102" t="n">
        <v>773</v>
      </c>
      <c r="G349" s="102" t="n">
        <v>967</v>
      </c>
      <c r="H349" s="103" t="s">
        <v>48</v>
      </c>
      <c r="I349" s="103">
        <f>IFERROR(VLOOKUP(A349,#REF!,15,0),0)+IFERROR(VLOOKUP(A349,#REF!,25,0),0)+IFERROR(VLOOKUP(A349,#REF!,10,0),0)+IFERROR(VLOOKUP(A349,#REF!,14,0),0)+IFERROR(VLOOKUP(A349,#REF!,10,0),0)+IFERROR(VLOOKUP(A349,#REF!,10,0),0)+IFERROR(VLOOKUP(A349,#REF!,10,0),0)+IFERROR(VLOOKUP(A349,#REF!,9,0),0)+IFERROR(VLOOKUP(A349,#REF!,9,0),0)+IFERROR(VLOOKUP(A349,#REF!,9,0),0)+IFERROR(VLOOKUP(A349,#REF!,9,0),0)</f>
        <v>0</v>
      </c>
      <c r="J349" s="104">
        <f>IFERROR(VLOOKUP(A349,#REF!,16,0),0)+IFERROR(VLOOKUP(A349,#REF!,26,0),0)+IFERROR(VLOOKUP(A349,#REF!,11,0),0)+IFERROR(VLOOKUP(A349,#REF!,23,0),0)+IFERROR(VLOOKUP(A349,#REF!,11,0),0)+IFERROR(VLOOKUP(A349,#REF!,11,0),0)+IFERROR(VLOOKUP(A349,#REF!,11,0),0)</f>
        <v>0</v>
      </c>
      <c r="K349" s="96" t="str">
        <f>"07.02.24"</f>
        <v>07.02.24</v>
      </c>
    </row>
    <row r="350" spans="1:11" ht="11.25" customHeight="1" outlineLevel="1">
      <c r="A350" s="89" t="n">
        <v>8142720</v>
      </c>
      <c r="B350" s="114" t="s">
        <v>546</v>
      </c>
      <c r="C350" s="89" t="s">
        <v>575</v>
      </c>
      <c r="D350" s="89" t="s">
        <v>407</v>
      </c>
      <c r="E350" s="89"/>
      <c r="F350" s="102" t="n">
        <v>374</v>
      </c>
      <c r="G350" s="102" t="n">
        <v>467</v>
      </c>
      <c r="H350" s="103" t="s">
        <v>48</v>
      </c>
      <c r="I350" s="103">
        <f>IFERROR(VLOOKUP(A350,#REF!,15,0),0)+IFERROR(VLOOKUP(A350,#REF!,25,0),0)+IFERROR(VLOOKUP(A350,#REF!,10,0),0)+IFERROR(VLOOKUP(A350,#REF!,14,0),0)+IFERROR(VLOOKUP(A350,#REF!,10,0),0)+IFERROR(VLOOKUP(A350,#REF!,10,0),0)+IFERROR(VLOOKUP(A350,#REF!,10,0),0)+IFERROR(VLOOKUP(A350,#REF!,9,0),0)+IFERROR(VLOOKUP(A350,#REF!,9,0),0)+IFERROR(VLOOKUP(A350,#REF!,9,0),0)+IFERROR(VLOOKUP(A350,#REF!,9,0),0)</f>
        <v>0</v>
      </c>
      <c r="J350" s="104">
        <f>IFERROR(VLOOKUP(A350,#REF!,16,0),0)+IFERROR(VLOOKUP(A350,#REF!,26,0),0)+IFERROR(VLOOKUP(A350,#REF!,11,0),0)+IFERROR(VLOOKUP(A350,#REF!,23,0),0)+IFERROR(VLOOKUP(A350,#REF!,11,0),0)+IFERROR(VLOOKUP(A350,#REF!,11,0),0)+IFERROR(VLOOKUP(A350,#REF!,11,0),0)</f>
        <v>0</v>
      </c>
      <c r="K350" s="96" t="str">
        <f>"07.02.24"</f>
        <v>07.02.24</v>
      </c>
    </row>
    <row r="351" spans="1:11" ht="11.25" customHeight="1" outlineLevel="1">
      <c r="A351" s="89" t="n">
        <v>8142730</v>
      </c>
      <c r="B351" s="114" t="s">
        <v>546</v>
      </c>
      <c r="C351" s="89" t="s">
        <v>576</v>
      </c>
      <c r="D351" s="89" t="s">
        <v>407</v>
      </c>
      <c r="E351" s="89"/>
      <c r="F351" s="102" t="n">
        <v>394</v>
      </c>
      <c r="G351" s="102" t="n">
        <v>492</v>
      </c>
      <c r="H351" s="103" t="s">
        <v>48</v>
      </c>
      <c r="I351" s="103">
        <f>IFERROR(VLOOKUP(A351,#REF!,15,0),0)+IFERROR(VLOOKUP(A351,#REF!,25,0),0)+IFERROR(VLOOKUP(A351,#REF!,10,0),0)+IFERROR(VLOOKUP(A351,#REF!,14,0),0)+IFERROR(VLOOKUP(A351,#REF!,10,0),0)+IFERROR(VLOOKUP(A351,#REF!,10,0),0)+IFERROR(VLOOKUP(A351,#REF!,10,0),0)+IFERROR(VLOOKUP(A351,#REF!,9,0),0)+IFERROR(VLOOKUP(A351,#REF!,9,0),0)+IFERROR(VLOOKUP(A351,#REF!,9,0),0)+IFERROR(VLOOKUP(A351,#REF!,9,0),0)</f>
        <v>0</v>
      </c>
      <c r="J351" s="104">
        <f>IFERROR(VLOOKUP(A351,#REF!,16,0),0)+IFERROR(VLOOKUP(A351,#REF!,26,0),0)+IFERROR(VLOOKUP(A351,#REF!,11,0),0)+IFERROR(VLOOKUP(A351,#REF!,23,0),0)+IFERROR(VLOOKUP(A351,#REF!,11,0),0)+IFERROR(VLOOKUP(A351,#REF!,11,0),0)+IFERROR(VLOOKUP(A351,#REF!,11,0),0)</f>
        <v>0</v>
      </c>
      <c r="K351" s="96" t="str">
        <f>"07.02.24"</f>
        <v>07.02.24</v>
      </c>
    </row>
    <row r="352" spans="1:11" ht="11.25" customHeight="1" outlineLevel="1">
      <c r="A352" s="89" t="n">
        <v>8142740</v>
      </c>
      <c r="B352" s="114" t="s">
        <v>546</v>
      </c>
      <c r="C352" s="89" t="s">
        <v>577</v>
      </c>
      <c r="D352" s="89" t="s">
        <v>407</v>
      </c>
      <c r="E352" s="89"/>
      <c r="F352" s="102" t="n">
        <v>439</v>
      </c>
      <c r="G352" s="102" t="n">
        <v>549</v>
      </c>
      <c r="H352" s="103" t="s">
        <v>17</v>
      </c>
      <c r="I352" s="103">
        <f>IFERROR(VLOOKUP(A352,#REF!,15,0),0)+IFERROR(VLOOKUP(A352,#REF!,25,0),0)+IFERROR(VLOOKUP(A352,#REF!,10,0),0)+IFERROR(VLOOKUP(A352,#REF!,14,0),0)+IFERROR(VLOOKUP(A352,#REF!,10,0),0)+IFERROR(VLOOKUP(A352,#REF!,10,0),0)+IFERROR(VLOOKUP(A352,#REF!,10,0),0)+IFERROR(VLOOKUP(A352,#REF!,9,0),0)+IFERROR(VLOOKUP(A352,#REF!,9,0),0)+IFERROR(VLOOKUP(A352,#REF!,9,0),0)+IFERROR(VLOOKUP(A352,#REF!,9,0),0)</f>
        <v>0</v>
      </c>
      <c r="J352" s="104">
        <f>IFERROR(VLOOKUP(A352,#REF!,16,0),0)+IFERROR(VLOOKUP(A352,#REF!,26,0),0)+IFERROR(VLOOKUP(A352,#REF!,11,0),0)+IFERROR(VLOOKUP(A352,#REF!,23,0),0)+IFERROR(VLOOKUP(A352,#REF!,11,0),0)+IFERROR(VLOOKUP(A352,#REF!,11,0),0)+IFERROR(VLOOKUP(A352,#REF!,11,0),0)</f>
        <v>0</v>
      </c>
      <c r="K352" s="96" t="str">
        <f>"07.02.24"</f>
        <v>07.02.24</v>
      </c>
    </row>
    <row r="353" spans="1:11" outlineLevel="1">
      <c r="A353" s="89" t="n">
        <v>8142750</v>
      </c>
      <c r="B353" s="114" t="s">
        <v>546</v>
      </c>
      <c r="C353" s="89" t="s">
        <v>578</v>
      </c>
      <c r="D353" s="89" t="s">
        <v>407</v>
      </c>
      <c r="E353" s="89"/>
      <c r="F353" s="102" t="n">
        <v>507</v>
      </c>
      <c r="G353" s="102" t="n">
        <v>633</v>
      </c>
      <c r="H353" s="103" t="s">
        <v>48</v>
      </c>
      <c r="I353" s="103">
        <f>IFERROR(VLOOKUP(A353,#REF!,15,0),0)+IFERROR(VLOOKUP(A353,#REF!,25,0),0)+IFERROR(VLOOKUP(A353,#REF!,10,0),0)+IFERROR(VLOOKUP(A353,#REF!,14,0),0)+IFERROR(VLOOKUP(A353,#REF!,10,0),0)+IFERROR(VLOOKUP(A353,#REF!,10,0),0)+IFERROR(VLOOKUP(A353,#REF!,10,0),0)+IFERROR(VLOOKUP(A353,#REF!,9,0),0)+IFERROR(VLOOKUP(A353,#REF!,9,0),0)+IFERROR(VLOOKUP(A353,#REF!,9,0),0)+IFERROR(VLOOKUP(A353,#REF!,9,0),0)</f>
        <v>0</v>
      </c>
      <c r="J353" s="104">
        <f>IFERROR(VLOOKUP(A353,#REF!,16,0),0)+IFERROR(VLOOKUP(A353,#REF!,26,0),0)+IFERROR(VLOOKUP(A353,#REF!,11,0),0)+IFERROR(VLOOKUP(A353,#REF!,23,0),0)+IFERROR(VLOOKUP(A353,#REF!,11,0),0)+IFERROR(VLOOKUP(A353,#REF!,11,0),0)+IFERROR(VLOOKUP(A353,#REF!,11,0),0)</f>
        <v>0</v>
      </c>
      <c r="K353" s="96" t="str">
        <f>"07.02.24"</f>
        <v>07.02.24</v>
      </c>
    </row>
    <row r="354" spans="1:11" ht="11.25" customHeight="1" outlineLevel="1">
      <c r="A354" s="89" t="n">
        <v>8142760</v>
      </c>
      <c r="B354" s="114" t="s">
        <v>546</v>
      </c>
      <c r="C354" s="89" t="s">
        <v>579</v>
      </c>
      <c r="D354" s="89" t="s">
        <v>407</v>
      </c>
      <c r="E354" s="89"/>
      <c r="F354" s="102" t="n">
        <v>567</v>
      </c>
      <c r="G354" s="102" t="n">
        <v>709</v>
      </c>
      <c r="H354" s="103" t="s">
        <v>48</v>
      </c>
      <c r="I354" s="103">
        <f>IFERROR(VLOOKUP(A354,#REF!,15,0),0)+IFERROR(VLOOKUP(A354,#REF!,25,0),0)+IFERROR(VLOOKUP(A354,#REF!,10,0),0)+IFERROR(VLOOKUP(A354,#REF!,14,0),0)+IFERROR(VLOOKUP(A354,#REF!,10,0),0)+IFERROR(VLOOKUP(A354,#REF!,10,0),0)+IFERROR(VLOOKUP(A354,#REF!,10,0),0)+IFERROR(VLOOKUP(A354,#REF!,9,0),0)+IFERROR(VLOOKUP(A354,#REF!,9,0),0)+IFERROR(VLOOKUP(A354,#REF!,9,0),0)+IFERROR(VLOOKUP(A354,#REF!,9,0),0)</f>
        <v>0</v>
      </c>
      <c r="J354" s="104">
        <f>IFERROR(VLOOKUP(A354,#REF!,16,0),0)+IFERROR(VLOOKUP(A354,#REF!,26,0),0)+IFERROR(VLOOKUP(A354,#REF!,11,0),0)+IFERROR(VLOOKUP(A354,#REF!,23,0),0)+IFERROR(VLOOKUP(A354,#REF!,11,0),0)+IFERROR(VLOOKUP(A354,#REF!,11,0),0)+IFERROR(VLOOKUP(A354,#REF!,11,0),0)</f>
        <v>0</v>
      </c>
      <c r="K354" s="96" t="str">
        <f>"07.02.24"</f>
        <v>07.02.24</v>
      </c>
    </row>
    <row r="355" spans="1:11" ht="11.25" customHeight="1" outlineLevel="1">
      <c r="A355" s="89" t="n">
        <v>8142770</v>
      </c>
      <c r="B355" s="114" t="s">
        <v>546</v>
      </c>
      <c r="C355" s="89" t="s">
        <v>580</v>
      </c>
      <c r="D355" s="89" t="s">
        <v>407</v>
      </c>
      <c r="E355" s="89"/>
      <c r="F355" s="102" t="n">
        <v>533</v>
      </c>
      <c r="G355" s="102" t="n">
        <v>666</v>
      </c>
      <c r="H355" s="103" t="s">
        <v>48</v>
      </c>
      <c r="I355" s="103">
        <f>IFERROR(VLOOKUP(A355,#REF!,15,0),0)+IFERROR(VLOOKUP(A355,#REF!,25,0),0)+IFERROR(VLOOKUP(A355,#REF!,10,0),0)+IFERROR(VLOOKUP(A355,#REF!,14,0),0)+IFERROR(VLOOKUP(A355,#REF!,10,0),0)+IFERROR(VLOOKUP(A355,#REF!,10,0),0)+IFERROR(VLOOKUP(A355,#REF!,10,0),0)+IFERROR(VLOOKUP(A355,#REF!,9,0),0)+IFERROR(VLOOKUP(A355,#REF!,9,0),0)+IFERROR(VLOOKUP(A355,#REF!,9,0),0)+IFERROR(VLOOKUP(A355,#REF!,9,0),0)</f>
        <v>0</v>
      </c>
      <c r="J355" s="104">
        <f>IFERROR(VLOOKUP(A355,#REF!,16,0),0)+IFERROR(VLOOKUP(A355,#REF!,26,0),0)+IFERROR(VLOOKUP(A355,#REF!,11,0),0)+IFERROR(VLOOKUP(A355,#REF!,23,0),0)+IFERROR(VLOOKUP(A355,#REF!,11,0),0)+IFERROR(VLOOKUP(A355,#REF!,11,0),0)+IFERROR(VLOOKUP(A355,#REF!,11,0),0)</f>
        <v>0</v>
      </c>
      <c r="K355" s="96" t="str">
        <f>"07.02.24"</f>
        <v>07.02.24</v>
      </c>
    </row>
    <row r="356" spans="1:11" ht="11.25" customHeight="1" outlineLevel="1">
      <c r="A356" s="89" t="n">
        <v>8142780</v>
      </c>
      <c r="B356" s="114" t="s">
        <v>546</v>
      </c>
      <c r="C356" s="89" t="s">
        <v>581</v>
      </c>
      <c r="D356" s="89" t="s">
        <v>407</v>
      </c>
      <c r="E356" s="89"/>
      <c r="F356" s="102" t="n">
        <v>651</v>
      </c>
      <c r="G356" s="102" t="n">
        <v>814</v>
      </c>
      <c r="H356" s="103" t="s">
        <v>48</v>
      </c>
      <c r="I356" s="103">
        <f>IFERROR(VLOOKUP(A356,#REF!,15,0),0)+IFERROR(VLOOKUP(A356,#REF!,25,0),0)+IFERROR(VLOOKUP(A356,#REF!,10,0),0)+IFERROR(VLOOKUP(A356,#REF!,14,0),0)+IFERROR(VLOOKUP(A356,#REF!,10,0),0)+IFERROR(VLOOKUP(A356,#REF!,10,0),0)+IFERROR(VLOOKUP(A356,#REF!,10,0),0)+IFERROR(VLOOKUP(A356,#REF!,9,0),0)+IFERROR(VLOOKUP(A356,#REF!,9,0),0)+IFERROR(VLOOKUP(A356,#REF!,9,0),0)+IFERROR(VLOOKUP(A356,#REF!,9,0),0)</f>
        <v>0</v>
      </c>
      <c r="J356" s="104">
        <f>IFERROR(VLOOKUP(A356,#REF!,16,0),0)+IFERROR(VLOOKUP(A356,#REF!,26,0),0)+IFERROR(VLOOKUP(A356,#REF!,11,0),0)+IFERROR(VLOOKUP(A356,#REF!,23,0),0)+IFERROR(VLOOKUP(A356,#REF!,11,0),0)+IFERROR(VLOOKUP(A356,#REF!,11,0),0)+IFERROR(VLOOKUP(A356,#REF!,11,0),0)</f>
        <v>0</v>
      </c>
      <c r="K356" s="96" t="str">
        <f>"07.02.24"</f>
        <v>07.02.24</v>
      </c>
    </row>
    <row r="357" spans="1:11" ht="11.25" customHeight="1" outlineLevel="1">
      <c r="A357" s="89" t="n">
        <v>8142790</v>
      </c>
      <c r="B357" s="114" t="s">
        <v>546</v>
      </c>
      <c r="C357" s="89" t="s">
        <v>582</v>
      </c>
      <c r="D357" s="89" t="s">
        <v>407</v>
      </c>
      <c r="E357" s="89"/>
      <c r="F357" s="102" t="n">
        <v>795</v>
      </c>
      <c r="G357" s="102" t="n">
        <v>994</v>
      </c>
      <c r="H357" s="103" t="s">
        <v>48</v>
      </c>
      <c r="I357" s="103">
        <f>IFERROR(VLOOKUP(A357,#REF!,15,0),0)+IFERROR(VLOOKUP(A357,#REF!,25,0),0)+IFERROR(VLOOKUP(A357,#REF!,10,0),0)+IFERROR(VLOOKUP(A357,#REF!,14,0),0)+IFERROR(VLOOKUP(A357,#REF!,10,0),0)+IFERROR(VLOOKUP(A357,#REF!,10,0),0)+IFERROR(VLOOKUP(A357,#REF!,10,0),0)+IFERROR(VLOOKUP(A357,#REF!,9,0),0)+IFERROR(VLOOKUP(A357,#REF!,9,0),0)+IFERROR(VLOOKUP(A357,#REF!,9,0),0)+IFERROR(VLOOKUP(A357,#REF!,9,0),0)</f>
        <v>0</v>
      </c>
      <c r="J357" s="104">
        <f>IFERROR(VLOOKUP(A357,#REF!,16,0),0)+IFERROR(VLOOKUP(A357,#REF!,26,0),0)+IFERROR(VLOOKUP(A357,#REF!,11,0),0)+IFERROR(VLOOKUP(A357,#REF!,23,0),0)+IFERROR(VLOOKUP(A357,#REF!,11,0),0)+IFERROR(VLOOKUP(A357,#REF!,11,0),0)+IFERROR(VLOOKUP(A357,#REF!,11,0),0)</f>
        <v>0</v>
      </c>
      <c r="K357" s="96" t="str">
        <f>"07.02.24"</f>
        <v>07.02.24</v>
      </c>
    </row>
    <row r="358" spans="1:11" ht="11.25" customHeight="1" outlineLevel="1">
      <c r="A358" s="89" t="n">
        <v>8142800</v>
      </c>
      <c r="B358" s="114" t="s">
        <v>546</v>
      </c>
      <c r="C358" s="89" t="s">
        <v>583</v>
      </c>
      <c r="D358" s="89" t="s">
        <v>407</v>
      </c>
      <c r="E358" s="89"/>
      <c r="F358" s="102" t="n">
        <v>963</v>
      </c>
      <c r="G358" s="102" t="n">
        <v>1204</v>
      </c>
      <c r="H358" s="103" t="s">
        <v>48</v>
      </c>
      <c r="I358" s="103">
        <f>IFERROR(VLOOKUP(A358,#REF!,15,0),0)+IFERROR(VLOOKUP(A358,#REF!,25,0),0)+IFERROR(VLOOKUP(A358,#REF!,10,0),0)+IFERROR(VLOOKUP(A358,#REF!,14,0),0)+IFERROR(VLOOKUP(A358,#REF!,10,0),0)+IFERROR(VLOOKUP(A358,#REF!,10,0),0)+IFERROR(VLOOKUP(A358,#REF!,10,0),0)+IFERROR(VLOOKUP(A358,#REF!,9,0),0)+IFERROR(VLOOKUP(A358,#REF!,9,0),0)+IFERROR(VLOOKUP(A358,#REF!,9,0),0)+IFERROR(VLOOKUP(A358,#REF!,9,0),0)</f>
        <v>0</v>
      </c>
      <c r="J358" s="104">
        <f>IFERROR(VLOOKUP(A358,#REF!,16,0),0)+IFERROR(VLOOKUP(A358,#REF!,26,0),0)+IFERROR(VLOOKUP(A358,#REF!,11,0),0)+IFERROR(VLOOKUP(A358,#REF!,23,0),0)+IFERROR(VLOOKUP(A358,#REF!,11,0),0)+IFERROR(VLOOKUP(A358,#REF!,11,0),0)+IFERROR(VLOOKUP(A358,#REF!,11,0),0)</f>
        <v>0</v>
      </c>
      <c r="K358" s="96" t="str">
        <f>"07.02.24"</f>
        <v>07.02.24</v>
      </c>
    </row>
    <row r="359" spans="1:11" ht="11.25" customHeight="1" outlineLevel="1">
      <c r="A359" s="89" t="n">
        <v>8142810</v>
      </c>
      <c r="B359" s="114" t="s">
        <v>546</v>
      </c>
      <c r="C359" s="89" t="s">
        <v>584</v>
      </c>
      <c r="D359" s="89" t="s">
        <v>407</v>
      </c>
      <c r="E359" s="89"/>
      <c r="F359" s="102" t="n">
        <v>1265</v>
      </c>
      <c r="G359" s="102" t="n">
        <v>1582</v>
      </c>
      <c r="H359" s="103" t="s">
        <v>48</v>
      </c>
      <c r="I359" s="103">
        <f>IFERROR(VLOOKUP(A359,#REF!,15,0),0)+IFERROR(VLOOKUP(A359,#REF!,25,0),0)+IFERROR(VLOOKUP(A359,#REF!,10,0),0)+IFERROR(VLOOKUP(A359,#REF!,14,0),0)+IFERROR(VLOOKUP(A359,#REF!,10,0),0)+IFERROR(VLOOKUP(A359,#REF!,10,0),0)+IFERROR(VLOOKUP(A359,#REF!,10,0),0)+IFERROR(VLOOKUP(A359,#REF!,9,0),0)+IFERROR(VLOOKUP(A359,#REF!,9,0),0)+IFERROR(VLOOKUP(A359,#REF!,9,0),0)+IFERROR(VLOOKUP(A359,#REF!,9,0),0)</f>
        <v>0</v>
      </c>
      <c r="J359" s="104">
        <f>IFERROR(VLOOKUP(A359,#REF!,16,0),0)+IFERROR(VLOOKUP(A359,#REF!,26,0),0)+IFERROR(VLOOKUP(A359,#REF!,11,0),0)+IFERROR(VLOOKUP(A359,#REF!,23,0),0)+IFERROR(VLOOKUP(A359,#REF!,11,0),0)+IFERROR(VLOOKUP(A359,#REF!,11,0),0)+IFERROR(VLOOKUP(A359,#REF!,11,0),0)</f>
        <v>0</v>
      </c>
      <c r="K359" s="96" t="str">
        <f>"07.02.24"</f>
        <v>07.02.24</v>
      </c>
    </row>
    <row r="360" spans="1:11" ht="11.25" customHeight="1" outlineLevel="1">
      <c r="A360" s="89" t="n">
        <v>8142830</v>
      </c>
      <c r="B360" s="114" t="s">
        <v>546</v>
      </c>
      <c r="C360" s="89" t="s">
        <v>585</v>
      </c>
      <c r="D360" s="89" t="s">
        <v>407</v>
      </c>
      <c r="E360" s="89"/>
      <c r="F360" s="102" t="n">
        <v>205</v>
      </c>
      <c r="G360" s="102" t="n">
        <v>256</v>
      </c>
      <c r="H360" s="103" t="s">
        <v>48</v>
      </c>
      <c r="I360" s="103">
        <f>IFERROR(VLOOKUP(A360,#REF!,15,0),0)+IFERROR(VLOOKUP(A360,#REF!,25,0),0)+IFERROR(VLOOKUP(A360,#REF!,10,0),0)+IFERROR(VLOOKUP(A360,#REF!,14,0),0)+IFERROR(VLOOKUP(A360,#REF!,10,0),0)+IFERROR(VLOOKUP(A360,#REF!,10,0),0)+IFERROR(VLOOKUP(A360,#REF!,10,0),0)+IFERROR(VLOOKUP(A360,#REF!,9,0),0)+IFERROR(VLOOKUP(A360,#REF!,9,0),0)+IFERROR(VLOOKUP(A360,#REF!,9,0),0)+IFERROR(VLOOKUP(A360,#REF!,9,0),0)</f>
        <v>0</v>
      </c>
      <c r="J360" s="104">
        <f>IFERROR(VLOOKUP(A360,#REF!,16,0),0)+IFERROR(VLOOKUP(A360,#REF!,26,0),0)+IFERROR(VLOOKUP(A360,#REF!,11,0),0)+IFERROR(VLOOKUP(A360,#REF!,23,0),0)+IFERROR(VLOOKUP(A360,#REF!,11,0),0)+IFERROR(VLOOKUP(A360,#REF!,11,0),0)+IFERROR(VLOOKUP(A360,#REF!,11,0),0)</f>
        <v>0</v>
      </c>
      <c r="K360" s="96" t="str">
        <f>"07.02.24"</f>
        <v>07.02.24</v>
      </c>
    </row>
    <row r="361" spans="1:11" ht="11.25" customHeight="1" outlineLevel="1">
      <c r="A361" s="89" t="n">
        <v>8142840</v>
      </c>
      <c r="B361" s="114" t="s">
        <v>546</v>
      </c>
      <c r="C361" s="89" t="s">
        <v>586</v>
      </c>
      <c r="D361" s="89" t="s">
        <v>407</v>
      </c>
      <c r="E361" s="89"/>
      <c r="F361" s="102" t="n">
        <v>215</v>
      </c>
      <c r="G361" s="102" t="n">
        <v>269</v>
      </c>
      <c r="H361" s="103" t="s">
        <v>48</v>
      </c>
      <c r="I361" s="103">
        <f>IFERROR(VLOOKUP(A361,#REF!,15,0),0)+IFERROR(VLOOKUP(A361,#REF!,25,0),0)+IFERROR(VLOOKUP(A361,#REF!,10,0),0)+IFERROR(VLOOKUP(A361,#REF!,14,0),0)+IFERROR(VLOOKUP(A361,#REF!,10,0),0)+IFERROR(VLOOKUP(A361,#REF!,10,0),0)+IFERROR(VLOOKUP(A361,#REF!,10,0),0)+IFERROR(VLOOKUP(A361,#REF!,9,0),0)+IFERROR(VLOOKUP(A361,#REF!,9,0),0)+IFERROR(VLOOKUP(A361,#REF!,9,0),0)+IFERROR(VLOOKUP(A361,#REF!,9,0),0)</f>
        <v>0</v>
      </c>
      <c r="J361" s="104">
        <f>IFERROR(VLOOKUP(A361,#REF!,16,0),0)+IFERROR(VLOOKUP(A361,#REF!,26,0),0)+IFERROR(VLOOKUP(A361,#REF!,11,0),0)+IFERROR(VLOOKUP(A361,#REF!,23,0),0)+IFERROR(VLOOKUP(A361,#REF!,11,0),0)+IFERROR(VLOOKUP(A361,#REF!,11,0),0)+IFERROR(VLOOKUP(A361,#REF!,11,0),0)</f>
        <v>0</v>
      </c>
      <c r="K361" s="96" t="str">
        <f>"07.02.24"</f>
        <v>07.02.24</v>
      </c>
    </row>
    <row r="362" spans="1:11" ht="11.25" customHeight="1" outlineLevel="1">
      <c r="A362" s="89" t="n">
        <v>8142850</v>
      </c>
      <c r="B362" s="114" t="s">
        <v>546</v>
      </c>
      <c r="C362" s="89" t="s">
        <v>587</v>
      </c>
      <c r="D362" s="89" t="s">
        <v>407</v>
      </c>
      <c r="E362" s="89"/>
      <c r="F362" s="102" t="n">
        <v>252</v>
      </c>
      <c r="G362" s="102" t="n">
        <v>315</v>
      </c>
      <c r="H362" s="103" t="s">
        <v>48</v>
      </c>
      <c r="I362" s="103">
        <f>IFERROR(VLOOKUP(A362,#REF!,15,0),0)+IFERROR(VLOOKUP(A362,#REF!,25,0),0)+IFERROR(VLOOKUP(A362,#REF!,10,0),0)+IFERROR(VLOOKUP(A362,#REF!,14,0),0)+IFERROR(VLOOKUP(A362,#REF!,10,0),0)+IFERROR(VLOOKUP(A362,#REF!,10,0),0)+IFERROR(VLOOKUP(A362,#REF!,10,0),0)+IFERROR(VLOOKUP(A362,#REF!,9,0),0)+IFERROR(VLOOKUP(A362,#REF!,9,0),0)+IFERROR(VLOOKUP(A362,#REF!,9,0),0)+IFERROR(VLOOKUP(A362,#REF!,9,0),0)</f>
        <v>0</v>
      </c>
      <c r="J362" s="104">
        <f>IFERROR(VLOOKUP(A362,#REF!,16,0),0)+IFERROR(VLOOKUP(A362,#REF!,26,0),0)+IFERROR(VLOOKUP(A362,#REF!,11,0),0)+IFERROR(VLOOKUP(A362,#REF!,23,0),0)+IFERROR(VLOOKUP(A362,#REF!,11,0),0)+IFERROR(VLOOKUP(A362,#REF!,11,0),0)+IFERROR(VLOOKUP(A362,#REF!,11,0),0)</f>
        <v>0</v>
      </c>
      <c r="K362" s="96" t="str">
        <f>"07.02.24"</f>
        <v>07.02.24</v>
      </c>
    </row>
    <row r="363" spans="1:11" ht="11.25" customHeight="1" outlineLevel="1">
      <c r="A363" s="89" t="n">
        <v>8142860</v>
      </c>
      <c r="B363" s="114" t="s">
        <v>546</v>
      </c>
      <c r="C363" s="89" t="s">
        <v>588</v>
      </c>
      <c r="D363" s="89" t="s">
        <v>407</v>
      </c>
      <c r="E363" s="89"/>
      <c r="F363" s="102" t="n">
        <v>301</v>
      </c>
      <c r="G363" s="102" t="n">
        <v>376</v>
      </c>
      <c r="H363" s="103" t="s">
        <v>48</v>
      </c>
      <c r="I363" s="103">
        <f>IFERROR(VLOOKUP(A363,#REF!,15,0),0)+IFERROR(VLOOKUP(A363,#REF!,25,0),0)+IFERROR(VLOOKUP(A363,#REF!,10,0),0)+IFERROR(VLOOKUP(A363,#REF!,14,0),0)+IFERROR(VLOOKUP(A363,#REF!,10,0),0)+IFERROR(VLOOKUP(A363,#REF!,10,0),0)+IFERROR(VLOOKUP(A363,#REF!,10,0),0)+IFERROR(VLOOKUP(A363,#REF!,9,0),0)+IFERROR(VLOOKUP(A363,#REF!,9,0),0)+IFERROR(VLOOKUP(A363,#REF!,9,0),0)+IFERROR(VLOOKUP(A363,#REF!,9,0),0)</f>
        <v>0</v>
      </c>
      <c r="J363" s="104">
        <f>IFERROR(VLOOKUP(A363,#REF!,16,0),0)+IFERROR(VLOOKUP(A363,#REF!,26,0),0)+IFERROR(VLOOKUP(A363,#REF!,11,0),0)+IFERROR(VLOOKUP(A363,#REF!,23,0),0)+IFERROR(VLOOKUP(A363,#REF!,11,0),0)+IFERROR(VLOOKUP(A363,#REF!,11,0),0)+IFERROR(VLOOKUP(A363,#REF!,11,0),0)</f>
        <v>0</v>
      </c>
      <c r="K363" s="96" t="str">
        <f>"07.02.24"</f>
        <v>07.02.24</v>
      </c>
    </row>
    <row r="364" spans="1:11" ht="11.25" customHeight="1" outlineLevel="1">
      <c r="A364" s="89" t="n">
        <v>8142870</v>
      </c>
      <c r="B364" s="114" t="s">
        <v>546</v>
      </c>
      <c r="C364" s="89" t="s">
        <v>589</v>
      </c>
      <c r="D364" s="89" t="s">
        <v>407</v>
      </c>
      <c r="E364" s="89"/>
      <c r="F364" s="102" t="n">
        <v>337</v>
      </c>
      <c r="G364" s="102" t="n">
        <v>422</v>
      </c>
      <c r="H364" s="103" t="s">
        <v>48</v>
      </c>
      <c r="I364" s="103">
        <f>IFERROR(VLOOKUP(A364,#REF!,15,0),0)+IFERROR(VLOOKUP(A364,#REF!,25,0),0)+IFERROR(VLOOKUP(A364,#REF!,10,0),0)+IFERROR(VLOOKUP(A364,#REF!,14,0),0)+IFERROR(VLOOKUP(A364,#REF!,10,0),0)+IFERROR(VLOOKUP(A364,#REF!,10,0),0)+IFERROR(VLOOKUP(A364,#REF!,10,0),0)+IFERROR(VLOOKUP(A364,#REF!,9,0),0)+IFERROR(VLOOKUP(A364,#REF!,9,0),0)+IFERROR(VLOOKUP(A364,#REF!,9,0),0)+IFERROR(VLOOKUP(A364,#REF!,9,0),0)</f>
        <v>0</v>
      </c>
      <c r="J364" s="104">
        <f>IFERROR(VLOOKUP(A364,#REF!,16,0),0)+IFERROR(VLOOKUP(A364,#REF!,26,0),0)+IFERROR(VLOOKUP(A364,#REF!,11,0),0)+IFERROR(VLOOKUP(A364,#REF!,23,0),0)+IFERROR(VLOOKUP(A364,#REF!,11,0),0)+IFERROR(VLOOKUP(A364,#REF!,11,0),0)+IFERROR(VLOOKUP(A364,#REF!,11,0),0)</f>
        <v>0</v>
      </c>
      <c r="K364" s="96" t="str">
        <f>"07.02.24"</f>
        <v>07.02.24</v>
      </c>
    </row>
    <row r="365" spans="1:11" ht="11.25" customHeight="1" outlineLevel="1">
      <c r="A365" s="89" t="n">
        <v>8142880</v>
      </c>
      <c r="B365" s="114" t="s">
        <v>546</v>
      </c>
      <c r="C365" s="89" t="s">
        <v>590</v>
      </c>
      <c r="D365" s="89" t="s">
        <v>407</v>
      </c>
      <c r="E365" s="89"/>
      <c r="F365" s="102" t="n">
        <v>366</v>
      </c>
      <c r="G365" s="102" t="n">
        <v>457</v>
      </c>
      <c r="H365" s="103" t="s">
        <v>48</v>
      </c>
      <c r="I365" s="103">
        <f>IFERROR(VLOOKUP(A365,#REF!,15,0),0)+IFERROR(VLOOKUP(A365,#REF!,25,0),0)+IFERROR(VLOOKUP(A365,#REF!,10,0),0)+IFERROR(VLOOKUP(A365,#REF!,14,0),0)+IFERROR(VLOOKUP(A365,#REF!,10,0),0)+IFERROR(VLOOKUP(A365,#REF!,10,0),0)+IFERROR(VLOOKUP(A365,#REF!,10,0),0)+IFERROR(VLOOKUP(A365,#REF!,9,0),0)+IFERROR(VLOOKUP(A365,#REF!,9,0),0)+IFERROR(VLOOKUP(A365,#REF!,9,0),0)+IFERROR(VLOOKUP(A365,#REF!,9,0),0)</f>
        <v>0</v>
      </c>
      <c r="J365" s="104">
        <f>IFERROR(VLOOKUP(A365,#REF!,16,0),0)+IFERROR(VLOOKUP(A365,#REF!,26,0),0)+IFERROR(VLOOKUP(A365,#REF!,11,0),0)+IFERROR(VLOOKUP(A365,#REF!,23,0),0)+IFERROR(VLOOKUP(A365,#REF!,11,0),0)+IFERROR(VLOOKUP(A365,#REF!,11,0),0)+IFERROR(VLOOKUP(A365,#REF!,11,0),0)</f>
        <v>0</v>
      </c>
      <c r="K365" s="96" t="str">
        <f>"07.02.24"</f>
        <v>07.02.24</v>
      </c>
    </row>
    <row r="366" spans="1:11" ht="11.25" customHeight="1" outlineLevel="1">
      <c r="A366" s="89" t="n">
        <v>8142890</v>
      </c>
      <c r="B366" s="114" t="s">
        <v>546</v>
      </c>
      <c r="C366" s="89" t="s">
        <v>591</v>
      </c>
      <c r="D366" s="89" t="s">
        <v>407</v>
      </c>
      <c r="E366" s="89"/>
      <c r="F366" s="102" t="n">
        <v>399</v>
      </c>
      <c r="G366" s="102" t="n">
        <v>498</v>
      </c>
      <c r="H366" s="103" t="s">
        <v>48</v>
      </c>
      <c r="I366" s="103">
        <f>IFERROR(VLOOKUP(A366,#REF!,15,0),0)+IFERROR(VLOOKUP(A366,#REF!,25,0),0)+IFERROR(VLOOKUP(A366,#REF!,10,0),0)+IFERROR(VLOOKUP(A366,#REF!,14,0),0)+IFERROR(VLOOKUP(A366,#REF!,10,0),0)+IFERROR(VLOOKUP(A366,#REF!,10,0),0)+IFERROR(VLOOKUP(A366,#REF!,10,0),0)+IFERROR(VLOOKUP(A366,#REF!,9,0),0)+IFERROR(VLOOKUP(A366,#REF!,9,0),0)+IFERROR(VLOOKUP(A366,#REF!,9,0),0)+IFERROR(VLOOKUP(A366,#REF!,9,0),0)</f>
        <v>0</v>
      </c>
      <c r="J366" s="104">
        <f>IFERROR(VLOOKUP(A366,#REF!,16,0),0)+IFERROR(VLOOKUP(A366,#REF!,26,0),0)+IFERROR(VLOOKUP(A366,#REF!,11,0),0)+IFERROR(VLOOKUP(A366,#REF!,23,0),0)+IFERROR(VLOOKUP(A366,#REF!,11,0),0)+IFERROR(VLOOKUP(A366,#REF!,11,0),0)+IFERROR(VLOOKUP(A366,#REF!,11,0),0)</f>
        <v>0</v>
      </c>
      <c r="K366" s="96" t="str">
        <f>"07.02.24"</f>
        <v>07.02.24</v>
      </c>
    </row>
    <row r="367" spans="1:11" ht="11.25" customHeight="1" outlineLevel="1">
      <c r="A367" s="89" t="n">
        <v>8142900</v>
      </c>
      <c r="B367" s="114" t="s">
        <v>546</v>
      </c>
      <c r="C367" s="89" t="s">
        <v>592</v>
      </c>
      <c r="D367" s="89" t="s">
        <v>407</v>
      </c>
      <c r="E367" s="89"/>
      <c r="F367" s="102" t="n">
        <v>677</v>
      </c>
      <c r="G367" s="102" t="n">
        <v>846</v>
      </c>
      <c r="H367" s="103" t="s">
        <v>48</v>
      </c>
      <c r="I367" s="103">
        <f>IFERROR(VLOOKUP(A367,#REF!,15,0),0)+IFERROR(VLOOKUP(A367,#REF!,25,0),0)+IFERROR(VLOOKUP(A367,#REF!,10,0),0)+IFERROR(VLOOKUP(A367,#REF!,14,0),0)+IFERROR(VLOOKUP(A367,#REF!,10,0),0)+IFERROR(VLOOKUP(A367,#REF!,10,0),0)+IFERROR(VLOOKUP(A367,#REF!,10,0),0)+IFERROR(VLOOKUP(A367,#REF!,9,0),0)+IFERROR(VLOOKUP(A367,#REF!,9,0),0)+IFERROR(VLOOKUP(A367,#REF!,9,0),0)+IFERROR(VLOOKUP(A367,#REF!,9,0),0)</f>
        <v>0</v>
      </c>
      <c r="J367" s="104">
        <f>IFERROR(VLOOKUP(A367,#REF!,16,0),0)+IFERROR(VLOOKUP(A367,#REF!,26,0),0)+IFERROR(VLOOKUP(A367,#REF!,11,0),0)+IFERROR(VLOOKUP(A367,#REF!,23,0),0)+IFERROR(VLOOKUP(A367,#REF!,11,0),0)+IFERROR(VLOOKUP(A367,#REF!,11,0),0)+IFERROR(VLOOKUP(A367,#REF!,11,0),0)</f>
        <v>0</v>
      </c>
      <c r="K367" s="96" t="str">
        <f>"07.02.24"</f>
        <v>07.02.24</v>
      </c>
    </row>
    <row r="368" spans="1:11" ht="11.25" customHeight="1" outlineLevel="1">
      <c r="A368" s="89" t="n">
        <v>8142820</v>
      </c>
      <c r="B368" s="114" t="s">
        <v>546</v>
      </c>
      <c r="C368" s="89" t="s">
        <v>593</v>
      </c>
      <c r="D368" s="89" t="s">
        <v>407</v>
      </c>
      <c r="E368" s="89"/>
      <c r="F368" s="102" t="n">
        <v>201</v>
      </c>
      <c r="G368" s="102" t="n">
        <v>251</v>
      </c>
      <c r="H368" s="103" t="s">
        <v>17</v>
      </c>
      <c r="I368" s="103">
        <f>IFERROR(VLOOKUP(A368,#REF!,15,0),0)+IFERROR(VLOOKUP(A368,#REF!,25,0),0)+IFERROR(VLOOKUP(A368,#REF!,10,0),0)+IFERROR(VLOOKUP(A368,#REF!,14,0),0)+IFERROR(VLOOKUP(A368,#REF!,10,0),0)+IFERROR(VLOOKUP(A368,#REF!,10,0),0)+IFERROR(VLOOKUP(A368,#REF!,10,0),0)+IFERROR(VLOOKUP(A368,#REF!,9,0),0)+IFERROR(VLOOKUP(A368,#REF!,9,0),0)+IFERROR(VLOOKUP(A368,#REF!,9,0),0)+IFERROR(VLOOKUP(A368,#REF!,9,0),0)</f>
        <v>0</v>
      </c>
      <c r="J368" s="104">
        <f>IFERROR(VLOOKUP(A368,#REF!,16,0),0)+IFERROR(VLOOKUP(A368,#REF!,26,0),0)+IFERROR(VLOOKUP(A368,#REF!,11,0),0)+IFERROR(VLOOKUP(A368,#REF!,23,0),0)+IFERROR(VLOOKUP(A368,#REF!,11,0),0)+IFERROR(VLOOKUP(A368,#REF!,11,0),0)+IFERROR(VLOOKUP(A368,#REF!,11,0),0)</f>
        <v>0</v>
      </c>
      <c r="K368" s="96" t="str">
        <f>"07.02.24"</f>
        <v>07.02.24</v>
      </c>
    </row>
    <row r="369" spans="1:11" ht="11.25" customHeight="1" outlineLevel="1">
      <c r="A369" s="89" t="s">
        <v>594</v>
      </c>
      <c r="B369" s="114" t="s">
        <v>546</v>
      </c>
      <c r="C369" s="89" t="s">
        <v>595</v>
      </c>
      <c r="D369" s="89" t="s">
        <v>407</v>
      </c>
      <c r="E369" s="89"/>
      <c r="F369" s="102" t="n">
        <v>734</v>
      </c>
      <c r="G369" s="102" t="n">
        <v>917</v>
      </c>
      <c r="H369" s="103" t="s">
        <v>17</v>
      </c>
      <c r="I369" s="103">
        <f>IFERROR(VLOOKUP(A369,#REF!,15,0),0)+IFERROR(VLOOKUP(A369,#REF!,25,0),0)+IFERROR(VLOOKUP(A369,#REF!,10,0),0)+IFERROR(VLOOKUP(A369,#REF!,14,0),0)+IFERROR(VLOOKUP(A369,#REF!,10,0),0)+IFERROR(VLOOKUP(A369,#REF!,10,0),0)+IFERROR(VLOOKUP(A369,#REF!,10,0),0)+IFERROR(VLOOKUP(A369,#REF!,9,0),0)+IFERROR(VLOOKUP(A369,#REF!,9,0),0)+IFERROR(VLOOKUP(A369,#REF!,9,0),0)+IFERROR(VLOOKUP(A369,#REF!,9,0),0)</f>
        <v>0</v>
      </c>
      <c r="J369" s="104">
        <f>IFERROR(VLOOKUP(A369,#REF!,16,0),0)+IFERROR(VLOOKUP(A369,#REF!,26,0),0)+IFERROR(VLOOKUP(A369,#REF!,11,0),0)+IFERROR(VLOOKUP(A369,#REF!,23,0),0)+IFERROR(VLOOKUP(A369,#REF!,11,0),0)+IFERROR(VLOOKUP(A369,#REF!,11,0),0)+IFERROR(VLOOKUP(A369,#REF!,11,0),0)</f>
        <v>0</v>
      </c>
      <c r="K369" s="96" t="str">
        <f>"07.02.24"</f>
        <v>07.02.24</v>
      </c>
    </row>
    <row r="370" spans="1:11" ht="11.25" customHeight="1" outlineLevel="1">
      <c r="A370" s="89" t="s">
        <v>596</v>
      </c>
      <c r="B370" s="114" t="s">
        <v>546</v>
      </c>
      <c r="C370" s="89" t="s">
        <v>597</v>
      </c>
      <c r="D370" s="89" t="s">
        <v>407</v>
      </c>
      <c r="E370" s="89"/>
      <c r="F370" s="102" t="n">
        <v>797</v>
      </c>
      <c r="G370" s="102" t="n">
        <v>997</v>
      </c>
      <c r="H370" s="103" t="s">
        <v>17</v>
      </c>
      <c r="I370" s="103">
        <f>IFERROR(VLOOKUP(A370,#REF!,15,0),0)+IFERROR(VLOOKUP(A370,#REF!,25,0),0)+IFERROR(VLOOKUP(A370,#REF!,10,0),0)+IFERROR(VLOOKUP(A370,#REF!,14,0),0)+IFERROR(VLOOKUP(A370,#REF!,10,0),0)+IFERROR(VLOOKUP(A370,#REF!,10,0),0)+IFERROR(VLOOKUP(A370,#REF!,10,0),0)+IFERROR(VLOOKUP(A370,#REF!,9,0),0)+IFERROR(VLOOKUP(A370,#REF!,9,0),0)+IFERROR(VLOOKUP(A370,#REF!,9,0),0)+IFERROR(VLOOKUP(A370,#REF!,9,0),0)</f>
        <v>0</v>
      </c>
      <c r="J370" s="104">
        <f>IFERROR(VLOOKUP(A370,#REF!,16,0),0)+IFERROR(VLOOKUP(A370,#REF!,26,0),0)+IFERROR(VLOOKUP(A370,#REF!,11,0),0)+IFERROR(VLOOKUP(A370,#REF!,23,0),0)+IFERROR(VLOOKUP(A370,#REF!,11,0),0)+IFERROR(VLOOKUP(A370,#REF!,11,0),0)+IFERROR(VLOOKUP(A370,#REF!,11,0),0)</f>
        <v>0</v>
      </c>
      <c r="K370" s="96" t="str">
        <f>"07.02.24"</f>
        <v>07.02.24</v>
      </c>
    </row>
    <row r="371" spans="1:11" ht="11.25" customHeight="1" outlineLevel="1">
      <c r="A371" s="89" t="n">
        <v>8888000</v>
      </c>
      <c r="B371" s="114" t="s">
        <v>546</v>
      </c>
      <c r="C371" s="89" t="s">
        <v>598</v>
      </c>
      <c r="D371" s="89" t="s">
        <v>407</v>
      </c>
      <c r="E371" s="89"/>
      <c r="F371" s="102" t="n">
        <v>7300</v>
      </c>
      <c r="G371" s="102" t="n">
        <v>8759</v>
      </c>
      <c r="H371" s="103" t="s">
        <v>48</v>
      </c>
      <c r="I371" s="103">
        <f>IFERROR(VLOOKUP(A371,#REF!,15,0),0)+IFERROR(VLOOKUP(A371,#REF!,25,0),0)+IFERROR(VLOOKUP(A371,#REF!,10,0),0)+IFERROR(VLOOKUP(A371,#REF!,14,0),0)+IFERROR(VLOOKUP(A371,#REF!,10,0),0)+IFERROR(VLOOKUP(A371,#REF!,10,0),0)+IFERROR(VLOOKUP(A371,#REF!,10,0),0)+IFERROR(VLOOKUP(A371,#REF!,9,0),0)+IFERROR(VLOOKUP(A371,#REF!,9,0),0)+IFERROR(VLOOKUP(A371,#REF!,9,0),0)+IFERROR(VLOOKUP(A371,#REF!,9,0),0)</f>
        <v>0</v>
      </c>
      <c r="J371" s="104">
        <f>IFERROR(VLOOKUP(A371,#REF!,16,0),0)+IFERROR(VLOOKUP(A371,#REF!,26,0),0)+IFERROR(VLOOKUP(A371,#REF!,11,0),0)+IFERROR(VLOOKUP(A371,#REF!,23,0),0)+IFERROR(VLOOKUP(A371,#REF!,11,0),0)+IFERROR(VLOOKUP(A371,#REF!,11,0),0)+IFERROR(VLOOKUP(A371,#REF!,11,0),0)</f>
        <v>0</v>
      </c>
      <c r="K371" s="96" t="str">
        <f>"07.02.24"</f>
        <v>07.02.24</v>
      </c>
    </row>
    <row r="372" spans="1:11" ht="11.25" customHeight="1" outlineLevel="1">
      <c r="A372" s="89" t="n">
        <v>8888010</v>
      </c>
      <c r="B372" s="114" t="s">
        <v>546</v>
      </c>
      <c r="C372" s="89" t="s">
        <v>599</v>
      </c>
      <c r="D372" s="89" t="s">
        <v>407</v>
      </c>
      <c r="E372" s="89"/>
      <c r="F372" s="102" t="n">
        <v>5750</v>
      </c>
      <c r="G372" s="102" t="n">
        <v>6900</v>
      </c>
      <c r="H372" s="103" t="s">
        <v>48</v>
      </c>
      <c r="I372" s="103">
        <f>IFERROR(VLOOKUP(A372,#REF!,15,0),0)+IFERROR(VLOOKUP(A372,#REF!,25,0),0)+IFERROR(VLOOKUP(A372,#REF!,10,0),0)+IFERROR(VLOOKUP(A372,#REF!,14,0),0)+IFERROR(VLOOKUP(A372,#REF!,10,0),0)+IFERROR(VLOOKUP(A372,#REF!,10,0),0)+IFERROR(VLOOKUP(A372,#REF!,10,0),0)+IFERROR(VLOOKUP(A372,#REF!,9,0),0)+IFERROR(VLOOKUP(A372,#REF!,9,0),0)+IFERROR(VLOOKUP(A372,#REF!,9,0),0)+IFERROR(VLOOKUP(A372,#REF!,9,0),0)</f>
        <v>0</v>
      </c>
      <c r="J372" s="104">
        <f>IFERROR(VLOOKUP(A372,#REF!,16,0),0)+IFERROR(VLOOKUP(A372,#REF!,26,0),0)+IFERROR(VLOOKUP(A372,#REF!,11,0),0)+IFERROR(VLOOKUP(A372,#REF!,23,0),0)+IFERROR(VLOOKUP(A372,#REF!,11,0),0)+IFERROR(VLOOKUP(A372,#REF!,11,0),0)+IFERROR(VLOOKUP(A372,#REF!,11,0),0)</f>
        <v>0</v>
      </c>
      <c r="K372" s="96" t="str">
        <f>"07.02.24"</f>
        <v>07.02.24</v>
      </c>
    </row>
    <row r="373" spans="1:11" ht="11.25" customHeight="1" outlineLevel="1">
      <c r="A373" s="89" t="n">
        <v>8888020</v>
      </c>
      <c r="B373" s="114" t="s">
        <v>546</v>
      </c>
      <c r="C373" s="89" t="s">
        <v>600</v>
      </c>
      <c r="D373" s="89" t="s">
        <v>407</v>
      </c>
      <c r="E373" s="89"/>
      <c r="F373" s="102" t="n">
        <v>4097</v>
      </c>
      <c r="G373" s="102" t="n">
        <v>4916</v>
      </c>
      <c r="H373" s="103" t="s">
        <v>48</v>
      </c>
      <c r="I373" s="103">
        <f>IFERROR(VLOOKUP(A373,#REF!,15,0),0)+IFERROR(VLOOKUP(A373,#REF!,25,0),0)+IFERROR(VLOOKUP(A373,#REF!,10,0),0)+IFERROR(VLOOKUP(A373,#REF!,14,0),0)+IFERROR(VLOOKUP(A373,#REF!,10,0),0)+IFERROR(VLOOKUP(A373,#REF!,10,0),0)+IFERROR(VLOOKUP(A373,#REF!,10,0),0)+IFERROR(VLOOKUP(A373,#REF!,9,0),0)+IFERROR(VLOOKUP(A373,#REF!,9,0),0)+IFERROR(VLOOKUP(A373,#REF!,9,0),0)+IFERROR(VLOOKUP(A373,#REF!,9,0),0)</f>
        <v>0</v>
      </c>
      <c r="J373" s="104">
        <f>IFERROR(VLOOKUP(A373,#REF!,16,0),0)+IFERROR(VLOOKUP(A373,#REF!,26,0),0)+IFERROR(VLOOKUP(A373,#REF!,11,0),0)+IFERROR(VLOOKUP(A373,#REF!,23,0),0)+IFERROR(VLOOKUP(A373,#REF!,11,0),0)+IFERROR(VLOOKUP(A373,#REF!,11,0),0)+IFERROR(VLOOKUP(A373,#REF!,11,0),0)</f>
        <v>0</v>
      </c>
      <c r="K373" s="96" t="str">
        <f>"07.02.24"</f>
        <v>07.02.24</v>
      </c>
    </row>
    <row r="374" spans="1:11" ht="11.25" customHeight="1">
      <c r="A374" s="97" t="s">
        <v>601</v>
      </c>
      <c r="B374" s="98"/>
      <c r="C374" s="98"/>
      <c r="D374" s="98"/>
      <c r="E374" s="98"/>
      <c r="F374" s="99"/>
      <c r="G374" s="99"/>
      <c r="H374" s="100"/>
      <c r="I374" s="100"/>
      <c r="J374" s="108"/>
      <c r="K374" s="96" t="str">
        <f>"07.02.24"</f>
        <v>07.02.24</v>
      </c>
    </row>
    <row r="375" spans="1:11" ht="11.25" customHeight="1" outlineLevel="1">
      <c r="A375" s="89" t="n">
        <v>38487</v>
      </c>
      <c r="B375" s="114" t="s">
        <v>601</v>
      </c>
      <c r="C375" s="89" t="s">
        <v>602</v>
      </c>
      <c r="D375" s="89" t="s">
        <v>15</v>
      </c>
      <c r="E375" s="89" t="s">
        <v>603</v>
      </c>
      <c r="F375" s="102" t="n">
        <v>1039</v>
      </c>
      <c r="G375" s="102" t="n">
        <v>1401</v>
      </c>
      <c r="H375" s="103" t="s">
        <v>48</v>
      </c>
      <c r="I375" s="103">
        <f>IFERROR(VLOOKUP(A375,#REF!,15,0),0)+IFERROR(VLOOKUP(A375,#REF!,25,0),0)+IFERROR(VLOOKUP(A375,#REF!,10,0),0)+IFERROR(VLOOKUP(A375,#REF!,14,0),0)+IFERROR(VLOOKUP(A375,#REF!,10,0),0)+IFERROR(VLOOKUP(A375,#REF!,10,0),0)+IFERROR(VLOOKUP(A375,#REF!,10,0),0)+IFERROR(VLOOKUP(A375,#REF!,9,0),0)+IFERROR(VLOOKUP(A375,#REF!,9,0),0)+IFERROR(VLOOKUP(A375,#REF!,9,0),0)+IFERROR(VLOOKUP(A375,#REF!,9,0),0)</f>
        <v>0</v>
      </c>
      <c r="J375" s="104">
        <f>IFERROR(VLOOKUP(A375,#REF!,16,0),0)+IFERROR(VLOOKUP(A375,#REF!,26,0),0)+IFERROR(VLOOKUP(A375,#REF!,11,0),0)+IFERROR(VLOOKUP(A375,#REF!,23,0),0)+IFERROR(VLOOKUP(A375,#REF!,11,0),0)+IFERROR(VLOOKUP(A375,#REF!,11,0),0)+IFERROR(VLOOKUP(A375,#REF!,11,0),0)</f>
        <v>0</v>
      </c>
      <c r="K375" s="96" t="str">
        <f>"07.02.24"</f>
        <v>07.02.24</v>
      </c>
    </row>
    <row r="376" spans="1:11" ht="11.25" customHeight="1" outlineLevel="1">
      <c r="A376" s="89" t="n">
        <v>31937</v>
      </c>
      <c r="B376" s="114" t="s">
        <v>601</v>
      </c>
      <c r="C376" s="89" t="s">
        <v>604</v>
      </c>
      <c r="D376" s="89" t="s">
        <v>15</v>
      </c>
      <c r="E376" s="89" t="s">
        <v>605</v>
      </c>
      <c r="F376" s="102" t="n">
        <v>1214</v>
      </c>
      <c r="G376" s="102" t="n">
        <v>1639</v>
      </c>
      <c r="H376" s="103" t="s">
        <v>48</v>
      </c>
      <c r="I376" s="103">
        <f>IFERROR(VLOOKUP(A376,#REF!,15,0),0)+IFERROR(VLOOKUP(A376,#REF!,25,0),0)+IFERROR(VLOOKUP(A376,#REF!,10,0),0)+IFERROR(VLOOKUP(A376,#REF!,14,0),0)+IFERROR(VLOOKUP(A376,#REF!,10,0),0)+IFERROR(VLOOKUP(A376,#REF!,10,0),0)+IFERROR(VLOOKUP(A376,#REF!,10,0),0)+IFERROR(VLOOKUP(A376,#REF!,9,0),0)+IFERROR(VLOOKUP(A376,#REF!,9,0),0)+IFERROR(VLOOKUP(A376,#REF!,9,0),0)+IFERROR(VLOOKUP(A376,#REF!,9,0),0)</f>
        <v>0</v>
      </c>
      <c r="J376" s="104">
        <f>IFERROR(VLOOKUP(A376,#REF!,16,0),0)+IFERROR(VLOOKUP(A376,#REF!,26,0),0)+IFERROR(VLOOKUP(A376,#REF!,11,0),0)+IFERROR(VLOOKUP(A376,#REF!,23,0),0)+IFERROR(VLOOKUP(A376,#REF!,11,0),0)+IFERROR(VLOOKUP(A376,#REF!,11,0),0)+IFERROR(VLOOKUP(A376,#REF!,11,0),0)</f>
        <v>0</v>
      </c>
      <c r="K376" s="96" t="str">
        <f>"07.02.24"</f>
        <v>07.02.24</v>
      </c>
    </row>
    <row r="377" spans="1:11" ht="11.25" customHeight="1" outlineLevel="1">
      <c r="A377" s="89" t="n">
        <v>31936</v>
      </c>
      <c r="B377" s="114" t="s">
        <v>601</v>
      </c>
      <c r="C377" s="89" t="s">
        <v>606</v>
      </c>
      <c r="D377" s="89" t="s">
        <v>15</v>
      </c>
      <c r="E377" s="89" t="s">
        <v>607</v>
      </c>
      <c r="F377" s="102" t="n">
        <v>1565</v>
      </c>
      <c r="G377" s="102" t="n">
        <v>2113</v>
      </c>
      <c r="H377" s="103" t="s">
        <v>48</v>
      </c>
      <c r="I377" s="103">
        <f>IFERROR(VLOOKUP(A377,#REF!,15,0),0)+IFERROR(VLOOKUP(A377,#REF!,25,0),0)+IFERROR(VLOOKUP(A377,#REF!,10,0),0)+IFERROR(VLOOKUP(A377,#REF!,14,0),0)+IFERROR(VLOOKUP(A377,#REF!,10,0),0)+IFERROR(VLOOKUP(A377,#REF!,10,0),0)+IFERROR(VLOOKUP(A377,#REF!,10,0),0)+IFERROR(VLOOKUP(A377,#REF!,9,0),0)+IFERROR(VLOOKUP(A377,#REF!,9,0),0)+IFERROR(VLOOKUP(A377,#REF!,9,0),0)+IFERROR(VLOOKUP(A377,#REF!,9,0),0)</f>
        <v>0</v>
      </c>
      <c r="J377" s="104">
        <f>IFERROR(VLOOKUP(A377,#REF!,16,0),0)+IFERROR(VLOOKUP(A377,#REF!,26,0),0)+IFERROR(VLOOKUP(A377,#REF!,11,0),0)+IFERROR(VLOOKUP(A377,#REF!,23,0),0)+IFERROR(VLOOKUP(A377,#REF!,11,0),0)+IFERROR(VLOOKUP(A377,#REF!,11,0),0)+IFERROR(VLOOKUP(A377,#REF!,11,0),0)</f>
        <v>0</v>
      </c>
      <c r="K377" s="96" t="str">
        <f>"07.02.24"</f>
        <v>07.02.24</v>
      </c>
    </row>
    <row r="378" spans="1:11" ht="11.25" customHeight="1" outlineLevel="1">
      <c r="A378" s="89" t="n">
        <v>31939</v>
      </c>
      <c r="B378" s="114" t="s">
        <v>601</v>
      </c>
      <c r="C378" s="89" t="s">
        <v>608</v>
      </c>
      <c r="D378" s="89" t="s">
        <v>15</v>
      </c>
      <c r="E378" s="89" t="s">
        <v>609</v>
      </c>
      <c r="F378" s="102" t="n">
        <v>1296</v>
      </c>
      <c r="G378" s="102" t="n">
        <v>1750</v>
      </c>
      <c r="H378" s="103" t="s">
        <v>17</v>
      </c>
      <c r="I378" s="103">
        <f>IFERROR(VLOOKUP(A378,#REF!,15,0),0)+IFERROR(VLOOKUP(A378,#REF!,25,0),0)+IFERROR(VLOOKUP(A378,#REF!,10,0),0)+IFERROR(VLOOKUP(A378,#REF!,14,0),0)+IFERROR(VLOOKUP(A378,#REF!,10,0),0)+IFERROR(VLOOKUP(A378,#REF!,10,0),0)+IFERROR(VLOOKUP(A378,#REF!,10,0),0)+IFERROR(VLOOKUP(A378,#REF!,9,0),0)+IFERROR(VLOOKUP(A378,#REF!,9,0),0)+IFERROR(VLOOKUP(A378,#REF!,9,0),0)+IFERROR(VLOOKUP(A378,#REF!,9,0),0)</f>
        <v>0</v>
      </c>
      <c r="J378" s="104">
        <f>IFERROR(VLOOKUP(A378,#REF!,16,0),0)+IFERROR(VLOOKUP(A378,#REF!,26,0),0)+IFERROR(VLOOKUP(A378,#REF!,11,0),0)+IFERROR(VLOOKUP(A378,#REF!,23,0),0)+IFERROR(VLOOKUP(A378,#REF!,11,0),0)+IFERROR(VLOOKUP(A378,#REF!,11,0),0)+IFERROR(VLOOKUP(A378,#REF!,11,0),0)</f>
        <v>0</v>
      </c>
      <c r="K378" s="96" t="str">
        <f>"07.02.24"</f>
        <v>07.02.24</v>
      </c>
    </row>
    <row r="379" spans="1:11" ht="11.25" customHeight="1" outlineLevel="1">
      <c r="A379" s="89" t="n">
        <v>31934</v>
      </c>
      <c r="B379" s="114" t="s">
        <v>601</v>
      </c>
      <c r="C379" s="89" t="s">
        <v>610</v>
      </c>
      <c r="D379" s="89" t="s">
        <v>15</v>
      </c>
      <c r="E379" s="89" t="s">
        <v>609</v>
      </c>
      <c r="F379" s="102" t="n">
        <v>2895</v>
      </c>
      <c r="G379" s="102" t="n">
        <v>3908</v>
      </c>
      <c r="H379" s="103" t="s">
        <v>17</v>
      </c>
      <c r="I379" s="103">
        <f>IFERROR(VLOOKUP(A379,#REF!,15,0),0)+IFERROR(VLOOKUP(A379,#REF!,25,0),0)+IFERROR(VLOOKUP(A379,#REF!,10,0),0)+IFERROR(VLOOKUP(A379,#REF!,14,0),0)+IFERROR(VLOOKUP(A379,#REF!,10,0),0)+IFERROR(VLOOKUP(A379,#REF!,10,0),0)+IFERROR(VLOOKUP(A379,#REF!,10,0),0)+IFERROR(VLOOKUP(A379,#REF!,9,0),0)+IFERROR(VLOOKUP(A379,#REF!,9,0),0)+IFERROR(VLOOKUP(A379,#REF!,9,0),0)+IFERROR(VLOOKUP(A379,#REF!,9,0),0)</f>
        <v>0</v>
      </c>
      <c r="J379" s="104">
        <f>IFERROR(VLOOKUP(A379,#REF!,16,0),0)+IFERROR(VLOOKUP(A379,#REF!,26,0),0)+IFERROR(VLOOKUP(A379,#REF!,11,0),0)+IFERROR(VLOOKUP(A379,#REF!,23,0),0)+IFERROR(VLOOKUP(A379,#REF!,11,0),0)+IFERROR(VLOOKUP(A379,#REF!,11,0),0)+IFERROR(VLOOKUP(A379,#REF!,11,0),0)</f>
        <v>0</v>
      </c>
      <c r="K379" s="96" t="str">
        <f>"07.02.24"</f>
        <v>07.02.24</v>
      </c>
    </row>
    <row r="380" spans="1:11" ht="11.25" customHeight="1" outlineLevel="1">
      <c r="A380" s="89" t="n">
        <v>31935</v>
      </c>
      <c r="B380" s="114" t="s">
        <v>601</v>
      </c>
      <c r="C380" s="89" t="s">
        <v>611</v>
      </c>
      <c r="D380" s="89" t="s">
        <v>15</v>
      </c>
      <c r="E380" s="89" t="s">
        <v>609</v>
      </c>
      <c r="F380" s="102" t="n">
        <v>1021</v>
      </c>
      <c r="G380" s="102" t="n">
        <v>1379</v>
      </c>
      <c r="H380" s="103" t="s">
        <v>17</v>
      </c>
      <c r="I380" s="103">
        <f>IFERROR(VLOOKUP(A380,#REF!,15,0),0)+IFERROR(VLOOKUP(A380,#REF!,25,0),0)+IFERROR(VLOOKUP(A380,#REF!,10,0),0)+IFERROR(VLOOKUP(A380,#REF!,14,0),0)+IFERROR(VLOOKUP(A380,#REF!,10,0),0)+IFERROR(VLOOKUP(A380,#REF!,10,0),0)+IFERROR(VLOOKUP(A380,#REF!,10,0),0)+IFERROR(VLOOKUP(A380,#REF!,9,0),0)+IFERROR(VLOOKUP(A380,#REF!,9,0),0)+IFERROR(VLOOKUP(A380,#REF!,9,0),0)+IFERROR(VLOOKUP(A380,#REF!,9,0),0)</f>
        <v>0</v>
      </c>
      <c r="J380" s="104">
        <f>IFERROR(VLOOKUP(A380,#REF!,16,0),0)+IFERROR(VLOOKUP(A380,#REF!,26,0),0)+IFERROR(VLOOKUP(A380,#REF!,11,0),0)+IFERROR(VLOOKUP(A380,#REF!,23,0),0)+IFERROR(VLOOKUP(A380,#REF!,11,0),0)+IFERROR(VLOOKUP(A380,#REF!,11,0),0)+IFERROR(VLOOKUP(A380,#REF!,11,0),0)</f>
        <v>0</v>
      </c>
      <c r="K380" s="96" t="str">
        <f>"07.02.24"</f>
        <v>07.02.24</v>
      </c>
    </row>
    <row r="381" spans="1:11" ht="11.25" customHeight="1" outlineLevel="1">
      <c r="A381" s="89" t="n">
        <v>9715</v>
      </c>
      <c r="B381" s="114" t="s">
        <v>601</v>
      </c>
      <c r="C381" s="89" t="s">
        <v>612</v>
      </c>
      <c r="D381" s="89" t="s">
        <v>15</v>
      </c>
      <c r="E381" s="89" t="s">
        <v>613</v>
      </c>
      <c r="F381" s="102" t="n">
        <v>4373</v>
      </c>
      <c r="G381" s="102" t="n">
        <v>5903</v>
      </c>
      <c r="H381" s="103" t="s">
        <v>17</v>
      </c>
      <c r="I381" s="103">
        <f>IFERROR(VLOOKUP(A381,#REF!,15,0),0)+IFERROR(VLOOKUP(A381,#REF!,25,0),0)+IFERROR(VLOOKUP(A381,#REF!,10,0),0)+IFERROR(VLOOKUP(A381,#REF!,14,0),0)+IFERROR(VLOOKUP(A381,#REF!,10,0),0)+IFERROR(VLOOKUP(A381,#REF!,10,0),0)+IFERROR(VLOOKUP(A381,#REF!,10,0),0)+IFERROR(VLOOKUP(A381,#REF!,9,0),0)+IFERROR(VLOOKUP(A381,#REF!,9,0),0)+IFERROR(VLOOKUP(A381,#REF!,9,0),0)+IFERROR(VLOOKUP(A381,#REF!,9,0),0)</f>
        <v>0</v>
      </c>
      <c r="J381" s="104">
        <f>IFERROR(VLOOKUP(A381,#REF!,16,0),0)+IFERROR(VLOOKUP(A381,#REF!,26,0),0)+IFERROR(VLOOKUP(A381,#REF!,11,0),0)+IFERROR(VLOOKUP(A381,#REF!,23,0),0)+IFERROR(VLOOKUP(A381,#REF!,11,0),0)+IFERROR(VLOOKUP(A381,#REF!,11,0),0)+IFERROR(VLOOKUP(A381,#REF!,11,0),0)</f>
        <v>0</v>
      </c>
      <c r="K381" s="96" t="str">
        <f>"07.02.24"</f>
        <v>07.02.24</v>
      </c>
    </row>
    <row r="382" spans="1:11" ht="11.25" customHeight="1" outlineLevel="1">
      <c r="A382" s="89" t="n">
        <v>9716</v>
      </c>
      <c r="B382" s="114" t="s">
        <v>601</v>
      </c>
      <c r="C382" s="89" t="s">
        <v>614</v>
      </c>
      <c r="D382" s="89" t="s">
        <v>15</v>
      </c>
      <c r="E382" s="89" t="s">
        <v>615</v>
      </c>
      <c r="F382" s="102" t="n">
        <v>4373</v>
      </c>
      <c r="G382" s="102" t="n">
        <v>5903</v>
      </c>
      <c r="H382" s="103" t="s">
        <v>17</v>
      </c>
      <c r="I382" s="103">
        <f>IFERROR(VLOOKUP(A382,#REF!,15,0),0)+IFERROR(VLOOKUP(A382,#REF!,25,0),0)+IFERROR(VLOOKUP(A382,#REF!,10,0),0)+IFERROR(VLOOKUP(A382,#REF!,14,0),0)+IFERROR(VLOOKUP(A382,#REF!,10,0),0)+IFERROR(VLOOKUP(A382,#REF!,10,0),0)+IFERROR(VLOOKUP(A382,#REF!,10,0),0)+IFERROR(VLOOKUP(A382,#REF!,9,0),0)+IFERROR(VLOOKUP(A382,#REF!,9,0),0)+IFERROR(VLOOKUP(A382,#REF!,9,0),0)+IFERROR(VLOOKUP(A382,#REF!,9,0),0)</f>
        <v>0</v>
      </c>
      <c r="J382" s="104">
        <f>IFERROR(VLOOKUP(A382,#REF!,16,0),0)+IFERROR(VLOOKUP(A382,#REF!,26,0),0)+IFERROR(VLOOKUP(A382,#REF!,11,0),0)+IFERROR(VLOOKUP(A382,#REF!,23,0),0)+IFERROR(VLOOKUP(A382,#REF!,11,0),0)+IFERROR(VLOOKUP(A382,#REF!,11,0),0)+IFERROR(VLOOKUP(A382,#REF!,11,0),0)</f>
        <v>0</v>
      </c>
      <c r="K382" s="96" t="str">
        <f>"07.02.24"</f>
        <v>07.02.24</v>
      </c>
    </row>
    <row r="383" spans="1:11" ht="11.25" customHeight="1" outlineLevel="1">
      <c r="A383" s="89" t="n">
        <v>9717</v>
      </c>
      <c r="B383" s="114" t="s">
        <v>601</v>
      </c>
      <c r="C383" s="89" t="s">
        <v>616</v>
      </c>
      <c r="D383" s="89" t="s">
        <v>15</v>
      </c>
      <c r="E383" s="89" t="s">
        <v>617</v>
      </c>
      <c r="F383" s="102" t="n">
        <v>4373</v>
      </c>
      <c r="G383" s="102" t="n">
        <v>5903</v>
      </c>
      <c r="H383" s="103" t="s">
        <v>48</v>
      </c>
      <c r="I383" s="103">
        <f>IFERROR(VLOOKUP(A383,#REF!,15,0),0)+IFERROR(VLOOKUP(A383,#REF!,25,0),0)+IFERROR(VLOOKUP(A383,#REF!,10,0),0)+IFERROR(VLOOKUP(A383,#REF!,14,0),0)+IFERROR(VLOOKUP(A383,#REF!,10,0),0)+IFERROR(VLOOKUP(A383,#REF!,10,0),0)+IFERROR(VLOOKUP(A383,#REF!,10,0),0)+IFERROR(VLOOKUP(A383,#REF!,9,0),0)+IFERROR(VLOOKUP(A383,#REF!,9,0),0)+IFERROR(VLOOKUP(A383,#REF!,9,0),0)+IFERROR(VLOOKUP(A383,#REF!,9,0),0)</f>
        <v>0</v>
      </c>
      <c r="J383" s="104">
        <f>IFERROR(VLOOKUP(A383,#REF!,16,0),0)+IFERROR(VLOOKUP(A383,#REF!,26,0),0)+IFERROR(VLOOKUP(A383,#REF!,11,0),0)+IFERROR(VLOOKUP(A383,#REF!,23,0),0)+IFERROR(VLOOKUP(A383,#REF!,11,0),0)+IFERROR(VLOOKUP(A383,#REF!,11,0),0)+IFERROR(VLOOKUP(A383,#REF!,11,0),0)</f>
        <v>0</v>
      </c>
      <c r="K383" s="96" t="str">
        <f>"07.02.24"</f>
        <v>07.02.24</v>
      </c>
    </row>
    <row r="384" spans="1:11" ht="11.25" customHeight="1" outlineLevel="1">
      <c r="A384" s="89" t="n">
        <v>9718</v>
      </c>
      <c r="B384" s="114" t="s">
        <v>601</v>
      </c>
      <c r="C384" s="89" t="s">
        <v>618</v>
      </c>
      <c r="D384" s="89" t="s">
        <v>15</v>
      </c>
      <c r="E384" s="89" t="s">
        <v>619</v>
      </c>
      <c r="F384" s="102" t="n">
        <v>4373</v>
      </c>
      <c r="G384" s="102" t="n">
        <v>5903</v>
      </c>
      <c r="H384" s="103" t="s">
        <v>17</v>
      </c>
      <c r="I384" s="103">
        <f>IFERROR(VLOOKUP(A384,#REF!,15,0),0)+IFERROR(VLOOKUP(A384,#REF!,25,0),0)+IFERROR(VLOOKUP(A384,#REF!,10,0),0)+IFERROR(VLOOKUP(A384,#REF!,14,0),0)+IFERROR(VLOOKUP(A384,#REF!,10,0),0)+IFERROR(VLOOKUP(A384,#REF!,10,0),0)+IFERROR(VLOOKUP(A384,#REF!,10,0),0)+IFERROR(VLOOKUP(A384,#REF!,9,0),0)+IFERROR(VLOOKUP(A384,#REF!,9,0),0)+IFERROR(VLOOKUP(A384,#REF!,9,0),0)+IFERROR(VLOOKUP(A384,#REF!,9,0),0)</f>
        <v>0</v>
      </c>
      <c r="J384" s="104">
        <f>IFERROR(VLOOKUP(A384,#REF!,16,0),0)+IFERROR(VLOOKUP(A384,#REF!,26,0),0)+IFERROR(VLOOKUP(A384,#REF!,11,0),0)+IFERROR(VLOOKUP(A384,#REF!,23,0),0)+IFERROR(VLOOKUP(A384,#REF!,11,0),0)+IFERROR(VLOOKUP(A384,#REF!,11,0),0)+IFERROR(VLOOKUP(A384,#REF!,11,0),0)</f>
        <v>0</v>
      </c>
      <c r="K384" s="96" t="str">
        <f>"07.02.24"</f>
        <v>07.02.24</v>
      </c>
    </row>
    <row r="385" spans="1:11" ht="11.25" customHeight="1" outlineLevel="1">
      <c r="A385" s="89" t="n">
        <v>9719</v>
      </c>
      <c r="B385" s="114" t="s">
        <v>601</v>
      </c>
      <c r="C385" s="89" t="s">
        <v>620</v>
      </c>
      <c r="D385" s="89" t="s">
        <v>15</v>
      </c>
      <c r="E385" s="89" t="s">
        <v>621</v>
      </c>
      <c r="F385" s="102" t="n">
        <v>4373</v>
      </c>
      <c r="G385" s="102" t="n">
        <v>5903</v>
      </c>
      <c r="H385" s="103" t="s">
        <v>17</v>
      </c>
      <c r="I385" s="103">
        <f>IFERROR(VLOOKUP(A385,#REF!,15,0),0)+IFERROR(VLOOKUP(A385,#REF!,25,0),0)+IFERROR(VLOOKUP(A385,#REF!,10,0),0)+IFERROR(VLOOKUP(A385,#REF!,14,0),0)+IFERROR(VLOOKUP(A385,#REF!,10,0),0)+IFERROR(VLOOKUP(A385,#REF!,10,0),0)+IFERROR(VLOOKUP(A385,#REF!,10,0),0)+IFERROR(VLOOKUP(A385,#REF!,9,0),0)+IFERROR(VLOOKUP(A385,#REF!,9,0),0)+IFERROR(VLOOKUP(A385,#REF!,9,0),0)+IFERROR(VLOOKUP(A385,#REF!,9,0),0)</f>
        <v>0</v>
      </c>
      <c r="J385" s="104">
        <f>IFERROR(VLOOKUP(A385,#REF!,16,0),0)+IFERROR(VLOOKUP(A385,#REF!,26,0),0)+IFERROR(VLOOKUP(A385,#REF!,11,0),0)+IFERROR(VLOOKUP(A385,#REF!,23,0),0)+IFERROR(VLOOKUP(A385,#REF!,11,0),0)+IFERROR(VLOOKUP(A385,#REF!,11,0),0)+IFERROR(VLOOKUP(A385,#REF!,11,0),0)</f>
        <v>0</v>
      </c>
      <c r="K385" s="96" t="str">
        <f>"07.02.24"</f>
        <v>07.02.24</v>
      </c>
    </row>
    <row r="386" spans="1:11" ht="11.25" customHeight="1" outlineLevel="1">
      <c r="A386" s="89" t="n">
        <v>47900</v>
      </c>
      <c r="B386" s="114" t="s">
        <v>601</v>
      </c>
      <c r="C386" s="89" t="s">
        <v>622</v>
      </c>
      <c r="D386" s="89" t="s">
        <v>15</v>
      </c>
      <c r="E386" s="89" t="s">
        <v>623</v>
      </c>
      <c r="F386" s="102" t="n">
        <v>5397</v>
      </c>
      <c r="G386" s="102" t="n">
        <v>7286</v>
      </c>
      <c r="H386" s="103" t="s">
        <v>17</v>
      </c>
      <c r="I386" s="103">
        <f>IFERROR(VLOOKUP(A386,#REF!,15,0),0)+IFERROR(VLOOKUP(A386,#REF!,25,0),0)+IFERROR(VLOOKUP(A386,#REF!,10,0),0)+IFERROR(VLOOKUP(A386,#REF!,14,0),0)+IFERROR(VLOOKUP(A386,#REF!,10,0),0)+IFERROR(VLOOKUP(A386,#REF!,10,0),0)+IFERROR(VLOOKUP(A386,#REF!,10,0),0)+IFERROR(VLOOKUP(A386,#REF!,9,0),0)+IFERROR(VLOOKUP(A386,#REF!,9,0),0)+IFERROR(VLOOKUP(A386,#REF!,9,0),0)+IFERROR(VLOOKUP(A386,#REF!,9,0),0)</f>
        <v>0</v>
      </c>
      <c r="J386" s="104">
        <f>IFERROR(VLOOKUP(A386,#REF!,16,0),0)+IFERROR(VLOOKUP(A386,#REF!,26,0),0)+IFERROR(VLOOKUP(A386,#REF!,11,0),0)+IFERROR(VLOOKUP(A386,#REF!,23,0),0)+IFERROR(VLOOKUP(A386,#REF!,11,0),0)+IFERROR(VLOOKUP(A386,#REF!,11,0),0)+IFERROR(VLOOKUP(A386,#REF!,11,0),0)</f>
        <v>0</v>
      </c>
      <c r="K386" s="96" t="str">
        <f>"07.02.24"</f>
        <v>07.02.24</v>
      </c>
    </row>
    <row r="387" spans="1:11" ht="11.25" customHeight="1" outlineLevel="1">
      <c r="A387" s="89" t="n">
        <v>24456</v>
      </c>
      <c r="B387" s="114" t="s">
        <v>601</v>
      </c>
      <c r="C387" s="89" t="s">
        <v>624</v>
      </c>
      <c r="D387" s="89" t="s">
        <v>15</v>
      </c>
      <c r="E387" s="89" t="s">
        <v>613</v>
      </c>
      <c r="F387" s="102" t="n">
        <v>4708</v>
      </c>
      <c r="G387" s="102" t="n">
        <v>6356</v>
      </c>
      <c r="H387" s="103" t="s">
        <v>17</v>
      </c>
      <c r="I387" s="103">
        <f>IFERROR(VLOOKUP(A387,#REF!,15,0),0)+IFERROR(VLOOKUP(A387,#REF!,25,0),0)+IFERROR(VLOOKUP(A387,#REF!,10,0),0)+IFERROR(VLOOKUP(A387,#REF!,14,0),0)+IFERROR(VLOOKUP(A387,#REF!,10,0),0)+IFERROR(VLOOKUP(A387,#REF!,10,0),0)+IFERROR(VLOOKUP(A387,#REF!,10,0),0)+IFERROR(VLOOKUP(A387,#REF!,9,0),0)+IFERROR(VLOOKUP(A387,#REF!,9,0),0)+IFERROR(VLOOKUP(A387,#REF!,9,0),0)+IFERROR(VLOOKUP(A387,#REF!,9,0),0)</f>
        <v>0</v>
      </c>
      <c r="J387" s="104">
        <f>IFERROR(VLOOKUP(A387,#REF!,16,0),0)+IFERROR(VLOOKUP(A387,#REF!,26,0),0)+IFERROR(VLOOKUP(A387,#REF!,11,0),0)+IFERROR(VLOOKUP(A387,#REF!,23,0),0)+IFERROR(VLOOKUP(A387,#REF!,11,0),0)+IFERROR(VLOOKUP(A387,#REF!,11,0),0)+IFERROR(VLOOKUP(A387,#REF!,11,0),0)</f>
        <v>0</v>
      </c>
      <c r="K387" s="96" t="str">
        <f>"07.02.24"</f>
        <v>07.02.24</v>
      </c>
    </row>
    <row r="388" spans="1:11" ht="11.25" customHeight="1" outlineLevel="1">
      <c r="A388" s="89" t="n">
        <v>24457</v>
      </c>
      <c r="B388" s="114" t="s">
        <v>601</v>
      </c>
      <c r="C388" s="89" t="s">
        <v>625</v>
      </c>
      <c r="D388" s="89" t="s">
        <v>15</v>
      </c>
      <c r="E388" s="89" t="s">
        <v>615</v>
      </c>
      <c r="F388" s="102" t="n">
        <v>4705</v>
      </c>
      <c r="G388" s="102" t="n">
        <v>6352</v>
      </c>
      <c r="H388" s="103" t="s">
        <v>48</v>
      </c>
      <c r="I388" s="103">
        <f>IFERROR(VLOOKUP(A388,#REF!,15,0),0)+IFERROR(VLOOKUP(A388,#REF!,25,0),0)+IFERROR(VLOOKUP(A388,#REF!,10,0),0)+IFERROR(VLOOKUP(A388,#REF!,14,0),0)+IFERROR(VLOOKUP(A388,#REF!,10,0),0)+IFERROR(VLOOKUP(A388,#REF!,10,0),0)+IFERROR(VLOOKUP(A388,#REF!,10,0),0)+IFERROR(VLOOKUP(A388,#REF!,9,0),0)+IFERROR(VLOOKUP(A388,#REF!,9,0),0)+IFERROR(VLOOKUP(A388,#REF!,9,0),0)+IFERROR(VLOOKUP(A388,#REF!,9,0),0)</f>
        <v>0</v>
      </c>
      <c r="J388" s="104">
        <f>IFERROR(VLOOKUP(A388,#REF!,16,0),0)+IFERROR(VLOOKUP(A388,#REF!,26,0),0)+IFERROR(VLOOKUP(A388,#REF!,11,0),0)+IFERROR(VLOOKUP(A388,#REF!,23,0),0)+IFERROR(VLOOKUP(A388,#REF!,11,0),0)+IFERROR(VLOOKUP(A388,#REF!,11,0),0)+IFERROR(VLOOKUP(A388,#REF!,11,0),0)</f>
        <v>0</v>
      </c>
      <c r="K388" s="96" t="str">
        <f>"07.02.24"</f>
        <v>07.02.24</v>
      </c>
    </row>
    <row r="389" spans="1:11" ht="11.25" customHeight="1" outlineLevel="1">
      <c r="A389" s="89" t="n">
        <v>9722</v>
      </c>
      <c r="B389" s="114" t="s">
        <v>601</v>
      </c>
      <c r="C389" s="89" t="s">
        <v>626</v>
      </c>
      <c r="D389" s="89" t="s">
        <v>15</v>
      </c>
      <c r="E389" s="89" t="s">
        <v>627</v>
      </c>
      <c r="F389" s="102" t="n">
        <v>3969</v>
      </c>
      <c r="G389" s="102" t="n">
        <v>5359</v>
      </c>
      <c r="H389" s="103" t="s">
        <v>17</v>
      </c>
      <c r="I389" s="103">
        <f>IFERROR(VLOOKUP(A389,#REF!,15,0),0)+IFERROR(VLOOKUP(A389,#REF!,25,0),0)+IFERROR(VLOOKUP(A389,#REF!,10,0),0)+IFERROR(VLOOKUP(A389,#REF!,14,0),0)+IFERROR(VLOOKUP(A389,#REF!,10,0),0)+IFERROR(VLOOKUP(A389,#REF!,10,0),0)+IFERROR(VLOOKUP(A389,#REF!,10,0),0)+IFERROR(VLOOKUP(A389,#REF!,9,0),0)+IFERROR(VLOOKUP(A389,#REF!,9,0),0)+IFERROR(VLOOKUP(A389,#REF!,9,0),0)+IFERROR(VLOOKUP(A389,#REF!,9,0),0)</f>
        <v>0</v>
      </c>
      <c r="J389" s="104">
        <f>IFERROR(VLOOKUP(A389,#REF!,16,0),0)+IFERROR(VLOOKUP(A389,#REF!,26,0),0)+IFERROR(VLOOKUP(A389,#REF!,11,0),0)+IFERROR(VLOOKUP(A389,#REF!,23,0),0)+IFERROR(VLOOKUP(A389,#REF!,11,0),0)+IFERROR(VLOOKUP(A389,#REF!,11,0),0)+IFERROR(VLOOKUP(A389,#REF!,11,0),0)</f>
        <v>0</v>
      </c>
      <c r="K389" s="96" t="str">
        <f>"07.02.24"</f>
        <v>07.02.24</v>
      </c>
    </row>
    <row r="390" spans="1:11" ht="11.25" customHeight="1" outlineLevel="1">
      <c r="A390" s="89" t="n">
        <v>24458</v>
      </c>
      <c r="B390" s="114" t="s">
        <v>601</v>
      </c>
      <c r="C390" s="89" t="s">
        <v>628</v>
      </c>
      <c r="D390" s="89" t="s">
        <v>15</v>
      </c>
      <c r="E390" s="89" t="s">
        <v>617</v>
      </c>
      <c r="F390" s="102" t="n">
        <v>4705</v>
      </c>
      <c r="G390" s="102" t="n">
        <v>6352</v>
      </c>
      <c r="H390" s="103" t="s">
        <v>17</v>
      </c>
      <c r="I390" s="103">
        <f>IFERROR(VLOOKUP(A390,#REF!,15,0),0)+IFERROR(VLOOKUP(A390,#REF!,25,0),0)+IFERROR(VLOOKUP(A390,#REF!,10,0),0)+IFERROR(VLOOKUP(A390,#REF!,14,0),0)+IFERROR(VLOOKUP(A390,#REF!,10,0),0)+IFERROR(VLOOKUP(A390,#REF!,10,0),0)+IFERROR(VLOOKUP(A390,#REF!,10,0),0)+IFERROR(VLOOKUP(A390,#REF!,9,0),0)+IFERROR(VLOOKUP(A390,#REF!,9,0),0)+IFERROR(VLOOKUP(A390,#REF!,9,0),0)+IFERROR(VLOOKUP(A390,#REF!,9,0),0)</f>
        <v>0</v>
      </c>
      <c r="J390" s="104">
        <f>IFERROR(VLOOKUP(A390,#REF!,16,0),0)+IFERROR(VLOOKUP(A390,#REF!,26,0),0)+IFERROR(VLOOKUP(A390,#REF!,11,0),0)+IFERROR(VLOOKUP(A390,#REF!,23,0),0)+IFERROR(VLOOKUP(A390,#REF!,11,0),0)+IFERROR(VLOOKUP(A390,#REF!,11,0),0)+IFERROR(VLOOKUP(A390,#REF!,11,0),0)</f>
        <v>0</v>
      </c>
      <c r="K390" s="96" t="str">
        <f>"07.02.24"</f>
        <v>07.02.24</v>
      </c>
    </row>
    <row r="391" spans="1:11" ht="11.25" customHeight="1" outlineLevel="1">
      <c r="A391" s="89" t="n">
        <v>24459</v>
      </c>
      <c r="B391" s="114" t="s">
        <v>601</v>
      </c>
      <c r="C391" s="89" t="s">
        <v>629</v>
      </c>
      <c r="D391" s="89" t="s">
        <v>15</v>
      </c>
      <c r="E391" s="89" t="s">
        <v>619</v>
      </c>
      <c r="F391" s="102" t="n">
        <v>4705</v>
      </c>
      <c r="G391" s="102" t="n">
        <v>6352</v>
      </c>
      <c r="H391" s="103" t="s">
        <v>48</v>
      </c>
      <c r="I391" s="103">
        <f>IFERROR(VLOOKUP(A391,#REF!,15,0),0)+IFERROR(VLOOKUP(A391,#REF!,25,0),0)+IFERROR(VLOOKUP(A391,#REF!,10,0),0)+IFERROR(VLOOKUP(A391,#REF!,14,0),0)+IFERROR(VLOOKUP(A391,#REF!,10,0),0)+IFERROR(VLOOKUP(A391,#REF!,10,0),0)+IFERROR(VLOOKUP(A391,#REF!,10,0),0)+IFERROR(VLOOKUP(A391,#REF!,9,0),0)+IFERROR(VLOOKUP(A391,#REF!,9,0),0)+IFERROR(VLOOKUP(A391,#REF!,9,0),0)+IFERROR(VLOOKUP(A391,#REF!,9,0),0)</f>
        <v>0</v>
      </c>
      <c r="J391" s="104">
        <f>IFERROR(VLOOKUP(A391,#REF!,16,0),0)+IFERROR(VLOOKUP(A391,#REF!,26,0),0)+IFERROR(VLOOKUP(A391,#REF!,11,0),0)+IFERROR(VLOOKUP(A391,#REF!,23,0),0)+IFERROR(VLOOKUP(A391,#REF!,11,0),0)+IFERROR(VLOOKUP(A391,#REF!,11,0),0)+IFERROR(VLOOKUP(A391,#REF!,11,0),0)</f>
        <v>0</v>
      </c>
      <c r="K391" s="96" t="str">
        <f>"07.02.24"</f>
        <v>07.02.24</v>
      </c>
    </row>
    <row r="392" spans="1:11" ht="11.25" customHeight="1" outlineLevel="1">
      <c r="A392" s="89" t="n">
        <v>24460</v>
      </c>
      <c r="B392" s="114" t="s">
        <v>601</v>
      </c>
      <c r="C392" s="89" t="s">
        <v>630</v>
      </c>
      <c r="D392" s="89" t="s">
        <v>15</v>
      </c>
      <c r="E392" s="89" t="s">
        <v>621</v>
      </c>
      <c r="F392" s="102" t="n">
        <v>4705</v>
      </c>
      <c r="G392" s="102" t="n">
        <v>6352</v>
      </c>
      <c r="H392" s="103" t="s">
        <v>17</v>
      </c>
      <c r="I392" s="103">
        <f>IFERROR(VLOOKUP(A392,#REF!,15,0),0)+IFERROR(VLOOKUP(A392,#REF!,25,0),0)+IFERROR(VLOOKUP(A392,#REF!,10,0),0)+IFERROR(VLOOKUP(A392,#REF!,14,0),0)+IFERROR(VLOOKUP(A392,#REF!,10,0),0)+IFERROR(VLOOKUP(A392,#REF!,10,0),0)+IFERROR(VLOOKUP(A392,#REF!,10,0),0)+IFERROR(VLOOKUP(A392,#REF!,9,0),0)+IFERROR(VLOOKUP(A392,#REF!,9,0),0)+IFERROR(VLOOKUP(A392,#REF!,9,0),0)+IFERROR(VLOOKUP(A392,#REF!,9,0),0)</f>
        <v>0</v>
      </c>
      <c r="J392" s="104">
        <f>IFERROR(VLOOKUP(A392,#REF!,16,0),0)+IFERROR(VLOOKUP(A392,#REF!,26,0),0)+IFERROR(VLOOKUP(A392,#REF!,11,0),0)+IFERROR(VLOOKUP(A392,#REF!,23,0),0)+IFERROR(VLOOKUP(A392,#REF!,11,0),0)+IFERROR(VLOOKUP(A392,#REF!,11,0),0)+IFERROR(VLOOKUP(A392,#REF!,11,0),0)</f>
        <v>0</v>
      </c>
      <c r="K392" s="96" t="str">
        <f>"07.02.24"</f>
        <v>07.02.24</v>
      </c>
    </row>
    <row r="393" spans="1:11" ht="11.25" customHeight="1" outlineLevel="1">
      <c r="A393" s="89" t="n">
        <v>15819</v>
      </c>
      <c r="B393" s="114" t="s">
        <v>601</v>
      </c>
      <c r="C393" s="89" t="s">
        <v>631</v>
      </c>
      <c r="D393" s="89" t="s">
        <v>15</v>
      </c>
      <c r="E393" s="89" t="s">
        <v>632</v>
      </c>
      <c r="F393" s="102" t="n">
        <v>3880</v>
      </c>
      <c r="G393" s="102" t="n">
        <v>5238</v>
      </c>
      <c r="H393" s="103" t="s">
        <v>17</v>
      </c>
      <c r="I393" s="103">
        <f>IFERROR(VLOOKUP(A393,#REF!,15,0),0)+IFERROR(VLOOKUP(A393,#REF!,25,0),0)+IFERROR(VLOOKUP(A393,#REF!,10,0),0)+IFERROR(VLOOKUP(A393,#REF!,14,0),0)+IFERROR(VLOOKUP(A393,#REF!,10,0),0)+IFERROR(VLOOKUP(A393,#REF!,10,0),0)+IFERROR(VLOOKUP(A393,#REF!,10,0),0)+IFERROR(VLOOKUP(A393,#REF!,9,0),0)+IFERROR(VLOOKUP(A393,#REF!,9,0),0)+IFERROR(VLOOKUP(A393,#REF!,9,0),0)+IFERROR(VLOOKUP(A393,#REF!,9,0),0)</f>
        <v>0</v>
      </c>
      <c r="J393" s="104">
        <f>IFERROR(VLOOKUP(A393,#REF!,16,0),0)+IFERROR(VLOOKUP(A393,#REF!,26,0),0)+IFERROR(VLOOKUP(A393,#REF!,11,0),0)+IFERROR(VLOOKUP(A393,#REF!,23,0),0)+IFERROR(VLOOKUP(A393,#REF!,11,0),0)+IFERROR(VLOOKUP(A393,#REF!,11,0),0)+IFERROR(VLOOKUP(A393,#REF!,11,0),0)</f>
        <v>0</v>
      </c>
      <c r="K393" s="96" t="str">
        <f>"07.02.24"</f>
        <v>07.02.24</v>
      </c>
    </row>
    <row r="394" spans="1:11" ht="11.25" customHeight="1" outlineLevel="1">
      <c r="A394" s="89" t="n">
        <v>37314</v>
      </c>
      <c r="B394" s="114" t="s">
        <v>601</v>
      </c>
      <c r="C394" s="89" t="s">
        <v>633</v>
      </c>
      <c r="D394" s="89" t="s">
        <v>15</v>
      </c>
      <c r="E394" s="89" t="s">
        <v>634</v>
      </c>
      <c r="F394" s="102" t="n">
        <v>5585</v>
      </c>
      <c r="G394" s="102" t="n">
        <v>7260</v>
      </c>
      <c r="H394" s="103" t="s">
        <v>17</v>
      </c>
      <c r="I394" s="103">
        <f>IFERROR(VLOOKUP(A394,#REF!,15,0),0)+IFERROR(VLOOKUP(A394,#REF!,25,0),0)+IFERROR(VLOOKUP(A394,#REF!,10,0),0)+IFERROR(VLOOKUP(A394,#REF!,14,0),0)+IFERROR(VLOOKUP(A394,#REF!,10,0),0)+IFERROR(VLOOKUP(A394,#REF!,10,0),0)+IFERROR(VLOOKUP(A394,#REF!,10,0),0)+IFERROR(VLOOKUP(A394,#REF!,9,0),0)+IFERROR(VLOOKUP(A394,#REF!,9,0),0)+IFERROR(VLOOKUP(A394,#REF!,9,0),0)+IFERROR(VLOOKUP(A394,#REF!,9,0),0)</f>
        <v>0</v>
      </c>
      <c r="J394" s="104">
        <f>IFERROR(VLOOKUP(A394,#REF!,16,0),0)+IFERROR(VLOOKUP(A394,#REF!,26,0),0)+IFERROR(VLOOKUP(A394,#REF!,11,0),0)+IFERROR(VLOOKUP(A394,#REF!,23,0),0)+IFERROR(VLOOKUP(A394,#REF!,11,0),0)+IFERROR(VLOOKUP(A394,#REF!,11,0),0)+IFERROR(VLOOKUP(A394,#REF!,11,0),0)</f>
        <v>0</v>
      </c>
      <c r="K394" s="96" t="str">
        <f>"07.02.24"</f>
        <v>07.02.24</v>
      </c>
    </row>
    <row r="395" spans="1:11" ht="11.25" customHeight="1" outlineLevel="1">
      <c r="A395" s="89" t="n">
        <v>451540</v>
      </c>
      <c r="B395" s="114" t="s">
        <v>601</v>
      </c>
      <c r="C395" s="89" t="s">
        <v>635</v>
      </c>
      <c r="D395" s="89" t="s">
        <v>15</v>
      </c>
      <c r="E395" s="89" t="s">
        <v>636</v>
      </c>
      <c r="F395" s="102" t="n">
        <v>1023</v>
      </c>
      <c r="G395" s="102" t="n">
        <v>1383</v>
      </c>
      <c r="H395" s="103" t="s">
        <v>48</v>
      </c>
      <c r="I395" s="103">
        <f>IFERROR(VLOOKUP(A395,#REF!,15,0),0)+IFERROR(VLOOKUP(A395,#REF!,25,0),0)+IFERROR(VLOOKUP(A395,#REF!,10,0),0)+IFERROR(VLOOKUP(A395,#REF!,14,0),0)+IFERROR(VLOOKUP(A395,#REF!,10,0),0)+IFERROR(VLOOKUP(A395,#REF!,10,0),0)+IFERROR(VLOOKUP(A395,#REF!,10,0),0)+IFERROR(VLOOKUP(A395,#REF!,9,0),0)+IFERROR(VLOOKUP(A395,#REF!,9,0),0)+IFERROR(VLOOKUP(A395,#REF!,9,0),0)+IFERROR(VLOOKUP(A395,#REF!,9,0),0)</f>
        <v>0</v>
      </c>
      <c r="J395" s="104">
        <f>IFERROR(VLOOKUP(A395,#REF!,16,0),0)+IFERROR(VLOOKUP(A395,#REF!,26,0),0)+IFERROR(VLOOKUP(A395,#REF!,11,0),0)+IFERROR(VLOOKUP(A395,#REF!,23,0),0)+IFERROR(VLOOKUP(A395,#REF!,11,0),0)+IFERROR(VLOOKUP(A395,#REF!,11,0),0)+IFERROR(VLOOKUP(A395,#REF!,11,0),0)</f>
        <v>0</v>
      </c>
      <c r="K395" s="96" t="str">
        <f>"07.02.24"</f>
        <v>07.02.24</v>
      </c>
    </row>
    <row r="396" spans="1:11" ht="11.25" customHeight="1" outlineLevel="1">
      <c r="A396" s="89" t="n">
        <v>4166770</v>
      </c>
      <c r="B396" s="114" t="s">
        <v>601</v>
      </c>
      <c r="C396" s="89" t="s">
        <v>637</v>
      </c>
      <c r="D396" s="89" t="s">
        <v>15</v>
      </c>
      <c r="E396" s="89"/>
      <c r="F396" s="102" t="n">
        <v>7918</v>
      </c>
      <c r="G396" s="102" t="n">
        <v>10689</v>
      </c>
      <c r="H396" s="103" t="s">
        <v>17</v>
      </c>
      <c r="I396" s="103">
        <f>IFERROR(VLOOKUP(A396,#REF!,15,0),0)+IFERROR(VLOOKUP(A396,#REF!,25,0),0)+IFERROR(VLOOKUP(A396,#REF!,10,0),0)+IFERROR(VLOOKUP(A396,#REF!,14,0),0)+IFERROR(VLOOKUP(A396,#REF!,10,0),0)+IFERROR(VLOOKUP(A396,#REF!,10,0),0)+IFERROR(VLOOKUP(A396,#REF!,10,0),0)+IFERROR(VLOOKUP(A396,#REF!,9,0),0)+IFERROR(VLOOKUP(A396,#REF!,9,0),0)+IFERROR(VLOOKUP(A396,#REF!,9,0),0)+IFERROR(VLOOKUP(A396,#REF!,9,0),0)</f>
        <v>0</v>
      </c>
      <c r="J396" s="104">
        <f>IFERROR(VLOOKUP(A396,#REF!,16,0),0)+IFERROR(VLOOKUP(A396,#REF!,26,0),0)+IFERROR(VLOOKUP(A396,#REF!,11,0),0)+IFERROR(VLOOKUP(A396,#REF!,23,0),0)+IFERROR(VLOOKUP(A396,#REF!,11,0),0)+IFERROR(VLOOKUP(A396,#REF!,11,0),0)+IFERROR(VLOOKUP(A396,#REF!,11,0),0)</f>
        <v>0</v>
      </c>
      <c r="K396" s="96" t="str">
        <f>"07.02.24"</f>
        <v>07.02.24</v>
      </c>
    </row>
    <row r="397" spans="1:11" ht="11.25" customHeight="1" outlineLevel="1">
      <c r="A397" s="89" t="n">
        <v>13029</v>
      </c>
      <c r="B397" s="114" t="s">
        <v>601</v>
      </c>
      <c r="C397" s="89" t="s">
        <v>638</v>
      </c>
      <c r="D397" s="89" t="s">
        <v>15</v>
      </c>
      <c r="E397" s="89" t="s">
        <v>639</v>
      </c>
      <c r="F397" s="102" t="n">
        <v>13443</v>
      </c>
      <c r="G397" s="102" t="n">
        <v>18148</v>
      </c>
      <c r="H397" s="103" t="s">
        <v>17</v>
      </c>
      <c r="I397" s="103">
        <f>IFERROR(VLOOKUP(A397,#REF!,15,0),0)+IFERROR(VLOOKUP(A397,#REF!,25,0),0)+IFERROR(VLOOKUP(A397,#REF!,10,0),0)+IFERROR(VLOOKUP(A397,#REF!,14,0),0)+IFERROR(VLOOKUP(A397,#REF!,10,0),0)+IFERROR(VLOOKUP(A397,#REF!,10,0),0)+IFERROR(VLOOKUP(A397,#REF!,10,0),0)+IFERROR(VLOOKUP(A397,#REF!,9,0),0)+IFERROR(VLOOKUP(A397,#REF!,9,0),0)+IFERROR(VLOOKUP(A397,#REF!,9,0),0)+IFERROR(VLOOKUP(A397,#REF!,9,0),0)</f>
        <v>0</v>
      </c>
      <c r="J397" s="104">
        <f>IFERROR(VLOOKUP(A397,#REF!,16,0),0)+IFERROR(VLOOKUP(A397,#REF!,26,0),0)+IFERROR(VLOOKUP(A397,#REF!,11,0),0)+IFERROR(VLOOKUP(A397,#REF!,23,0),0)+IFERROR(VLOOKUP(A397,#REF!,11,0),0)+IFERROR(VLOOKUP(A397,#REF!,11,0),0)+IFERROR(VLOOKUP(A397,#REF!,11,0),0)</f>
        <v>0</v>
      </c>
      <c r="K397" s="96" t="str">
        <f>"07.02.24"</f>
        <v>07.02.24</v>
      </c>
    </row>
    <row r="398" spans="1:11" ht="11.25" customHeight="1" outlineLevel="1">
      <c r="A398" s="89" t="n">
        <v>26553</v>
      </c>
      <c r="B398" s="114" t="s">
        <v>601</v>
      </c>
      <c r="C398" s="89" t="s">
        <v>640</v>
      </c>
      <c r="D398" s="89" t="s">
        <v>15</v>
      </c>
      <c r="E398" s="89" t="s">
        <v>641</v>
      </c>
      <c r="F398" s="102" t="n">
        <v>16044</v>
      </c>
      <c r="G398" s="102" t="n">
        <v>21659</v>
      </c>
      <c r="H398" s="103" t="s">
        <v>17</v>
      </c>
      <c r="I398" s="103">
        <f>IFERROR(VLOOKUP(A398,#REF!,15,0),0)+IFERROR(VLOOKUP(A398,#REF!,25,0),0)+IFERROR(VLOOKUP(A398,#REF!,10,0),0)+IFERROR(VLOOKUP(A398,#REF!,14,0),0)+IFERROR(VLOOKUP(A398,#REF!,10,0),0)+IFERROR(VLOOKUP(A398,#REF!,10,0),0)+IFERROR(VLOOKUP(A398,#REF!,10,0),0)+IFERROR(VLOOKUP(A398,#REF!,9,0),0)+IFERROR(VLOOKUP(A398,#REF!,9,0),0)+IFERROR(VLOOKUP(A398,#REF!,9,0),0)+IFERROR(VLOOKUP(A398,#REF!,9,0),0)</f>
        <v>0</v>
      </c>
      <c r="J398" s="104">
        <f>IFERROR(VLOOKUP(A398,#REF!,16,0),0)+IFERROR(VLOOKUP(A398,#REF!,26,0),0)+IFERROR(VLOOKUP(A398,#REF!,11,0),0)+IFERROR(VLOOKUP(A398,#REF!,23,0),0)+IFERROR(VLOOKUP(A398,#REF!,11,0),0)+IFERROR(VLOOKUP(A398,#REF!,11,0),0)+IFERROR(VLOOKUP(A398,#REF!,11,0),0)</f>
        <v>0</v>
      </c>
      <c r="K398" s="96" t="str">
        <f>"07.02.24"</f>
        <v>07.02.24</v>
      </c>
    </row>
    <row r="399" spans="1:11" ht="11.25" customHeight="1" outlineLevel="1">
      <c r="A399" s="89" t="n">
        <v>26552</v>
      </c>
      <c r="B399" s="114" t="s">
        <v>601</v>
      </c>
      <c r="C399" s="89" t="s">
        <v>642</v>
      </c>
      <c r="D399" s="89" t="s">
        <v>15</v>
      </c>
      <c r="E399" s="89" t="s">
        <v>643</v>
      </c>
      <c r="F399" s="102" t="n">
        <v>20859</v>
      </c>
      <c r="G399" s="102" t="n">
        <v>28159</v>
      </c>
      <c r="H399" s="103" t="s">
        <v>17</v>
      </c>
      <c r="I399" s="103">
        <f>IFERROR(VLOOKUP(A399,#REF!,15,0),0)+IFERROR(VLOOKUP(A399,#REF!,25,0),0)+IFERROR(VLOOKUP(A399,#REF!,10,0),0)+IFERROR(VLOOKUP(A399,#REF!,14,0),0)+IFERROR(VLOOKUP(A399,#REF!,10,0),0)+IFERROR(VLOOKUP(A399,#REF!,10,0),0)+IFERROR(VLOOKUP(A399,#REF!,10,0),0)+IFERROR(VLOOKUP(A399,#REF!,9,0),0)+IFERROR(VLOOKUP(A399,#REF!,9,0),0)+IFERROR(VLOOKUP(A399,#REF!,9,0),0)+IFERROR(VLOOKUP(A399,#REF!,9,0),0)</f>
        <v>0</v>
      </c>
      <c r="J399" s="104">
        <f>IFERROR(VLOOKUP(A399,#REF!,16,0),0)+IFERROR(VLOOKUP(A399,#REF!,26,0),0)+IFERROR(VLOOKUP(A399,#REF!,11,0),0)+IFERROR(VLOOKUP(A399,#REF!,23,0),0)+IFERROR(VLOOKUP(A399,#REF!,11,0),0)+IFERROR(VLOOKUP(A399,#REF!,11,0),0)+IFERROR(VLOOKUP(A399,#REF!,11,0),0)</f>
        <v>0</v>
      </c>
      <c r="K399" s="96" t="str">
        <f>"07.02.24"</f>
        <v>07.02.24</v>
      </c>
    </row>
    <row r="400" spans="1:11" ht="11.25" customHeight="1" outlineLevel="1">
      <c r="A400" s="89" t="n">
        <v>9732</v>
      </c>
      <c r="B400" s="114" t="s">
        <v>601</v>
      </c>
      <c r="C400" s="89" t="s">
        <v>644</v>
      </c>
      <c r="D400" s="89" t="s">
        <v>15</v>
      </c>
      <c r="E400" s="89" t="s">
        <v>645</v>
      </c>
      <c r="F400" s="102" t="n">
        <v>17597</v>
      </c>
      <c r="G400" s="102" t="n">
        <v>23755</v>
      </c>
      <c r="H400" s="103" t="s">
        <v>17</v>
      </c>
      <c r="I400" s="103">
        <f>IFERROR(VLOOKUP(A400,#REF!,15,0),0)+IFERROR(VLOOKUP(A400,#REF!,25,0),0)+IFERROR(VLOOKUP(A400,#REF!,10,0),0)+IFERROR(VLOOKUP(A400,#REF!,14,0),0)+IFERROR(VLOOKUP(A400,#REF!,10,0),0)+IFERROR(VLOOKUP(A400,#REF!,10,0),0)+IFERROR(VLOOKUP(A400,#REF!,10,0),0)+IFERROR(VLOOKUP(A400,#REF!,9,0),0)+IFERROR(VLOOKUP(A400,#REF!,9,0),0)+IFERROR(VLOOKUP(A400,#REF!,9,0),0)+IFERROR(VLOOKUP(A400,#REF!,9,0),0)</f>
        <v>0</v>
      </c>
      <c r="J400" s="104">
        <f>IFERROR(VLOOKUP(A400,#REF!,16,0),0)+IFERROR(VLOOKUP(A400,#REF!,26,0),0)+IFERROR(VLOOKUP(A400,#REF!,11,0),0)+IFERROR(VLOOKUP(A400,#REF!,23,0),0)+IFERROR(VLOOKUP(A400,#REF!,11,0),0)+IFERROR(VLOOKUP(A400,#REF!,11,0),0)+IFERROR(VLOOKUP(A400,#REF!,11,0),0)</f>
        <v>0</v>
      </c>
      <c r="K400" s="96" t="str">
        <f>"07.02.24"</f>
        <v>07.02.24</v>
      </c>
    </row>
    <row r="401" spans="1:11" ht="11.25" customHeight="1" outlineLevel="1">
      <c r="A401" s="89" t="n">
        <v>26551</v>
      </c>
      <c r="B401" s="114" t="s">
        <v>601</v>
      </c>
      <c r="C401" s="89" t="s">
        <v>646</v>
      </c>
      <c r="D401" s="89" t="s">
        <v>15</v>
      </c>
      <c r="E401" s="89" t="s">
        <v>647</v>
      </c>
      <c r="F401" s="102" t="n">
        <v>20859</v>
      </c>
      <c r="G401" s="102" t="n">
        <v>28159</v>
      </c>
      <c r="H401" s="103" t="s">
        <v>17</v>
      </c>
      <c r="I401" s="103">
        <f>IFERROR(VLOOKUP(A401,#REF!,15,0),0)+IFERROR(VLOOKUP(A401,#REF!,25,0),0)+IFERROR(VLOOKUP(A401,#REF!,10,0),0)+IFERROR(VLOOKUP(A401,#REF!,14,0),0)+IFERROR(VLOOKUP(A401,#REF!,10,0),0)+IFERROR(VLOOKUP(A401,#REF!,10,0),0)+IFERROR(VLOOKUP(A401,#REF!,10,0),0)+IFERROR(VLOOKUP(A401,#REF!,9,0),0)+IFERROR(VLOOKUP(A401,#REF!,9,0),0)+IFERROR(VLOOKUP(A401,#REF!,9,0),0)+IFERROR(VLOOKUP(A401,#REF!,9,0),0)</f>
        <v>0</v>
      </c>
      <c r="J401" s="104">
        <f>IFERROR(VLOOKUP(A401,#REF!,16,0),0)+IFERROR(VLOOKUP(A401,#REF!,26,0),0)+IFERROR(VLOOKUP(A401,#REF!,11,0),0)+IFERROR(VLOOKUP(A401,#REF!,23,0),0)+IFERROR(VLOOKUP(A401,#REF!,11,0),0)+IFERROR(VLOOKUP(A401,#REF!,11,0),0)+IFERROR(VLOOKUP(A401,#REF!,11,0),0)</f>
        <v>0</v>
      </c>
      <c r="K401" s="96" t="str">
        <f>"07.02.24"</f>
        <v>07.02.24</v>
      </c>
    </row>
    <row r="402" spans="1:11" ht="11.25" customHeight="1" outlineLevel="1">
      <c r="A402" s="89" t="n">
        <v>26550</v>
      </c>
      <c r="B402" s="114" t="s">
        <v>601</v>
      </c>
      <c r="C402" s="89" t="s">
        <v>648</v>
      </c>
      <c r="D402" s="89" t="s">
        <v>15</v>
      </c>
      <c r="E402" s="89" t="s">
        <v>649</v>
      </c>
      <c r="F402" s="102" t="n">
        <v>22890</v>
      </c>
      <c r="G402" s="102" t="n">
        <v>30902</v>
      </c>
      <c r="H402" s="103" t="s">
        <v>17</v>
      </c>
      <c r="I402" s="103">
        <f>IFERROR(VLOOKUP(A402,#REF!,15,0),0)+IFERROR(VLOOKUP(A402,#REF!,25,0),0)+IFERROR(VLOOKUP(A402,#REF!,10,0),0)+IFERROR(VLOOKUP(A402,#REF!,14,0),0)+IFERROR(VLOOKUP(A402,#REF!,10,0),0)+IFERROR(VLOOKUP(A402,#REF!,10,0),0)+IFERROR(VLOOKUP(A402,#REF!,10,0),0)+IFERROR(VLOOKUP(A402,#REF!,9,0),0)+IFERROR(VLOOKUP(A402,#REF!,9,0),0)+IFERROR(VLOOKUP(A402,#REF!,9,0),0)+IFERROR(VLOOKUP(A402,#REF!,9,0),0)</f>
        <v>0</v>
      </c>
      <c r="J402" s="104">
        <f>IFERROR(VLOOKUP(A402,#REF!,16,0),0)+IFERROR(VLOOKUP(A402,#REF!,26,0),0)+IFERROR(VLOOKUP(A402,#REF!,11,0),0)+IFERROR(VLOOKUP(A402,#REF!,23,0),0)+IFERROR(VLOOKUP(A402,#REF!,11,0),0)+IFERROR(VLOOKUP(A402,#REF!,11,0),0)+IFERROR(VLOOKUP(A402,#REF!,11,0),0)</f>
        <v>0</v>
      </c>
      <c r="K402" s="96" t="str">
        <f>"07.02.24"</f>
        <v>07.02.24</v>
      </c>
    </row>
    <row r="403" spans="1:11" ht="11.25" customHeight="1" outlineLevel="1">
      <c r="A403" s="89" t="n">
        <v>26549</v>
      </c>
      <c r="B403" s="114" t="s">
        <v>601</v>
      </c>
      <c r="C403" s="89" t="s">
        <v>650</v>
      </c>
      <c r="D403" s="89" t="s">
        <v>15</v>
      </c>
      <c r="E403" s="89" t="s">
        <v>651</v>
      </c>
      <c r="F403" s="102" t="n">
        <v>17597</v>
      </c>
      <c r="G403" s="102" t="n">
        <v>23755</v>
      </c>
      <c r="H403" s="103" t="s">
        <v>17</v>
      </c>
      <c r="I403" s="103">
        <f>IFERROR(VLOOKUP(A403,#REF!,15,0),0)+IFERROR(VLOOKUP(A403,#REF!,25,0),0)+IFERROR(VLOOKUP(A403,#REF!,10,0),0)+IFERROR(VLOOKUP(A403,#REF!,14,0),0)+IFERROR(VLOOKUP(A403,#REF!,10,0),0)+IFERROR(VLOOKUP(A403,#REF!,10,0),0)+IFERROR(VLOOKUP(A403,#REF!,10,0),0)+IFERROR(VLOOKUP(A403,#REF!,9,0),0)+IFERROR(VLOOKUP(A403,#REF!,9,0),0)+IFERROR(VLOOKUP(A403,#REF!,9,0),0)+IFERROR(VLOOKUP(A403,#REF!,9,0),0)</f>
        <v>0</v>
      </c>
      <c r="J403" s="104">
        <f>IFERROR(VLOOKUP(A403,#REF!,16,0),0)+IFERROR(VLOOKUP(A403,#REF!,26,0),0)+IFERROR(VLOOKUP(A403,#REF!,11,0),0)+IFERROR(VLOOKUP(A403,#REF!,23,0),0)+IFERROR(VLOOKUP(A403,#REF!,11,0),0)+IFERROR(VLOOKUP(A403,#REF!,11,0),0)+IFERROR(VLOOKUP(A403,#REF!,11,0),0)</f>
        <v>0</v>
      </c>
      <c r="K403" s="96" t="str">
        <f>"07.02.24"</f>
        <v>07.02.24</v>
      </c>
    </row>
    <row r="404" spans="1:11" ht="11.25" customHeight="1" outlineLevel="1">
      <c r="A404" s="89" t="n">
        <v>24541</v>
      </c>
      <c r="B404" s="114" t="s">
        <v>601</v>
      </c>
      <c r="C404" s="89" t="s">
        <v>652</v>
      </c>
      <c r="D404" s="89" t="s">
        <v>15</v>
      </c>
      <c r="E404" s="89" t="s">
        <v>641</v>
      </c>
      <c r="F404" s="102" t="n">
        <v>15790</v>
      </c>
      <c r="G404" s="102" t="n">
        <v>21317</v>
      </c>
      <c r="H404" s="103" t="s">
        <v>17</v>
      </c>
      <c r="I404" s="103">
        <f>IFERROR(VLOOKUP(A404,#REF!,15,0),0)+IFERROR(VLOOKUP(A404,#REF!,25,0),0)+IFERROR(VLOOKUP(A404,#REF!,10,0),0)+IFERROR(VLOOKUP(A404,#REF!,14,0),0)+IFERROR(VLOOKUP(A404,#REF!,10,0),0)+IFERROR(VLOOKUP(A404,#REF!,10,0),0)+IFERROR(VLOOKUP(A404,#REF!,10,0),0)+IFERROR(VLOOKUP(A404,#REF!,9,0),0)+IFERROR(VLOOKUP(A404,#REF!,9,0),0)+IFERROR(VLOOKUP(A404,#REF!,9,0),0)+IFERROR(VLOOKUP(A404,#REF!,9,0),0)</f>
        <v>0</v>
      </c>
      <c r="J404" s="104">
        <f>IFERROR(VLOOKUP(A404,#REF!,16,0),0)+IFERROR(VLOOKUP(A404,#REF!,26,0),0)+IFERROR(VLOOKUP(A404,#REF!,11,0),0)+IFERROR(VLOOKUP(A404,#REF!,23,0),0)+IFERROR(VLOOKUP(A404,#REF!,11,0),0)+IFERROR(VLOOKUP(A404,#REF!,11,0),0)+IFERROR(VLOOKUP(A404,#REF!,11,0),0)</f>
        <v>0</v>
      </c>
      <c r="K404" s="96" t="str">
        <f>"07.02.24"</f>
        <v>07.02.24</v>
      </c>
    </row>
    <row r="405" spans="1:11" ht="11.25" customHeight="1" outlineLevel="1">
      <c r="A405" s="89" t="n">
        <v>24542</v>
      </c>
      <c r="B405" s="114" t="s">
        <v>601</v>
      </c>
      <c r="C405" s="89" t="s">
        <v>653</v>
      </c>
      <c r="D405" s="89" t="s">
        <v>15</v>
      </c>
      <c r="E405" s="89" t="s">
        <v>643</v>
      </c>
      <c r="F405" s="102" t="n">
        <v>15790</v>
      </c>
      <c r="G405" s="102" t="n">
        <v>21317</v>
      </c>
      <c r="H405" s="103" t="s">
        <v>17</v>
      </c>
      <c r="I405" s="103">
        <f>IFERROR(VLOOKUP(A405,#REF!,15,0),0)+IFERROR(VLOOKUP(A405,#REF!,25,0),0)+IFERROR(VLOOKUP(A405,#REF!,10,0),0)+IFERROR(VLOOKUP(A405,#REF!,14,0),0)+IFERROR(VLOOKUP(A405,#REF!,10,0),0)+IFERROR(VLOOKUP(A405,#REF!,10,0),0)+IFERROR(VLOOKUP(A405,#REF!,10,0),0)+IFERROR(VLOOKUP(A405,#REF!,9,0),0)+IFERROR(VLOOKUP(A405,#REF!,9,0),0)+IFERROR(VLOOKUP(A405,#REF!,9,0),0)+IFERROR(VLOOKUP(A405,#REF!,9,0),0)</f>
        <v>0</v>
      </c>
      <c r="J405" s="104">
        <f>IFERROR(VLOOKUP(A405,#REF!,16,0),0)+IFERROR(VLOOKUP(A405,#REF!,26,0),0)+IFERROR(VLOOKUP(A405,#REF!,11,0),0)+IFERROR(VLOOKUP(A405,#REF!,23,0),0)+IFERROR(VLOOKUP(A405,#REF!,11,0),0)+IFERROR(VLOOKUP(A405,#REF!,11,0),0)+IFERROR(VLOOKUP(A405,#REF!,11,0),0)</f>
        <v>0</v>
      </c>
      <c r="K405" s="96" t="str">
        <f>"07.02.24"</f>
        <v>07.02.24</v>
      </c>
    </row>
    <row r="406" spans="1:11" ht="11.25" customHeight="1" outlineLevel="1">
      <c r="A406" s="89" t="n">
        <v>9727</v>
      </c>
      <c r="B406" s="114" t="s">
        <v>601</v>
      </c>
      <c r="C406" s="89" t="s">
        <v>654</v>
      </c>
      <c r="D406" s="89" t="s">
        <v>15</v>
      </c>
      <c r="E406" s="89" t="s">
        <v>645</v>
      </c>
      <c r="F406" s="102" t="n">
        <v>12058</v>
      </c>
      <c r="G406" s="102" t="n">
        <v>16278</v>
      </c>
      <c r="H406" s="103" t="s">
        <v>17</v>
      </c>
      <c r="I406" s="103">
        <f>IFERROR(VLOOKUP(A406,#REF!,15,0),0)+IFERROR(VLOOKUP(A406,#REF!,25,0),0)+IFERROR(VLOOKUP(A406,#REF!,10,0),0)+IFERROR(VLOOKUP(A406,#REF!,14,0),0)+IFERROR(VLOOKUP(A406,#REF!,10,0),0)+IFERROR(VLOOKUP(A406,#REF!,10,0),0)+IFERROR(VLOOKUP(A406,#REF!,10,0),0)+IFERROR(VLOOKUP(A406,#REF!,9,0),0)+IFERROR(VLOOKUP(A406,#REF!,9,0),0)+IFERROR(VLOOKUP(A406,#REF!,9,0),0)+IFERROR(VLOOKUP(A406,#REF!,9,0),0)</f>
        <v>0</v>
      </c>
      <c r="J406" s="104">
        <f>IFERROR(VLOOKUP(A406,#REF!,16,0),0)+IFERROR(VLOOKUP(A406,#REF!,26,0),0)+IFERROR(VLOOKUP(A406,#REF!,11,0),0)+IFERROR(VLOOKUP(A406,#REF!,23,0),0)+IFERROR(VLOOKUP(A406,#REF!,11,0),0)+IFERROR(VLOOKUP(A406,#REF!,11,0),0)+IFERROR(VLOOKUP(A406,#REF!,11,0),0)</f>
        <v>0</v>
      </c>
      <c r="K406" s="96" t="str">
        <f>"07.02.24"</f>
        <v>07.02.24</v>
      </c>
    </row>
    <row r="407" spans="1:11" ht="11.25" customHeight="1" outlineLevel="1">
      <c r="A407" s="89" t="n">
        <v>26545</v>
      </c>
      <c r="B407" s="114" t="s">
        <v>601</v>
      </c>
      <c r="C407" s="89" t="s">
        <v>655</v>
      </c>
      <c r="D407" s="89" t="s">
        <v>15</v>
      </c>
      <c r="E407" s="89" t="s">
        <v>647</v>
      </c>
      <c r="F407" s="102" t="n">
        <v>15790</v>
      </c>
      <c r="G407" s="102" t="n">
        <v>21317</v>
      </c>
      <c r="H407" s="103" t="s">
        <v>17</v>
      </c>
      <c r="I407" s="103">
        <f>IFERROR(VLOOKUP(A407,#REF!,15,0),0)+IFERROR(VLOOKUP(A407,#REF!,25,0),0)+IFERROR(VLOOKUP(A407,#REF!,10,0),0)+IFERROR(VLOOKUP(A407,#REF!,14,0),0)+IFERROR(VLOOKUP(A407,#REF!,10,0),0)+IFERROR(VLOOKUP(A407,#REF!,10,0),0)+IFERROR(VLOOKUP(A407,#REF!,10,0),0)+IFERROR(VLOOKUP(A407,#REF!,9,0),0)+IFERROR(VLOOKUP(A407,#REF!,9,0),0)+IFERROR(VLOOKUP(A407,#REF!,9,0),0)+IFERROR(VLOOKUP(A407,#REF!,9,0),0)</f>
        <v>0</v>
      </c>
      <c r="J407" s="104">
        <f>IFERROR(VLOOKUP(A407,#REF!,16,0),0)+IFERROR(VLOOKUP(A407,#REF!,26,0),0)+IFERROR(VLOOKUP(A407,#REF!,11,0),0)+IFERROR(VLOOKUP(A407,#REF!,23,0),0)+IFERROR(VLOOKUP(A407,#REF!,11,0),0)+IFERROR(VLOOKUP(A407,#REF!,11,0),0)+IFERROR(VLOOKUP(A407,#REF!,11,0),0)</f>
        <v>0</v>
      </c>
      <c r="K407" s="96" t="str">
        <f>"07.02.24"</f>
        <v>07.02.24</v>
      </c>
    </row>
    <row r="408" spans="1:11" ht="11.25" customHeight="1" outlineLevel="1">
      <c r="A408" s="89" t="n">
        <v>26546</v>
      </c>
      <c r="B408" s="114" t="s">
        <v>601</v>
      </c>
      <c r="C408" s="89" t="s">
        <v>656</v>
      </c>
      <c r="D408" s="89" t="s">
        <v>15</v>
      </c>
      <c r="E408" s="89" t="s">
        <v>649</v>
      </c>
      <c r="F408" s="102" t="n">
        <v>17309</v>
      </c>
      <c r="G408" s="102" t="n">
        <v>23367</v>
      </c>
      <c r="H408" s="103" t="s">
        <v>48</v>
      </c>
      <c r="I408" s="103">
        <f>IFERROR(VLOOKUP(A408,#REF!,15,0),0)+IFERROR(VLOOKUP(A408,#REF!,25,0),0)+IFERROR(VLOOKUP(A408,#REF!,10,0),0)+IFERROR(VLOOKUP(A408,#REF!,14,0),0)+IFERROR(VLOOKUP(A408,#REF!,10,0),0)+IFERROR(VLOOKUP(A408,#REF!,10,0),0)+IFERROR(VLOOKUP(A408,#REF!,10,0),0)+IFERROR(VLOOKUP(A408,#REF!,9,0),0)+IFERROR(VLOOKUP(A408,#REF!,9,0),0)+IFERROR(VLOOKUP(A408,#REF!,9,0),0)+IFERROR(VLOOKUP(A408,#REF!,9,0),0)</f>
        <v>0</v>
      </c>
      <c r="J408" s="104">
        <f>IFERROR(VLOOKUP(A408,#REF!,16,0),0)+IFERROR(VLOOKUP(A408,#REF!,26,0),0)+IFERROR(VLOOKUP(A408,#REF!,11,0),0)+IFERROR(VLOOKUP(A408,#REF!,23,0),0)+IFERROR(VLOOKUP(A408,#REF!,11,0),0)+IFERROR(VLOOKUP(A408,#REF!,11,0),0)+IFERROR(VLOOKUP(A408,#REF!,11,0),0)</f>
        <v>0</v>
      </c>
      <c r="K408" s="96" t="str">
        <f>"07.02.24"</f>
        <v>07.02.24</v>
      </c>
    </row>
    <row r="409" spans="1:11" ht="11.25" customHeight="1" outlineLevel="1">
      <c r="A409" s="89" t="n">
        <v>26547</v>
      </c>
      <c r="B409" s="114" t="s">
        <v>601</v>
      </c>
      <c r="C409" s="89" t="s">
        <v>657</v>
      </c>
      <c r="D409" s="89" t="s">
        <v>15</v>
      </c>
      <c r="E409" s="89" t="s">
        <v>651</v>
      </c>
      <c r="F409" s="102" t="n">
        <v>17309</v>
      </c>
      <c r="G409" s="102" t="n">
        <v>23367</v>
      </c>
      <c r="H409" s="103" t="s">
        <v>17</v>
      </c>
      <c r="I409" s="103">
        <f>IFERROR(VLOOKUP(A409,#REF!,15,0),0)+IFERROR(VLOOKUP(A409,#REF!,25,0),0)+IFERROR(VLOOKUP(A409,#REF!,10,0),0)+IFERROR(VLOOKUP(A409,#REF!,14,0),0)+IFERROR(VLOOKUP(A409,#REF!,10,0),0)+IFERROR(VLOOKUP(A409,#REF!,10,0),0)+IFERROR(VLOOKUP(A409,#REF!,10,0),0)+IFERROR(VLOOKUP(A409,#REF!,9,0),0)+IFERROR(VLOOKUP(A409,#REF!,9,0),0)+IFERROR(VLOOKUP(A409,#REF!,9,0),0)+IFERROR(VLOOKUP(A409,#REF!,9,0),0)</f>
        <v>0</v>
      </c>
      <c r="J409" s="104">
        <f>IFERROR(VLOOKUP(A409,#REF!,16,0),0)+IFERROR(VLOOKUP(A409,#REF!,26,0),0)+IFERROR(VLOOKUP(A409,#REF!,11,0),0)+IFERROR(VLOOKUP(A409,#REF!,23,0),0)+IFERROR(VLOOKUP(A409,#REF!,11,0),0)+IFERROR(VLOOKUP(A409,#REF!,11,0),0)+IFERROR(VLOOKUP(A409,#REF!,11,0),0)</f>
        <v>0</v>
      </c>
      <c r="K409" s="96" t="str">
        <f>"07.02.24"</f>
        <v>07.02.24</v>
      </c>
    </row>
    <row r="410" spans="1:11" ht="11.25" customHeight="1" outlineLevel="1">
      <c r="A410" s="89" t="n">
        <v>26555</v>
      </c>
      <c r="B410" s="114" t="s">
        <v>601</v>
      </c>
      <c r="C410" s="89" t="s">
        <v>658</v>
      </c>
      <c r="D410" s="89" t="s">
        <v>15</v>
      </c>
      <c r="E410" s="89" t="s">
        <v>641</v>
      </c>
      <c r="F410" s="102" t="n">
        <v>10795</v>
      </c>
      <c r="G410" s="102" t="n">
        <v>14573</v>
      </c>
      <c r="H410" s="103" t="s">
        <v>17</v>
      </c>
      <c r="I410" s="103">
        <f>IFERROR(VLOOKUP(A410,#REF!,15,0),0)+IFERROR(VLOOKUP(A410,#REF!,25,0),0)+IFERROR(VLOOKUP(A410,#REF!,10,0),0)+IFERROR(VLOOKUP(A410,#REF!,14,0),0)+IFERROR(VLOOKUP(A410,#REF!,10,0),0)+IFERROR(VLOOKUP(A410,#REF!,10,0),0)+IFERROR(VLOOKUP(A410,#REF!,10,0),0)+IFERROR(VLOOKUP(A410,#REF!,9,0),0)+IFERROR(VLOOKUP(A410,#REF!,9,0),0)+IFERROR(VLOOKUP(A410,#REF!,9,0),0)+IFERROR(VLOOKUP(A410,#REF!,9,0),0)</f>
        <v>0</v>
      </c>
      <c r="J410" s="104">
        <f>IFERROR(VLOOKUP(A410,#REF!,16,0),0)+IFERROR(VLOOKUP(A410,#REF!,26,0),0)+IFERROR(VLOOKUP(A410,#REF!,11,0),0)+IFERROR(VLOOKUP(A410,#REF!,23,0),0)+IFERROR(VLOOKUP(A410,#REF!,11,0),0)+IFERROR(VLOOKUP(A410,#REF!,11,0),0)+IFERROR(VLOOKUP(A410,#REF!,11,0),0)</f>
        <v>0</v>
      </c>
      <c r="K410" s="96" t="str">
        <f>"07.02.24"</f>
        <v>07.02.24</v>
      </c>
    </row>
    <row r="411" spans="1:11" ht="11.25" customHeight="1" outlineLevel="1">
      <c r="A411" s="89" t="n">
        <v>24543</v>
      </c>
      <c r="B411" s="114" t="s">
        <v>601</v>
      </c>
      <c r="C411" s="89" t="s">
        <v>659</v>
      </c>
      <c r="D411" s="89" t="s">
        <v>15</v>
      </c>
      <c r="E411" s="89" t="s">
        <v>643</v>
      </c>
      <c r="F411" s="102" t="n">
        <v>10795</v>
      </c>
      <c r="G411" s="102" t="n">
        <v>14573</v>
      </c>
      <c r="H411" s="103" t="s">
        <v>17</v>
      </c>
      <c r="I411" s="103">
        <f>IFERROR(VLOOKUP(A411,#REF!,15,0),0)+IFERROR(VLOOKUP(A411,#REF!,25,0),0)+IFERROR(VLOOKUP(A411,#REF!,10,0),0)+IFERROR(VLOOKUP(A411,#REF!,14,0),0)+IFERROR(VLOOKUP(A411,#REF!,10,0),0)+IFERROR(VLOOKUP(A411,#REF!,10,0),0)+IFERROR(VLOOKUP(A411,#REF!,10,0),0)+IFERROR(VLOOKUP(A411,#REF!,9,0),0)+IFERROR(VLOOKUP(A411,#REF!,9,0),0)+IFERROR(VLOOKUP(A411,#REF!,9,0),0)+IFERROR(VLOOKUP(A411,#REF!,9,0),0)</f>
        <v>0</v>
      </c>
      <c r="J411" s="104">
        <f>IFERROR(VLOOKUP(A411,#REF!,16,0),0)+IFERROR(VLOOKUP(A411,#REF!,26,0),0)+IFERROR(VLOOKUP(A411,#REF!,11,0),0)+IFERROR(VLOOKUP(A411,#REF!,23,0),0)+IFERROR(VLOOKUP(A411,#REF!,11,0),0)+IFERROR(VLOOKUP(A411,#REF!,11,0),0)+IFERROR(VLOOKUP(A411,#REF!,11,0),0)</f>
        <v>0</v>
      </c>
      <c r="K411" s="96" t="str">
        <f>"07.02.24"</f>
        <v>07.02.24</v>
      </c>
    </row>
    <row r="412" spans="1:11" ht="11.25" customHeight="1" outlineLevel="1">
      <c r="A412" s="89" t="n">
        <v>9742</v>
      </c>
      <c r="B412" s="114" t="s">
        <v>601</v>
      </c>
      <c r="C412" s="89" t="s">
        <v>660</v>
      </c>
      <c r="D412" s="89" t="s">
        <v>15</v>
      </c>
      <c r="E412" s="89" t="s">
        <v>645</v>
      </c>
      <c r="F412" s="102" t="n">
        <v>9099</v>
      </c>
      <c r="G412" s="102" t="n">
        <v>12284</v>
      </c>
      <c r="H412" s="103" t="s">
        <v>17</v>
      </c>
      <c r="I412" s="103">
        <f>IFERROR(VLOOKUP(A412,#REF!,15,0),0)+IFERROR(VLOOKUP(A412,#REF!,25,0),0)+IFERROR(VLOOKUP(A412,#REF!,10,0),0)+IFERROR(VLOOKUP(A412,#REF!,14,0),0)+IFERROR(VLOOKUP(A412,#REF!,10,0),0)+IFERROR(VLOOKUP(A412,#REF!,10,0),0)+IFERROR(VLOOKUP(A412,#REF!,10,0),0)+IFERROR(VLOOKUP(A412,#REF!,9,0),0)+IFERROR(VLOOKUP(A412,#REF!,9,0),0)+IFERROR(VLOOKUP(A412,#REF!,9,0),0)+IFERROR(VLOOKUP(A412,#REF!,9,0),0)</f>
        <v>0</v>
      </c>
      <c r="J412" s="104">
        <f>IFERROR(VLOOKUP(A412,#REF!,16,0),0)+IFERROR(VLOOKUP(A412,#REF!,26,0),0)+IFERROR(VLOOKUP(A412,#REF!,11,0),0)+IFERROR(VLOOKUP(A412,#REF!,23,0),0)+IFERROR(VLOOKUP(A412,#REF!,11,0),0)+IFERROR(VLOOKUP(A412,#REF!,11,0),0)+IFERROR(VLOOKUP(A412,#REF!,11,0),0)</f>
        <v>0</v>
      </c>
      <c r="K412" s="96" t="str">
        <f>"07.02.24"</f>
        <v>07.02.24</v>
      </c>
    </row>
    <row r="413" spans="1:11" ht="11.25" customHeight="1" outlineLevel="1">
      <c r="A413" s="89" t="n">
        <v>26557</v>
      </c>
      <c r="B413" s="114" t="s">
        <v>601</v>
      </c>
      <c r="C413" s="89" t="s">
        <v>661</v>
      </c>
      <c r="D413" s="89" t="s">
        <v>15</v>
      </c>
      <c r="E413" s="89" t="s">
        <v>647</v>
      </c>
      <c r="F413" s="102" t="n">
        <v>10795</v>
      </c>
      <c r="G413" s="102" t="n">
        <v>14573</v>
      </c>
      <c r="H413" s="103" t="s">
        <v>48</v>
      </c>
      <c r="I413" s="103">
        <f>IFERROR(VLOOKUP(A413,#REF!,15,0),0)+IFERROR(VLOOKUP(A413,#REF!,25,0),0)+IFERROR(VLOOKUP(A413,#REF!,10,0),0)+IFERROR(VLOOKUP(A413,#REF!,14,0),0)+IFERROR(VLOOKUP(A413,#REF!,10,0),0)+IFERROR(VLOOKUP(A413,#REF!,10,0),0)+IFERROR(VLOOKUP(A413,#REF!,10,0),0)+IFERROR(VLOOKUP(A413,#REF!,9,0),0)+IFERROR(VLOOKUP(A413,#REF!,9,0),0)+IFERROR(VLOOKUP(A413,#REF!,9,0),0)+IFERROR(VLOOKUP(A413,#REF!,9,0),0)</f>
        <v>0</v>
      </c>
      <c r="J413" s="104">
        <f>IFERROR(VLOOKUP(A413,#REF!,16,0),0)+IFERROR(VLOOKUP(A413,#REF!,26,0),0)+IFERROR(VLOOKUP(A413,#REF!,11,0),0)+IFERROR(VLOOKUP(A413,#REF!,23,0),0)+IFERROR(VLOOKUP(A413,#REF!,11,0),0)+IFERROR(VLOOKUP(A413,#REF!,11,0),0)+IFERROR(VLOOKUP(A413,#REF!,11,0),0)</f>
        <v>0</v>
      </c>
      <c r="K413" s="96" t="str">
        <f>"07.02.24"</f>
        <v>07.02.24</v>
      </c>
    </row>
    <row r="414" spans="1:11" ht="11.25" customHeight="1" outlineLevel="1">
      <c r="A414" s="89" t="n">
        <v>9743</v>
      </c>
      <c r="B414" s="114" t="s">
        <v>601</v>
      </c>
      <c r="C414" s="89" t="s">
        <v>662</v>
      </c>
      <c r="D414" s="89" t="s">
        <v>15</v>
      </c>
      <c r="E414" s="89" t="s">
        <v>663</v>
      </c>
      <c r="F414" s="102" t="n">
        <v>9099</v>
      </c>
      <c r="G414" s="102" t="n">
        <v>12284</v>
      </c>
      <c r="H414" s="103" t="s">
        <v>17</v>
      </c>
      <c r="I414" s="103">
        <f>IFERROR(VLOOKUP(A414,#REF!,15,0),0)+IFERROR(VLOOKUP(A414,#REF!,25,0),0)+IFERROR(VLOOKUP(A414,#REF!,10,0),0)+IFERROR(VLOOKUP(A414,#REF!,14,0),0)+IFERROR(VLOOKUP(A414,#REF!,10,0),0)+IFERROR(VLOOKUP(A414,#REF!,10,0),0)+IFERROR(VLOOKUP(A414,#REF!,10,0),0)+IFERROR(VLOOKUP(A414,#REF!,9,0),0)+IFERROR(VLOOKUP(A414,#REF!,9,0),0)+IFERROR(VLOOKUP(A414,#REF!,9,0),0)+IFERROR(VLOOKUP(A414,#REF!,9,0),0)</f>
        <v>0</v>
      </c>
      <c r="J414" s="104">
        <f>IFERROR(VLOOKUP(A414,#REF!,16,0),0)+IFERROR(VLOOKUP(A414,#REF!,26,0),0)+IFERROR(VLOOKUP(A414,#REF!,11,0),0)+IFERROR(VLOOKUP(A414,#REF!,23,0),0)+IFERROR(VLOOKUP(A414,#REF!,11,0),0)+IFERROR(VLOOKUP(A414,#REF!,11,0),0)+IFERROR(VLOOKUP(A414,#REF!,11,0),0)</f>
        <v>0</v>
      </c>
      <c r="K414" s="96" t="str">
        <f>"07.02.24"</f>
        <v>07.02.24</v>
      </c>
    </row>
    <row r="415" spans="1:11" ht="11.25" customHeight="1" outlineLevel="1">
      <c r="A415" s="89" t="n">
        <v>24544</v>
      </c>
      <c r="B415" s="114" t="s">
        <v>601</v>
      </c>
      <c r="C415" s="89" t="s">
        <v>664</v>
      </c>
      <c r="D415" s="89" t="s">
        <v>15</v>
      </c>
      <c r="E415" s="89" t="s">
        <v>649</v>
      </c>
      <c r="F415" s="102" t="n">
        <v>10795</v>
      </c>
      <c r="G415" s="102" t="n">
        <v>14573</v>
      </c>
      <c r="H415" s="103" t="s">
        <v>48</v>
      </c>
      <c r="I415" s="103">
        <f>IFERROR(VLOOKUP(A415,#REF!,15,0),0)+IFERROR(VLOOKUP(A415,#REF!,25,0),0)+IFERROR(VLOOKUP(A415,#REF!,10,0),0)+IFERROR(VLOOKUP(A415,#REF!,14,0),0)+IFERROR(VLOOKUP(A415,#REF!,10,0),0)+IFERROR(VLOOKUP(A415,#REF!,10,0),0)+IFERROR(VLOOKUP(A415,#REF!,10,0),0)+IFERROR(VLOOKUP(A415,#REF!,9,0),0)+IFERROR(VLOOKUP(A415,#REF!,9,0),0)+IFERROR(VLOOKUP(A415,#REF!,9,0),0)+IFERROR(VLOOKUP(A415,#REF!,9,0),0)</f>
        <v>0</v>
      </c>
      <c r="J415" s="104">
        <f>IFERROR(VLOOKUP(A415,#REF!,16,0),0)+IFERROR(VLOOKUP(A415,#REF!,26,0),0)+IFERROR(VLOOKUP(A415,#REF!,11,0),0)+IFERROR(VLOOKUP(A415,#REF!,23,0),0)+IFERROR(VLOOKUP(A415,#REF!,11,0),0)+IFERROR(VLOOKUP(A415,#REF!,11,0),0)+IFERROR(VLOOKUP(A415,#REF!,11,0),0)</f>
        <v>0</v>
      </c>
      <c r="K415" s="96" t="str">
        <f>"07.02.24"</f>
        <v>07.02.24</v>
      </c>
    </row>
    <row r="416" spans="1:11" ht="11.25" customHeight="1" outlineLevel="1">
      <c r="A416" s="89" t="n">
        <v>26559</v>
      </c>
      <c r="B416" s="114" t="s">
        <v>601</v>
      </c>
      <c r="C416" s="89" t="s">
        <v>665</v>
      </c>
      <c r="D416" s="89" t="s">
        <v>15</v>
      </c>
      <c r="E416" s="89" t="s">
        <v>651</v>
      </c>
      <c r="F416" s="102" t="n">
        <v>10795</v>
      </c>
      <c r="G416" s="102" t="n">
        <v>14573</v>
      </c>
      <c r="H416" s="103" t="s">
        <v>17</v>
      </c>
      <c r="I416" s="103">
        <f>IFERROR(VLOOKUP(A416,#REF!,15,0),0)+IFERROR(VLOOKUP(A416,#REF!,25,0),0)+IFERROR(VLOOKUP(A416,#REF!,10,0),0)+IFERROR(VLOOKUP(A416,#REF!,14,0),0)+IFERROR(VLOOKUP(A416,#REF!,10,0),0)+IFERROR(VLOOKUP(A416,#REF!,10,0),0)+IFERROR(VLOOKUP(A416,#REF!,10,0),0)+IFERROR(VLOOKUP(A416,#REF!,9,0),0)+IFERROR(VLOOKUP(A416,#REF!,9,0),0)+IFERROR(VLOOKUP(A416,#REF!,9,0),0)+IFERROR(VLOOKUP(A416,#REF!,9,0),0)</f>
        <v>0</v>
      </c>
      <c r="J416" s="104">
        <f>IFERROR(VLOOKUP(A416,#REF!,16,0),0)+IFERROR(VLOOKUP(A416,#REF!,26,0),0)+IFERROR(VLOOKUP(A416,#REF!,11,0),0)+IFERROR(VLOOKUP(A416,#REF!,23,0),0)+IFERROR(VLOOKUP(A416,#REF!,11,0),0)+IFERROR(VLOOKUP(A416,#REF!,11,0),0)+IFERROR(VLOOKUP(A416,#REF!,11,0),0)</f>
        <v>0</v>
      </c>
      <c r="K416" s="96" t="str">
        <f>"07.02.24"</f>
        <v>07.02.24</v>
      </c>
    </row>
    <row r="417" spans="1:11" ht="11.25" customHeight="1" outlineLevel="1">
      <c r="A417" s="89" t="n">
        <v>24545</v>
      </c>
      <c r="B417" s="114" t="s">
        <v>601</v>
      </c>
      <c r="C417" s="89" t="s">
        <v>666</v>
      </c>
      <c r="D417" s="89" t="s">
        <v>15</v>
      </c>
      <c r="E417" s="89" t="s">
        <v>641</v>
      </c>
      <c r="F417" s="102" t="n">
        <v>9125</v>
      </c>
      <c r="G417" s="102" t="n">
        <v>12319</v>
      </c>
      <c r="H417" s="103" t="s">
        <v>17</v>
      </c>
      <c r="I417" s="103">
        <f>IFERROR(VLOOKUP(A417,#REF!,15,0),0)+IFERROR(VLOOKUP(A417,#REF!,25,0),0)+IFERROR(VLOOKUP(A417,#REF!,10,0),0)+IFERROR(VLOOKUP(A417,#REF!,14,0),0)+IFERROR(VLOOKUP(A417,#REF!,10,0),0)+IFERROR(VLOOKUP(A417,#REF!,10,0),0)+IFERROR(VLOOKUP(A417,#REF!,10,0),0)+IFERROR(VLOOKUP(A417,#REF!,9,0),0)+IFERROR(VLOOKUP(A417,#REF!,9,0),0)+IFERROR(VLOOKUP(A417,#REF!,9,0),0)+IFERROR(VLOOKUP(A417,#REF!,9,0),0)</f>
        <v>0</v>
      </c>
      <c r="J417" s="104">
        <f>IFERROR(VLOOKUP(A417,#REF!,16,0),0)+IFERROR(VLOOKUP(A417,#REF!,26,0),0)+IFERROR(VLOOKUP(A417,#REF!,11,0),0)+IFERROR(VLOOKUP(A417,#REF!,23,0),0)+IFERROR(VLOOKUP(A417,#REF!,11,0),0)+IFERROR(VLOOKUP(A417,#REF!,11,0),0)+IFERROR(VLOOKUP(A417,#REF!,11,0),0)</f>
        <v>0</v>
      </c>
      <c r="K417" s="96" t="str">
        <f>"07.02.24"</f>
        <v>07.02.24</v>
      </c>
    </row>
    <row r="418" spans="1:11" ht="11.25" customHeight="1" outlineLevel="1">
      <c r="A418" s="89" t="n">
        <v>24546</v>
      </c>
      <c r="B418" s="114" t="s">
        <v>601</v>
      </c>
      <c r="C418" s="89" t="s">
        <v>667</v>
      </c>
      <c r="D418" s="89" t="s">
        <v>15</v>
      </c>
      <c r="E418" s="89" t="s">
        <v>643</v>
      </c>
      <c r="F418" s="102" t="n">
        <v>9120</v>
      </c>
      <c r="G418" s="102" t="n">
        <v>12312</v>
      </c>
      <c r="H418" s="103" t="s">
        <v>17</v>
      </c>
      <c r="I418" s="103">
        <f>IFERROR(VLOOKUP(A418,#REF!,15,0),0)+IFERROR(VLOOKUP(A418,#REF!,25,0),0)+IFERROR(VLOOKUP(A418,#REF!,10,0),0)+IFERROR(VLOOKUP(A418,#REF!,14,0),0)+IFERROR(VLOOKUP(A418,#REF!,10,0),0)+IFERROR(VLOOKUP(A418,#REF!,10,0),0)+IFERROR(VLOOKUP(A418,#REF!,10,0),0)+IFERROR(VLOOKUP(A418,#REF!,9,0),0)+IFERROR(VLOOKUP(A418,#REF!,9,0),0)+IFERROR(VLOOKUP(A418,#REF!,9,0),0)+IFERROR(VLOOKUP(A418,#REF!,9,0),0)</f>
        <v>0</v>
      </c>
      <c r="J418" s="104">
        <f>IFERROR(VLOOKUP(A418,#REF!,16,0),0)+IFERROR(VLOOKUP(A418,#REF!,26,0),0)+IFERROR(VLOOKUP(A418,#REF!,11,0),0)+IFERROR(VLOOKUP(A418,#REF!,23,0),0)+IFERROR(VLOOKUP(A418,#REF!,11,0),0)+IFERROR(VLOOKUP(A418,#REF!,11,0),0)+IFERROR(VLOOKUP(A418,#REF!,11,0),0)</f>
        <v>0</v>
      </c>
      <c r="K418" s="96" t="str">
        <f>"07.02.24"</f>
        <v>07.02.24</v>
      </c>
    </row>
    <row r="419" spans="1:11" ht="11.25" customHeight="1" outlineLevel="1">
      <c r="A419" s="89" t="n">
        <v>24547</v>
      </c>
      <c r="B419" s="114" t="s">
        <v>601</v>
      </c>
      <c r="C419" s="89" t="s">
        <v>668</v>
      </c>
      <c r="D419" s="89" t="s">
        <v>15</v>
      </c>
      <c r="E419" s="89" t="s">
        <v>647</v>
      </c>
      <c r="F419" s="102" t="n">
        <v>9120</v>
      </c>
      <c r="G419" s="102" t="n">
        <v>12312</v>
      </c>
      <c r="H419" s="103" t="s">
        <v>17</v>
      </c>
      <c r="I419" s="103">
        <f>IFERROR(VLOOKUP(A419,#REF!,15,0),0)+IFERROR(VLOOKUP(A419,#REF!,25,0),0)+IFERROR(VLOOKUP(A419,#REF!,10,0),0)+IFERROR(VLOOKUP(A419,#REF!,14,0),0)+IFERROR(VLOOKUP(A419,#REF!,10,0),0)+IFERROR(VLOOKUP(A419,#REF!,10,0),0)+IFERROR(VLOOKUP(A419,#REF!,10,0),0)+IFERROR(VLOOKUP(A419,#REF!,9,0),0)+IFERROR(VLOOKUP(A419,#REF!,9,0),0)+IFERROR(VLOOKUP(A419,#REF!,9,0),0)+IFERROR(VLOOKUP(A419,#REF!,9,0),0)</f>
        <v>0</v>
      </c>
      <c r="J419" s="104">
        <f>IFERROR(VLOOKUP(A419,#REF!,16,0),0)+IFERROR(VLOOKUP(A419,#REF!,26,0),0)+IFERROR(VLOOKUP(A419,#REF!,11,0),0)+IFERROR(VLOOKUP(A419,#REF!,23,0),0)+IFERROR(VLOOKUP(A419,#REF!,11,0),0)+IFERROR(VLOOKUP(A419,#REF!,11,0),0)+IFERROR(VLOOKUP(A419,#REF!,11,0),0)</f>
        <v>0</v>
      </c>
      <c r="K419" s="96" t="str">
        <f>"07.02.24"</f>
        <v>07.02.24</v>
      </c>
    </row>
    <row r="420" spans="1:11" ht="11.25" customHeight="1" outlineLevel="1">
      <c r="A420" s="89" t="n">
        <v>24548</v>
      </c>
      <c r="B420" s="114" t="s">
        <v>601</v>
      </c>
      <c r="C420" s="89" t="s">
        <v>669</v>
      </c>
      <c r="D420" s="89" t="s">
        <v>15</v>
      </c>
      <c r="E420" s="89" t="s">
        <v>649</v>
      </c>
      <c r="F420" s="102" t="n">
        <v>9120</v>
      </c>
      <c r="G420" s="102" t="n">
        <v>12312</v>
      </c>
      <c r="H420" s="103" t="s">
        <v>17</v>
      </c>
      <c r="I420" s="103">
        <f>IFERROR(VLOOKUP(A420,#REF!,15,0),0)+IFERROR(VLOOKUP(A420,#REF!,25,0),0)+IFERROR(VLOOKUP(A420,#REF!,10,0),0)+IFERROR(VLOOKUP(A420,#REF!,14,0),0)+IFERROR(VLOOKUP(A420,#REF!,10,0),0)+IFERROR(VLOOKUP(A420,#REF!,10,0),0)+IFERROR(VLOOKUP(A420,#REF!,10,0),0)+IFERROR(VLOOKUP(A420,#REF!,9,0),0)+IFERROR(VLOOKUP(A420,#REF!,9,0),0)+IFERROR(VLOOKUP(A420,#REF!,9,0),0)+IFERROR(VLOOKUP(A420,#REF!,9,0),0)</f>
        <v>0</v>
      </c>
      <c r="J420" s="104">
        <f>IFERROR(VLOOKUP(A420,#REF!,16,0),0)+IFERROR(VLOOKUP(A420,#REF!,26,0),0)+IFERROR(VLOOKUP(A420,#REF!,11,0),0)+IFERROR(VLOOKUP(A420,#REF!,23,0),0)+IFERROR(VLOOKUP(A420,#REF!,11,0),0)+IFERROR(VLOOKUP(A420,#REF!,11,0),0)+IFERROR(VLOOKUP(A420,#REF!,11,0),0)</f>
        <v>0</v>
      </c>
      <c r="K420" s="96" t="str">
        <f>"07.02.24"</f>
        <v>07.02.24</v>
      </c>
    </row>
    <row r="421" spans="1:11" ht="11.25" customHeight="1" outlineLevel="1">
      <c r="A421" s="89" t="n">
        <v>24549</v>
      </c>
      <c r="B421" s="114" t="s">
        <v>601</v>
      </c>
      <c r="C421" s="89" t="s">
        <v>670</v>
      </c>
      <c r="D421" s="89" t="s">
        <v>15</v>
      </c>
      <c r="E421" s="89" t="s">
        <v>651</v>
      </c>
      <c r="F421" s="102" t="n">
        <v>10248</v>
      </c>
      <c r="G421" s="102" t="n">
        <v>13836</v>
      </c>
      <c r="H421" s="103" t="s">
        <v>17</v>
      </c>
      <c r="I421" s="103">
        <f>IFERROR(VLOOKUP(A421,#REF!,15,0),0)+IFERROR(VLOOKUP(A421,#REF!,25,0),0)+IFERROR(VLOOKUP(A421,#REF!,10,0),0)+IFERROR(VLOOKUP(A421,#REF!,14,0),0)+IFERROR(VLOOKUP(A421,#REF!,10,0),0)+IFERROR(VLOOKUP(A421,#REF!,10,0),0)+IFERROR(VLOOKUP(A421,#REF!,10,0),0)+IFERROR(VLOOKUP(A421,#REF!,9,0),0)+IFERROR(VLOOKUP(A421,#REF!,9,0),0)+IFERROR(VLOOKUP(A421,#REF!,9,0),0)+IFERROR(VLOOKUP(A421,#REF!,9,0),0)</f>
        <v>0</v>
      </c>
      <c r="J421" s="104">
        <f>IFERROR(VLOOKUP(A421,#REF!,16,0),0)+IFERROR(VLOOKUP(A421,#REF!,26,0),0)+IFERROR(VLOOKUP(A421,#REF!,11,0),0)+IFERROR(VLOOKUP(A421,#REF!,23,0),0)+IFERROR(VLOOKUP(A421,#REF!,11,0),0)+IFERROR(VLOOKUP(A421,#REF!,11,0),0)+IFERROR(VLOOKUP(A421,#REF!,11,0),0)</f>
        <v>0</v>
      </c>
      <c r="K421" s="96" t="str">
        <f>"07.02.24"</f>
        <v>07.02.24</v>
      </c>
    </row>
    <row r="422" spans="1:11" ht="11.25" customHeight="1" outlineLevel="1">
      <c r="A422" s="89" t="n">
        <v>26097</v>
      </c>
      <c r="B422" s="114" t="s">
        <v>601</v>
      </c>
      <c r="C422" s="89" t="s">
        <v>671</v>
      </c>
      <c r="D422" s="89" t="s">
        <v>15</v>
      </c>
      <c r="E422" s="89" t="s">
        <v>672</v>
      </c>
      <c r="F422" s="102" t="n">
        <v>3372</v>
      </c>
      <c r="G422" s="102" t="n">
        <v>4553</v>
      </c>
      <c r="H422" s="103" t="s">
        <v>48</v>
      </c>
      <c r="I422" s="103">
        <f>IFERROR(VLOOKUP(A422,#REF!,15,0),0)+IFERROR(VLOOKUP(A422,#REF!,25,0),0)+IFERROR(VLOOKUP(A422,#REF!,10,0),0)+IFERROR(VLOOKUP(A422,#REF!,14,0),0)+IFERROR(VLOOKUP(A422,#REF!,10,0),0)+IFERROR(VLOOKUP(A422,#REF!,10,0),0)+IFERROR(VLOOKUP(A422,#REF!,10,0),0)+IFERROR(VLOOKUP(A422,#REF!,9,0),0)+IFERROR(VLOOKUP(A422,#REF!,9,0),0)+IFERROR(VLOOKUP(A422,#REF!,9,0),0)+IFERROR(VLOOKUP(A422,#REF!,9,0),0)</f>
        <v>0</v>
      </c>
      <c r="J422" s="104">
        <f>IFERROR(VLOOKUP(A422,#REF!,16,0),0)+IFERROR(VLOOKUP(A422,#REF!,26,0),0)+IFERROR(VLOOKUP(A422,#REF!,11,0),0)+IFERROR(VLOOKUP(A422,#REF!,23,0),0)+IFERROR(VLOOKUP(A422,#REF!,11,0),0)+IFERROR(VLOOKUP(A422,#REF!,11,0),0)+IFERROR(VLOOKUP(A422,#REF!,11,0),0)</f>
        <v>0</v>
      </c>
      <c r="K422" s="96" t="str">
        <f>"07.02.24"</f>
        <v>07.02.24</v>
      </c>
    </row>
    <row r="423" spans="1:11" ht="11.25" customHeight="1" outlineLevel="1">
      <c r="A423" s="89" t="n">
        <v>24554</v>
      </c>
      <c r="B423" s="114" t="s">
        <v>601</v>
      </c>
      <c r="C423" s="89" t="s">
        <v>673</v>
      </c>
      <c r="D423" s="89" t="s">
        <v>15</v>
      </c>
      <c r="E423" s="89" t="s">
        <v>674</v>
      </c>
      <c r="F423" s="102" t="n">
        <v>6965</v>
      </c>
      <c r="G423" s="102" t="n">
        <v>9404</v>
      </c>
      <c r="H423" s="103" t="s">
        <v>17</v>
      </c>
      <c r="I423" s="103">
        <f>IFERROR(VLOOKUP(A423,#REF!,15,0),0)+IFERROR(VLOOKUP(A423,#REF!,25,0),0)+IFERROR(VLOOKUP(A423,#REF!,10,0),0)+IFERROR(VLOOKUP(A423,#REF!,14,0),0)+IFERROR(VLOOKUP(A423,#REF!,10,0),0)+IFERROR(VLOOKUP(A423,#REF!,10,0),0)+IFERROR(VLOOKUP(A423,#REF!,10,0),0)+IFERROR(VLOOKUP(A423,#REF!,9,0),0)+IFERROR(VLOOKUP(A423,#REF!,9,0),0)+IFERROR(VLOOKUP(A423,#REF!,9,0),0)+IFERROR(VLOOKUP(A423,#REF!,9,0),0)</f>
        <v>0</v>
      </c>
      <c r="J423" s="104">
        <f>IFERROR(VLOOKUP(A423,#REF!,16,0),0)+IFERROR(VLOOKUP(A423,#REF!,26,0),0)+IFERROR(VLOOKUP(A423,#REF!,11,0),0)+IFERROR(VLOOKUP(A423,#REF!,23,0),0)+IFERROR(VLOOKUP(A423,#REF!,11,0),0)+IFERROR(VLOOKUP(A423,#REF!,11,0),0)+IFERROR(VLOOKUP(A423,#REF!,11,0),0)</f>
        <v>0</v>
      </c>
      <c r="K423" s="96" t="str">
        <f>"07.02.24"</f>
        <v>07.02.24</v>
      </c>
    </row>
    <row r="424" spans="1:11" ht="11.25" customHeight="1" outlineLevel="1">
      <c r="A424" s="89" t="n">
        <v>24551</v>
      </c>
      <c r="B424" s="114" t="s">
        <v>601</v>
      </c>
      <c r="C424" s="89" t="s">
        <v>675</v>
      </c>
      <c r="D424" s="89" t="s">
        <v>15</v>
      </c>
      <c r="E424" s="89" t="s">
        <v>676</v>
      </c>
      <c r="F424" s="102" t="n">
        <v>10433</v>
      </c>
      <c r="G424" s="102" t="n">
        <v>14085</v>
      </c>
      <c r="H424" s="103" t="s">
        <v>17</v>
      </c>
      <c r="I424" s="103">
        <f>IFERROR(VLOOKUP(A424,#REF!,15,0),0)+IFERROR(VLOOKUP(A424,#REF!,25,0),0)+IFERROR(VLOOKUP(A424,#REF!,10,0),0)+IFERROR(VLOOKUP(A424,#REF!,14,0),0)+IFERROR(VLOOKUP(A424,#REF!,10,0),0)+IFERROR(VLOOKUP(A424,#REF!,10,0),0)+IFERROR(VLOOKUP(A424,#REF!,10,0),0)+IFERROR(VLOOKUP(A424,#REF!,9,0),0)+IFERROR(VLOOKUP(A424,#REF!,9,0),0)+IFERROR(VLOOKUP(A424,#REF!,9,0),0)+IFERROR(VLOOKUP(A424,#REF!,9,0),0)</f>
        <v>0</v>
      </c>
      <c r="J424" s="104">
        <f>IFERROR(VLOOKUP(A424,#REF!,16,0),0)+IFERROR(VLOOKUP(A424,#REF!,26,0),0)+IFERROR(VLOOKUP(A424,#REF!,11,0),0)+IFERROR(VLOOKUP(A424,#REF!,23,0),0)+IFERROR(VLOOKUP(A424,#REF!,11,0),0)+IFERROR(VLOOKUP(A424,#REF!,11,0),0)+IFERROR(VLOOKUP(A424,#REF!,11,0),0)</f>
        <v>0</v>
      </c>
      <c r="K424" s="96" t="str">
        <f>"07.02.24"</f>
        <v>07.02.24</v>
      </c>
    </row>
    <row r="425" spans="1:11" ht="11.25" customHeight="1" outlineLevel="1">
      <c r="A425" s="89" t="n">
        <v>24552</v>
      </c>
      <c r="B425" s="114" t="s">
        <v>601</v>
      </c>
      <c r="C425" s="89" t="s">
        <v>677</v>
      </c>
      <c r="D425" s="89" t="s">
        <v>15</v>
      </c>
      <c r="E425" s="89" t="s">
        <v>643</v>
      </c>
      <c r="F425" s="102" t="n">
        <v>12371</v>
      </c>
      <c r="G425" s="102" t="n">
        <v>16701</v>
      </c>
      <c r="H425" s="103" t="s">
        <v>48</v>
      </c>
      <c r="I425" s="103">
        <f>IFERROR(VLOOKUP(A425,#REF!,15,0),0)+IFERROR(VLOOKUP(A425,#REF!,25,0),0)+IFERROR(VLOOKUP(A425,#REF!,10,0),0)+IFERROR(VLOOKUP(A425,#REF!,14,0),0)+IFERROR(VLOOKUP(A425,#REF!,10,0),0)+IFERROR(VLOOKUP(A425,#REF!,10,0),0)+IFERROR(VLOOKUP(A425,#REF!,10,0),0)+IFERROR(VLOOKUP(A425,#REF!,9,0),0)+IFERROR(VLOOKUP(A425,#REF!,9,0),0)+IFERROR(VLOOKUP(A425,#REF!,9,0),0)+IFERROR(VLOOKUP(A425,#REF!,9,0),0)</f>
        <v>0</v>
      </c>
      <c r="J425" s="104">
        <f>IFERROR(VLOOKUP(A425,#REF!,16,0),0)+IFERROR(VLOOKUP(A425,#REF!,26,0),0)+IFERROR(VLOOKUP(A425,#REF!,11,0),0)+IFERROR(VLOOKUP(A425,#REF!,23,0),0)+IFERROR(VLOOKUP(A425,#REF!,11,0),0)+IFERROR(VLOOKUP(A425,#REF!,11,0),0)+IFERROR(VLOOKUP(A425,#REF!,11,0),0)</f>
        <v>0</v>
      </c>
      <c r="K425" s="96" t="str">
        <f>"07.02.24"</f>
        <v>07.02.24</v>
      </c>
    </row>
    <row r="426" spans="1:11" ht="11.25" customHeight="1" outlineLevel="1">
      <c r="A426" s="89" t="n">
        <v>24553</v>
      </c>
      <c r="B426" s="114" t="s">
        <v>601</v>
      </c>
      <c r="C426" s="89" t="s">
        <v>678</v>
      </c>
      <c r="D426" s="89" t="s">
        <v>15</v>
      </c>
      <c r="E426" s="89" t="s">
        <v>679</v>
      </c>
      <c r="F426" s="102" t="n">
        <v>9862</v>
      </c>
      <c r="G426" s="102" t="n">
        <v>13314</v>
      </c>
      <c r="H426" s="103" t="s">
        <v>17</v>
      </c>
      <c r="I426" s="103">
        <f>IFERROR(VLOOKUP(A426,#REF!,15,0),0)+IFERROR(VLOOKUP(A426,#REF!,25,0),0)+IFERROR(VLOOKUP(A426,#REF!,10,0),0)+IFERROR(VLOOKUP(A426,#REF!,14,0),0)+IFERROR(VLOOKUP(A426,#REF!,10,0),0)+IFERROR(VLOOKUP(A426,#REF!,10,0),0)+IFERROR(VLOOKUP(A426,#REF!,10,0),0)+IFERROR(VLOOKUP(A426,#REF!,9,0),0)+IFERROR(VLOOKUP(A426,#REF!,9,0),0)+IFERROR(VLOOKUP(A426,#REF!,9,0),0)+IFERROR(VLOOKUP(A426,#REF!,9,0),0)</f>
        <v>0</v>
      </c>
      <c r="J426" s="104">
        <f>IFERROR(VLOOKUP(A426,#REF!,16,0),0)+IFERROR(VLOOKUP(A426,#REF!,26,0),0)+IFERROR(VLOOKUP(A426,#REF!,11,0),0)+IFERROR(VLOOKUP(A426,#REF!,23,0),0)+IFERROR(VLOOKUP(A426,#REF!,11,0),0)+IFERROR(VLOOKUP(A426,#REF!,11,0),0)+IFERROR(VLOOKUP(A426,#REF!,11,0),0)</f>
        <v>0</v>
      </c>
      <c r="K426" s="96" t="str">
        <f>"07.02.24"</f>
        <v>07.02.24</v>
      </c>
    </row>
    <row r="427" spans="1:11" ht="11.25" customHeight="1" outlineLevel="1">
      <c r="A427" s="89" t="n">
        <v>36380</v>
      </c>
      <c r="B427" s="114" t="s">
        <v>601</v>
      </c>
      <c r="C427" s="89" t="s">
        <v>680</v>
      </c>
      <c r="D427" s="89" t="s">
        <v>15</v>
      </c>
      <c r="E427" s="89" t="s">
        <v>681</v>
      </c>
      <c r="F427" s="102" t="n">
        <v>9994</v>
      </c>
      <c r="G427" s="102" t="n">
        <v>13492</v>
      </c>
      <c r="H427" s="103" t="s">
        <v>17</v>
      </c>
      <c r="I427" s="103">
        <f>IFERROR(VLOOKUP(A427,#REF!,15,0),0)+IFERROR(VLOOKUP(A427,#REF!,25,0),0)+IFERROR(VLOOKUP(A427,#REF!,10,0),0)+IFERROR(VLOOKUP(A427,#REF!,14,0),0)+IFERROR(VLOOKUP(A427,#REF!,10,0),0)+IFERROR(VLOOKUP(A427,#REF!,10,0),0)+IFERROR(VLOOKUP(A427,#REF!,10,0),0)+IFERROR(VLOOKUP(A427,#REF!,9,0),0)+IFERROR(VLOOKUP(A427,#REF!,9,0),0)+IFERROR(VLOOKUP(A427,#REF!,9,0),0)+IFERROR(VLOOKUP(A427,#REF!,9,0),0)</f>
        <v>0</v>
      </c>
      <c r="J427" s="104">
        <f>IFERROR(VLOOKUP(A427,#REF!,16,0),0)+IFERROR(VLOOKUP(A427,#REF!,26,0),0)+IFERROR(VLOOKUP(A427,#REF!,11,0),0)+IFERROR(VLOOKUP(A427,#REF!,23,0),0)+IFERROR(VLOOKUP(A427,#REF!,11,0),0)+IFERROR(VLOOKUP(A427,#REF!,11,0),0)+IFERROR(VLOOKUP(A427,#REF!,11,0),0)</f>
        <v>0</v>
      </c>
      <c r="K427" s="96" t="str">
        <f>"07.02.24"</f>
        <v>07.02.24</v>
      </c>
    </row>
    <row r="428" spans="1:11" ht="11.25" customHeight="1" outlineLevel="1">
      <c r="A428" s="89" t="n">
        <v>8091640</v>
      </c>
      <c r="B428" s="114" t="s">
        <v>601</v>
      </c>
      <c r="C428" s="89" t="s">
        <v>682</v>
      </c>
      <c r="D428" s="89" t="s">
        <v>15</v>
      </c>
      <c r="E428" s="89" t="s">
        <v>683</v>
      </c>
      <c r="F428" s="102" t="n">
        <v>12371</v>
      </c>
      <c r="G428" s="102" t="n">
        <v>16701</v>
      </c>
      <c r="H428" s="103" t="s">
        <v>17</v>
      </c>
      <c r="I428" s="103">
        <f>IFERROR(VLOOKUP(A428,#REF!,15,0),0)+IFERROR(VLOOKUP(A428,#REF!,25,0),0)+IFERROR(VLOOKUP(A428,#REF!,10,0),0)+IFERROR(VLOOKUP(A428,#REF!,14,0),0)+IFERROR(VLOOKUP(A428,#REF!,10,0),0)+IFERROR(VLOOKUP(A428,#REF!,10,0),0)+IFERROR(VLOOKUP(A428,#REF!,10,0),0)+IFERROR(VLOOKUP(A428,#REF!,9,0),0)+IFERROR(VLOOKUP(A428,#REF!,9,0),0)+IFERROR(VLOOKUP(A428,#REF!,9,0),0)+IFERROR(VLOOKUP(A428,#REF!,9,0),0)</f>
        <v>0</v>
      </c>
      <c r="J428" s="104">
        <f>IFERROR(VLOOKUP(A428,#REF!,16,0),0)+IFERROR(VLOOKUP(A428,#REF!,26,0),0)+IFERROR(VLOOKUP(A428,#REF!,11,0),0)+IFERROR(VLOOKUP(A428,#REF!,23,0),0)+IFERROR(VLOOKUP(A428,#REF!,11,0),0)+IFERROR(VLOOKUP(A428,#REF!,11,0),0)+IFERROR(VLOOKUP(A428,#REF!,11,0),0)</f>
        <v>0</v>
      </c>
      <c r="K428" s="96" t="str">
        <f>"07.02.24"</f>
        <v>07.02.24</v>
      </c>
    </row>
    <row r="429" spans="1:11" ht="11.25" customHeight="1" outlineLevel="1">
      <c r="A429" s="89" t="n">
        <v>1746190</v>
      </c>
      <c r="B429" s="114" t="s">
        <v>601</v>
      </c>
      <c r="C429" s="89" t="s">
        <v>684</v>
      </c>
      <c r="D429" s="89" t="s">
        <v>15</v>
      </c>
      <c r="E429" s="89" t="s">
        <v>651</v>
      </c>
      <c r="F429" s="102" t="n">
        <v>13927</v>
      </c>
      <c r="G429" s="102" t="n">
        <v>18802</v>
      </c>
      <c r="H429" s="103" t="s">
        <v>17</v>
      </c>
      <c r="I429" s="103">
        <f>IFERROR(VLOOKUP(A429,#REF!,15,0),0)+IFERROR(VLOOKUP(A429,#REF!,25,0),0)+IFERROR(VLOOKUP(A429,#REF!,10,0),0)+IFERROR(VLOOKUP(A429,#REF!,14,0),0)+IFERROR(VLOOKUP(A429,#REF!,10,0),0)+IFERROR(VLOOKUP(A429,#REF!,10,0),0)+IFERROR(VLOOKUP(A429,#REF!,10,0),0)+IFERROR(VLOOKUP(A429,#REF!,9,0),0)+IFERROR(VLOOKUP(A429,#REF!,9,0),0)+IFERROR(VLOOKUP(A429,#REF!,9,0),0)+IFERROR(VLOOKUP(A429,#REF!,9,0),0)</f>
        <v>0</v>
      </c>
      <c r="J429" s="104">
        <f>IFERROR(VLOOKUP(A429,#REF!,16,0),0)+IFERROR(VLOOKUP(A429,#REF!,26,0),0)+IFERROR(VLOOKUP(A429,#REF!,11,0),0)+IFERROR(VLOOKUP(A429,#REF!,23,0),0)+IFERROR(VLOOKUP(A429,#REF!,11,0),0)+IFERROR(VLOOKUP(A429,#REF!,11,0),0)+IFERROR(VLOOKUP(A429,#REF!,11,0),0)</f>
        <v>0</v>
      </c>
      <c r="K429" s="96" t="str">
        <f>"07.02.24"</f>
        <v>07.02.24</v>
      </c>
    </row>
    <row r="430" spans="1:11" ht="11.25" customHeight="1" outlineLevel="1">
      <c r="A430" s="89" t="n">
        <v>10082</v>
      </c>
      <c r="B430" s="114" t="s">
        <v>601</v>
      </c>
      <c r="C430" s="89" t="s">
        <v>685</v>
      </c>
      <c r="D430" s="89" t="s">
        <v>15</v>
      </c>
      <c r="E430" s="89" t="s">
        <v>686</v>
      </c>
      <c r="F430" s="102" t="n">
        <v>4775</v>
      </c>
      <c r="G430" s="102" t="n">
        <v>6446</v>
      </c>
      <c r="H430" s="103" t="s">
        <v>17</v>
      </c>
      <c r="I430" s="103">
        <f>IFERROR(VLOOKUP(A430,#REF!,15,0),0)+IFERROR(VLOOKUP(A430,#REF!,25,0),0)+IFERROR(VLOOKUP(A430,#REF!,10,0),0)+IFERROR(VLOOKUP(A430,#REF!,14,0),0)+IFERROR(VLOOKUP(A430,#REF!,10,0),0)+IFERROR(VLOOKUP(A430,#REF!,10,0),0)+IFERROR(VLOOKUP(A430,#REF!,10,0),0)+IFERROR(VLOOKUP(A430,#REF!,9,0),0)+IFERROR(VLOOKUP(A430,#REF!,9,0),0)+IFERROR(VLOOKUP(A430,#REF!,9,0),0)+IFERROR(VLOOKUP(A430,#REF!,9,0),0)</f>
        <v>0</v>
      </c>
      <c r="J430" s="104">
        <f>IFERROR(VLOOKUP(A430,#REF!,16,0),0)+IFERROR(VLOOKUP(A430,#REF!,26,0),0)+IFERROR(VLOOKUP(A430,#REF!,11,0),0)+IFERROR(VLOOKUP(A430,#REF!,23,0),0)+IFERROR(VLOOKUP(A430,#REF!,11,0),0)+IFERROR(VLOOKUP(A430,#REF!,11,0),0)+IFERROR(VLOOKUP(A430,#REF!,11,0),0)</f>
        <v>0</v>
      </c>
      <c r="K430" s="96" t="str">
        <f>"07.02.24"</f>
        <v>07.02.24</v>
      </c>
    </row>
    <row r="431" spans="1:11" ht="11.25" customHeight="1" outlineLevel="1">
      <c r="A431" s="89" t="n">
        <v>13024</v>
      </c>
      <c r="B431" s="114" t="s">
        <v>601</v>
      </c>
      <c r="C431" s="89" t="s">
        <v>687</v>
      </c>
      <c r="D431" s="89" t="s">
        <v>15</v>
      </c>
      <c r="E431" s="89" t="s">
        <v>688</v>
      </c>
      <c r="F431" s="102" t="n">
        <v>6374</v>
      </c>
      <c r="G431" s="102" t="n">
        <v>8605</v>
      </c>
      <c r="H431" s="103" t="s">
        <v>17</v>
      </c>
      <c r="I431" s="103">
        <f>IFERROR(VLOOKUP(A431,#REF!,15,0),0)+IFERROR(VLOOKUP(A431,#REF!,25,0),0)+IFERROR(VLOOKUP(A431,#REF!,10,0),0)+IFERROR(VLOOKUP(A431,#REF!,14,0),0)+IFERROR(VLOOKUP(A431,#REF!,10,0),0)+IFERROR(VLOOKUP(A431,#REF!,10,0),0)+IFERROR(VLOOKUP(A431,#REF!,10,0),0)+IFERROR(VLOOKUP(A431,#REF!,9,0),0)+IFERROR(VLOOKUP(A431,#REF!,9,0),0)+IFERROR(VLOOKUP(A431,#REF!,9,0),0)+IFERROR(VLOOKUP(A431,#REF!,9,0),0)</f>
        <v>0</v>
      </c>
      <c r="J431" s="104">
        <f>IFERROR(VLOOKUP(A431,#REF!,16,0),0)+IFERROR(VLOOKUP(A431,#REF!,26,0),0)+IFERROR(VLOOKUP(A431,#REF!,11,0),0)+IFERROR(VLOOKUP(A431,#REF!,23,0),0)+IFERROR(VLOOKUP(A431,#REF!,11,0),0)+IFERROR(VLOOKUP(A431,#REF!,11,0),0)+IFERROR(VLOOKUP(A431,#REF!,11,0),0)</f>
        <v>0</v>
      </c>
      <c r="K431" s="96" t="str">
        <f>"07.02.24"</f>
        <v>07.02.24</v>
      </c>
    </row>
    <row r="432" spans="1:11" ht="11.25" customHeight="1" outlineLevel="1">
      <c r="A432" s="89" t="n">
        <v>10086</v>
      </c>
      <c r="B432" s="114" t="s">
        <v>601</v>
      </c>
      <c r="C432" s="89" t="s">
        <v>689</v>
      </c>
      <c r="D432" s="89" t="s">
        <v>15</v>
      </c>
      <c r="E432" s="89" t="s">
        <v>690</v>
      </c>
      <c r="F432" s="102" t="n">
        <v>6374</v>
      </c>
      <c r="G432" s="102" t="n">
        <v>8605</v>
      </c>
      <c r="H432" s="103" t="s">
        <v>17</v>
      </c>
      <c r="I432" s="103">
        <f>IFERROR(VLOOKUP(A432,#REF!,15,0),0)+IFERROR(VLOOKUP(A432,#REF!,25,0),0)+IFERROR(VLOOKUP(A432,#REF!,10,0),0)+IFERROR(VLOOKUP(A432,#REF!,14,0),0)+IFERROR(VLOOKUP(A432,#REF!,10,0),0)+IFERROR(VLOOKUP(A432,#REF!,10,0),0)+IFERROR(VLOOKUP(A432,#REF!,10,0),0)+IFERROR(VLOOKUP(A432,#REF!,9,0),0)+IFERROR(VLOOKUP(A432,#REF!,9,0),0)+IFERROR(VLOOKUP(A432,#REF!,9,0),0)+IFERROR(VLOOKUP(A432,#REF!,9,0),0)</f>
        <v>0</v>
      </c>
      <c r="J432" s="104">
        <f>IFERROR(VLOOKUP(A432,#REF!,16,0),0)+IFERROR(VLOOKUP(A432,#REF!,26,0),0)+IFERROR(VLOOKUP(A432,#REF!,11,0),0)+IFERROR(VLOOKUP(A432,#REF!,23,0),0)+IFERROR(VLOOKUP(A432,#REF!,11,0),0)+IFERROR(VLOOKUP(A432,#REF!,11,0),0)+IFERROR(VLOOKUP(A432,#REF!,11,0),0)</f>
        <v>0</v>
      </c>
      <c r="K432" s="96" t="str">
        <f>"07.02.24"</f>
        <v>07.02.24</v>
      </c>
    </row>
    <row r="433" spans="1:11" ht="11.25" customHeight="1" outlineLevel="1">
      <c r="A433" s="89" t="n">
        <v>25667</v>
      </c>
      <c r="B433" s="114" t="s">
        <v>601</v>
      </c>
      <c r="C433" s="89" t="s">
        <v>691</v>
      </c>
      <c r="D433" s="89" t="s">
        <v>15</v>
      </c>
      <c r="E433" s="89" t="s">
        <v>692</v>
      </c>
      <c r="F433" s="102" t="n">
        <v>3860</v>
      </c>
      <c r="G433" s="102" t="n">
        <v>5211</v>
      </c>
      <c r="H433" s="103" t="s">
        <v>17</v>
      </c>
      <c r="I433" s="103">
        <f>IFERROR(VLOOKUP(A433,#REF!,15,0),0)+IFERROR(VLOOKUP(A433,#REF!,25,0),0)+IFERROR(VLOOKUP(A433,#REF!,10,0),0)+IFERROR(VLOOKUP(A433,#REF!,14,0),0)+IFERROR(VLOOKUP(A433,#REF!,10,0),0)+IFERROR(VLOOKUP(A433,#REF!,10,0),0)+IFERROR(VLOOKUP(A433,#REF!,10,0),0)+IFERROR(VLOOKUP(A433,#REF!,9,0),0)+IFERROR(VLOOKUP(A433,#REF!,9,0),0)+IFERROR(VLOOKUP(A433,#REF!,9,0),0)+IFERROR(VLOOKUP(A433,#REF!,9,0),0)</f>
        <v>0</v>
      </c>
      <c r="J433" s="104">
        <f>IFERROR(VLOOKUP(A433,#REF!,16,0),0)+IFERROR(VLOOKUP(A433,#REF!,26,0),0)+IFERROR(VLOOKUP(A433,#REF!,11,0),0)+IFERROR(VLOOKUP(A433,#REF!,23,0),0)+IFERROR(VLOOKUP(A433,#REF!,11,0),0)+IFERROR(VLOOKUP(A433,#REF!,11,0),0)+IFERROR(VLOOKUP(A433,#REF!,11,0),0)</f>
        <v>0</v>
      </c>
      <c r="K433" s="96" t="str">
        <f>"07.02.24"</f>
        <v>07.02.24</v>
      </c>
    </row>
    <row r="434" spans="1:11" ht="11.25" customHeight="1" outlineLevel="1">
      <c r="A434" s="89" t="n">
        <v>16464</v>
      </c>
      <c r="B434" s="114" t="s">
        <v>601</v>
      </c>
      <c r="C434" s="89" t="s">
        <v>693</v>
      </c>
      <c r="D434" s="89" t="s">
        <v>15</v>
      </c>
      <c r="E434" s="89" t="s">
        <v>694</v>
      </c>
      <c r="F434" s="102" t="n">
        <v>2077</v>
      </c>
      <c r="G434" s="102" t="n">
        <v>2804</v>
      </c>
      <c r="H434" s="103" t="s">
        <v>48</v>
      </c>
      <c r="I434" s="103">
        <f>IFERROR(VLOOKUP(A434,#REF!,15,0),0)+IFERROR(VLOOKUP(A434,#REF!,25,0),0)+IFERROR(VLOOKUP(A434,#REF!,10,0),0)+IFERROR(VLOOKUP(A434,#REF!,14,0),0)+IFERROR(VLOOKUP(A434,#REF!,10,0),0)+IFERROR(VLOOKUP(A434,#REF!,10,0),0)+IFERROR(VLOOKUP(A434,#REF!,10,0),0)+IFERROR(VLOOKUP(A434,#REF!,9,0),0)+IFERROR(VLOOKUP(A434,#REF!,9,0),0)+IFERROR(VLOOKUP(A434,#REF!,9,0),0)+IFERROR(VLOOKUP(A434,#REF!,9,0),0)</f>
        <v>0</v>
      </c>
      <c r="J434" s="104">
        <f>IFERROR(VLOOKUP(A434,#REF!,16,0),0)+IFERROR(VLOOKUP(A434,#REF!,26,0),0)+IFERROR(VLOOKUP(A434,#REF!,11,0),0)+IFERROR(VLOOKUP(A434,#REF!,23,0),0)+IFERROR(VLOOKUP(A434,#REF!,11,0),0)+IFERROR(VLOOKUP(A434,#REF!,11,0),0)+IFERROR(VLOOKUP(A434,#REF!,11,0),0)</f>
        <v>0</v>
      </c>
      <c r="K434" s="96" t="str">
        <f>"07.02.24"</f>
        <v>07.02.24</v>
      </c>
    </row>
    <row r="435" spans="1:11" ht="11.25" customHeight="1" outlineLevel="1">
      <c r="A435" s="89" t="n">
        <v>28964</v>
      </c>
      <c r="B435" s="114" t="s">
        <v>601</v>
      </c>
      <c r="C435" s="89" t="s">
        <v>695</v>
      </c>
      <c r="D435" s="89" t="s">
        <v>15</v>
      </c>
      <c r="E435" s="89" t="s">
        <v>694</v>
      </c>
      <c r="F435" s="102" t="n">
        <v>2077</v>
      </c>
      <c r="G435" s="102" t="n">
        <v>2804</v>
      </c>
      <c r="H435" s="103" t="s">
        <v>17</v>
      </c>
      <c r="I435" s="103">
        <f>IFERROR(VLOOKUP(A435,#REF!,15,0),0)+IFERROR(VLOOKUP(A435,#REF!,25,0),0)+IFERROR(VLOOKUP(A435,#REF!,10,0),0)+IFERROR(VLOOKUP(A435,#REF!,14,0),0)+IFERROR(VLOOKUP(A435,#REF!,10,0),0)+IFERROR(VLOOKUP(A435,#REF!,10,0),0)+IFERROR(VLOOKUP(A435,#REF!,10,0),0)+IFERROR(VLOOKUP(A435,#REF!,9,0),0)+IFERROR(VLOOKUP(A435,#REF!,9,0),0)+IFERROR(VLOOKUP(A435,#REF!,9,0),0)+IFERROR(VLOOKUP(A435,#REF!,9,0),0)</f>
        <v>0</v>
      </c>
      <c r="J435" s="104">
        <f>IFERROR(VLOOKUP(A435,#REF!,16,0),0)+IFERROR(VLOOKUP(A435,#REF!,26,0),0)+IFERROR(VLOOKUP(A435,#REF!,11,0),0)+IFERROR(VLOOKUP(A435,#REF!,23,0),0)+IFERROR(VLOOKUP(A435,#REF!,11,0),0)+IFERROR(VLOOKUP(A435,#REF!,11,0),0)+IFERROR(VLOOKUP(A435,#REF!,11,0),0)</f>
        <v>0</v>
      </c>
      <c r="K435" s="96" t="str">
        <f>"07.02.24"</f>
        <v>07.02.24</v>
      </c>
    </row>
    <row r="436" spans="1:11" ht="11.25" customHeight="1" outlineLevel="1">
      <c r="A436" s="89" t="n">
        <v>22926</v>
      </c>
      <c r="B436" s="114" t="s">
        <v>601</v>
      </c>
      <c r="C436" s="89" t="s">
        <v>696</v>
      </c>
      <c r="D436" s="89" t="s">
        <v>15</v>
      </c>
      <c r="E436" s="89" t="s">
        <v>697</v>
      </c>
      <c r="F436" s="102" t="n">
        <v>2077</v>
      </c>
      <c r="G436" s="102" t="n">
        <v>2804</v>
      </c>
      <c r="H436" s="103" t="s">
        <v>17</v>
      </c>
      <c r="I436" s="103">
        <f>IFERROR(VLOOKUP(A436,#REF!,15,0),0)+IFERROR(VLOOKUP(A436,#REF!,25,0),0)+IFERROR(VLOOKUP(A436,#REF!,10,0),0)+IFERROR(VLOOKUP(A436,#REF!,14,0),0)+IFERROR(VLOOKUP(A436,#REF!,10,0),0)+IFERROR(VLOOKUP(A436,#REF!,10,0),0)+IFERROR(VLOOKUP(A436,#REF!,10,0),0)+IFERROR(VLOOKUP(A436,#REF!,9,0),0)+IFERROR(VLOOKUP(A436,#REF!,9,0),0)+IFERROR(VLOOKUP(A436,#REF!,9,0),0)+IFERROR(VLOOKUP(A436,#REF!,9,0),0)</f>
        <v>0</v>
      </c>
      <c r="J436" s="104">
        <f>IFERROR(VLOOKUP(A436,#REF!,16,0),0)+IFERROR(VLOOKUP(A436,#REF!,26,0),0)+IFERROR(VLOOKUP(A436,#REF!,11,0),0)+IFERROR(VLOOKUP(A436,#REF!,23,0),0)+IFERROR(VLOOKUP(A436,#REF!,11,0),0)+IFERROR(VLOOKUP(A436,#REF!,11,0),0)+IFERROR(VLOOKUP(A436,#REF!,11,0),0)</f>
        <v>0</v>
      </c>
      <c r="K436" s="96" t="str">
        <f>"07.02.24"</f>
        <v>07.02.24</v>
      </c>
    </row>
    <row r="437" spans="1:11" ht="11.25" customHeight="1" outlineLevel="1">
      <c r="A437" s="89" t="n">
        <v>16463</v>
      </c>
      <c r="B437" s="114" t="s">
        <v>601</v>
      </c>
      <c r="C437" s="89" t="s">
        <v>698</v>
      </c>
      <c r="D437" s="89" t="s">
        <v>15</v>
      </c>
      <c r="E437" s="89" t="s">
        <v>699</v>
      </c>
      <c r="F437" s="102" t="n">
        <v>1555</v>
      </c>
      <c r="G437" s="102" t="n">
        <v>2101</v>
      </c>
      <c r="H437" s="103" t="s">
        <v>48</v>
      </c>
      <c r="I437" s="103">
        <f>IFERROR(VLOOKUP(A437,#REF!,15,0),0)+IFERROR(VLOOKUP(A437,#REF!,25,0),0)+IFERROR(VLOOKUP(A437,#REF!,10,0),0)+IFERROR(VLOOKUP(A437,#REF!,14,0),0)+IFERROR(VLOOKUP(A437,#REF!,10,0),0)+IFERROR(VLOOKUP(A437,#REF!,10,0),0)+IFERROR(VLOOKUP(A437,#REF!,10,0),0)+IFERROR(VLOOKUP(A437,#REF!,9,0),0)+IFERROR(VLOOKUP(A437,#REF!,9,0),0)+IFERROR(VLOOKUP(A437,#REF!,9,0),0)+IFERROR(VLOOKUP(A437,#REF!,9,0),0)</f>
        <v>0</v>
      </c>
      <c r="J437" s="104">
        <f>IFERROR(VLOOKUP(A437,#REF!,16,0),0)+IFERROR(VLOOKUP(A437,#REF!,26,0),0)+IFERROR(VLOOKUP(A437,#REF!,11,0),0)+IFERROR(VLOOKUP(A437,#REF!,23,0),0)+IFERROR(VLOOKUP(A437,#REF!,11,0),0)+IFERROR(VLOOKUP(A437,#REF!,11,0),0)+IFERROR(VLOOKUP(A437,#REF!,11,0),0)</f>
        <v>0</v>
      </c>
      <c r="K437" s="96" t="str">
        <f>"07.02.24"</f>
        <v>07.02.24</v>
      </c>
    </row>
    <row r="438" spans="1:11" ht="11.25" customHeight="1" outlineLevel="1">
      <c r="A438" s="89" t="n">
        <v>22925</v>
      </c>
      <c r="B438" s="114" t="s">
        <v>601</v>
      </c>
      <c r="C438" s="89" t="s">
        <v>700</v>
      </c>
      <c r="D438" s="89" t="s">
        <v>15</v>
      </c>
      <c r="E438" s="89" t="s">
        <v>701</v>
      </c>
      <c r="F438" s="102" t="n">
        <v>1783</v>
      </c>
      <c r="G438" s="102" t="n">
        <v>2408</v>
      </c>
      <c r="H438" s="103" t="s">
        <v>48</v>
      </c>
      <c r="I438" s="103">
        <f>IFERROR(VLOOKUP(A438,#REF!,15,0),0)+IFERROR(VLOOKUP(A438,#REF!,25,0),0)+IFERROR(VLOOKUP(A438,#REF!,10,0),0)+IFERROR(VLOOKUP(A438,#REF!,14,0),0)+IFERROR(VLOOKUP(A438,#REF!,10,0),0)+IFERROR(VLOOKUP(A438,#REF!,10,0),0)+IFERROR(VLOOKUP(A438,#REF!,10,0),0)+IFERROR(VLOOKUP(A438,#REF!,9,0),0)+IFERROR(VLOOKUP(A438,#REF!,9,0),0)+IFERROR(VLOOKUP(A438,#REF!,9,0),0)+IFERROR(VLOOKUP(A438,#REF!,9,0),0)</f>
        <v>0</v>
      </c>
      <c r="J438" s="104">
        <f>IFERROR(VLOOKUP(A438,#REF!,16,0),0)+IFERROR(VLOOKUP(A438,#REF!,26,0),0)+IFERROR(VLOOKUP(A438,#REF!,11,0),0)+IFERROR(VLOOKUP(A438,#REF!,23,0),0)+IFERROR(VLOOKUP(A438,#REF!,11,0),0)+IFERROR(VLOOKUP(A438,#REF!,11,0),0)+IFERROR(VLOOKUP(A438,#REF!,11,0),0)</f>
        <v>0</v>
      </c>
      <c r="K438" s="96" t="str">
        <f>"07.02.24"</f>
        <v>07.02.24</v>
      </c>
    </row>
    <row r="439" spans="1:11" ht="11.25" customHeight="1" outlineLevel="1">
      <c r="A439" s="89" t="n">
        <v>13047</v>
      </c>
      <c r="B439" s="114" t="s">
        <v>601</v>
      </c>
      <c r="C439" s="89" t="s">
        <v>702</v>
      </c>
      <c r="D439" s="89" t="s">
        <v>15</v>
      </c>
      <c r="E439" s="89" t="s">
        <v>703</v>
      </c>
      <c r="F439" s="102" t="n">
        <v>1783</v>
      </c>
      <c r="G439" s="102" t="n">
        <v>2408</v>
      </c>
      <c r="H439" s="103" t="s">
        <v>48</v>
      </c>
      <c r="I439" s="103">
        <f>IFERROR(VLOOKUP(A439,#REF!,15,0),0)+IFERROR(VLOOKUP(A439,#REF!,25,0),0)+IFERROR(VLOOKUP(A439,#REF!,10,0),0)+IFERROR(VLOOKUP(A439,#REF!,14,0),0)+IFERROR(VLOOKUP(A439,#REF!,10,0),0)+IFERROR(VLOOKUP(A439,#REF!,10,0),0)+IFERROR(VLOOKUP(A439,#REF!,10,0),0)+IFERROR(VLOOKUP(A439,#REF!,9,0),0)+IFERROR(VLOOKUP(A439,#REF!,9,0),0)+IFERROR(VLOOKUP(A439,#REF!,9,0),0)+IFERROR(VLOOKUP(A439,#REF!,9,0),0)</f>
        <v>0</v>
      </c>
      <c r="J439" s="104">
        <f>IFERROR(VLOOKUP(A439,#REF!,16,0),0)+IFERROR(VLOOKUP(A439,#REF!,26,0),0)+IFERROR(VLOOKUP(A439,#REF!,11,0),0)+IFERROR(VLOOKUP(A439,#REF!,23,0),0)+IFERROR(VLOOKUP(A439,#REF!,11,0),0)+IFERROR(VLOOKUP(A439,#REF!,11,0),0)+IFERROR(VLOOKUP(A439,#REF!,11,0),0)</f>
        <v>0</v>
      </c>
      <c r="K439" s="96" t="str">
        <f>"07.02.24"</f>
        <v>07.02.24</v>
      </c>
    </row>
    <row r="440" spans="1:11" ht="11.25" customHeight="1" outlineLevel="1">
      <c r="A440" s="89" t="n">
        <v>36668</v>
      </c>
      <c r="B440" s="114" t="s">
        <v>601</v>
      </c>
      <c r="C440" s="89" t="s">
        <v>704</v>
      </c>
      <c r="D440" s="89" t="s">
        <v>15</v>
      </c>
      <c r="E440" s="89" t="s">
        <v>705</v>
      </c>
      <c r="F440" s="102" t="n">
        <v>1895</v>
      </c>
      <c r="G440" s="102" t="n">
        <v>2558</v>
      </c>
      <c r="H440" s="103" t="s">
        <v>17</v>
      </c>
      <c r="I440" s="103">
        <f>IFERROR(VLOOKUP(A440,#REF!,15,0),0)+IFERROR(VLOOKUP(A440,#REF!,25,0),0)+IFERROR(VLOOKUP(A440,#REF!,10,0),0)+IFERROR(VLOOKUP(A440,#REF!,14,0),0)+IFERROR(VLOOKUP(A440,#REF!,10,0),0)+IFERROR(VLOOKUP(A440,#REF!,10,0),0)+IFERROR(VLOOKUP(A440,#REF!,10,0),0)+IFERROR(VLOOKUP(A440,#REF!,9,0),0)+IFERROR(VLOOKUP(A440,#REF!,9,0),0)+IFERROR(VLOOKUP(A440,#REF!,9,0),0)+IFERROR(VLOOKUP(A440,#REF!,9,0),0)</f>
        <v>0</v>
      </c>
      <c r="J440" s="104">
        <f>IFERROR(VLOOKUP(A440,#REF!,16,0),0)+IFERROR(VLOOKUP(A440,#REF!,26,0),0)+IFERROR(VLOOKUP(A440,#REF!,11,0),0)+IFERROR(VLOOKUP(A440,#REF!,23,0),0)+IFERROR(VLOOKUP(A440,#REF!,11,0),0)+IFERROR(VLOOKUP(A440,#REF!,11,0),0)+IFERROR(VLOOKUP(A440,#REF!,11,0),0)</f>
        <v>0</v>
      </c>
      <c r="K440" s="96" t="str">
        <f>"07.02.24"</f>
        <v>07.02.24</v>
      </c>
    </row>
    <row r="441" spans="1:11" ht="11.25" customHeight="1" outlineLevel="1">
      <c r="A441" s="89" t="n">
        <v>13055</v>
      </c>
      <c r="B441" s="114" t="s">
        <v>601</v>
      </c>
      <c r="C441" s="89" t="s">
        <v>706</v>
      </c>
      <c r="D441" s="89" t="s">
        <v>15</v>
      </c>
      <c r="E441" s="89" t="s">
        <v>707</v>
      </c>
      <c r="F441" s="102" t="n">
        <v>7658</v>
      </c>
      <c r="G441" s="102" t="n">
        <v>10339</v>
      </c>
      <c r="H441" s="103" t="s">
        <v>17</v>
      </c>
      <c r="I441" s="103">
        <f>IFERROR(VLOOKUP(A441,#REF!,15,0),0)+IFERROR(VLOOKUP(A441,#REF!,25,0),0)+IFERROR(VLOOKUP(A441,#REF!,10,0),0)+IFERROR(VLOOKUP(A441,#REF!,14,0),0)+IFERROR(VLOOKUP(A441,#REF!,10,0),0)+IFERROR(VLOOKUP(A441,#REF!,10,0),0)+IFERROR(VLOOKUP(A441,#REF!,10,0),0)+IFERROR(VLOOKUP(A441,#REF!,9,0),0)+IFERROR(VLOOKUP(A441,#REF!,9,0),0)+IFERROR(VLOOKUP(A441,#REF!,9,0),0)+IFERROR(VLOOKUP(A441,#REF!,9,0),0)</f>
        <v>0</v>
      </c>
      <c r="J441" s="104">
        <f>IFERROR(VLOOKUP(A441,#REF!,16,0),0)+IFERROR(VLOOKUP(A441,#REF!,26,0),0)+IFERROR(VLOOKUP(A441,#REF!,11,0),0)+IFERROR(VLOOKUP(A441,#REF!,23,0),0)+IFERROR(VLOOKUP(A441,#REF!,11,0),0)+IFERROR(VLOOKUP(A441,#REF!,11,0),0)+IFERROR(VLOOKUP(A441,#REF!,11,0),0)</f>
        <v>0</v>
      </c>
      <c r="K441" s="96" t="str">
        <f>"07.02.24"</f>
        <v>07.02.24</v>
      </c>
    </row>
    <row r="442" spans="1:11" ht="11.25" customHeight="1" outlineLevel="1">
      <c r="A442" s="89" t="n">
        <v>13059</v>
      </c>
      <c r="B442" s="114" t="s">
        <v>601</v>
      </c>
      <c r="C442" s="89" t="s">
        <v>708</v>
      </c>
      <c r="D442" s="89" t="s">
        <v>15</v>
      </c>
      <c r="E442" s="89" t="s">
        <v>709</v>
      </c>
      <c r="F442" s="102" t="n">
        <v>7933</v>
      </c>
      <c r="G442" s="102" t="n">
        <v>10710</v>
      </c>
      <c r="H442" s="103" t="s">
        <v>17</v>
      </c>
      <c r="I442" s="103">
        <f>IFERROR(VLOOKUP(A442,#REF!,15,0),0)+IFERROR(VLOOKUP(A442,#REF!,25,0),0)+IFERROR(VLOOKUP(A442,#REF!,10,0),0)+IFERROR(VLOOKUP(A442,#REF!,14,0),0)+IFERROR(VLOOKUP(A442,#REF!,10,0),0)+IFERROR(VLOOKUP(A442,#REF!,10,0),0)+IFERROR(VLOOKUP(A442,#REF!,10,0),0)+IFERROR(VLOOKUP(A442,#REF!,9,0),0)+IFERROR(VLOOKUP(A442,#REF!,9,0),0)+IFERROR(VLOOKUP(A442,#REF!,9,0),0)+IFERROR(VLOOKUP(A442,#REF!,9,0),0)</f>
        <v>0</v>
      </c>
      <c r="J442" s="104">
        <f>IFERROR(VLOOKUP(A442,#REF!,16,0),0)+IFERROR(VLOOKUP(A442,#REF!,26,0),0)+IFERROR(VLOOKUP(A442,#REF!,11,0),0)+IFERROR(VLOOKUP(A442,#REF!,23,0),0)+IFERROR(VLOOKUP(A442,#REF!,11,0),0)+IFERROR(VLOOKUP(A442,#REF!,11,0),0)+IFERROR(VLOOKUP(A442,#REF!,11,0),0)</f>
        <v>0</v>
      </c>
      <c r="K442" s="96" t="str">
        <f>"07.02.24"</f>
        <v>07.02.24</v>
      </c>
    </row>
    <row r="443" spans="1:11" ht="11.25" customHeight="1" outlineLevel="1">
      <c r="A443" s="89" t="n">
        <v>8873</v>
      </c>
      <c r="B443" s="114" t="s">
        <v>601</v>
      </c>
      <c r="C443" s="89" t="s">
        <v>710</v>
      </c>
      <c r="D443" s="89" t="s">
        <v>15</v>
      </c>
      <c r="E443" s="89" t="s">
        <v>707</v>
      </c>
      <c r="F443" s="102" t="n">
        <v>7798</v>
      </c>
      <c r="G443" s="102" t="n">
        <v>10528</v>
      </c>
      <c r="H443" s="103" t="s">
        <v>17</v>
      </c>
      <c r="I443" s="103">
        <f>IFERROR(VLOOKUP(A443,#REF!,15,0),0)+IFERROR(VLOOKUP(A443,#REF!,25,0),0)+IFERROR(VLOOKUP(A443,#REF!,10,0),0)+IFERROR(VLOOKUP(A443,#REF!,14,0),0)+IFERROR(VLOOKUP(A443,#REF!,10,0),0)+IFERROR(VLOOKUP(A443,#REF!,10,0),0)+IFERROR(VLOOKUP(A443,#REF!,10,0),0)+IFERROR(VLOOKUP(A443,#REF!,9,0),0)+IFERROR(VLOOKUP(A443,#REF!,9,0),0)+IFERROR(VLOOKUP(A443,#REF!,9,0),0)+IFERROR(VLOOKUP(A443,#REF!,9,0),0)</f>
        <v>0</v>
      </c>
      <c r="J443" s="104">
        <f>IFERROR(VLOOKUP(A443,#REF!,16,0),0)+IFERROR(VLOOKUP(A443,#REF!,26,0),0)+IFERROR(VLOOKUP(A443,#REF!,11,0),0)+IFERROR(VLOOKUP(A443,#REF!,23,0),0)+IFERROR(VLOOKUP(A443,#REF!,11,0),0)+IFERROR(VLOOKUP(A443,#REF!,11,0),0)+IFERROR(VLOOKUP(A443,#REF!,11,0),0)</f>
        <v>0</v>
      </c>
      <c r="K443" s="96" t="str">
        <f>"07.02.24"</f>
        <v>07.02.24</v>
      </c>
    </row>
    <row r="444" spans="1:11" ht="11.25" customHeight="1" outlineLevel="1">
      <c r="A444" s="89" t="n">
        <v>8874</v>
      </c>
      <c r="B444" s="114" t="s">
        <v>601</v>
      </c>
      <c r="C444" s="89" t="s">
        <v>711</v>
      </c>
      <c r="D444" s="89" t="s">
        <v>15</v>
      </c>
      <c r="E444" s="89" t="s">
        <v>709</v>
      </c>
      <c r="F444" s="102" t="n">
        <v>8212</v>
      </c>
      <c r="G444" s="102" t="n">
        <v>11085</v>
      </c>
      <c r="H444" s="103" t="s">
        <v>17</v>
      </c>
      <c r="I444" s="103">
        <f>IFERROR(VLOOKUP(A444,#REF!,15,0),0)+IFERROR(VLOOKUP(A444,#REF!,25,0),0)+IFERROR(VLOOKUP(A444,#REF!,10,0),0)+IFERROR(VLOOKUP(A444,#REF!,14,0),0)+IFERROR(VLOOKUP(A444,#REF!,10,0),0)+IFERROR(VLOOKUP(A444,#REF!,10,0),0)+IFERROR(VLOOKUP(A444,#REF!,10,0),0)+IFERROR(VLOOKUP(A444,#REF!,9,0),0)+IFERROR(VLOOKUP(A444,#REF!,9,0),0)+IFERROR(VLOOKUP(A444,#REF!,9,0),0)+IFERROR(VLOOKUP(A444,#REF!,9,0),0)</f>
        <v>0</v>
      </c>
      <c r="J444" s="104">
        <f>IFERROR(VLOOKUP(A444,#REF!,16,0),0)+IFERROR(VLOOKUP(A444,#REF!,26,0),0)+IFERROR(VLOOKUP(A444,#REF!,11,0),0)+IFERROR(VLOOKUP(A444,#REF!,23,0),0)+IFERROR(VLOOKUP(A444,#REF!,11,0),0)+IFERROR(VLOOKUP(A444,#REF!,11,0),0)+IFERROR(VLOOKUP(A444,#REF!,11,0),0)</f>
        <v>0</v>
      </c>
      <c r="K444" s="96" t="str">
        <f>"07.02.24"</f>
        <v>07.02.24</v>
      </c>
    </row>
    <row r="445" spans="1:11" ht="11.25" customHeight="1" outlineLevel="1">
      <c r="A445" s="89" t="n">
        <v>8080600</v>
      </c>
      <c r="B445" s="114" t="s">
        <v>601</v>
      </c>
      <c r="C445" s="89" t="s">
        <v>712</v>
      </c>
      <c r="D445" s="89" t="s">
        <v>15</v>
      </c>
      <c r="E445" s="89" t="s">
        <v>713</v>
      </c>
      <c r="F445" s="102" t="n">
        <v>5302</v>
      </c>
      <c r="G445" s="102" t="n">
        <v>7157</v>
      </c>
      <c r="H445" s="103" t="s">
        <v>17</v>
      </c>
      <c r="I445" s="103">
        <f>IFERROR(VLOOKUP(A445,#REF!,15,0),0)+IFERROR(VLOOKUP(A445,#REF!,25,0),0)+IFERROR(VLOOKUP(A445,#REF!,10,0),0)+IFERROR(VLOOKUP(A445,#REF!,14,0),0)+IFERROR(VLOOKUP(A445,#REF!,10,0),0)+IFERROR(VLOOKUP(A445,#REF!,10,0),0)+IFERROR(VLOOKUP(A445,#REF!,10,0),0)+IFERROR(VLOOKUP(A445,#REF!,9,0),0)+IFERROR(VLOOKUP(A445,#REF!,9,0),0)+IFERROR(VLOOKUP(A445,#REF!,9,0),0)+IFERROR(VLOOKUP(A445,#REF!,9,0),0)</f>
        <v>0</v>
      </c>
      <c r="J445" s="104">
        <f>IFERROR(VLOOKUP(A445,#REF!,16,0),0)+IFERROR(VLOOKUP(A445,#REF!,26,0),0)+IFERROR(VLOOKUP(A445,#REF!,11,0),0)+IFERROR(VLOOKUP(A445,#REF!,23,0),0)+IFERROR(VLOOKUP(A445,#REF!,11,0),0)+IFERROR(VLOOKUP(A445,#REF!,11,0),0)+IFERROR(VLOOKUP(A445,#REF!,11,0),0)</f>
        <v>0</v>
      </c>
      <c r="K445" s="96" t="str">
        <f>"07.02.24"</f>
        <v>07.02.24</v>
      </c>
    </row>
    <row r="446" spans="1:11" ht="11.25" customHeight="1" outlineLevel="1">
      <c r="A446" s="89" t="n">
        <v>10072</v>
      </c>
      <c r="B446" s="114" t="s">
        <v>601</v>
      </c>
      <c r="C446" s="89" t="s">
        <v>714</v>
      </c>
      <c r="D446" s="89" t="s">
        <v>15</v>
      </c>
      <c r="E446" s="89" t="s">
        <v>715</v>
      </c>
      <c r="F446" s="102" t="n">
        <v>360</v>
      </c>
      <c r="G446" s="102" t="n">
        <v>487</v>
      </c>
      <c r="H446" s="103" t="s">
        <v>17</v>
      </c>
      <c r="I446" s="103">
        <f>IFERROR(VLOOKUP(A446,#REF!,15,0),0)+IFERROR(VLOOKUP(A446,#REF!,25,0),0)+IFERROR(VLOOKUP(A446,#REF!,10,0),0)+IFERROR(VLOOKUP(A446,#REF!,14,0),0)+IFERROR(VLOOKUP(A446,#REF!,10,0),0)+IFERROR(VLOOKUP(A446,#REF!,10,0),0)+IFERROR(VLOOKUP(A446,#REF!,10,0),0)+IFERROR(VLOOKUP(A446,#REF!,9,0),0)+IFERROR(VLOOKUP(A446,#REF!,9,0),0)+IFERROR(VLOOKUP(A446,#REF!,9,0),0)+IFERROR(VLOOKUP(A446,#REF!,9,0),0)</f>
        <v>0</v>
      </c>
      <c r="J446" s="104">
        <f>IFERROR(VLOOKUP(A446,#REF!,16,0),0)+IFERROR(VLOOKUP(A446,#REF!,26,0),0)+IFERROR(VLOOKUP(A446,#REF!,11,0),0)+IFERROR(VLOOKUP(A446,#REF!,23,0),0)+IFERROR(VLOOKUP(A446,#REF!,11,0),0)+IFERROR(VLOOKUP(A446,#REF!,11,0),0)+IFERROR(VLOOKUP(A446,#REF!,11,0),0)</f>
        <v>0</v>
      </c>
      <c r="K446" s="96" t="str">
        <f>"07.02.24"</f>
        <v>07.02.24</v>
      </c>
    </row>
    <row r="447" spans="1:11" ht="11.25" customHeight="1" outlineLevel="1">
      <c r="A447" s="89" t="n">
        <v>16450</v>
      </c>
      <c r="B447" s="114" t="s">
        <v>601</v>
      </c>
      <c r="C447" s="89" t="s">
        <v>716</v>
      </c>
      <c r="D447" s="89" t="s">
        <v>15</v>
      </c>
      <c r="E447" s="89" t="s">
        <v>717</v>
      </c>
      <c r="F447" s="102" t="n">
        <v>360</v>
      </c>
      <c r="G447" s="102" t="n">
        <v>487</v>
      </c>
      <c r="H447" s="103" t="s">
        <v>17</v>
      </c>
      <c r="I447" s="103">
        <f>IFERROR(VLOOKUP(A447,#REF!,15,0),0)+IFERROR(VLOOKUP(A447,#REF!,25,0),0)+IFERROR(VLOOKUP(A447,#REF!,10,0),0)+IFERROR(VLOOKUP(A447,#REF!,14,0),0)+IFERROR(VLOOKUP(A447,#REF!,10,0),0)+IFERROR(VLOOKUP(A447,#REF!,10,0),0)+IFERROR(VLOOKUP(A447,#REF!,10,0),0)+IFERROR(VLOOKUP(A447,#REF!,9,0),0)+IFERROR(VLOOKUP(A447,#REF!,9,0),0)+IFERROR(VLOOKUP(A447,#REF!,9,0),0)+IFERROR(VLOOKUP(A447,#REF!,9,0),0)</f>
        <v>0</v>
      </c>
      <c r="J447" s="104">
        <f>IFERROR(VLOOKUP(A447,#REF!,16,0),0)+IFERROR(VLOOKUP(A447,#REF!,26,0),0)+IFERROR(VLOOKUP(A447,#REF!,11,0),0)+IFERROR(VLOOKUP(A447,#REF!,23,0),0)+IFERROR(VLOOKUP(A447,#REF!,11,0),0)+IFERROR(VLOOKUP(A447,#REF!,11,0),0)+IFERROR(VLOOKUP(A447,#REF!,11,0),0)</f>
        <v>0</v>
      </c>
      <c r="K447" s="96" t="str">
        <f>"07.02.24"</f>
        <v>07.02.24</v>
      </c>
    </row>
    <row r="448" spans="1:11" ht="11.25" customHeight="1" outlineLevel="1">
      <c r="A448" s="89" t="n">
        <v>21011</v>
      </c>
      <c r="B448" s="114" t="s">
        <v>601</v>
      </c>
      <c r="C448" s="89" t="s">
        <v>718</v>
      </c>
      <c r="D448" s="89" t="s">
        <v>15</v>
      </c>
      <c r="E448" s="89" t="s">
        <v>715</v>
      </c>
      <c r="F448" s="102" t="n">
        <v>1100</v>
      </c>
      <c r="G448" s="102" t="n">
        <v>1485</v>
      </c>
      <c r="H448" s="103" t="s">
        <v>17</v>
      </c>
      <c r="I448" s="103">
        <f>IFERROR(VLOOKUP(A448,#REF!,15,0),0)+IFERROR(VLOOKUP(A448,#REF!,25,0),0)+IFERROR(VLOOKUP(A448,#REF!,10,0),0)+IFERROR(VLOOKUP(A448,#REF!,14,0),0)+IFERROR(VLOOKUP(A448,#REF!,10,0),0)+IFERROR(VLOOKUP(A448,#REF!,10,0),0)+IFERROR(VLOOKUP(A448,#REF!,10,0),0)+IFERROR(VLOOKUP(A448,#REF!,9,0),0)+IFERROR(VLOOKUP(A448,#REF!,9,0),0)+IFERROR(VLOOKUP(A448,#REF!,9,0),0)+IFERROR(VLOOKUP(A448,#REF!,9,0),0)</f>
        <v>0</v>
      </c>
      <c r="J448" s="104">
        <f>IFERROR(VLOOKUP(A448,#REF!,16,0),0)+IFERROR(VLOOKUP(A448,#REF!,26,0),0)+IFERROR(VLOOKUP(A448,#REF!,11,0),0)+IFERROR(VLOOKUP(A448,#REF!,23,0),0)+IFERROR(VLOOKUP(A448,#REF!,11,0),0)+IFERROR(VLOOKUP(A448,#REF!,11,0),0)+IFERROR(VLOOKUP(A448,#REF!,11,0),0)</f>
        <v>0</v>
      </c>
      <c r="K448" s="96" t="str">
        <f>"07.02.24"</f>
        <v>07.02.24</v>
      </c>
    </row>
    <row r="449" spans="1:11" ht="11.25" customHeight="1" outlineLevel="1">
      <c r="A449" s="89" t="n">
        <v>10029</v>
      </c>
      <c r="B449" s="114" t="s">
        <v>601</v>
      </c>
      <c r="C449" s="89" t="s">
        <v>719</v>
      </c>
      <c r="D449" s="89" t="s">
        <v>15</v>
      </c>
      <c r="E449" s="89" t="s">
        <v>720</v>
      </c>
      <c r="F449" s="102" t="n">
        <v>131</v>
      </c>
      <c r="G449" s="102" t="n">
        <v>170</v>
      </c>
      <c r="H449" s="103" t="s">
        <v>17</v>
      </c>
      <c r="I449" s="103">
        <f>IFERROR(VLOOKUP(A449,#REF!,15,0),0)+IFERROR(VLOOKUP(A449,#REF!,25,0),0)+IFERROR(VLOOKUP(A449,#REF!,10,0),0)+IFERROR(VLOOKUP(A449,#REF!,14,0),0)+IFERROR(VLOOKUP(A449,#REF!,10,0),0)+IFERROR(VLOOKUP(A449,#REF!,10,0),0)+IFERROR(VLOOKUP(A449,#REF!,10,0),0)+IFERROR(VLOOKUP(A449,#REF!,9,0),0)+IFERROR(VLOOKUP(A449,#REF!,9,0),0)+IFERROR(VLOOKUP(A449,#REF!,9,0),0)+IFERROR(VLOOKUP(A449,#REF!,9,0),0)</f>
        <v>0</v>
      </c>
      <c r="J449" s="104">
        <f>IFERROR(VLOOKUP(A449,#REF!,16,0),0)+IFERROR(VLOOKUP(A449,#REF!,26,0),0)+IFERROR(VLOOKUP(A449,#REF!,11,0),0)+IFERROR(VLOOKUP(A449,#REF!,23,0),0)+IFERROR(VLOOKUP(A449,#REF!,11,0),0)+IFERROR(VLOOKUP(A449,#REF!,11,0),0)+IFERROR(VLOOKUP(A449,#REF!,11,0),0)</f>
        <v>0</v>
      </c>
      <c r="K449" s="96" t="str">
        <f>"07.02.24"</f>
        <v>07.02.24</v>
      </c>
    </row>
    <row r="450" spans="1:11" ht="11.25" customHeight="1" outlineLevel="1">
      <c r="A450" s="89" t="n">
        <v>63420</v>
      </c>
      <c r="B450" s="114" t="s">
        <v>601</v>
      </c>
      <c r="C450" s="89" t="s">
        <v>721</v>
      </c>
      <c r="D450" s="89" t="s">
        <v>15</v>
      </c>
      <c r="E450" s="89" t="s">
        <v>722</v>
      </c>
      <c r="F450" s="102" t="n">
        <v>208</v>
      </c>
      <c r="G450" s="102" t="n">
        <v>271</v>
      </c>
      <c r="H450" s="103" t="s">
        <v>17</v>
      </c>
      <c r="I450" s="103">
        <f>IFERROR(VLOOKUP(A450,#REF!,15,0),0)+IFERROR(VLOOKUP(A450,#REF!,25,0),0)+IFERROR(VLOOKUP(A450,#REF!,10,0),0)+IFERROR(VLOOKUP(A450,#REF!,14,0),0)+IFERROR(VLOOKUP(A450,#REF!,10,0),0)+IFERROR(VLOOKUP(A450,#REF!,10,0),0)+IFERROR(VLOOKUP(A450,#REF!,10,0),0)+IFERROR(VLOOKUP(A450,#REF!,9,0),0)+IFERROR(VLOOKUP(A450,#REF!,9,0),0)+IFERROR(VLOOKUP(A450,#REF!,9,0),0)+IFERROR(VLOOKUP(A450,#REF!,9,0),0)</f>
        <v>0</v>
      </c>
      <c r="J450" s="104">
        <f>IFERROR(VLOOKUP(A450,#REF!,16,0),0)+IFERROR(VLOOKUP(A450,#REF!,26,0),0)+IFERROR(VLOOKUP(A450,#REF!,11,0),0)+IFERROR(VLOOKUP(A450,#REF!,23,0),0)+IFERROR(VLOOKUP(A450,#REF!,11,0),0)+IFERROR(VLOOKUP(A450,#REF!,11,0),0)+IFERROR(VLOOKUP(A450,#REF!,11,0),0)</f>
        <v>0</v>
      </c>
      <c r="K450" s="96" t="str">
        <f>"07.02.24"</f>
        <v>07.02.24</v>
      </c>
    </row>
    <row r="451" spans="1:11" ht="11.25" customHeight="1" outlineLevel="1">
      <c r="A451" s="89" t="n">
        <v>10034</v>
      </c>
      <c r="B451" s="114" t="s">
        <v>601</v>
      </c>
      <c r="C451" s="89" t="s">
        <v>723</v>
      </c>
      <c r="D451" s="89" t="s">
        <v>15</v>
      </c>
      <c r="E451" s="89" t="s">
        <v>720</v>
      </c>
      <c r="F451" s="102" t="n">
        <v>165</v>
      </c>
      <c r="G451" s="102" t="n">
        <v>214</v>
      </c>
      <c r="H451" s="103" t="s">
        <v>17</v>
      </c>
      <c r="I451" s="103">
        <f>IFERROR(VLOOKUP(A451,#REF!,15,0),0)+IFERROR(VLOOKUP(A451,#REF!,25,0),0)+IFERROR(VLOOKUP(A451,#REF!,10,0),0)+IFERROR(VLOOKUP(A451,#REF!,14,0),0)+IFERROR(VLOOKUP(A451,#REF!,10,0),0)+IFERROR(VLOOKUP(A451,#REF!,10,0),0)+IFERROR(VLOOKUP(A451,#REF!,10,0),0)+IFERROR(VLOOKUP(A451,#REF!,9,0),0)+IFERROR(VLOOKUP(A451,#REF!,9,0),0)+IFERROR(VLOOKUP(A451,#REF!,9,0),0)+IFERROR(VLOOKUP(A451,#REF!,9,0),0)</f>
        <v>0</v>
      </c>
      <c r="J451" s="104">
        <f>IFERROR(VLOOKUP(A451,#REF!,16,0),0)+IFERROR(VLOOKUP(A451,#REF!,26,0),0)+IFERROR(VLOOKUP(A451,#REF!,11,0),0)+IFERROR(VLOOKUP(A451,#REF!,23,0),0)+IFERROR(VLOOKUP(A451,#REF!,11,0),0)+IFERROR(VLOOKUP(A451,#REF!,11,0),0)+IFERROR(VLOOKUP(A451,#REF!,11,0),0)</f>
        <v>0</v>
      </c>
      <c r="K451" s="96" t="str">
        <f>"07.02.24"</f>
        <v>07.02.24</v>
      </c>
    </row>
    <row r="452" spans="1:11" ht="11.25" customHeight="1" outlineLevel="1">
      <c r="A452" s="89" t="n">
        <v>38939</v>
      </c>
      <c r="B452" s="114" t="s">
        <v>601</v>
      </c>
      <c r="C452" s="89" t="s">
        <v>724</v>
      </c>
      <c r="D452" s="89" t="s">
        <v>15</v>
      </c>
      <c r="E452" s="89" t="s">
        <v>725</v>
      </c>
      <c r="F452" s="102" t="n">
        <v>167</v>
      </c>
      <c r="G452" s="102" t="n">
        <v>217</v>
      </c>
      <c r="H452" s="103" t="s">
        <v>17</v>
      </c>
      <c r="I452" s="103">
        <f>IFERROR(VLOOKUP(A452,#REF!,15,0),0)+IFERROR(VLOOKUP(A452,#REF!,25,0),0)+IFERROR(VLOOKUP(A452,#REF!,10,0),0)+IFERROR(VLOOKUP(A452,#REF!,14,0),0)+IFERROR(VLOOKUP(A452,#REF!,10,0),0)+IFERROR(VLOOKUP(A452,#REF!,10,0),0)+IFERROR(VLOOKUP(A452,#REF!,10,0),0)+IFERROR(VLOOKUP(A452,#REF!,9,0),0)+IFERROR(VLOOKUP(A452,#REF!,9,0),0)+IFERROR(VLOOKUP(A452,#REF!,9,0),0)+IFERROR(VLOOKUP(A452,#REF!,9,0),0)</f>
        <v>0</v>
      </c>
      <c r="J452" s="104">
        <f>IFERROR(VLOOKUP(A452,#REF!,16,0),0)+IFERROR(VLOOKUP(A452,#REF!,26,0),0)+IFERROR(VLOOKUP(A452,#REF!,11,0),0)+IFERROR(VLOOKUP(A452,#REF!,23,0),0)+IFERROR(VLOOKUP(A452,#REF!,11,0),0)+IFERROR(VLOOKUP(A452,#REF!,11,0),0)+IFERROR(VLOOKUP(A452,#REF!,11,0),0)</f>
        <v>0</v>
      </c>
      <c r="K452" s="96" t="str">
        <f>"07.02.24"</f>
        <v>07.02.24</v>
      </c>
    </row>
    <row r="453" spans="1:11" ht="11.25" customHeight="1" outlineLevel="1">
      <c r="A453" s="89" t="n">
        <v>38940</v>
      </c>
      <c r="B453" s="114" t="s">
        <v>601</v>
      </c>
      <c r="C453" s="89" t="s">
        <v>726</v>
      </c>
      <c r="D453" s="89" t="s">
        <v>15</v>
      </c>
      <c r="E453" s="89" t="s">
        <v>720</v>
      </c>
      <c r="F453" s="102" t="n">
        <v>166</v>
      </c>
      <c r="G453" s="102" t="n">
        <v>216</v>
      </c>
      <c r="H453" s="103" t="s">
        <v>17</v>
      </c>
      <c r="I453" s="103">
        <f>IFERROR(VLOOKUP(A453,#REF!,15,0),0)+IFERROR(VLOOKUP(A453,#REF!,25,0),0)+IFERROR(VLOOKUP(A453,#REF!,10,0),0)+IFERROR(VLOOKUP(A453,#REF!,14,0),0)+IFERROR(VLOOKUP(A453,#REF!,10,0),0)+IFERROR(VLOOKUP(A453,#REF!,10,0),0)+IFERROR(VLOOKUP(A453,#REF!,10,0),0)+IFERROR(VLOOKUP(A453,#REF!,9,0),0)+IFERROR(VLOOKUP(A453,#REF!,9,0),0)+IFERROR(VLOOKUP(A453,#REF!,9,0),0)+IFERROR(VLOOKUP(A453,#REF!,9,0),0)</f>
        <v>0</v>
      </c>
      <c r="J453" s="104">
        <f>IFERROR(VLOOKUP(A453,#REF!,16,0),0)+IFERROR(VLOOKUP(A453,#REF!,26,0),0)+IFERROR(VLOOKUP(A453,#REF!,11,0),0)+IFERROR(VLOOKUP(A453,#REF!,23,0),0)+IFERROR(VLOOKUP(A453,#REF!,11,0),0)+IFERROR(VLOOKUP(A453,#REF!,11,0),0)+IFERROR(VLOOKUP(A453,#REF!,11,0),0)</f>
        <v>0</v>
      </c>
      <c r="K453" s="96" t="str">
        <f>"07.02.24"</f>
        <v>07.02.24</v>
      </c>
    </row>
    <row r="454" spans="1:11" ht="11.25" customHeight="1" outlineLevel="1">
      <c r="A454" s="89" t="n">
        <v>12002</v>
      </c>
      <c r="B454" s="114" t="s">
        <v>601</v>
      </c>
      <c r="C454" s="89" t="s">
        <v>727</v>
      </c>
      <c r="D454" s="89" t="s">
        <v>15</v>
      </c>
      <c r="E454" s="89" t="s">
        <v>720</v>
      </c>
      <c r="F454" s="102" t="n">
        <v>152</v>
      </c>
      <c r="G454" s="102" t="n">
        <v>198</v>
      </c>
      <c r="H454" s="103" t="s">
        <v>17</v>
      </c>
      <c r="I454" s="103">
        <f>IFERROR(VLOOKUP(A454,#REF!,15,0),0)+IFERROR(VLOOKUP(A454,#REF!,25,0),0)+IFERROR(VLOOKUP(A454,#REF!,10,0),0)+IFERROR(VLOOKUP(A454,#REF!,14,0),0)+IFERROR(VLOOKUP(A454,#REF!,10,0),0)+IFERROR(VLOOKUP(A454,#REF!,10,0),0)+IFERROR(VLOOKUP(A454,#REF!,10,0),0)+IFERROR(VLOOKUP(A454,#REF!,9,0),0)+IFERROR(VLOOKUP(A454,#REF!,9,0),0)+IFERROR(VLOOKUP(A454,#REF!,9,0),0)+IFERROR(VLOOKUP(A454,#REF!,9,0),0)</f>
        <v>0</v>
      </c>
      <c r="J454" s="104">
        <f>IFERROR(VLOOKUP(A454,#REF!,16,0),0)+IFERROR(VLOOKUP(A454,#REF!,26,0),0)+IFERROR(VLOOKUP(A454,#REF!,11,0),0)+IFERROR(VLOOKUP(A454,#REF!,23,0),0)+IFERROR(VLOOKUP(A454,#REF!,11,0),0)+IFERROR(VLOOKUP(A454,#REF!,11,0),0)+IFERROR(VLOOKUP(A454,#REF!,11,0),0)</f>
        <v>0</v>
      </c>
      <c r="K454" s="96" t="str">
        <f>"07.02.24"</f>
        <v>07.02.24</v>
      </c>
    </row>
    <row r="455" spans="1:11" ht="11.25" customHeight="1" outlineLevel="1">
      <c r="A455" s="89" t="n">
        <v>38934</v>
      </c>
      <c r="B455" s="114" t="s">
        <v>601</v>
      </c>
      <c r="C455" s="89" t="s">
        <v>728</v>
      </c>
      <c r="D455" s="89" t="s">
        <v>15</v>
      </c>
      <c r="E455" s="89" t="s">
        <v>720</v>
      </c>
      <c r="F455" s="102" t="n">
        <v>243</v>
      </c>
      <c r="G455" s="102" t="n">
        <v>317</v>
      </c>
      <c r="H455" s="103" t="s">
        <v>17</v>
      </c>
      <c r="I455" s="103">
        <f>IFERROR(VLOOKUP(A455,#REF!,15,0),0)+IFERROR(VLOOKUP(A455,#REF!,25,0),0)+IFERROR(VLOOKUP(A455,#REF!,10,0),0)+IFERROR(VLOOKUP(A455,#REF!,14,0),0)+IFERROR(VLOOKUP(A455,#REF!,10,0),0)+IFERROR(VLOOKUP(A455,#REF!,10,0),0)+IFERROR(VLOOKUP(A455,#REF!,10,0),0)+IFERROR(VLOOKUP(A455,#REF!,9,0),0)+IFERROR(VLOOKUP(A455,#REF!,9,0),0)+IFERROR(VLOOKUP(A455,#REF!,9,0),0)+IFERROR(VLOOKUP(A455,#REF!,9,0),0)</f>
        <v>0</v>
      </c>
      <c r="J455" s="104">
        <f>IFERROR(VLOOKUP(A455,#REF!,16,0),0)+IFERROR(VLOOKUP(A455,#REF!,26,0),0)+IFERROR(VLOOKUP(A455,#REF!,11,0),0)+IFERROR(VLOOKUP(A455,#REF!,23,0),0)+IFERROR(VLOOKUP(A455,#REF!,11,0),0)+IFERROR(VLOOKUP(A455,#REF!,11,0),0)+IFERROR(VLOOKUP(A455,#REF!,11,0),0)</f>
        <v>0</v>
      </c>
      <c r="K455" s="96" t="str">
        <f>"07.02.24"</f>
        <v>07.02.24</v>
      </c>
    </row>
    <row r="456" spans="1:11" ht="11.25" customHeight="1" outlineLevel="1">
      <c r="A456" s="89" t="n">
        <v>38895</v>
      </c>
      <c r="B456" s="114" t="s">
        <v>601</v>
      </c>
      <c r="C456" s="89" t="s">
        <v>729</v>
      </c>
      <c r="D456" s="89" t="s">
        <v>15</v>
      </c>
      <c r="E456" s="89" t="s">
        <v>720</v>
      </c>
      <c r="F456" s="102" t="n">
        <v>264</v>
      </c>
      <c r="G456" s="102" t="n">
        <v>344</v>
      </c>
      <c r="H456" s="103" t="s">
        <v>17</v>
      </c>
      <c r="I456" s="103">
        <f>IFERROR(VLOOKUP(A456,#REF!,15,0),0)+IFERROR(VLOOKUP(A456,#REF!,25,0),0)+IFERROR(VLOOKUP(A456,#REF!,10,0),0)+IFERROR(VLOOKUP(A456,#REF!,14,0),0)+IFERROR(VLOOKUP(A456,#REF!,10,0),0)+IFERROR(VLOOKUP(A456,#REF!,10,0),0)+IFERROR(VLOOKUP(A456,#REF!,10,0),0)+IFERROR(VLOOKUP(A456,#REF!,9,0),0)+IFERROR(VLOOKUP(A456,#REF!,9,0),0)+IFERROR(VLOOKUP(A456,#REF!,9,0),0)+IFERROR(VLOOKUP(A456,#REF!,9,0),0)</f>
        <v>0</v>
      </c>
      <c r="J456" s="104">
        <f>IFERROR(VLOOKUP(A456,#REF!,16,0),0)+IFERROR(VLOOKUP(A456,#REF!,26,0),0)+IFERROR(VLOOKUP(A456,#REF!,11,0),0)+IFERROR(VLOOKUP(A456,#REF!,23,0),0)+IFERROR(VLOOKUP(A456,#REF!,11,0),0)+IFERROR(VLOOKUP(A456,#REF!,11,0),0)+IFERROR(VLOOKUP(A456,#REF!,11,0),0)</f>
        <v>0</v>
      </c>
      <c r="K456" s="96" t="str">
        <f>"07.02.24"</f>
        <v>07.02.24</v>
      </c>
    </row>
    <row r="457" spans="1:11" ht="11.25" customHeight="1" outlineLevel="1">
      <c r="A457" s="89" t="n">
        <v>14107</v>
      </c>
      <c r="B457" s="114" t="s">
        <v>601</v>
      </c>
      <c r="C457" s="89" t="s">
        <v>730</v>
      </c>
      <c r="D457" s="89" t="s">
        <v>15</v>
      </c>
      <c r="E457" s="89" t="s">
        <v>720</v>
      </c>
      <c r="F457" s="102" t="n">
        <v>326</v>
      </c>
      <c r="G457" s="102" t="n">
        <v>425</v>
      </c>
      <c r="H457" s="103" t="s">
        <v>48</v>
      </c>
      <c r="I457" s="103">
        <f>IFERROR(VLOOKUP(A457,#REF!,15,0),0)+IFERROR(VLOOKUP(A457,#REF!,25,0),0)+IFERROR(VLOOKUP(A457,#REF!,10,0),0)+IFERROR(VLOOKUP(A457,#REF!,14,0),0)+IFERROR(VLOOKUP(A457,#REF!,10,0),0)+IFERROR(VLOOKUP(A457,#REF!,10,0),0)+IFERROR(VLOOKUP(A457,#REF!,10,0),0)+IFERROR(VLOOKUP(A457,#REF!,9,0),0)+IFERROR(VLOOKUP(A457,#REF!,9,0),0)+IFERROR(VLOOKUP(A457,#REF!,9,0),0)+IFERROR(VLOOKUP(A457,#REF!,9,0),0)</f>
        <v>0</v>
      </c>
      <c r="J457" s="104">
        <f>IFERROR(VLOOKUP(A457,#REF!,16,0),0)+IFERROR(VLOOKUP(A457,#REF!,26,0),0)+IFERROR(VLOOKUP(A457,#REF!,11,0),0)+IFERROR(VLOOKUP(A457,#REF!,23,0),0)+IFERROR(VLOOKUP(A457,#REF!,11,0),0)+IFERROR(VLOOKUP(A457,#REF!,11,0),0)+IFERROR(VLOOKUP(A457,#REF!,11,0),0)</f>
        <v>0</v>
      </c>
      <c r="K457" s="96" t="str">
        <f>"07.02.24"</f>
        <v>07.02.24</v>
      </c>
    </row>
    <row r="458" spans="1:11" ht="11.25" customHeight="1" outlineLevel="1">
      <c r="A458" s="89" t="n">
        <v>15260</v>
      </c>
      <c r="B458" s="114" t="s">
        <v>601</v>
      </c>
      <c r="C458" s="89" t="s">
        <v>731</v>
      </c>
      <c r="D458" s="89" t="s">
        <v>15</v>
      </c>
      <c r="E458" s="89" t="s">
        <v>720</v>
      </c>
      <c r="F458" s="102" t="n">
        <v>104</v>
      </c>
      <c r="G458" s="102" t="n">
        <v>135</v>
      </c>
      <c r="H458" s="103" t="s">
        <v>48</v>
      </c>
      <c r="I458" s="103">
        <f>IFERROR(VLOOKUP(A458,#REF!,15,0),0)+IFERROR(VLOOKUP(A458,#REF!,25,0),0)+IFERROR(VLOOKUP(A458,#REF!,10,0),0)+IFERROR(VLOOKUP(A458,#REF!,14,0),0)+IFERROR(VLOOKUP(A458,#REF!,10,0),0)+IFERROR(VLOOKUP(A458,#REF!,10,0),0)+IFERROR(VLOOKUP(A458,#REF!,10,0),0)+IFERROR(VLOOKUP(A458,#REF!,9,0),0)+IFERROR(VLOOKUP(A458,#REF!,9,0),0)+IFERROR(VLOOKUP(A458,#REF!,9,0),0)+IFERROR(VLOOKUP(A458,#REF!,9,0),0)</f>
        <v>0</v>
      </c>
      <c r="J458" s="104">
        <f>IFERROR(VLOOKUP(A458,#REF!,16,0),0)+IFERROR(VLOOKUP(A458,#REF!,26,0),0)+IFERROR(VLOOKUP(A458,#REF!,11,0),0)+IFERROR(VLOOKUP(A458,#REF!,23,0),0)+IFERROR(VLOOKUP(A458,#REF!,11,0),0)+IFERROR(VLOOKUP(A458,#REF!,11,0),0)+IFERROR(VLOOKUP(A458,#REF!,11,0),0)</f>
        <v>0</v>
      </c>
      <c r="K458" s="96" t="str">
        <f>"07.02.24"</f>
        <v>07.02.24</v>
      </c>
    </row>
    <row r="459" spans="1:11" ht="11.25" customHeight="1" outlineLevel="1">
      <c r="A459" s="89" t="n">
        <v>38896</v>
      </c>
      <c r="B459" s="114" t="s">
        <v>601</v>
      </c>
      <c r="C459" s="89" t="s">
        <v>732</v>
      </c>
      <c r="D459" s="89" t="s">
        <v>15</v>
      </c>
      <c r="E459" s="89" t="s">
        <v>720</v>
      </c>
      <c r="F459" s="102" t="n">
        <v>107</v>
      </c>
      <c r="G459" s="102" t="n">
        <v>139</v>
      </c>
      <c r="H459" s="103" t="s">
        <v>17</v>
      </c>
      <c r="I459" s="103">
        <f>IFERROR(VLOOKUP(A459,#REF!,15,0),0)+IFERROR(VLOOKUP(A459,#REF!,25,0),0)+IFERROR(VLOOKUP(A459,#REF!,10,0),0)+IFERROR(VLOOKUP(A459,#REF!,14,0),0)+IFERROR(VLOOKUP(A459,#REF!,10,0),0)+IFERROR(VLOOKUP(A459,#REF!,10,0),0)+IFERROR(VLOOKUP(A459,#REF!,10,0),0)+IFERROR(VLOOKUP(A459,#REF!,9,0),0)+IFERROR(VLOOKUP(A459,#REF!,9,0),0)+IFERROR(VLOOKUP(A459,#REF!,9,0),0)+IFERROR(VLOOKUP(A459,#REF!,9,0),0)</f>
        <v>0</v>
      </c>
      <c r="J459" s="104">
        <f>IFERROR(VLOOKUP(A459,#REF!,16,0),0)+IFERROR(VLOOKUP(A459,#REF!,26,0),0)+IFERROR(VLOOKUP(A459,#REF!,11,0),0)+IFERROR(VLOOKUP(A459,#REF!,23,0),0)+IFERROR(VLOOKUP(A459,#REF!,11,0),0)+IFERROR(VLOOKUP(A459,#REF!,11,0),0)+IFERROR(VLOOKUP(A459,#REF!,11,0),0)</f>
        <v>0</v>
      </c>
      <c r="K459" s="96" t="str">
        <f>"07.02.24"</f>
        <v>07.02.24</v>
      </c>
    </row>
    <row r="460" spans="1:11" ht="11.25" customHeight="1" outlineLevel="1">
      <c r="A460" s="89" t="n">
        <v>15261</v>
      </c>
      <c r="B460" s="114" t="s">
        <v>601</v>
      </c>
      <c r="C460" s="89" t="s">
        <v>733</v>
      </c>
      <c r="D460" s="89" t="s">
        <v>15</v>
      </c>
      <c r="E460" s="89" t="s">
        <v>720</v>
      </c>
      <c r="F460" s="102" t="n">
        <v>124</v>
      </c>
      <c r="G460" s="102" t="n">
        <v>162</v>
      </c>
      <c r="H460" s="103" t="s">
        <v>17</v>
      </c>
      <c r="I460" s="103">
        <f>IFERROR(VLOOKUP(A460,#REF!,15,0),0)+IFERROR(VLOOKUP(A460,#REF!,25,0),0)+IFERROR(VLOOKUP(A460,#REF!,10,0),0)+IFERROR(VLOOKUP(A460,#REF!,14,0),0)+IFERROR(VLOOKUP(A460,#REF!,10,0),0)+IFERROR(VLOOKUP(A460,#REF!,10,0),0)+IFERROR(VLOOKUP(A460,#REF!,10,0),0)+IFERROR(VLOOKUP(A460,#REF!,9,0),0)+IFERROR(VLOOKUP(A460,#REF!,9,0),0)+IFERROR(VLOOKUP(A460,#REF!,9,0),0)+IFERROR(VLOOKUP(A460,#REF!,9,0),0)</f>
        <v>0</v>
      </c>
      <c r="J460" s="104">
        <f>IFERROR(VLOOKUP(A460,#REF!,16,0),0)+IFERROR(VLOOKUP(A460,#REF!,26,0),0)+IFERROR(VLOOKUP(A460,#REF!,11,0),0)+IFERROR(VLOOKUP(A460,#REF!,23,0),0)+IFERROR(VLOOKUP(A460,#REF!,11,0),0)+IFERROR(VLOOKUP(A460,#REF!,11,0),0)+IFERROR(VLOOKUP(A460,#REF!,11,0),0)</f>
        <v>0</v>
      </c>
      <c r="K460" s="96" t="str">
        <f>"07.02.24"</f>
        <v>07.02.24</v>
      </c>
    </row>
    <row r="461" spans="1:11" ht="11.25" customHeight="1" outlineLevel="1">
      <c r="A461" s="89" t="n">
        <v>38897</v>
      </c>
      <c r="B461" s="114" t="s">
        <v>601</v>
      </c>
      <c r="C461" s="89" t="s">
        <v>734</v>
      </c>
      <c r="D461" s="89" t="s">
        <v>15</v>
      </c>
      <c r="E461" s="89" t="s">
        <v>720</v>
      </c>
      <c r="F461" s="102" t="n">
        <v>123</v>
      </c>
      <c r="G461" s="102" t="n">
        <v>160</v>
      </c>
      <c r="H461" s="103" t="s">
        <v>17</v>
      </c>
      <c r="I461" s="103">
        <f>IFERROR(VLOOKUP(A461,#REF!,15,0),0)+IFERROR(VLOOKUP(A461,#REF!,25,0),0)+IFERROR(VLOOKUP(A461,#REF!,10,0),0)+IFERROR(VLOOKUP(A461,#REF!,14,0),0)+IFERROR(VLOOKUP(A461,#REF!,10,0),0)+IFERROR(VLOOKUP(A461,#REF!,10,0),0)+IFERROR(VLOOKUP(A461,#REF!,10,0),0)+IFERROR(VLOOKUP(A461,#REF!,9,0),0)+IFERROR(VLOOKUP(A461,#REF!,9,0),0)+IFERROR(VLOOKUP(A461,#REF!,9,0),0)+IFERROR(VLOOKUP(A461,#REF!,9,0),0)</f>
        <v>0</v>
      </c>
      <c r="J461" s="104">
        <f>IFERROR(VLOOKUP(A461,#REF!,16,0),0)+IFERROR(VLOOKUP(A461,#REF!,26,0),0)+IFERROR(VLOOKUP(A461,#REF!,11,0),0)+IFERROR(VLOOKUP(A461,#REF!,23,0),0)+IFERROR(VLOOKUP(A461,#REF!,11,0),0)+IFERROR(VLOOKUP(A461,#REF!,11,0),0)+IFERROR(VLOOKUP(A461,#REF!,11,0),0)</f>
        <v>0</v>
      </c>
      <c r="K461" s="96" t="str">
        <f>"07.02.24"</f>
        <v>07.02.24</v>
      </c>
    </row>
    <row r="462" spans="1:11" ht="11.25" customHeight="1" outlineLevel="1">
      <c r="A462" s="89" t="n">
        <v>38898</v>
      </c>
      <c r="B462" s="114" t="s">
        <v>601</v>
      </c>
      <c r="C462" s="89" t="s">
        <v>735</v>
      </c>
      <c r="D462" s="89" t="s">
        <v>15</v>
      </c>
      <c r="E462" s="89" t="s">
        <v>720</v>
      </c>
      <c r="F462" s="102" t="n">
        <v>151</v>
      </c>
      <c r="G462" s="102" t="n">
        <v>195</v>
      </c>
      <c r="H462" s="103" t="s">
        <v>17</v>
      </c>
      <c r="I462" s="103">
        <f>IFERROR(VLOOKUP(A462,#REF!,15,0),0)+IFERROR(VLOOKUP(A462,#REF!,25,0),0)+IFERROR(VLOOKUP(A462,#REF!,10,0),0)+IFERROR(VLOOKUP(A462,#REF!,14,0),0)+IFERROR(VLOOKUP(A462,#REF!,10,0),0)+IFERROR(VLOOKUP(A462,#REF!,10,0),0)+IFERROR(VLOOKUP(A462,#REF!,10,0),0)+IFERROR(VLOOKUP(A462,#REF!,9,0),0)+IFERROR(VLOOKUP(A462,#REF!,9,0),0)+IFERROR(VLOOKUP(A462,#REF!,9,0),0)+IFERROR(VLOOKUP(A462,#REF!,9,0),0)</f>
        <v>0</v>
      </c>
      <c r="J462" s="104">
        <f>IFERROR(VLOOKUP(A462,#REF!,16,0),0)+IFERROR(VLOOKUP(A462,#REF!,26,0),0)+IFERROR(VLOOKUP(A462,#REF!,11,0),0)+IFERROR(VLOOKUP(A462,#REF!,23,0),0)+IFERROR(VLOOKUP(A462,#REF!,11,0),0)+IFERROR(VLOOKUP(A462,#REF!,11,0),0)+IFERROR(VLOOKUP(A462,#REF!,11,0),0)</f>
        <v>0</v>
      </c>
      <c r="K462" s="96" t="str">
        <f>"07.02.24"</f>
        <v>07.02.24</v>
      </c>
    </row>
    <row r="463" spans="1:11" ht="11.25" customHeight="1" outlineLevel="1">
      <c r="A463" s="89" t="n">
        <v>15262</v>
      </c>
      <c r="B463" s="114" t="s">
        <v>601</v>
      </c>
      <c r="C463" s="89" t="s">
        <v>736</v>
      </c>
      <c r="D463" s="89" t="s">
        <v>15</v>
      </c>
      <c r="E463" s="89" t="s">
        <v>720</v>
      </c>
      <c r="F463" s="102" t="n">
        <v>166</v>
      </c>
      <c r="G463" s="102" t="n">
        <v>216</v>
      </c>
      <c r="H463" s="103" t="s">
        <v>17</v>
      </c>
      <c r="I463" s="103">
        <f>IFERROR(VLOOKUP(A463,#REF!,15,0),0)+IFERROR(VLOOKUP(A463,#REF!,25,0),0)+IFERROR(VLOOKUP(A463,#REF!,10,0),0)+IFERROR(VLOOKUP(A463,#REF!,14,0),0)+IFERROR(VLOOKUP(A463,#REF!,10,0),0)+IFERROR(VLOOKUP(A463,#REF!,10,0),0)+IFERROR(VLOOKUP(A463,#REF!,10,0),0)+IFERROR(VLOOKUP(A463,#REF!,9,0),0)+IFERROR(VLOOKUP(A463,#REF!,9,0),0)+IFERROR(VLOOKUP(A463,#REF!,9,0),0)+IFERROR(VLOOKUP(A463,#REF!,9,0),0)</f>
        <v>0</v>
      </c>
      <c r="J463" s="104">
        <f>IFERROR(VLOOKUP(A463,#REF!,16,0),0)+IFERROR(VLOOKUP(A463,#REF!,26,0),0)+IFERROR(VLOOKUP(A463,#REF!,11,0),0)+IFERROR(VLOOKUP(A463,#REF!,23,0),0)+IFERROR(VLOOKUP(A463,#REF!,11,0),0)+IFERROR(VLOOKUP(A463,#REF!,11,0),0)+IFERROR(VLOOKUP(A463,#REF!,11,0),0)</f>
        <v>0</v>
      </c>
      <c r="K463" s="96" t="str">
        <f>"07.02.24"</f>
        <v>07.02.24</v>
      </c>
    </row>
    <row r="464" spans="1:11" ht="11.25" customHeight="1" outlineLevel="1">
      <c r="A464" s="89" t="n">
        <v>38929</v>
      </c>
      <c r="B464" s="114" t="s">
        <v>601</v>
      </c>
      <c r="C464" s="89" t="s">
        <v>737</v>
      </c>
      <c r="D464" s="89" t="s">
        <v>15</v>
      </c>
      <c r="E464" s="89" t="s">
        <v>720</v>
      </c>
      <c r="F464" s="102" t="n">
        <v>116</v>
      </c>
      <c r="G464" s="102" t="n">
        <v>151</v>
      </c>
      <c r="H464" s="103" t="s">
        <v>48</v>
      </c>
      <c r="I464" s="103">
        <f>IFERROR(VLOOKUP(A464,#REF!,15,0),0)+IFERROR(VLOOKUP(A464,#REF!,25,0),0)+IFERROR(VLOOKUP(A464,#REF!,10,0),0)+IFERROR(VLOOKUP(A464,#REF!,14,0),0)+IFERROR(VLOOKUP(A464,#REF!,10,0),0)+IFERROR(VLOOKUP(A464,#REF!,10,0),0)+IFERROR(VLOOKUP(A464,#REF!,10,0),0)+IFERROR(VLOOKUP(A464,#REF!,9,0),0)+IFERROR(VLOOKUP(A464,#REF!,9,0),0)+IFERROR(VLOOKUP(A464,#REF!,9,0),0)+IFERROR(VLOOKUP(A464,#REF!,9,0),0)</f>
        <v>0</v>
      </c>
      <c r="J464" s="104">
        <f>IFERROR(VLOOKUP(A464,#REF!,16,0),0)+IFERROR(VLOOKUP(A464,#REF!,26,0),0)+IFERROR(VLOOKUP(A464,#REF!,11,0),0)+IFERROR(VLOOKUP(A464,#REF!,23,0),0)+IFERROR(VLOOKUP(A464,#REF!,11,0),0)+IFERROR(VLOOKUP(A464,#REF!,11,0),0)+IFERROR(VLOOKUP(A464,#REF!,11,0),0)</f>
        <v>0</v>
      </c>
      <c r="K464" s="96" t="str">
        <f>"07.02.24"</f>
        <v>07.02.24</v>
      </c>
    </row>
    <row r="465" spans="1:11" ht="11.25" customHeight="1" outlineLevel="1">
      <c r="A465" s="89" t="n">
        <v>10035</v>
      </c>
      <c r="B465" s="114" t="s">
        <v>601</v>
      </c>
      <c r="C465" s="89" t="s">
        <v>738</v>
      </c>
      <c r="D465" s="89" t="s">
        <v>15</v>
      </c>
      <c r="E465" s="89" t="s">
        <v>720</v>
      </c>
      <c r="F465" s="102" t="n">
        <v>120</v>
      </c>
      <c r="G465" s="102" t="n">
        <v>156</v>
      </c>
      <c r="H465" s="103" t="s">
        <v>48</v>
      </c>
      <c r="I465" s="103">
        <f>IFERROR(VLOOKUP(A465,#REF!,15,0),0)+IFERROR(VLOOKUP(A465,#REF!,25,0),0)+IFERROR(VLOOKUP(A465,#REF!,10,0),0)+IFERROR(VLOOKUP(A465,#REF!,14,0),0)+IFERROR(VLOOKUP(A465,#REF!,10,0),0)+IFERROR(VLOOKUP(A465,#REF!,10,0),0)+IFERROR(VLOOKUP(A465,#REF!,10,0),0)+IFERROR(VLOOKUP(A465,#REF!,9,0),0)+IFERROR(VLOOKUP(A465,#REF!,9,0),0)+IFERROR(VLOOKUP(A465,#REF!,9,0),0)+IFERROR(VLOOKUP(A465,#REF!,9,0),0)</f>
        <v>0</v>
      </c>
      <c r="J465" s="104">
        <f>IFERROR(VLOOKUP(A465,#REF!,16,0),0)+IFERROR(VLOOKUP(A465,#REF!,26,0),0)+IFERROR(VLOOKUP(A465,#REF!,11,0),0)+IFERROR(VLOOKUP(A465,#REF!,23,0),0)+IFERROR(VLOOKUP(A465,#REF!,11,0),0)+IFERROR(VLOOKUP(A465,#REF!,11,0),0)+IFERROR(VLOOKUP(A465,#REF!,11,0),0)</f>
        <v>0</v>
      </c>
      <c r="K465" s="96" t="str">
        <f>"07.02.24"</f>
        <v>07.02.24</v>
      </c>
    </row>
    <row r="466" spans="1:11" ht="11.25" customHeight="1" outlineLevel="1">
      <c r="A466" s="89" t="n">
        <v>38930</v>
      </c>
      <c r="B466" s="114" t="s">
        <v>601</v>
      </c>
      <c r="C466" s="89" t="s">
        <v>739</v>
      </c>
      <c r="D466" s="89" t="s">
        <v>15</v>
      </c>
      <c r="E466" s="89" t="s">
        <v>720</v>
      </c>
      <c r="F466" s="102" t="n">
        <v>116</v>
      </c>
      <c r="G466" s="102" t="n">
        <v>151</v>
      </c>
      <c r="H466" s="103" t="s">
        <v>17</v>
      </c>
      <c r="I466" s="103">
        <f>IFERROR(VLOOKUP(A466,#REF!,15,0),0)+IFERROR(VLOOKUP(A466,#REF!,25,0),0)+IFERROR(VLOOKUP(A466,#REF!,10,0),0)+IFERROR(VLOOKUP(A466,#REF!,14,0),0)+IFERROR(VLOOKUP(A466,#REF!,10,0),0)+IFERROR(VLOOKUP(A466,#REF!,10,0),0)+IFERROR(VLOOKUP(A466,#REF!,10,0),0)+IFERROR(VLOOKUP(A466,#REF!,9,0),0)+IFERROR(VLOOKUP(A466,#REF!,9,0),0)+IFERROR(VLOOKUP(A466,#REF!,9,0),0)+IFERROR(VLOOKUP(A466,#REF!,9,0),0)</f>
        <v>0</v>
      </c>
      <c r="J466" s="104">
        <f>IFERROR(VLOOKUP(A466,#REF!,16,0),0)+IFERROR(VLOOKUP(A466,#REF!,26,0),0)+IFERROR(VLOOKUP(A466,#REF!,11,0),0)+IFERROR(VLOOKUP(A466,#REF!,23,0),0)+IFERROR(VLOOKUP(A466,#REF!,11,0),0)+IFERROR(VLOOKUP(A466,#REF!,11,0),0)+IFERROR(VLOOKUP(A466,#REF!,11,0),0)</f>
        <v>0</v>
      </c>
      <c r="K466" s="96" t="str">
        <f>"07.02.24"</f>
        <v>07.02.24</v>
      </c>
    </row>
    <row r="467" spans="1:11" ht="11.25" customHeight="1" outlineLevel="1">
      <c r="A467" s="89" t="n">
        <v>10036</v>
      </c>
      <c r="B467" s="114" t="s">
        <v>601</v>
      </c>
      <c r="C467" s="89" t="s">
        <v>740</v>
      </c>
      <c r="D467" s="89" t="s">
        <v>15</v>
      </c>
      <c r="E467" s="89" t="s">
        <v>720</v>
      </c>
      <c r="F467" s="102" t="n">
        <v>120</v>
      </c>
      <c r="G467" s="102" t="n">
        <v>156</v>
      </c>
      <c r="H467" s="103" t="s">
        <v>17</v>
      </c>
      <c r="I467" s="103">
        <f>IFERROR(VLOOKUP(A467,#REF!,15,0),0)+IFERROR(VLOOKUP(A467,#REF!,25,0),0)+IFERROR(VLOOKUP(A467,#REF!,10,0),0)+IFERROR(VLOOKUP(A467,#REF!,14,0),0)+IFERROR(VLOOKUP(A467,#REF!,10,0),0)+IFERROR(VLOOKUP(A467,#REF!,10,0),0)+IFERROR(VLOOKUP(A467,#REF!,10,0),0)+IFERROR(VLOOKUP(A467,#REF!,9,0),0)+IFERROR(VLOOKUP(A467,#REF!,9,0),0)+IFERROR(VLOOKUP(A467,#REF!,9,0),0)+IFERROR(VLOOKUP(A467,#REF!,9,0),0)</f>
        <v>0</v>
      </c>
      <c r="J467" s="104">
        <f>IFERROR(VLOOKUP(A467,#REF!,16,0),0)+IFERROR(VLOOKUP(A467,#REF!,26,0),0)+IFERROR(VLOOKUP(A467,#REF!,11,0),0)+IFERROR(VLOOKUP(A467,#REF!,23,0),0)+IFERROR(VLOOKUP(A467,#REF!,11,0),0)+IFERROR(VLOOKUP(A467,#REF!,11,0),0)+IFERROR(VLOOKUP(A467,#REF!,11,0),0)</f>
        <v>0</v>
      </c>
      <c r="K467" s="96" t="str">
        <f>"07.02.24"</f>
        <v>07.02.24</v>
      </c>
    </row>
    <row r="468" spans="1:11" ht="11.25" customHeight="1" outlineLevel="1">
      <c r="A468" s="89" t="n">
        <v>38928</v>
      </c>
      <c r="B468" s="114" t="s">
        <v>601</v>
      </c>
      <c r="C468" s="89" t="s">
        <v>741</v>
      </c>
      <c r="D468" s="89" t="s">
        <v>15</v>
      </c>
      <c r="E468" s="89" t="s">
        <v>720</v>
      </c>
      <c r="F468" s="102" t="n">
        <v>166</v>
      </c>
      <c r="G468" s="102" t="n">
        <v>216</v>
      </c>
      <c r="H468" s="103" t="s">
        <v>17</v>
      </c>
      <c r="I468" s="103">
        <f>IFERROR(VLOOKUP(A468,#REF!,15,0),0)+IFERROR(VLOOKUP(A468,#REF!,25,0),0)+IFERROR(VLOOKUP(A468,#REF!,10,0),0)+IFERROR(VLOOKUP(A468,#REF!,14,0),0)+IFERROR(VLOOKUP(A468,#REF!,10,0),0)+IFERROR(VLOOKUP(A468,#REF!,10,0),0)+IFERROR(VLOOKUP(A468,#REF!,10,0),0)+IFERROR(VLOOKUP(A468,#REF!,9,0),0)+IFERROR(VLOOKUP(A468,#REF!,9,0),0)+IFERROR(VLOOKUP(A468,#REF!,9,0),0)+IFERROR(VLOOKUP(A468,#REF!,9,0),0)</f>
        <v>0</v>
      </c>
      <c r="J468" s="104">
        <f>IFERROR(VLOOKUP(A468,#REF!,16,0),0)+IFERROR(VLOOKUP(A468,#REF!,26,0),0)+IFERROR(VLOOKUP(A468,#REF!,11,0),0)+IFERROR(VLOOKUP(A468,#REF!,23,0),0)+IFERROR(VLOOKUP(A468,#REF!,11,0),0)+IFERROR(VLOOKUP(A468,#REF!,11,0),0)+IFERROR(VLOOKUP(A468,#REF!,11,0),0)</f>
        <v>0</v>
      </c>
      <c r="K468" s="96" t="str">
        <f>"07.02.24"</f>
        <v>07.02.24</v>
      </c>
    </row>
    <row r="469" spans="1:11" ht="11.25" customHeight="1" outlineLevel="1">
      <c r="A469" s="89" t="n">
        <v>10037</v>
      </c>
      <c r="B469" s="114" t="s">
        <v>601</v>
      </c>
      <c r="C469" s="89" t="s">
        <v>742</v>
      </c>
      <c r="D469" s="89" t="s">
        <v>15</v>
      </c>
      <c r="E469" s="89" t="s">
        <v>720</v>
      </c>
      <c r="F469" s="102" t="n">
        <v>179</v>
      </c>
      <c r="G469" s="102" t="n">
        <v>232</v>
      </c>
      <c r="H469" s="103" t="s">
        <v>48</v>
      </c>
      <c r="I469" s="103">
        <f>IFERROR(VLOOKUP(A469,#REF!,15,0),0)+IFERROR(VLOOKUP(A469,#REF!,25,0),0)+IFERROR(VLOOKUP(A469,#REF!,10,0),0)+IFERROR(VLOOKUP(A469,#REF!,14,0),0)+IFERROR(VLOOKUP(A469,#REF!,10,0),0)+IFERROR(VLOOKUP(A469,#REF!,10,0),0)+IFERROR(VLOOKUP(A469,#REF!,10,0),0)+IFERROR(VLOOKUP(A469,#REF!,9,0),0)+IFERROR(VLOOKUP(A469,#REF!,9,0),0)+IFERROR(VLOOKUP(A469,#REF!,9,0),0)+IFERROR(VLOOKUP(A469,#REF!,9,0),0)</f>
        <v>0</v>
      </c>
      <c r="J469" s="104">
        <f>IFERROR(VLOOKUP(A469,#REF!,16,0),0)+IFERROR(VLOOKUP(A469,#REF!,26,0),0)+IFERROR(VLOOKUP(A469,#REF!,11,0),0)+IFERROR(VLOOKUP(A469,#REF!,23,0),0)+IFERROR(VLOOKUP(A469,#REF!,11,0),0)+IFERROR(VLOOKUP(A469,#REF!,11,0),0)+IFERROR(VLOOKUP(A469,#REF!,11,0),0)</f>
        <v>0</v>
      </c>
      <c r="K469" s="96" t="str">
        <f>"07.02.24"</f>
        <v>07.02.24</v>
      </c>
    </row>
    <row r="470" spans="1:11" ht="11.25" customHeight="1" outlineLevel="1">
      <c r="A470" s="89" t="n">
        <v>15263</v>
      </c>
      <c r="B470" s="114" t="s">
        <v>601</v>
      </c>
      <c r="C470" s="89" t="s">
        <v>743</v>
      </c>
      <c r="D470" s="89" t="s">
        <v>15</v>
      </c>
      <c r="E470" s="89" t="s">
        <v>720</v>
      </c>
      <c r="F470" s="102" t="n">
        <v>289</v>
      </c>
      <c r="G470" s="102" t="n">
        <v>375</v>
      </c>
      <c r="H470" s="103" t="s">
        <v>48</v>
      </c>
      <c r="I470" s="103">
        <f>IFERROR(VLOOKUP(A470,#REF!,15,0),0)+IFERROR(VLOOKUP(A470,#REF!,25,0),0)+IFERROR(VLOOKUP(A470,#REF!,10,0),0)+IFERROR(VLOOKUP(A470,#REF!,14,0),0)+IFERROR(VLOOKUP(A470,#REF!,10,0),0)+IFERROR(VLOOKUP(A470,#REF!,10,0),0)+IFERROR(VLOOKUP(A470,#REF!,10,0),0)+IFERROR(VLOOKUP(A470,#REF!,9,0),0)+IFERROR(VLOOKUP(A470,#REF!,9,0),0)+IFERROR(VLOOKUP(A470,#REF!,9,0),0)+IFERROR(VLOOKUP(A470,#REF!,9,0),0)</f>
        <v>0</v>
      </c>
      <c r="J470" s="104">
        <f>IFERROR(VLOOKUP(A470,#REF!,16,0),0)+IFERROR(VLOOKUP(A470,#REF!,26,0),0)+IFERROR(VLOOKUP(A470,#REF!,11,0),0)+IFERROR(VLOOKUP(A470,#REF!,23,0),0)+IFERROR(VLOOKUP(A470,#REF!,11,0),0)+IFERROR(VLOOKUP(A470,#REF!,11,0),0)+IFERROR(VLOOKUP(A470,#REF!,11,0),0)</f>
        <v>0</v>
      </c>
      <c r="K470" s="96" t="str">
        <f>"07.02.24"</f>
        <v>07.02.24</v>
      </c>
    </row>
    <row r="471" spans="1:11" ht="11.25" customHeight="1" outlineLevel="1">
      <c r="A471" s="89" t="n">
        <v>38936</v>
      </c>
      <c r="B471" s="114" t="s">
        <v>601</v>
      </c>
      <c r="C471" s="89" t="s">
        <v>744</v>
      </c>
      <c r="D471" s="89" t="s">
        <v>15</v>
      </c>
      <c r="E471" s="89" t="s">
        <v>720</v>
      </c>
      <c r="F471" s="102" t="n">
        <v>163</v>
      </c>
      <c r="G471" s="102" t="n">
        <v>212</v>
      </c>
      <c r="H471" s="103" t="s">
        <v>48</v>
      </c>
      <c r="I471" s="103">
        <f>IFERROR(VLOOKUP(A471,#REF!,15,0),0)+IFERROR(VLOOKUP(A471,#REF!,25,0),0)+IFERROR(VLOOKUP(A471,#REF!,10,0),0)+IFERROR(VLOOKUP(A471,#REF!,14,0),0)+IFERROR(VLOOKUP(A471,#REF!,10,0),0)+IFERROR(VLOOKUP(A471,#REF!,10,0),0)+IFERROR(VLOOKUP(A471,#REF!,10,0),0)+IFERROR(VLOOKUP(A471,#REF!,9,0),0)+IFERROR(VLOOKUP(A471,#REF!,9,0),0)+IFERROR(VLOOKUP(A471,#REF!,9,0),0)+IFERROR(VLOOKUP(A471,#REF!,9,0),0)</f>
        <v>0</v>
      </c>
      <c r="J471" s="104">
        <f>IFERROR(VLOOKUP(A471,#REF!,16,0),0)+IFERROR(VLOOKUP(A471,#REF!,26,0),0)+IFERROR(VLOOKUP(A471,#REF!,11,0),0)+IFERROR(VLOOKUP(A471,#REF!,23,0),0)+IFERROR(VLOOKUP(A471,#REF!,11,0),0)+IFERROR(VLOOKUP(A471,#REF!,11,0),0)+IFERROR(VLOOKUP(A471,#REF!,11,0),0)</f>
        <v>0</v>
      </c>
      <c r="K471" s="96" t="str">
        <f>"07.02.24"</f>
        <v>07.02.24</v>
      </c>
    </row>
    <row r="472" spans="1:11" ht="11.25" customHeight="1" outlineLevel="1">
      <c r="A472" s="89" t="n">
        <v>38937</v>
      </c>
      <c r="B472" s="114" t="s">
        <v>601</v>
      </c>
      <c r="C472" s="89" t="s">
        <v>745</v>
      </c>
      <c r="D472" s="89" t="s">
        <v>15</v>
      </c>
      <c r="E472" s="89" t="s">
        <v>720</v>
      </c>
      <c r="F472" s="102" t="n">
        <v>190</v>
      </c>
      <c r="G472" s="102" t="n">
        <v>247</v>
      </c>
      <c r="H472" s="103" t="s">
        <v>17</v>
      </c>
      <c r="I472" s="103">
        <f>IFERROR(VLOOKUP(A472,#REF!,15,0),0)+IFERROR(VLOOKUP(A472,#REF!,25,0),0)+IFERROR(VLOOKUP(A472,#REF!,10,0),0)+IFERROR(VLOOKUP(A472,#REF!,14,0),0)+IFERROR(VLOOKUP(A472,#REF!,10,0),0)+IFERROR(VLOOKUP(A472,#REF!,10,0),0)+IFERROR(VLOOKUP(A472,#REF!,10,0),0)+IFERROR(VLOOKUP(A472,#REF!,9,0),0)+IFERROR(VLOOKUP(A472,#REF!,9,0),0)+IFERROR(VLOOKUP(A472,#REF!,9,0),0)+IFERROR(VLOOKUP(A472,#REF!,9,0),0)</f>
        <v>0</v>
      </c>
      <c r="J472" s="104">
        <f>IFERROR(VLOOKUP(A472,#REF!,16,0),0)+IFERROR(VLOOKUP(A472,#REF!,26,0),0)+IFERROR(VLOOKUP(A472,#REF!,11,0),0)+IFERROR(VLOOKUP(A472,#REF!,23,0),0)+IFERROR(VLOOKUP(A472,#REF!,11,0),0)+IFERROR(VLOOKUP(A472,#REF!,11,0),0)+IFERROR(VLOOKUP(A472,#REF!,11,0),0)</f>
        <v>0</v>
      </c>
      <c r="K472" s="96" t="str">
        <f>"07.02.24"</f>
        <v>07.02.24</v>
      </c>
    </row>
    <row r="473" spans="1:11" ht="11.25" customHeight="1" outlineLevel="1">
      <c r="A473" s="89" t="n">
        <v>20991</v>
      </c>
      <c r="B473" s="114" t="s">
        <v>601</v>
      </c>
      <c r="C473" s="89" t="s">
        <v>746</v>
      </c>
      <c r="D473" s="89" t="s">
        <v>15</v>
      </c>
      <c r="E473" s="89" t="s">
        <v>720</v>
      </c>
      <c r="F473" s="102" t="n">
        <v>289</v>
      </c>
      <c r="G473" s="102" t="n">
        <v>375</v>
      </c>
      <c r="H473" s="103" t="s">
        <v>48</v>
      </c>
      <c r="I473" s="103">
        <f>IFERROR(VLOOKUP(A473,#REF!,15,0),0)+IFERROR(VLOOKUP(A473,#REF!,25,0),0)+IFERROR(VLOOKUP(A473,#REF!,10,0),0)+IFERROR(VLOOKUP(A473,#REF!,14,0),0)+IFERROR(VLOOKUP(A473,#REF!,10,0),0)+IFERROR(VLOOKUP(A473,#REF!,10,0),0)+IFERROR(VLOOKUP(A473,#REF!,10,0),0)+IFERROR(VLOOKUP(A473,#REF!,9,0),0)+IFERROR(VLOOKUP(A473,#REF!,9,0),0)+IFERROR(VLOOKUP(A473,#REF!,9,0),0)+IFERROR(VLOOKUP(A473,#REF!,9,0),0)</f>
        <v>0</v>
      </c>
      <c r="J473" s="104">
        <f>IFERROR(VLOOKUP(A473,#REF!,16,0),0)+IFERROR(VLOOKUP(A473,#REF!,26,0),0)+IFERROR(VLOOKUP(A473,#REF!,11,0),0)+IFERROR(VLOOKUP(A473,#REF!,23,0),0)+IFERROR(VLOOKUP(A473,#REF!,11,0),0)+IFERROR(VLOOKUP(A473,#REF!,11,0),0)+IFERROR(VLOOKUP(A473,#REF!,11,0),0)</f>
        <v>0</v>
      </c>
      <c r="K473" s="96" t="str">
        <f>"07.02.24"</f>
        <v>07.02.24</v>
      </c>
    </row>
    <row r="474" spans="1:11" ht="11.25" customHeight="1" outlineLevel="1">
      <c r="A474" s="89" t="n">
        <v>38927</v>
      </c>
      <c r="B474" s="114" t="s">
        <v>601</v>
      </c>
      <c r="C474" s="89" t="s">
        <v>747</v>
      </c>
      <c r="D474" s="89" t="s">
        <v>15</v>
      </c>
      <c r="E474" s="89" t="s">
        <v>720</v>
      </c>
      <c r="F474" s="102" t="n">
        <v>234</v>
      </c>
      <c r="G474" s="102" t="n">
        <v>303</v>
      </c>
      <c r="H474" s="103" t="s">
        <v>48</v>
      </c>
      <c r="I474" s="103">
        <f>IFERROR(VLOOKUP(A474,#REF!,15,0),0)+IFERROR(VLOOKUP(A474,#REF!,25,0),0)+IFERROR(VLOOKUP(A474,#REF!,10,0),0)+IFERROR(VLOOKUP(A474,#REF!,14,0),0)+IFERROR(VLOOKUP(A474,#REF!,10,0),0)+IFERROR(VLOOKUP(A474,#REF!,10,0),0)+IFERROR(VLOOKUP(A474,#REF!,10,0),0)+IFERROR(VLOOKUP(A474,#REF!,9,0),0)+IFERROR(VLOOKUP(A474,#REF!,9,0),0)+IFERROR(VLOOKUP(A474,#REF!,9,0),0)+IFERROR(VLOOKUP(A474,#REF!,9,0),0)</f>
        <v>0</v>
      </c>
      <c r="J474" s="104">
        <f>IFERROR(VLOOKUP(A474,#REF!,16,0),0)+IFERROR(VLOOKUP(A474,#REF!,26,0),0)+IFERROR(VLOOKUP(A474,#REF!,11,0),0)+IFERROR(VLOOKUP(A474,#REF!,23,0),0)+IFERROR(VLOOKUP(A474,#REF!,11,0),0)+IFERROR(VLOOKUP(A474,#REF!,11,0),0)+IFERROR(VLOOKUP(A474,#REF!,11,0),0)</f>
        <v>0</v>
      </c>
      <c r="K474" s="96" t="str">
        <f>"07.02.24"</f>
        <v>07.02.24</v>
      </c>
    </row>
    <row r="475" spans="1:11" ht="11.25" customHeight="1" outlineLevel="1">
      <c r="A475" s="89" t="n">
        <v>10038</v>
      </c>
      <c r="B475" s="114" t="s">
        <v>601</v>
      </c>
      <c r="C475" s="89" t="s">
        <v>748</v>
      </c>
      <c r="D475" s="89" t="s">
        <v>15</v>
      </c>
      <c r="E475" s="89" t="s">
        <v>720</v>
      </c>
      <c r="F475" s="102" t="n">
        <v>360</v>
      </c>
      <c r="G475" s="102" t="n">
        <v>469</v>
      </c>
      <c r="H475" s="103" t="s">
        <v>48</v>
      </c>
      <c r="I475" s="103">
        <f>IFERROR(VLOOKUP(A475,#REF!,15,0),0)+IFERROR(VLOOKUP(A475,#REF!,25,0),0)+IFERROR(VLOOKUP(A475,#REF!,10,0),0)+IFERROR(VLOOKUP(A475,#REF!,14,0),0)+IFERROR(VLOOKUP(A475,#REF!,10,0),0)+IFERROR(VLOOKUP(A475,#REF!,10,0),0)+IFERROR(VLOOKUP(A475,#REF!,10,0),0)+IFERROR(VLOOKUP(A475,#REF!,9,0),0)+IFERROR(VLOOKUP(A475,#REF!,9,0),0)+IFERROR(VLOOKUP(A475,#REF!,9,0),0)+IFERROR(VLOOKUP(A475,#REF!,9,0),0)</f>
        <v>0</v>
      </c>
      <c r="J475" s="104">
        <f>IFERROR(VLOOKUP(A475,#REF!,16,0),0)+IFERROR(VLOOKUP(A475,#REF!,26,0),0)+IFERROR(VLOOKUP(A475,#REF!,11,0),0)+IFERROR(VLOOKUP(A475,#REF!,23,0),0)+IFERROR(VLOOKUP(A475,#REF!,11,0),0)+IFERROR(VLOOKUP(A475,#REF!,11,0),0)+IFERROR(VLOOKUP(A475,#REF!,11,0),0)</f>
        <v>0</v>
      </c>
      <c r="K475" s="96" t="str">
        <f>"07.02.24"</f>
        <v>07.02.24</v>
      </c>
    </row>
    <row r="476" spans="1:11" ht="11.25" customHeight="1" outlineLevel="1">
      <c r="A476" s="89" t="n">
        <v>10039</v>
      </c>
      <c r="B476" s="114" t="s">
        <v>601</v>
      </c>
      <c r="C476" s="89" t="s">
        <v>749</v>
      </c>
      <c r="D476" s="89" t="s">
        <v>15</v>
      </c>
      <c r="E476" s="89" t="s">
        <v>720</v>
      </c>
      <c r="F476" s="102" t="n">
        <v>99</v>
      </c>
      <c r="G476" s="102" t="n">
        <v>129</v>
      </c>
      <c r="H476" s="103" t="s">
        <v>48</v>
      </c>
      <c r="I476" s="103">
        <f>IFERROR(VLOOKUP(A476,#REF!,15,0),0)+IFERROR(VLOOKUP(A476,#REF!,25,0),0)+IFERROR(VLOOKUP(A476,#REF!,10,0),0)+IFERROR(VLOOKUP(A476,#REF!,14,0),0)+IFERROR(VLOOKUP(A476,#REF!,10,0),0)+IFERROR(VLOOKUP(A476,#REF!,10,0),0)+IFERROR(VLOOKUP(A476,#REF!,10,0),0)+IFERROR(VLOOKUP(A476,#REF!,9,0),0)+IFERROR(VLOOKUP(A476,#REF!,9,0),0)+IFERROR(VLOOKUP(A476,#REF!,9,0),0)+IFERROR(VLOOKUP(A476,#REF!,9,0),0)</f>
        <v>0</v>
      </c>
      <c r="J476" s="104">
        <f>IFERROR(VLOOKUP(A476,#REF!,16,0),0)+IFERROR(VLOOKUP(A476,#REF!,26,0),0)+IFERROR(VLOOKUP(A476,#REF!,11,0),0)+IFERROR(VLOOKUP(A476,#REF!,23,0),0)+IFERROR(VLOOKUP(A476,#REF!,11,0),0)+IFERROR(VLOOKUP(A476,#REF!,11,0),0)+IFERROR(VLOOKUP(A476,#REF!,11,0),0)</f>
        <v>0</v>
      </c>
      <c r="K476" s="96" t="str">
        <f>"07.02.24"</f>
        <v>07.02.24</v>
      </c>
    </row>
    <row r="477" spans="1:11" ht="11.25" customHeight="1" outlineLevel="1">
      <c r="A477" s="89" t="n">
        <v>38951</v>
      </c>
      <c r="B477" s="114" t="s">
        <v>601</v>
      </c>
      <c r="C477" s="89" t="s">
        <v>750</v>
      </c>
      <c r="D477" s="89" t="s">
        <v>15</v>
      </c>
      <c r="E477" s="89" t="s">
        <v>720</v>
      </c>
      <c r="F477" s="102" t="n">
        <v>116</v>
      </c>
      <c r="G477" s="102" t="n">
        <v>151</v>
      </c>
      <c r="H477" s="103" t="s">
        <v>17</v>
      </c>
      <c r="I477" s="103">
        <f>IFERROR(VLOOKUP(A477,#REF!,15,0),0)+IFERROR(VLOOKUP(A477,#REF!,25,0),0)+IFERROR(VLOOKUP(A477,#REF!,10,0),0)+IFERROR(VLOOKUP(A477,#REF!,14,0),0)+IFERROR(VLOOKUP(A477,#REF!,10,0),0)+IFERROR(VLOOKUP(A477,#REF!,10,0),0)+IFERROR(VLOOKUP(A477,#REF!,10,0),0)+IFERROR(VLOOKUP(A477,#REF!,9,0),0)+IFERROR(VLOOKUP(A477,#REF!,9,0),0)+IFERROR(VLOOKUP(A477,#REF!,9,0),0)+IFERROR(VLOOKUP(A477,#REF!,9,0),0)</f>
        <v>0</v>
      </c>
      <c r="J477" s="104">
        <f>IFERROR(VLOOKUP(A477,#REF!,16,0),0)+IFERROR(VLOOKUP(A477,#REF!,26,0),0)+IFERROR(VLOOKUP(A477,#REF!,11,0),0)+IFERROR(VLOOKUP(A477,#REF!,23,0),0)+IFERROR(VLOOKUP(A477,#REF!,11,0),0)+IFERROR(VLOOKUP(A477,#REF!,11,0),0)+IFERROR(VLOOKUP(A477,#REF!,11,0),0)</f>
        <v>0</v>
      </c>
      <c r="K477" s="96" t="str">
        <f>"07.02.24"</f>
        <v>07.02.24</v>
      </c>
    </row>
    <row r="478" spans="1:11" ht="11.25" customHeight="1" outlineLevel="1">
      <c r="A478" s="89" t="n">
        <v>15259</v>
      </c>
      <c r="B478" s="114" t="s">
        <v>601</v>
      </c>
      <c r="C478" s="89" t="s">
        <v>751</v>
      </c>
      <c r="D478" s="89" t="s">
        <v>15</v>
      </c>
      <c r="E478" s="89" t="s">
        <v>720</v>
      </c>
      <c r="F478" s="102" t="n">
        <v>127</v>
      </c>
      <c r="G478" s="102" t="n">
        <v>165</v>
      </c>
      <c r="H478" s="103" t="s">
        <v>48</v>
      </c>
      <c r="I478" s="103">
        <f>IFERROR(VLOOKUP(A478,#REF!,15,0),0)+IFERROR(VLOOKUP(A478,#REF!,25,0),0)+IFERROR(VLOOKUP(A478,#REF!,10,0),0)+IFERROR(VLOOKUP(A478,#REF!,14,0),0)+IFERROR(VLOOKUP(A478,#REF!,10,0),0)+IFERROR(VLOOKUP(A478,#REF!,10,0),0)+IFERROR(VLOOKUP(A478,#REF!,10,0),0)+IFERROR(VLOOKUP(A478,#REF!,9,0),0)+IFERROR(VLOOKUP(A478,#REF!,9,0),0)+IFERROR(VLOOKUP(A478,#REF!,9,0),0)+IFERROR(VLOOKUP(A478,#REF!,9,0),0)</f>
        <v>0</v>
      </c>
      <c r="J478" s="104">
        <f>IFERROR(VLOOKUP(A478,#REF!,16,0),0)+IFERROR(VLOOKUP(A478,#REF!,26,0),0)+IFERROR(VLOOKUP(A478,#REF!,11,0),0)+IFERROR(VLOOKUP(A478,#REF!,23,0),0)+IFERROR(VLOOKUP(A478,#REF!,11,0),0)+IFERROR(VLOOKUP(A478,#REF!,11,0),0)+IFERROR(VLOOKUP(A478,#REF!,11,0),0)</f>
        <v>0</v>
      </c>
      <c r="K478" s="96" t="str">
        <f>"07.02.24"</f>
        <v>07.02.24</v>
      </c>
    </row>
    <row r="479" spans="1:11" ht="11.25" customHeight="1" outlineLevel="1">
      <c r="A479" s="89" t="n">
        <v>38952</v>
      </c>
      <c r="B479" s="114" t="s">
        <v>601</v>
      </c>
      <c r="C479" s="89" t="s">
        <v>752</v>
      </c>
      <c r="D479" s="89" t="s">
        <v>15</v>
      </c>
      <c r="E479" s="89" t="s">
        <v>720</v>
      </c>
      <c r="F479" s="102" t="n">
        <v>135</v>
      </c>
      <c r="G479" s="102" t="n">
        <v>176</v>
      </c>
      <c r="H479" s="103" t="s">
        <v>17</v>
      </c>
      <c r="I479" s="103">
        <f>IFERROR(VLOOKUP(A479,#REF!,15,0),0)+IFERROR(VLOOKUP(A479,#REF!,25,0),0)+IFERROR(VLOOKUP(A479,#REF!,10,0),0)+IFERROR(VLOOKUP(A479,#REF!,14,0),0)+IFERROR(VLOOKUP(A479,#REF!,10,0),0)+IFERROR(VLOOKUP(A479,#REF!,10,0),0)+IFERROR(VLOOKUP(A479,#REF!,10,0),0)+IFERROR(VLOOKUP(A479,#REF!,9,0),0)+IFERROR(VLOOKUP(A479,#REF!,9,0),0)+IFERROR(VLOOKUP(A479,#REF!,9,0),0)+IFERROR(VLOOKUP(A479,#REF!,9,0),0)</f>
        <v>0</v>
      </c>
      <c r="J479" s="104">
        <f>IFERROR(VLOOKUP(A479,#REF!,16,0),0)+IFERROR(VLOOKUP(A479,#REF!,26,0),0)+IFERROR(VLOOKUP(A479,#REF!,11,0),0)+IFERROR(VLOOKUP(A479,#REF!,23,0),0)+IFERROR(VLOOKUP(A479,#REF!,11,0),0)+IFERROR(VLOOKUP(A479,#REF!,11,0),0)+IFERROR(VLOOKUP(A479,#REF!,11,0),0)</f>
        <v>0</v>
      </c>
      <c r="K479" s="96" t="str">
        <f>"07.02.24"</f>
        <v>07.02.24</v>
      </c>
    </row>
    <row r="480" spans="1:11" ht="11.25" customHeight="1" outlineLevel="1">
      <c r="A480" s="89" t="n">
        <v>12035</v>
      </c>
      <c r="B480" s="114" t="s">
        <v>601</v>
      </c>
      <c r="C480" s="89" t="s">
        <v>753</v>
      </c>
      <c r="D480" s="89" t="s">
        <v>15</v>
      </c>
      <c r="E480" s="89" t="s">
        <v>720</v>
      </c>
      <c r="F480" s="102" t="n">
        <v>142</v>
      </c>
      <c r="G480" s="102" t="n">
        <v>184</v>
      </c>
      <c r="H480" s="103" t="s">
        <v>48</v>
      </c>
      <c r="I480" s="103">
        <f>IFERROR(VLOOKUP(A480,#REF!,15,0),0)+IFERROR(VLOOKUP(A480,#REF!,25,0),0)+IFERROR(VLOOKUP(A480,#REF!,10,0),0)+IFERROR(VLOOKUP(A480,#REF!,14,0),0)+IFERROR(VLOOKUP(A480,#REF!,10,0),0)+IFERROR(VLOOKUP(A480,#REF!,10,0),0)+IFERROR(VLOOKUP(A480,#REF!,10,0),0)+IFERROR(VLOOKUP(A480,#REF!,9,0),0)+IFERROR(VLOOKUP(A480,#REF!,9,0),0)+IFERROR(VLOOKUP(A480,#REF!,9,0),0)+IFERROR(VLOOKUP(A480,#REF!,9,0),0)</f>
        <v>0</v>
      </c>
      <c r="J480" s="104">
        <f>IFERROR(VLOOKUP(A480,#REF!,16,0),0)+IFERROR(VLOOKUP(A480,#REF!,26,0),0)+IFERROR(VLOOKUP(A480,#REF!,11,0),0)+IFERROR(VLOOKUP(A480,#REF!,23,0),0)+IFERROR(VLOOKUP(A480,#REF!,11,0),0)+IFERROR(VLOOKUP(A480,#REF!,11,0),0)+IFERROR(VLOOKUP(A480,#REF!,11,0),0)</f>
        <v>0</v>
      </c>
      <c r="K480" s="96" t="str">
        <f>"07.02.24"</f>
        <v>07.02.24</v>
      </c>
    </row>
    <row r="481" spans="1:11" ht="11.25" customHeight="1" outlineLevel="1">
      <c r="A481" s="89" t="n">
        <v>38854</v>
      </c>
      <c r="B481" s="114" t="s">
        <v>601</v>
      </c>
      <c r="C481" s="89" t="s">
        <v>754</v>
      </c>
      <c r="D481" s="89" t="s">
        <v>15</v>
      </c>
      <c r="E481" s="89" t="s">
        <v>720</v>
      </c>
      <c r="F481" s="102" t="n">
        <v>194</v>
      </c>
      <c r="G481" s="102" t="n">
        <v>252</v>
      </c>
      <c r="H481" s="103" t="s">
        <v>48</v>
      </c>
      <c r="I481" s="103">
        <f>IFERROR(VLOOKUP(A481,#REF!,15,0),0)+IFERROR(VLOOKUP(A481,#REF!,25,0),0)+IFERROR(VLOOKUP(A481,#REF!,10,0),0)+IFERROR(VLOOKUP(A481,#REF!,14,0),0)+IFERROR(VLOOKUP(A481,#REF!,10,0),0)+IFERROR(VLOOKUP(A481,#REF!,10,0),0)+IFERROR(VLOOKUP(A481,#REF!,10,0),0)+IFERROR(VLOOKUP(A481,#REF!,9,0),0)+IFERROR(VLOOKUP(A481,#REF!,9,0),0)+IFERROR(VLOOKUP(A481,#REF!,9,0),0)+IFERROR(VLOOKUP(A481,#REF!,9,0),0)</f>
        <v>0</v>
      </c>
      <c r="J481" s="104">
        <f>IFERROR(VLOOKUP(A481,#REF!,16,0),0)+IFERROR(VLOOKUP(A481,#REF!,26,0),0)+IFERROR(VLOOKUP(A481,#REF!,11,0),0)+IFERROR(VLOOKUP(A481,#REF!,23,0),0)+IFERROR(VLOOKUP(A481,#REF!,11,0),0)+IFERROR(VLOOKUP(A481,#REF!,11,0),0)+IFERROR(VLOOKUP(A481,#REF!,11,0),0)</f>
        <v>0</v>
      </c>
      <c r="K481" s="96" t="str">
        <f>"07.02.24"</f>
        <v>07.02.24</v>
      </c>
    </row>
    <row r="482" spans="1:11" ht="11.25" customHeight="1" outlineLevel="1">
      <c r="A482" s="89" t="n">
        <v>7021460</v>
      </c>
      <c r="B482" s="114" t="s">
        <v>601</v>
      </c>
      <c r="C482" s="89" t="s">
        <v>755</v>
      </c>
      <c r="D482" s="89" t="s">
        <v>15</v>
      </c>
      <c r="E482" s="89"/>
      <c r="F482" s="102" t="n">
        <v>261</v>
      </c>
      <c r="G482" s="102" t="n">
        <v>339</v>
      </c>
      <c r="H482" s="103" t="s">
        <v>17</v>
      </c>
      <c r="I482" s="103">
        <f>IFERROR(VLOOKUP(A482,#REF!,15,0),0)+IFERROR(VLOOKUP(A482,#REF!,25,0),0)+IFERROR(VLOOKUP(A482,#REF!,10,0),0)+IFERROR(VLOOKUP(A482,#REF!,14,0),0)+IFERROR(VLOOKUP(A482,#REF!,10,0),0)+IFERROR(VLOOKUP(A482,#REF!,10,0),0)+IFERROR(VLOOKUP(A482,#REF!,10,0),0)+IFERROR(VLOOKUP(A482,#REF!,9,0),0)+IFERROR(VLOOKUP(A482,#REF!,9,0),0)+IFERROR(VLOOKUP(A482,#REF!,9,0),0)+IFERROR(VLOOKUP(A482,#REF!,9,0),0)</f>
        <v>0</v>
      </c>
      <c r="J482" s="104">
        <f>IFERROR(VLOOKUP(A482,#REF!,16,0),0)+IFERROR(VLOOKUP(A482,#REF!,26,0),0)+IFERROR(VLOOKUP(A482,#REF!,11,0),0)+IFERROR(VLOOKUP(A482,#REF!,23,0),0)+IFERROR(VLOOKUP(A482,#REF!,11,0),0)+IFERROR(VLOOKUP(A482,#REF!,11,0),0)+IFERROR(VLOOKUP(A482,#REF!,11,0),0)</f>
        <v>0</v>
      </c>
      <c r="K482" s="96" t="str">
        <f>"07.02.24"</f>
        <v>07.02.24</v>
      </c>
    </row>
    <row r="483" spans="1:11" ht="11.25" customHeight="1" outlineLevel="1">
      <c r="A483" s="89" t="n">
        <v>7021470</v>
      </c>
      <c r="B483" s="114" t="s">
        <v>601</v>
      </c>
      <c r="C483" s="89" t="s">
        <v>756</v>
      </c>
      <c r="D483" s="89" t="s">
        <v>15</v>
      </c>
      <c r="E483" s="89"/>
      <c r="F483" s="102" t="n">
        <v>303</v>
      </c>
      <c r="G483" s="102" t="n">
        <v>394</v>
      </c>
      <c r="H483" s="103" t="s">
        <v>17</v>
      </c>
      <c r="I483" s="103">
        <f>IFERROR(VLOOKUP(A483,#REF!,15,0),0)+IFERROR(VLOOKUP(A483,#REF!,25,0),0)+IFERROR(VLOOKUP(A483,#REF!,10,0),0)+IFERROR(VLOOKUP(A483,#REF!,14,0),0)+IFERROR(VLOOKUP(A483,#REF!,10,0),0)+IFERROR(VLOOKUP(A483,#REF!,10,0),0)+IFERROR(VLOOKUP(A483,#REF!,10,0),0)+IFERROR(VLOOKUP(A483,#REF!,9,0),0)+IFERROR(VLOOKUP(A483,#REF!,9,0),0)+IFERROR(VLOOKUP(A483,#REF!,9,0),0)+IFERROR(VLOOKUP(A483,#REF!,9,0),0)</f>
        <v>0</v>
      </c>
      <c r="J483" s="104">
        <f>IFERROR(VLOOKUP(A483,#REF!,16,0),0)+IFERROR(VLOOKUP(A483,#REF!,26,0),0)+IFERROR(VLOOKUP(A483,#REF!,11,0),0)+IFERROR(VLOOKUP(A483,#REF!,23,0),0)+IFERROR(VLOOKUP(A483,#REF!,11,0),0)+IFERROR(VLOOKUP(A483,#REF!,11,0),0)+IFERROR(VLOOKUP(A483,#REF!,11,0),0)</f>
        <v>0</v>
      </c>
      <c r="K483" s="96" t="str">
        <f>"07.02.24"</f>
        <v>07.02.24</v>
      </c>
    </row>
    <row r="484" spans="1:11" ht="11.25" customHeight="1" outlineLevel="1">
      <c r="A484" s="89" t="n">
        <v>7021480</v>
      </c>
      <c r="B484" s="114" t="s">
        <v>601</v>
      </c>
      <c r="C484" s="89" t="s">
        <v>757</v>
      </c>
      <c r="D484" s="89" t="s">
        <v>15</v>
      </c>
      <c r="E484" s="89"/>
      <c r="F484" s="102" t="n">
        <v>371</v>
      </c>
      <c r="G484" s="102" t="n">
        <v>482</v>
      </c>
      <c r="H484" s="103" t="s">
        <v>17</v>
      </c>
      <c r="I484" s="103">
        <f>IFERROR(VLOOKUP(A484,#REF!,15,0),0)+IFERROR(VLOOKUP(A484,#REF!,25,0),0)+IFERROR(VLOOKUP(A484,#REF!,10,0),0)+IFERROR(VLOOKUP(A484,#REF!,14,0),0)+IFERROR(VLOOKUP(A484,#REF!,10,0),0)+IFERROR(VLOOKUP(A484,#REF!,10,0),0)+IFERROR(VLOOKUP(A484,#REF!,10,0),0)+IFERROR(VLOOKUP(A484,#REF!,9,0),0)+IFERROR(VLOOKUP(A484,#REF!,9,0),0)+IFERROR(VLOOKUP(A484,#REF!,9,0),0)+IFERROR(VLOOKUP(A484,#REF!,9,0),0)</f>
        <v>0</v>
      </c>
      <c r="J484" s="104">
        <f>IFERROR(VLOOKUP(A484,#REF!,16,0),0)+IFERROR(VLOOKUP(A484,#REF!,26,0),0)+IFERROR(VLOOKUP(A484,#REF!,11,0),0)+IFERROR(VLOOKUP(A484,#REF!,23,0),0)+IFERROR(VLOOKUP(A484,#REF!,11,0),0)+IFERROR(VLOOKUP(A484,#REF!,11,0),0)+IFERROR(VLOOKUP(A484,#REF!,11,0),0)</f>
        <v>0</v>
      </c>
      <c r="K484" s="96" t="str">
        <f>"07.02.24"</f>
        <v>07.02.24</v>
      </c>
    </row>
    <row r="485" spans="1:11" ht="11.25" customHeight="1" outlineLevel="1">
      <c r="A485" s="89" t="n">
        <v>15257</v>
      </c>
      <c r="B485" s="114" t="s">
        <v>601</v>
      </c>
      <c r="C485" s="89" t="s">
        <v>758</v>
      </c>
      <c r="D485" s="89" t="s">
        <v>15</v>
      </c>
      <c r="E485" s="89" t="s">
        <v>720</v>
      </c>
      <c r="F485" s="102" t="n">
        <v>457</v>
      </c>
      <c r="G485" s="102" t="n">
        <v>595</v>
      </c>
      <c r="H485" s="103" t="s">
        <v>48</v>
      </c>
      <c r="I485" s="103">
        <f>IFERROR(VLOOKUP(A485,#REF!,15,0),0)+IFERROR(VLOOKUP(A485,#REF!,25,0),0)+IFERROR(VLOOKUP(A485,#REF!,10,0),0)+IFERROR(VLOOKUP(A485,#REF!,14,0),0)+IFERROR(VLOOKUP(A485,#REF!,10,0),0)+IFERROR(VLOOKUP(A485,#REF!,10,0),0)+IFERROR(VLOOKUP(A485,#REF!,10,0),0)+IFERROR(VLOOKUP(A485,#REF!,9,0),0)+IFERROR(VLOOKUP(A485,#REF!,9,0),0)+IFERROR(VLOOKUP(A485,#REF!,9,0),0)+IFERROR(VLOOKUP(A485,#REF!,9,0),0)</f>
        <v>0</v>
      </c>
      <c r="J485" s="104">
        <f>IFERROR(VLOOKUP(A485,#REF!,16,0),0)+IFERROR(VLOOKUP(A485,#REF!,26,0),0)+IFERROR(VLOOKUP(A485,#REF!,11,0),0)+IFERROR(VLOOKUP(A485,#REF!,23,0),0)+IFERROR(VLOOKUP(A485,#REF!,11,0),0)+IFERROR(VLOOKUP(A485,#REF!,11,0),0)+IFERROR(VLOOKUP(A485,#REF!,11,0),0)</f>
        <v>0</v>
      </c>
      <c r="K485" s="96" t="str">
        <f>"07.02.24"</f>
        <v>07.02.24</v>
      </c>
    </row>
    <row r="486" spans="1:11" ht="11.25" customHeight="1" outlineLevel="1">
      <c r="A486" s="89" t="n">
        <v>38947</v>
      </c>
      <c r="B486" s="114" t="s">
        <v>601</v>
      </c>
      <c r="C486" s="89" t="s">
        <v>759</v>
      </c>
      <c r="D486" s="89" t="s">
        <v>15</v>
      </c>
      <c r="E486" s="89" t="s">
        <v>720</v>
      </c>
      <c r="F486" s="102" t="n">
        <v>494</v>
      </c>
      <c r="G486" s="102" t="n">
        <v>643</v>
      </c>
      <c r="H486" s="103" t="s">
        <v>17</v>
      </c>
      <c r="I486" s="103">
        <f>IFERROR(VLOOKUP(A486,#REF!,15,0),0)+IFERROR(VLOOKUP(A486,#REF!,25,0),0)+IFERROR(VLOOKUP(A486,#REF!,10,0),0)+IFERROR(VLOOKUP(A486,#REF!,14,0),0)+IFERROR(VLOOKUP(A486,#REF!,10,0),0)+IFERROR(VLOOKUP(A486,#REF!,10,0),0)+IFERROR(VLOOKUP(A486,#REF!,10,0),0)+IFERROR(VLOOKUP(A486,#REF!,9,0),0)+IFERROR(VLOOKUP(A486,#REF!,9,0),0)+IFERROR(VLOOKUP(A486,#REF!,9,0),0)+IFERROR(VLOOKUP(A486,#REF!,9,0),0)</f>
        <v>0</v>
      </c>
      <c r="J486" s="104">
        <f>IFERROR(VLOOKUP(A486,#REF!,16,0),0)+IFERROR(VLOOKUP(A486,#REF!,26,0),0)+IFERROR(VLOOKUP(A486,#REF!,11,0),0)+IFERROR(VLOOKUP(A486,#REF!,23,0),0)+IFERROR(VLOOKUP(A486,#REF!,11,0),0)+IFERROR(VLOOKUP(A486,#REF!,11,0),0)+IFERROR(VLOOKUP(A486,#REF!,11,0),0)</f>
        <v>0</v>
      </c>
      <c r="K486" s="96" t="str">
        <f>"07.02.24"</f>
        <v>07.02.24</v>
      </c>
    </row>
    <row r="487" spans="1:11" ht="11.25" customHeight="1" outlineLevel="1">
      <c r="A487" s="89" t="n">
        <v>10025</v>
      </c>
      <c r="B487" s="114" t="s">
        <v>601</v>
      </c>
      <c r="C487" s="89" t="s">
        <v>760</v>
      </c>
      <c r="D487" s="89" t="s">
        <v>15</v>
      </c>
      <c r="E487" s="89" t="s">
        <v>720</v>
      </c>
      <c r="F487" s="102" t="n">
        <v>568</v>
      </c>
      <c r="G487" s="102" t="n">
        <v>738</v>
      </c>
      <c r="H487" s="103" t="s">
        <v>17</v>
      </c>
      <c r="I487" s="103">
        <f>IFERROR(VLOOKUP(A487,#REF!,15,0),0)+IFERROR(VLOOKUP(A487,#REF!,25,0),0)+IFERROR(VLOOKUP(A487,#REF!,10,0),0)+IFERROR(VLOOKUP(A487,#REF!,14,0),0)+IFERROR(VLOOKUP(A487,#REF!,10,0),0)+IFERROR(VLOOKUP(A487,#REF!,10,0),0)+IFERROR(VLOOKUP(A487,#REF!,10,0),0)+IFERROR(VLOOKUP(A487,#REF!,9,0),0)+IFERROR(VLOOKUP(A487,#REF!,9,0),0)+IFERROR(VLOOKUP(A487,#REF!,9,0),0)+IFERROR(VLOOKUP(A487,#REF!,9,0),0)</f>
        <v>0</v>
      </c>
      <c r="J487" s="104">
        <f>IFERROR(VLOOKUP(A487,#REF!,16,0),0)+IFERROR(VLOOKUP(A487,#REF!,26,0),0)+IFERROR(VLOOKUP(A487,#REF!,11,0),0)+IFERROR(VLOOKUP(A487,#REF!,23,0),0)+IFERROR(VLOOKUP(A487,#REF!,11,0),0)+IFERROR(VLOOKUP(A487,#REF!,11,0),0)+IFERROR(VLOOKUP(A487,#REF!,11,0),0)</f>
        <v>0</v>
      </c>
      <c r="K487" s="96" t="str">
        <f>"07.02.24"</f>
        <v>07.02.24</v>
      </c>
    </row>
    <row r="488" spans="1:11" ht="11.25" customHeight="1" outlineLevel="1">
      <c r="A488" s="89" t="n">
        <v>7021510</v>
      </c>
      <c r="B488" s="114" t="s">
        <v>601</v>
      </c>
      <c r="C488" s="89" t="s">
        <v>761</v>
      </c>
      <c r="D488" s="89" t="s">
        <v>15</v>
      </c>
      <c r="E488" s="89"/>
      <c r="F488" s="102" t="n">
        <v>483</v>
      </c>
      <c r="G488" s="102" t="n">
        <v>629</v>
      </c>
      <c r="H488" s="103" t="s">
        <v>17</v>
      </c>
      <c r="I488" s="103">
        <f>IFERROR(VLOOKUP(A488,#REF!,15,0),0)+IFERROR(VLOOKUP(A488,#REF!,25,0),0)+IFERROR(VLOOKUP(A488,#REF!,10,0),0)+IFERROR(VLOOKUP(A488,#REF!,14,0),0)+IFERROR(VLOOKUP(A488,#REF!,10,0),0)+IFERROR(VLOOKUP(A488,#REF!,10,0),0)+IFERROR(VLOOKUP(A488,#REF!,10,0),0)+IFERROR(VLOOKUP(A488,#REF!,9,0),0)+IFERROR(VLOOKUP(A488,#REF!,9,0),0)+IFERROR(VLOOKUP(A488,#REF!,9,0),0)+IFERROR(VLOOKUP(A488,#REF!,9,0),0)</f>
        <v>0</v>
      </c>
      <c r="J488" s="104">
        <f>IFERROR(VLOOKUP(A488,#REF!,16,0),0)+IFERROR(VLOOKUP(A488,#REF!,26,0),0)+IFERROR(VLOOKUP(A488,#REF!,11,0),0)+IFERROR(VLOOKUP(A488,#REF!,23,0),0)+IFERROR(VLOOKUP(A488,#REF!,11,0),0)+IFERROR(VLOOKUP(A488,#REF!,11,0),0)+IFERROR(VLOOKUP(A488,#REF!,11,0),0)</f>
        <v>0</v>
      </c>
      <c r="K488" s="96" t="str">
        <f>"07.02.24"</f>
        <v>07.02.24</v>
      </c>
    </row>
    <row r="489" spans="1:11" ht="11.25" customHeight="1" outlineLevel="1">
      <c r="A489" s="89" t="n">
        <v>10026</v>
      </c>
      <c r="B489" s="114" t="s">
        <v>601</v>
      </c>
      <c r="C489" s="89" t="s">
        <v>762</v>
      </c>
      <c r="D489" s="89" t="s">
        <v>15</v>
      </c>
      <c r="E489" s="89" t="s">
        <v>720</v>
      </c>
      <c r="F489" s="102" t="n">
        <v>590</v>
      </c>
      <c r="G489" s="102" t="n">
        <v>767</v>
      </c>
      <c r="H489" s="103" t="s">
        <v>17</v>
      </c>
      <c r="I489" s="103">
        <f>IFERROR(VLOOKUP(A489,#REF!,15,0),0)+IFERROR(VLOOKUP(A489,#REF!,25,0),0)+IFERROR(VLOOKUP(A489,#REF!,10,0),0)+IFERROR(VLOOKUP(A489,#REF!,14,0),0)+IFERROR(VLOOKUP(A489,#REF!,10,0),0)+IFERROR(VLOOKUP(A489,#REF!,10,0),0)+IFERROR(VLOOKUP(A489,#REF!,10,0),0)+IFERROR(VLOOKUP(A489,#REF!,9,0),0)+IFERROR(VLOOKUP(A489,#REF!,9,0),0)+IFERROR(VLOOKUP(A489,#REF!,9,0),0)+IFERROR(VLOOKUP(A489,#REF!,9,0),0)</f>
        <v>0</v>
      </c>
      <c r="J489" s="104">
        <f>IFERROR(VLOOKUP(A489,#REF!,16,0),0)+IFERROR(VLOOKUP(A489,#REF!,26,0),0)+IFERROR(VLOOKUP(A489,#REF!,11,0),0)+IFERROR(VLOOKUP(A489,#REF!,23,0),0)+IFERROR(VLOOKUP(A489,#REF!,11,0),0)+IFERROR(VLOOKUP(A489,#REF!,11,0),0)+IFERROR(VLOOKUP(A489,#REF!,11,0),0)</f>
        <v>0</v>
      </c>
      <c r="K489" s="96" t="str">
        <f>"07.02.24"</f>
        <v>07.02.24</v>
      </c>
    </row>
    <row r="490" spans="1:11" ht="11.25" customHeight="1" outlineLevel="1">
      <c r="A490" s="89" t="n">
        <v>7021520</v>
      </c>
      <c r="B490" s="114" t="s">
        <v>601</v>
      </c>
      <c r="C490" s="89" t="s">
        <v>763</v>
      </c>
      <c r="D490" s="89" t="s">
        <v>15</v>
      </c>
      <c r="E490" s="89"/>
      <c r="F490" s="102" t="n">
        <v>596</v>
      </c>
      <c r="G490" s="102" t="n">
        <v>775</v>
      </c>
      <c r="H490" s="103" t="s">
        <v>17</v>
      </c>
      <c r="I490" s="103">
        <f>IFERROR(VLOOKUP(A490,#REF!,15,0),0)+IFERROR(VLOOKUP(A490,#REF!,25,0),0)+IFERROR(VLOOKUP(A490,#REF!,10,0),0)+IFERROR(VLOOKUP(A490,#REF!,14,0),0)+IFERROR(VLOOKUP(A490,#REF!,10,0),0)+IFERROR(VLOOKUP(A490,#REF!,10,0),0)+IFERROR(VLOOKUP(A490,#REF!,10,0),0)+IFERROR(VLOOKUP(A490,#REF!,9,0),0)+IFERROR(VLOOKUP(A490,#REF!,9,0),0)+IFERROR(VLOOKUP(A490,#REF!,9,0),0)+IFERROR(VLOOKUP(A490,#REF!,9,0),0)</f>
        <v>0</v>
      </c>
      <c r="J490" s="104">
        <f>IFERROR(VLOOKUP(A490,#REF!,16,0),0)+IFERROR(VLOOKUP(A490,#REF!,26,0),0)+IFERROR(VLOOKUP(A490,#REF!,11,0),0)+IFERROR(VLOOKUP(A490,#REF!,23,0),0)+IFERROR(VLOOKUP(A490,#REF!,11,0),0)+IFERROR(VLOOKUP(A490,#REF!,11,0),0)+IFERROR(VLOOKUP(A490,#REF!,11,0),0)</f>
        <v>0</v>
      </c>
      <c r="K490" s="96" t="str">
        <f>"07.02.24"</f>
        <v>07.02.24</v>
      </c>
    </row>
    <row r="491" spans="1:11" ht="11.25" customHeight="1" outlineLevel="1">
      <c r="A491" s="89" t="n">
        <v>1171590</v>
      </c>
      <c r="B491" s="114" t="s">
        <v>601</v>
      </c>
      <c r="C491" s="89" t="s">
        <v>764</v>
      </c>
      <c r="D491" s="89" t="s">
        <v>15</v>
      </c>
      <c r="E491" s="89" t="s">
        <v>720</v>
      </c>
      <c r="F491" s="102" t="n">
        <v>525</v>
      </c>
      <c r="G491" s="102" t="n">
        <v>682</v>
      </c>
      <c r="H491" s="103" t="s">
        <v>17</v>
      </c>
      <c r="I491" s="103">
        <f>IFERROR(VLOOKUP(A491,#REF!,15,0),0)+IFERROR(VLOOKUP(A491,#REF!,25,0),0)+IFERROR(VLOOKUP(A491,#REF!,10,0),0)+IFERROR(VLOOKUP(A491,#REF!,14,0),0)+IFERROR(VLOOKUP(A491,#REF!,10,0),0)+IFERROR(VLOOKUP(A491,#REF!,10,0),0)+IFERROR(VLOOKUP(A491,#REF!,10,0),0)+IFERROR(VLOOKUP(A491,#REF!,9,0),0)+IFERROR(VLOOKUP(A491,#REF!,9,0),0)+IFERROR(VLOOKUP(A491,#REF!,9,0),0)+IFERROR(VLOOKUP(A491,#REF!,9,0),0)</f>
        <v>0</v>
      </c>
      <c r="J491" s="104">
        <f>IFERROR(VLOOKUP(A491,#REF!,16,0),0)+IFERROR(VLOOKUP(A491,#REF!,26,0),0)+IFERROR(VLOOKUP(A491,#REF!,11,0),0)+IFERROR(VLOOKUP(A491,#REF!,23,0),0)+IFERROR(VLOOKUP(A491,#REF!,11,0),0)+IFERROR(VLOOKUP(A491,#REF!,11,0),0)+IFERROR(VLOOKUP(A491,#REF!,11,0),0)</f>
        <v>0</v>
      </c>
      <c r="K491" s="96" t="str">
        <f>"07.02.24"</f>
        <v>07.02.24</v>
      </c>
    </row>
    <row r="492" spans="1:11" ht="11.25" customHeight="1" outlineLevel="1">
      <c r="A492" s="89" t="n">
        <v>38867</v>
      </c>
      <c r="B492" s="114" t="s">
        <v>601</v>
      </c>
      <c r="C492" s="89" t="s">
        <v>765</v>
      </c>
      <c r="D492" s="89" t="s">
        <v>15</v>
      </c>
      <c r="E492" s="89" t="s">
        <v>720</v>
      </c>
      <c r="F492" s="102" t="n">
        <v>642</v>
      </c>
      <c r="G492" s="102" t="n">
        <v>834</v>
      </c>
      <c r="H492" s="103" t="s">
        <v>17</v>
      </c>
      <c r="I492" s="103">
        <f>IFERROR(VLOOKUP(A492,#REF!,15,0),0)+IFERROR(VLOOKUP(A492,#REF!,25,0),0)+IFERROR(VLOOKUP(A492,#REF!,10,0),0)+IFERROR(VLOOKUP(A492,#REF!,14,0),0)+IFERROR(VLOOKUP(A492,#REF!,10,0),0)+IFERROR(VLOOKUP(A492,#REF!,10,0),0)+IFERROR(VLOOKUP(A492,#REF!,10,0),0)+IFERROR(VLOOKUP(A492,#REF!,9,0),0)+IFERROR(VLOOKUP(A492,#REF!,9,0),0)+IFERROR(VLOOKUP(A492,#REF!,9,0),0)+IFERROR(VLOOKUP(A492,#REF!,9,0),0)</f>
        <v>0</v>
      </c>
      <c r="J492" s="104">
        <f>IFERROR(VLOOKUP(A492,#REF!,16,0),0)+IFERROR(VLOOKUP(A492,#REF!,26,0),0)+IFERROR(VLOOKUP(A492,#REF!,11,0),0)+IFERROR(VLOOKUP(A492,#REF!,23,0),0)+IFERROR(VLOOKUP(A492,#REF!,11,0),0)+IFERROR(VLOOKUP(A492,#REF!,11,0),0)+IFERROR(VLOOKUP(A492,#REF!,11,0),0)</f>
        <v>0</v>
      </c>
      <c r="K492" s="96" t="str">
        <f>"07.02.24"</f>
        <v>07.02.24</v>
      </c>
    </row>
    <row r="493" spans="1:11" ht="11.25" customHeight="1" outlineLevel="1">
      <c r="A493" s="89" t="n">
        <v>1171600</v>
      </c>
      <c r="B493" s="114" t="s">
        <v>601</v>
      </c>
      <c r="C493" s="89" t="s">
        <v>766</v>
      </c>
      <c r="D493" s="89" t="s">
        <v>15</v>
      </c>
      <c r="E493" s="89" t="s">
        <v>720</v>
      </c>
      <c r="F493" s="102" t="n">
        <v>559</v>
      </c>
      <c r="G493" s="102" t="n">
        <v>727</v>
      </c>
      <c r="H493" s="103" t="s">
        <v>17</v>
      </c>
      <c r="I493" s="103">
        <f>IFERROR(VLOOKUP(A493,#REF!,15,0),0)+IFERROR(VLOOKUP(A493,#REF!,25,0),0)+IFERROR(VLOOKUP(A493,#REF!,10,0),0)+IFERROR(VLOOKUP(A493,#REF!,14,0),0)+IFERROR(VLOOKUP(A493,#REF!,10,0),0)+IFERROR(VLOOKUP(A493,#REF!,10,0),0)+IFERROR(VLOOKUP(A493,#REF!,10,0),0)+IFERROR(VLOOKUP(A493,#REF!,9,0),0)+IFERROR(VLOOKUP(A493,#REF!,9,0),0)+IFERROR(VLOOKUP(A493,#REF!,9,0),0)+IFERROR(VLOOKUP(A493,#REF!,9,0),0)</f>
        <v>0</v>
      </c>
      <c r="J493" s="104">
        <f>IFERROR(VLOOKUP(A493,#REF!,16,0),0)+IFERROR(VLOOKUP(A493,#REF!,26,0),0)+IFERROR(VLOOKUP(A493,#REF!,11,0),0)+IFERROR(VLOOKUP(A493,#REF!,23,0),0)+IFERROR(VLOOKUP(A493,#REF!,11,0),0)+IFERROR(VLOOKUP(A493,#REF!,11,0),0)+IFERROR(VLOOKUP(A493,#REF!,11,0),0)</f>
        <v>0</v>
      </c>
      <c r="K493" s="96" t="str">
        <f>"07.02.24"</f>
        <v>07.02.24</v>
      </c>
    </row>
    <row r="494" spans="1:11" ht="11.25" customHeight="1" outlineLevel="1">
      <c r="A494" s="89" t="n">
        <v>38868</v>
      </c>
      <c r="B494" s="114" t="s">
        <v>601</v>
      </c>
      <c r="C494" s="89" t="s">
        <v>767</v>
      </c>
      <c r="D494" s="89" t="s">
        <v>15</v>
      </c>
      <c r="E494" s="89" t="s">
        <v>720</v>
      </c>
      <c r="F494" s="102" t="n">
        <v>642</v>
      </c>
      <c r="G494" s="102" t="n">
        <v>834</v>
      </c>
      <c r="H494" s="103" t="s">
        <v>17</v>
      </c>
      <c r="I494" s="103">
        <f>IFERROR(VLOOKUP(A494,#REF!,15,0),0)+IFERROR(VLOOKUP(A494,#REF!,25,0),0)+IFERROR(VLOOKUP(A494,#REF!,10,0),0)+IFERROR(VLOOKUP(A494,#REF!,14,0),0)+IFERROR(VLOOKUP(A494,#REF!,10,0),0)+IFERROR(VLOOKUP(A494,#REF!,10,0),0)+IFERROR(VLOOKUP(A494,#REF!,10,0),0)+IFERROR(VLOOKUP(A494,#REF!,9,0),0)+IFERROR(VLOOKUP(A494,#REF!,9,0),0)+IFERROR(VLOOKUP(A494,#REF!,9,0),0)+IFERROR(VLOOKUP(A494,#REF!,9,0),0)</f>
        <v>0</v>
      </c>
      <c r="J494" s="104">
        <f>IFERROR(VLOOKUP(A494,#REF!,16,0),0)+IFERROR(VLOOKUP(A494,#REF!,26,0),0)+IFERROR(VLOOKUP(A494,#REF!,11,0),0)+IFERROR(VLOOKUP(A494,#REF!,23,0),0)+IFERROR(VLOOKUP(A494,#REF!,11,0),0)+IFERROR(VLOOKUP(A494,#REF!,11,0),0)+IFERROR(VLOOKUP(A494,#REF!,11,0),0)</f>
        <v>0</v>
      </c>
      <c r="K494" s="96" t="str">
        <f>"07.02.24"</f>
        <v>07.02.24</v>
      </c>
    </row>
    <row r="495" spans="1:11" ht="11.25" customHeight="1" outlineLevel="1">
      <c r="A495" s="89" t="n">
        <v>38869</v>
      </c>
      <c r="B495" s="114" t="s">
        <v>601</v>
      </c>
      <c r="C495" s="89" t="s">
        <v>768</v>
      </c>
      <c r="D495" s="89" t="s">
        <v>15</v>
      </c>
      <c r="E495" s="89" t="s">
        <v>720</v>
      </c>
      <c r="F495" s="102" t="n">
        <v>642</v>
      </c>
      <c r="G495" s="102" t="n">
        <v>834</v>
      </c>
      <c r="H495" s="103" t="s">
        <v>17</v>
      </c>
      <c r="I495" s="103">
        <f>IFERROR(VLOOKUP(A495,#REF!,15,0),0)+IFERROR(VLOOKUP(A495,#REF!,25,0),0)+IFERROR(VLOOKUP(A495,#REF!,10,0),0)+IFERROR(VLOOKUP(A495,#REF!,14,0),0)+IFERROR(VLOOKUP(A495,#REF!,10,0),0)+IFERROR(VLOOKUP(A495,#REF!,10,0),0)+IFERROR(VLOOKUP(A495,#REF!,10,0),0)+IFERROR(VLOOKUP(A495,#REF!,9,0),0)+IFERROR(VLOOKUP(A495,#REF!,9,0),0)+IFERROR(VLOOKUP(A495,#REF!,9,0),0)+IFERROR(VLOOKUP(A495,#REF!,9,0),0)</f>
        <v>0</v>
      </c>
      <c r="J495" s="104">
        <f>IFERROR(VLOOKUP(A495,#REF!,16,0),0)+IFERROR(VLOOKUP(A495,#REF!,26,0),0)+IFERROR(VLOOKUP(A495,#REF!,11,0),0)+IFERROR(VLOOKUP(A495,#REF!,23,0),0)+IFERROR(VLOOKUP(A495,#REF!,11,0),0)+IFERROR(VLOOKUP(A495,#REF!,11,0),0)+IFERROR(VLOOKUP(A495,#REF!,11,0),0)</f>
        <v>0</v>
      </c>
      <c r="K495" s="96" t="str">
        <f>"07.02.24"</f>
        <v>07.02.24</v>
      </c>
    </row>
    <row r="496" spans="1:11" ht="11.25" customHeight="1" outlineLevel="1">
      <c r="A496" s="89" t="n">
        <v>10027</v>
      </c>
      <c r="B496" s="114" t="s">
        <v>601</v>
      </c>
      <c r="C496" s="89" t="s">
        <v>769</v>
      </c>
      <c r="D496" s="89" t="s">
        <v>15</v>
      </c>
      <c r="E496" s="89" t="s">
        <v>720</v>
      </c>
      <c r="F496" s="102" t="n">
        <v>672</v>
      </c>
      <c r="G496" s="102" t="n">
        <v>874</v>
      </c>
      <c r="H496" s="103" t="s">
        <v>17</v>
      </c>
      <c r="I496" s="103">
        <f>IFERROR(VLOOKUP(A496,#REF!,15,0),0)+IFERROR(VLOOKUP(A496,#REF!,25,0),0)+IFERROR(VLOOKUP(A496,#REF!,10,0),0)+IFERROR(VLOOKUP(A496,#REF!,14,0),0)+IFERROR(VLOOKUP(A496,#REF!,10,0),0)+IFERROR(VLOOKUP(A496,#REF!,10,0),0)+IFERROR(VLOOKUP(A496,#REF!,10,0),0)+IFERROR(VLOOKUP(A496,#REF!,9,0),0)+IFERROR(VLOOKUP(A496,#REF!,9,0),0)+IFERROR(VLOOKUP(A496,#REF!,9,0),0)+IFERROR(VLOOKUP(A496,#REF!,9,0),0)</f>
        <v>0</v>
      </c>
      <c r="J496" s="104">
        <f>IFERROR(VLOOKUP(A496,#REF!,16,0),0)+IFERROR(VLOOKUP(A496,#REF!,26,0),0)+IFERROR(VLOOKUP(A496,#REF!,11,0),0)+IFERROR(VLOOKUP(A496,#REF!,23,0),0)+IFERROR(VLOOKUP(A496,#REF!,11,0),0)+IFERROR(VLOOKUP(A496,#REF!,11,0),0)+IFERROR(VLOOKUP(A496,#REF!,11,0),0)</f>
        <v>0</v>
      </c>
      <c r="K496" s="96" t="str">
        <f>"07.02.24"</f>
        <v>07.02.24</v>
      </c>
    </row>
    <row r="497" spans="1:11" ht="11.25" customHeight="1" outlineLevel="1">
      <c r="A497" s="89" t="n">
        <v>10028</v>
      </c>
      <c r="B497" s="114" t="s">
        <v>601</v>
      </c>
      <c r="C497" s="89" t="s">
        <v>770</v>
      </c>
      <c r="D497" s="89" t="s">
        <v>15</v>
      </c>
      <c r="E497" s="89" t="s">
        <v>720</v>
      </c>
      <c r="F497" s="102" t="n">
        <v>714</v>
      </c>
      <c r="G497" s="102" t="n">
        <v>928</v>
      </c>
      <c r="H497" s="103" t="s">
        <v>17</v>
      </c>
      <c r="I497" s="103">
        <f>IFERROR(VLOOKUP(A497,#REF!,15,0),0)+IFERROR(VLOOKUP(A497,#REF!,25,0),0)+IFERROR(VLOOKUP(A497,#REF!,10,0),0)+IFERROR(VLOOKUP(A497,#REF!,14,0),0)+IFERROR(VLOOKUP(A497,#REF!,10,0),0)+IFERROR(VLOOKUP(A497,#REF!,10,0),0)+IFERROR(VLOOKUP(A497,#REF!,10,0),0)+IFERROR(VLOOKUP(A497,#REF!,9,0),0)+IFERROR(VLOOKUP(A497,#REF!,9,0),0)+IFERROR(VLOOKUP(A497,#REF!,9,0),0)+IFERROR(VLOOKUP(A497,#REF!,9,0),0)</f>
        <v>0</v>
      </c>
      <c r="J497" s="104">
        <f>IFERROR(VLOOKUP(A497,#REF!,16,0),0)+IFERROR(VLOOKUP(A497,#REF!,26,0),0)+IFERROR(VLOOKUP(A497,#REF!,11,0),0)+IFERROR(VLOOKUP(A497,#REF!,23,0),0)+IFERROR(VLOOKUP(A497,#REF!,11,0),0)+IFERROR(VLOOKUP(A497,#REF!,11,0),0)+IFERROR(VLOOKUP(A497,#REF!,11,0),0)</f>
        <v>0</v>
      </c>
      <c r="K497" s="96" t="str">
        <f>"07.02.24"</f>
        <v>07.02.24</v>
      </c>
    </row>
    <row r="498" spans="1:11" ht="11.25" customHeight="1" outlineLevel="1">
      <c r="A498" s="89" t="n">
        <v>38950</v>
      </c>
      <c r="B498" s="114" t="s">
        <v>601</v>
      </c>
      <c r="C498" s="89" t="s">
        <v>771</v>
      </c>
      <c r="D498" s="89" t="s">
        <v>15</v>
      </c>
      <c r="E498" s="89" t="s">
        <v>720</v>
      </c>
      <c r="F498" s="102" t="n">
        <v>440</v>
      </c>
      <c r="G498" s="102" t="n">
        <v>572</v>
      </c>
      <c r="H498" s="103" t="s">
        <v>17</v>
      </c>
      <c r="I498" s="103">
        <f>IFERROR(VLOOKUP(A498,#REF!,15,0),0)+IFERROR(VLOOKUP(A498,#REF!,25,0),0)+IFERROR(VLOOKUP(A498,#REF!,10,0),0)+IFERROR(VLOOKUP(A498,#REF!,14,0),0)+IFERROR(VLOOKUP(A498,#REF!,10,0),0)+IFERROR(VLOOKUP(A498,#REF!,10,0),0)+IFERROR(VLOOKUP(A498,#REF!,10,0),0)+IFERROR(VLOOKUP(A498,#REF!,9,0),0)+IFERROR(VLOOKUP(A498,#REF!,9,0),0)+IFERROR(VLOOKUP(A498,#REF!,9,0),0)+IFERROR(VLOOKUP(A498,#REF!,9,0),0)</f>
        <v>0</v>
      </c>
      <c r="J498" s="104">
        <f>IFERROR(VLOOKUP(A498,#REF!,16,0),0)+IFERROR(VLOOKUP(A498,#REF!,26,0),0)+IFERROR(VLOOKUP(A498,#REF!,11,0),0)+IFERROR(VLOOKUP(A498,#REF!,23,0),0)+IFERROR(VLOOKUP(A498,#REF!,11,0),0)+IFERROR(VLOOKUP(A498,#REF!,11,0),0)+IFERROR(VLOOKUP(A498,#REF!,11,0),0)</f>
        <v>0</v>
      </c>
      <c r="K498" s="96" t="str">
        <f>"07.02.24"</f>
        <v>07.02.24</v>
      </c>
    </row>
    <row r="499" spans="1:11" ht="11.25" customHeight="1" outlineLevel="1">
      <c r="A499" s="89" t="n">
        <v>23973</v>
      </c>
      <c r="B499" s="114" t="s">
        <v>601</v>
      </c>
      <c r="C499" s="89" t="s">
        <v>772</v>
      </c>
      <c r="D499" s="89" t="s">
        <v>15</v>
      </c>
      <c r="E499" s="89" t="s">
        <v>720</v>
      </c>
      <c r="F499" s="102" t="n">
        <v>530</v>
      </c>
      <c r="G499" s="102" t="n">
        <v>690</v>
      </c>
      <c r="H499" s="103" t="s">
        <v>48</v>
      </c>
      <c r="I499" s="103">
        <f>IFERROR(VLOOKUP(A499,#REF!,15,0),0)+IFERROR(VLOOKUP(A499,#REF!,25,0),0)+IFERROR(VLOOKUP(A499,#REF!,10,0),0)+IFERROR(VLOOKUP(A499,#REF!,14,0),0)+IFERROR(VLOOKUP(A499,#REF!,10,0),0)+IFERROR(VLOOKUP(A499,#REF!,10,0),0)+IFERROR(VLOOKUP(A499,#REF!,10,0),0)+IFERROR(VLOOKUP(A499,#REF!,9,0),0)+IFERROR(VLOOKUP(A499,#REF!,9,0),0)+IFERROR(VLOOKUP(A499,#REF!,9,0),0)+IFERROR(VLOOKUP(A499,#REF!,9,0),0)</f>
        <v>0</v>
      </c>
      <c r="J499" s="104">
        <f>IFERROR(VLOOKUP(A499,#REF!,16,0),0)+IFERROR(VLOOKUP(A499,#REF!,26,0),0)+IFERROR(VLOOKUP(A499,#REF!,11,0),0)+IFERROR(VLOOKUP(A499,#REF!,23,0),0)+IFERROR(VLOOKUP(A499,#REF!,11,0),0)+IFERROR(VLOOKUP(A499,#REF!,11,0),0)+IFERROR(VLOOKUP(A499,#REF!,11,0),0)</f>
        <v>0</v>
      </c>
      <c r="K499" s="96" t="str">
        <f>"07.02.24"</f>
        <v>07.02.24</v>
      </c>
    </row>
    <row r="500" spans="1:11" ht="11.25" customHeight="1" outlineLevel="1">
      <c r="A500" s="89" t="n">
        <v>38971</v>
      </c>
      <c r="B500" s="114" t="s">
        <v>601</v>
      </c>
      <c r="C500" s="89" t="s">
        <v>773</v>
      </c>
      <c r="D500" s="89" t="s">
        <v>15</v>
      </c>
      <c r="E500" s="89" t="s">
        <v>720</v>
      </c>
      <c r="F500" s="102" t="n">
        <v>458</v>
      </c>
      <c r="G500" s="102" t="n">
        <v>596</v>
      </c>
      <c r="H500" s="103" t="s">
        <v>17</v>
      </c>
      <c r="I500" s="103">
        <f>IFERROR(VLOOKUP(A500,#REF!,15,0),0)+IFERROR(VLOOKUP(A500,#REF!,25,0),0)+IFERROR(VLOOKUP(A500,#REF!,10,0),0)+IFERROR(VLOOKUP(A500,#REF!,14,0),0)+IFERROR(VLOOKUP(A500,#REF!,10,0),0)+IFERROR(VLOOKUP(A500,#REF!,10,0),0)+IFERROR(VLOOKUP(A500,#REF!,10,0),0)+IFERROR(VLOOKUP(A500,#REF!,9,0),0)+IFERROR(VLOOKUP(A500,#REF!,9,0),0)+IFERROR(VLOOKUP(A500,#REF!,9,0),0)+IFERROR(VLOOKUP(A500,#REF!,9,0),0)</f>
        <v>0</v>
      </c>
      <c r="J500" s="104">
        <f>IFERROR(VLOOKUP(A500,#REF!,16,0),0)+IFERROR(VLOOKUP(A500,#REF!,26,0),0)+IFERROR(VLOOKUP(A500,#REF!,11,0),0)+IFERROR(VLOOKUP(A500,#REF!,23,0),0)+IFERROR(VLOOKUP(A500,#REF!,11,0),0)+IFERROR(VLOOKUP(A500,#REF!,11,0),0)+IFERROR(VLOOKUP(A500,#REF!,11,0),0)</f>
        <v>0</v>
      </c>
      <c r="K500" s="96" t="str">
        <f>"07.02.24"</f>
        <v>07.02.24</v>
      </c>
    </row>
    <row r="501" spans="1:11" ht="11.25" customHeight="1" outlineLevel="1">
      <c r="A501" s="89" t="n">
        <v>23974</v>
      </c>
      <c r="B501" s="114" t="s">
        <v>601</v>
      </c>
      <c r="C501" s="89" t="s">
        <v>774</v>
      </c>
      <c r="D501" s="89" t="s">
        <v>15</v>
      </c>
      <c r="E501" s="89" t="s">
        <v>720</v>
      </c>
      <c r="F501" s="102" t="n">
        <v>562</v>
      </c>
      <c r="G501" s="102" t="n">
        <v>731</v>
      </c>
      <c r="H501" s="103" t="s">
        <v>48</v>
      </c>
      <c r="I501" s="103">
        <f>IFERROR(VLOOKUP(A501,#REF!,15,0),0)+IFERROR(VLOOKUP(A501,#REF!,25,0),0)+IFERROR(VLOOKUP(A501,#REF!,10,0),0)+IFERROR(VLOOKUP(A501,#REF!,14,0),0)+IFERROR(VLOOKUP(A501,#REF!,10,0),0)+IFERROR(VLOOKUP(A501,#REF!,10,0),0)+IFERROR(VLOOKUP(A501,#REF!,10,0),0)+IFERROR(VLOOKUP(A501,#REF!,9,0),0)+IFERROR(VLOOKUP(A501,#REF!,9,0),0)+IFERROR(VLOOKUP(A501,#REF!,9,0),0)+IFERROR(VLOOKUP(A501,#REF!,9,0),0)</f>
        <v>0</v>
      </c>
      <c r="J501" s="104">
        <f>IFERROR(VLOOKUP(A501,#REF!,16,0),0)+IFERROR(VLOOKUP(A501,#REF!,26,0),0)+IFERROR(VLOOKUP(A501,#REF!,11,0),0)+IFERROR(VLOOKUP(A501,#REF!,23,0),0)+IFERROR(VLOOKUP(A501,#REF!,11,0),0)+IFERROR(VLOOKUP(A501,#REF!,11,0),0)+IFERROR(VLOOKUP(A501,#REF!,11,0),0)</f>
        <v>0</v>
      </c>
      <c r="K501" s="96" t="str">
        <f>"07.02.24"</f>
        <v>07.02.24</v>
      </c>
    </row>
    <row r="502" spans="1:11" ht="11.25" customHeight="1" outlineLevel="1">
      <c r="A502" s="89" t="n">
        <v>38842</v>
      </c>
      <c r="B502" s="114" t="s">
        <v>601</v>
      </c>
      <c r="C502" s="89" t="s">
        <v>775</v>
      </c>
      <c r="D502" s="89" t="s">
        <v>15</v>
      </c>
      <c r="E502" s="89" t="s">
        <v>720</v>
      </c>
      <c r="F502" s="102" t="n">
        <v>642</v>
      </c>
      <c r="G502" s="102" t="n">
        <v>834</v>
      </c>
      <c r="H502" s="103" t="s">
        <v>48</v>
      </c>
      <c r="I502" s="103">
        <f>IFERROR(VLOOKUP(A502,#REF!,15,0),0)+IFERROR(VLOOKUP(A502,#REF!,25,0),0)+IFERROR(VLOOKUP(A502,#REF!,10,0),0)+IFERROR(VLOOKUP(A502,#REF!,14,0),0)+IFERROR(VLOOKUP(A502,#REF!,10,0),0)+IFERROR(VLOOKUP(A502,#REF!,10,0),0)+IFERROR(VLOOKUP(A502,#REF!,10,0),0)+IFERROR(VLOOKUP(A502,#REF!,9,0),0)+IFERROR(VLOOKUP(A502,#REF!,9,0),0)+IFERROR(VLOOKUP(A502,#REF!,9,0),0)+IFERROR(VLOOKUP(A502,#REF!,9,0),0)</f>
        <v>0</v>
      </c>
      <c r="J502" s="104">
        <f>IFERROR(VLOOKUP(A502,#REF!,16,0),0)+IFERROR(VLOOKUP(A502,#REF!,26,0),0)+IFERROR(VLOOKUP(A502,#REF!,11,0),0)+IFERROR(VLOOKUP(A502,#REF!,23,0),0)+IFERROR(VLOOKUP(A502,#REF!,11,0),0)+IFERROR(VLOOKUP(A502,#REF!,11,0),0)+IFERROR(VLOOKUP(A502,#REF!,11,0),0)</f>
        <v>0</v>
      </c>
      <c r="K502" s="96" t="str">
        <f>"07.02.24"</f>
        <v>07.02.24</v>
      </c>
    </row>
    <row r="503" spans="1:11" ht="11.25" customHeight="1" outlineLevel="1">
      <c r="A503" s="89" t="n">
        <v>8083810</v>
      </c>
      <c r="B503" s="114" t="s">
        <v>601</v>
      </c>
      <c r="C503" s="89" t="s">
        <v>776</v>
      </c>
      <c r="D503" s="89" t="s">
        <v>15</v>
      </c>
      <c r="E503" s="89"/>
      <c r="F503" s="102" t="n">
        <v>525</v>
      </c>
      <c r="G503" s="102" t="n">
        <v>682</v>
      </c>
      <c r="H503" s="103" t="s">
        <v>17</v>
      </c>
      <c r="I503" s="103">
        <f>IFERROR(VLOOKUP(A503,#REF!,15,0),0)+IFERROR(VLOOKUP(A503,#REF!,25,0),0)+IFERROR(VLOOKUP(A503,#REF!,10,0),0)+IFERROR(VLOOKUP(A503,#REF!,14,0),0)+IFERROR(VLOOKUP(A503,#REF!,10,0),0)+IFERROR(VLOOKUP(A503,#REF!,10,0),0)+IFERROR(VLOOKUP(A503,#REF!,10,0),0)+IFERROR(VLOOKUP(A503,#REF!,9,0),0)+IFERROR(VLOOKUP(A503,#REF!,9,0),0)+IFERROR(VLOOKUP(A503,#REF!,9,0),0)+IFERROR(VLOOKUP(A503,#REF!,9,0),0)</f>
        <v>0</v>
      </c>
      <c r="J503" s="104">
        <f>IFERROR(VLOOKUP(A503,#REF!,16,0),0)+IFERROR(VLOOKUP(A503,#REF!,26,0),0)+IFERROR(VLOOKUP(A503,#REF!,11,0),0)+IFERROR(VLOOKUP(A503,#REF!,23,0),0)+IFERROR(VLOOKUP(A503,#REF!,11,0),0)+IFERROR(VLOOKUP(A503,#REF!,11,0),0)+IFERROR(VLOOKUP(A503,#REF!,11,0),0)</f>
        <v>0</v>
      </c>
      <c r="K503" s="96" t="str">
        <f>"07.02.24"</f>
        <v>07.02.24</v>
      </c>
    </row>
    <row r="504" spans="1:11" ht="11.25" customHeight="1" outlineLevel="1">
      <c r="A504" s="89" t="n">
        <v>38943</v>
      </c>
      <c r="B504" s="114" t="s">
        <v>601</v>
      </c>
      <c r="C504" s="89" t="s">
        <v>777</v>
      </c>
      <c r="D504" s="89" t="s">
        <v>15</v>
      </c>
      <c r="E504" s="89" t="s">
        <v>720</v>
      </c>
      <c r="F504" s="102" t="n">
        <v>183</v>
      </c>
      <c r="G504" s="102" t="n">
        <v>238</v>
      </c>
      <c r="H504" s="103" t="s">
        <v>17</v>
      </c>
      <c r="I504" s="103">
        <f>IFERROR(VLOOKUP(A504,#REF!,15,0),0)+IFERROR(VLOOKUP(A504,#REF!,25,0),0)+IFERROR(VLOOKUP(A504,#REF!,10,0),0)+IFERROR(VLOOKUP(A504,#REF!,14,0),0)+IFERROR(VLOOKUP(A504,#REF!,10,0),0)+IFERROR(VLOOKUP(A504,#REF!,10,0),0)+IFERROR(VLOOKUP(A504,#REF!,10,0),0)+IFERROR(VLOOKUP(A504,#REF!,9,0),0)+IFERROR(VLOOKUP(A504,#REF!,9,0),0)+IFERROR(VLOOKUP(A504,#REF!,9,0),0)+IFERROR(VLOOKUP(A504,#REF!,9,0),0)</f>
        <v>0</v>
      </c>
      <c r="J504" s="104">
        <f>IFERROR(VLOOKUP(A504,#REF!,16,0),0)+IFERROR(VLOOKUP(A504,#REF!,26,0),0)+IFERROR(VLOOKUP(A504,#REF!,11,0),0)+IFERROR(VLOOKUP(A504,#REF!,23,0),0)+IFERROR(VLOOKUP(A504,#REF!,11,0),0)+IFERROR(VLOOKUP(A504,#REF!,11,0),0)+IFERROR(VLOOKUP(A504,#REF!,11,0),0)</f>
        <v>0</v>
      </c>
      <c r="K504" s="96" t="str">
        <f>"07.02.24"</f>
        <v>07.02.24</v>
      </c>
    </row>
    <row r="505" spans="1:11" ht="11.25" customHeight="1" outlineLevel="1">
      <c r="A505" s="89" t="n">
        <v>16458</v>
      </c>
      <c r="B505" s="114" t="s">
        <v>601</v>
      </c>
      <c r="C505" s="89" t="s">
        <v>778</v>
      </c>
      <c r="D505" s="89" t="s">
        <v>15</v>
      </c>
      <c r="E505" s="89" t="s">
        <v>720</v>
      </c>
      <c r="F505" s="102" t="n">
        <v>195</v>
      </c>
      <c r="G505" s="102" t="n">
        <v>254</v>
      </c>
      <c r="H505" s="103" t="s">
        <v>17</v>
      </c>
      <c r="I505" s="103">
        <f>IFERROR(VLOOKUP(A505,#REF!,15,0),0)+IFERROR(VLOOKUP(A505,#REF!,25,0),0)+IFERROR(VLOOKUP(A505,#REF!,10,0),0)+IFERROR(VLOOKUP(A505,#REF!,14,0),0)+IFERROR(VLOOKUP(A505,#REF!,10,0),0)+IFERROR(VLOOKUP(A505,#REF!,10,0),0)+IFERROR(VLOOKUP(A505,#REF!,10,0),0)+IFERROR(VLOOKUP(A505,#REF!,9,0),0)+IFERROR(VLOOKUP(A505,#REF!,9,0),0)+IFERROR(VLOOKUP(A505,#REF!,9,0),0)+IFERROR(VLOOKUP(A505,#REF!,9,0),0)</f>
        <v>0</v>
      </c>
      <c r="J505" s="104">
        <f>IFERROR(VLOOKUP(A505,#REF!,16,0),0)+IFERROR(VLOOKUP(A505,#REF!,26,0),0)+IFERROR(VLOOKUP(A505,#REF!,11,0),0)+IFERROR(VLOOKUP(A505,#REF!,23,0),0)+IFERROR(VLOOKUP(A505,#REF!,11,0),0)+IFERROR(VLOOKUP(A505,#REF!,11,0),0)+IFERROR(VLOOKUP(A505,#REF!,11,0),0)</f>
        <v>0</v>
      </c>
      <c r="K505" s="96" t="str">
        <f>"07.02.24"</f>
        <v>07.02.24</v>
      </c>
    </row>
    <row r="506" spans="1:11" ht="11.25" customHeight="1" outlineLevel="1">
      <c r="A506" s="89" t="n">
        <v>38967</v>
      </c>
      <c r="B506" s="114" t="s">
        <v>601</v>
      </c>
      <c r="C506" s="89" t="s">
        <v>779</v>
      </c>
      <c r="D506" s="89" t="s">
        <v>15</v>
      </c>
      <c r="E506" s="89" t="s">
        <v>720</v>
      </c>
      <c r="F506" s="102" t="n">
        <v>183</v>
      </c>
      <c r="G506" s="102" t="n">
        <v>238</v>
      </c>
      <c r="H506" s="103" t="s">
        <v>17</v>
      </c>
      <c r="I506" s="103">
        <f>IFERROR(VLOOKUP(A506,#REF!,15,0),0)+IFERROR(VLOOKUP(A506,#REF!,25,0),0)+IFERROR(VLOOKUP(A506,#REF!,10,0),0)+IFERROR(VLOOKUP(A506,#REF!,14,0),0)+IFERROR(VLOOKUP(A506,#REF!,10,0),0)+IFERROR(VLOOKUP(A506,#REF!,10,0),0)+IFERROR(VLOOKUP(A506,#REF!,10,0),0)+IFERROR(VLOOKUP(A506,#REF!,9,0),0)+IFERROR(VLOOKUP(A506,#REF!,9,0),0)+IFERROR(VLOOKUP(A506,#REF!,9,0),0)+IFERROR(VLOOKUP(A506,#REF!,9,0),0)</f>
        <v>0</v>
      </c>
      <c r="J506" s="104">
        <f>IFERROR(VLOOKUP(A506,#REF!,16,0),0)+IFERROR(VLOOKUP(A506,#REF!,26,0),0)+IFERROR(VLOOKUP(A506,#REF!,11,0),0)+IFERROR(VLOOKUP(A506,#REF!,23,0),0)+IFERROR(VLOOKUP(A506,#REF!,11,0),0)+IFERROR(VLOOKUP(A506,#REF!,11,0),0)+IFERROR(VLOOKUP(A506,#REF!,11,0),0)</f>
        <v>0</v>
      </c>
      <c r="K506" s="96" t="str">
        <f>"07.02.24"</f>
        <v>07.02.24</v>
      </c>
    </row>
    <row r="507" spans="1:11" ht="11.25" customHeight="1" outlineLevel="1">
      <c r="A507" s="89" t="n">
        <v>16459</v>
      </c>
      <c r="B507" s="114" t="s">
        <v>601</v>
      </c>
      <c r="C507" s="89" t="s">
        <v>780</v>
      </c>
      <c r="D507" s="89" t="s">
        <v>15</v>
      </c>
      <c r="E507" s="89" t="s">
        <v>720</v>
      </c>
      <c r="F507" s="102" t="n">
        <v>204</v>
      </c>
      <c r="G507" s="102" t="n">
        <v>265</v>
      </c>
      <c r="H507" s="103" t="s">
        <v>48</v>
      </c>
      <c r="I507" s="103">
        <f>IFERROR(VLOOKUP(A507,#REF!,15,0),0)+IFERROR(VLOOKUP(A507,#REF!,25,0),0)+IFERROR(VLOOKUP(A507,#REF!,10,0),0)+IFERROR(VLOOKUP(A507,#REF!,14,0),0)+IFERROR(VLOOKUP(A507,#REF!,10,0),0)+IFERROR(VLOOKUP(A507,#REF!,10,0),0)+IFERROR(VLOOKUP(A507,#REF!,10,0),0)+IFERROR(VLOOKUP(A507,#REF!,9,0),0)+IFERROR(VLOOKUP(A507,#REF!,9,0),0)+IFERROR(VLOOKUP(A507,#REF!,9,0),0)+IFERROR(VLOOKUP(A507,#REF!,9,0),0)</f>
        <v>0</v>
      </c>
      <c r="J507" s="104">
        <f>IFERROR(VLOOKUP(A507,#REF!,16,0),0)+IFERROR(VLOOKUP(A507,#REF!,26,0),0)+IFERROR(VLOOKUP(A507,#REF!,11,0),0)+IFERROR(VLOOKUP(A507,#REF!,23,0),0)+IFERROR(VLOOKUP(A507,#REF!,11,0),0)+IFERROR(VLOOKUP(A507,#REF!,11,0),0)+IFERROR(VLOOKUP(A507,#REF!,11,0),0)</f>
        <v>0</v>
      </c>
      <c r="K507" s="96" t="str">
        <f>"07.02.24"</f>
        <v>07.02.24</v>
      </c>
    </row>
    <row r="508" spans="1:11" ht="11.25" customHeight="1" outlineLevel="1">
      <c r="A508" s="89" t="n">
        <v>38966</v>
      </c>
      <c r="B508" s="114" t="s">
        <v>601</v>
      </c>
      <c r="C508" s="89" t="s">
        <v>781</v>
      </c>
      <c r="D508" s="89" t="s">
        <v>15</v>
      </c>
      <c r="E508" s="89" t="s">
        <v>720</v>
      </c>
      <c r="F508" s="102" t="n">
        <v>252</v>
      </c>
      <c r="G508" s="102" t="n">
        <v>327</v>
      </c>
      <c r="H508" s="103" t="s">
        <v>17</v>
      </c>
      <c r="I508" s="103">
        <f>IFERROR(VLOOKUP(A508,#REF!,15,0),0)+IFERROR(VLOOKUP(A508,#REF!,25,0),0)+IFERROR(VLOOKUP(A508,#REF!,10,0),0)+IFERROR(VLOOKUP(A508,#REF!,14,0),0)+IFERROR(VLOOKUP(A508,#REF!,10,0),0)+IFERROR(VLOOKUP(A508,#REF!,10,0),0)+IFERROR(VLOOKUP(A508,#REF!,10,0),0)+IFERROR(VLOOKUP(A508,#REF!,9,0),0)+IFERROR(VLOOKUP(A508,#REF!,9,0),0)+IFERROR(VLOOKUP(A508,#REF!,9,0),0)+IFERROR(VLOOKUP(A508,#REF!,9,0),0)</f>
        <v>0</v>
      </c>
      <c r="J508" s="104">
        <f>IFERROR(VLOOKUP(A508,#REF!,16,0),0)+IFERROR(VLOOKUP(A508,#REF!,26,0),0)+IFERROR(VLOOKUP(A508,#REF!,11,0),0)+IFERROR(VLOOKUP(A508,#REF!,23,0),0)+IFERROR(VLOOKUP(A508,#REF!,11,0),0)+IFERROR(VLOOKUP(A508,#REF!,11,0),0)+IFERROR(VLOOKUP(A508,#REF!,11,0),0)</f>
        <v>0</v>
      </c>
      <c r="K508" s="96" t="str">
        <f>"07.02.24"</f>
        <v>07.02.24</v>
      </c>
    </row>
    <row r="509" spans="1:11" ht="11.25" customHeight="1" outlineLevel="1">
      <c r="A509" s="89" t="n">
        <v>38941</v>
      </c>
      <c r="B509" s="114" t="s">
        <v>601</v>
      </c>
      <c r="C509" s="89" t="s">
        <v>782</v>
      </c>
      <c r="D509" s="89" t="s">
        <v>15</v>
      </c>
      <c r="E509" s="89" t="s">
        <v>720</v>
      </c>
      <c r="F509" s="102" t="n">
        <v>303</v>
      </c>
      <c r="G509" s="102" t="n">
        <v>394</v>
      </c>
      <c r="H509" s="103" t="s">
        <v>17</v>
      </c>
      <c r="I509" s="103">
        <f>IFERROR(VLOOKUP(A509,#REF!,15,0),0)+IFERROR(VLOOKUP(A509,#REF!,25,0),0)+IFERROR(VLOOKUP(A509,#REF!,10,0),0)+IFERROR(VLOOKUP(A509,#REF!,14,0),0)+IFERROR(VLOOKUP(A509,#REF!,10,0),0)+IFERROR(VLOOKUP(A509,#REF!,10,0),0)+IFERROR(VLOOKUP(A509,#REF!,10,0),0)+IFERROR(VLOOKUP(A509,#REF!,9,0),0)+IFERROR(VLOOKUP(A509,#REF!,9,0),0)+IFERROR(VLOOKUP(A509,#REF!,9,0),0)+IFERROR(VLOOKUP(A509,#REF!,9,0),0)</f>
        <v>0</v>
      </c>
      <c r="J509" s="104">
        <f>IFERROR(VLOOKUP(A509,#REF!,16,0),0)+IFERROR(VLOOKUP(A509,#REF!,26,0),0)+IFERROR(VLOOKUP(A509,#REF!,11,0),0)+IFERROR(VLOOKUP(A509,#REF!,23,0),0)+IFERROR(VLOOKUP(A509,#REF!,11,0),0)+IFERROR(VLOOKUP(A509,#REF!,11,0),0)+IFERROR(VLOOKUP(A509,#REF!,11,0),0)</f>
        <v>0</v>
      </c>
      <c r="K509" s="96" t="str">
        <f>"07.02.24"</f>
        <v>07.02.24</v>
      </c>
    </row>
    <row r="510" spans="1:11" ht="11.25" customHeight="1" outlineLevel="1">
      <c r="A510" s="89" t="n">
        <v>37311</v>
      </c>
      <c r="B510" s="114" t="s">
        <v>601</v>
      </c>
      <c r="C510" s="89" t="s">
        <v>783</v>
      </c>
      <c r="D510" s="89" t="s">
        <v>15</v>
      </c>
      <c r="E510" s="89" t="s">
        <v>720</v>
      </c>
      <c r="F510" s="102" t="n">
        <v>397</v>
      </c>
      <c r="G510" s="102" t="n">
        <v>516</v>
      </c>
      <c r="H510" s="103" t="s">
        <v>48</v>
      </c>
      <c r="I510" s="103">
        <f>IFERROR(VLOOKUP(A510,#REF!,15,0),0)+IFERROR(VLOOKUP(A510,#REF!,25,0),0)+IFERROR(VLOOKUP(A510,#REF!,10,0),0)+IFERROR(VLOOKUP(A510,#REF!,14,0),0)+IFERROR(VLOOKUP(A510,#REF!,10,0),0)+IFERROR(VLOOKUP(A510,#REF!,10,0),0)+IFERROR(VLOOKUP(A510,#REF!,10,0),0)+IFERROR(VLOOKUP(A510,#REF!,9,0),0)+IFERROR(VLOOKUP(A510,#REF!,9,0),0)+IFERROR(VLOOKUP(A510,#REF!,9,0),0)+IFERROR(VLOOKUP(A510,#REF!,9,0),0)</f>
        <v>0</v>
      </c>
      <c r="J510" s="104">
        <f>IFERROR(VLOOKUP(A510,#REF!,16,0),0)+IFERROR(VLOOKUP(A510,#REF!,26,0),0)+IFERROR(VLOOKUP(A510,#REF!,11,0),0)+IFERROR(VLOOKUP(A510,#REF!,23,0),0)+IFERROR(VLOOKUP(A510,#REF!,11,0),0)+IFERROR(VLOOKUP(A510,#REF!,11,0),0)+IFERROR(VLOOKUP(A510,#REF!,11,0),0)</f>
        <v>0</v>
      </c>
      <c r="K510" s="96" t="str">
        <f>"07.02.24"</f>
        <v>07.02.24</v>
      </c>
    </row>
    <row r="511" spans="1:11" ht="11.25" customHeight="1" outlineLevel="1">
      <c r="A511" s="89" t="n">
        <v>38938</v>
      </c>
      <c r="B511" s="114" t="s">
        <v>601</v>
      </c>
      <c r="C511" s="89" t="s">
        <v>784</v>
      </c>
      <c r="D511" s="89" t="s">
        <v>15</v>
      </c>
      <c r="E511" s="89" t="s">
        <v>720</v>
      </c>
      <c r="F511" s="102" t="n">
        <v>167</v>
      </c>
      <c r="G511" s="102" t="n">
        <v>217</v>
      </c>
      <c r="H511" s="103" t="s">
        <v>17</v>
      </c>
      <c r="I511" s="103">
        <f>IFERROR(VLOOKUP(A511,#REF!,15,0),0)+IFERROR(VLOOKUP(A511,#REF!,25,0),0)+IFERROR(VLOOKUP(A511,#REF!,10,0),0)+IFERROR(VLOOKUP(A511,#REF!,14,0),0)+IFERROR(VLOOKUP(A511,#REF!,10,0),0)+IFERROR(VLOOKUP(A511,#REF!,10,0),0)+IFERROR(VLOOKUP(A511,#REF!,10,0),0)+IFERROR(VLOOKUP(A511,#REF!,9,0),0)+IFERROR(VLOOKUP(A511,#REF!,9,0),0)+IFERROR(VLOOKUP(A511,#REF!,9,0),0)+IFERROR(VLOOKUP(A511,#REF!,9,0),0)</f>
        <v>0</v>
      </c>
      <c r="J511" s="104">
        <f>IFERROR(VLOOKUP(A511,#REF!,16,0),0)+IFERROR(VLOOKUP(A511,#REF!,26,0),0)+IFERROR(VLOOKUP(A511,#REF!,11,0),0)+IFERROR(VLOOKUP(A511,#REF!,23,0),0)+IFERROR(VLOOKUP(A511,#REF!,11,0),0)+IFERROR(VLOOKUP(A511,#REF!,11,0),0)+IFERROR(VLOOKUP(A511,#REF!,11,0),0)</f>
        <v>0</v>
      </c>
      <c r="K511" s="96" t="str">
        <f>"07.02.24"</f>
        <v>07.02.24</v>
      </c>
    </row>
    <row r="512" spans="1:11" ht="11.25" customHeight="1" outlineLevel="1">
      <c r="A512" s="89" t="n">
        <v>10042</v>
      </c>
      <c r="B512" s="114" t="s">
        <v>601</v>
      </c>
      <c r="C512" s="89" t="s">
        <v>785</v>
      </c>
      <c r="D512" s="89" t="s">
        <v>15</v>
      </c>
      <c r="E512" s="89" t="s">
        <v>720</v>
      </c>
      <c r="F512" s="102" t="n">
        <v>195</v>
      </c>
      <c r="G512" s="102" t="n">
        <v>254</v>
      </c>
      <c r="H512" s="103" t="s">
        <v>48</v>
      </c>
      <c r="I512" s="103">
        <f>IFERROR(VLOOKUP(A512,#REF!,15,0),0)+IFERROR(VLOOKUP(A512,#REF!,25,0),0)+IFERROR(VLOOKUP(A512,#REF!,10,0),0)+IFERROR(VLOOKUP(A512,#REF!,14,0),0)+IFERROR(VLOOKUP(A512,#REF!,10,0),0)+IFERROR(VLOOKUP(A512,#REF!,10,0),0)+IFERROR(VLOOKUP(A512,#REF!,10,0),0)+IFERROR(VLOOKUP(A512,#REF!,9,0),0)+IFERROR(VLOOKUP(A512,#REF!,9,0),0)+IFERROR(VLOOKUP(A512,#REF!,9,0),0)+IFERROR(VLOOKUP(A512,#REF!,9,0),0)</f>
        <v>0</v>
      </c>
      <c r="J512" s="104">
        <f>IFERROR(VLOOKUP(A512,#REF!,16,0),0)+IFERROR(VLOOKUP(A512,#REF!,26,0),0)+IFERROR(VLOOKUP(A512,#REF!,11,0),0)+IFERROR(VLOOKUP(A512,#REF!,23,0),0)+IFERROR(VLOOKUP(A512,#REF!,11,0),0)+IFERROR(VLOOKUP(A512,#REF!,11,0),0)+IFERROR(VLOOKUP(A512,#REF!,11,0),0)</f>
        <v>0</v>
      </c>
      <c r="K512" s="96" t="str">
        <f>"07.02.24"</f>
        <v>07.02.24</v>
      </c>
    </row>
    <row r="513" spans="1:11" ht="11.25" customHeight="1" outlineLevel="1">
      <c r="A513" s="89" t="n">
        <v>39460</v>
      </c>
      <c r="B513" s="114" t="s">
        <v>601</v>
      </c>
      <c r="C513" s="89" t="s">
        <v>786</v>
      </c>
      <c r="D513" s="89" t="s">
        <v>15</v>
      </c>
      <c r="E513" s="89" t="s">
        <v>720</v>
      </c>
      <c r="F513" s="102" t="n">
        <v>167</v>
      </c>
      <c r="G513" s="102" t="n">
        <v>217</v>
      </c>
      <c r="H513" s="103" t="s">
        <v>17</v>
      </c>
      <c r="I513" s="103">
        <f>IFERROR(VLOOKUP(A513,#REF!,15,0),0)+IFERROR(VLOOKUP(A513,#REF!,25,0),0)+IFERROR(VLOOKUP(A513,#REF!,10,0),0)+IFERROR(VLOOKUP(A513,#REF!,14,0),0)+IFERROR(VLOOKUP(A513,#REF!,10,0),0)+IFERROR(VLOOKUP(A513,#REF!,10,0),0)+IFERROR(VLOOKUP(A513,#REF!,10,0),0)+IFERROR(VLOOKUP(A513,#REF!,9,0),0)+IFERROR(VLOOKUP(A513,#REF!,9,0),0)+IFERROR(VLOOKUP(A513,#REF!,9,0),0)+IFERROR(VLOOKUP(A513,#REF!,9,0),0)</f>
        <v>0</v>
      </c>
      <c r="J513" s="104">
        <f>IFERROR(VLOOKUP(A513,#REF!,16,0),0)+IFERROR(VLOOKUP(A513,#REF!,26,0),0)+IFERROR(VLOOKUP(A513,#REF!,11,0),0)+IFERROR(VLOOKUP(A513,#REF!,23,0),0)+IFERROR(VLOOKUP(A513,#REF!,11,0),0)+IFERROR(VLOOKUP(A513,#REF!,11,0),0)+IFERROR(VLOOKUP(A513,#REF!,11,0),0)</f>
        <v>0</v>
      </c>
      <c r="K513" s="96" t="str">
        <f>"07.02.24"</f>
        <v>07.02.24</v>
      </c>
    </row>
    <row r="514" spans="1:11" ht="11.25" customHeight="1" outlineLevel="1">
      <c r="A514" s="89" t="n">
        <v>10043</v>
      </c>
      <c r="B514" s="114" t="s">
        <v>601</v>
      </c>
      <c r="C514" s="89" t="s">
        <v>787</v>
      </c>
      <c r="D514" s="89" t="s">
        <v>15</v>
      </c>
      <c r="E514" s="89" t="s">
        <v>720</v>
      </c>
      <c r="F514" s="102" t="n">
        <v>195</v>
      </c>
      <c r="G514" s="102" t="n">
        <v>254</v>
      </c>
      <c r="H514" s="103" t="s">
        <v>17</v>
      </c>
      <c r="I514" s="103">
        <f>IFERROR(VLOOKUP(A514,#REF!,15,0),0)+IFERROR(VLOOKUP(A514,#REF!,25,0),0)+IFERROR(VLOOKUP(A514,#REF!,10,0),0)+IFERROR(VLOOKUP(A514,#REF!,14,0),0)+IFERROR(VLOOKUP(A514,#REF!,10,0),0)+IFERROR(VLOOKUP(A514,#REF!,10,0),0)+IFERROR(VLOOKUP(A514,#REF!,10,0),0)+IFERROR(VLOOKUP(A514,#REF!,9,0),0)+IFERROR(VLOOKUP(A514,#REF!,9,0),0)+IFERROR(VLOOKUP(A514,#REF!,9,0),0)+IFERROR(VLOOKUP(A514,#REF!,9,0),0)</f>
        <v>0</v>
      </c>
      <c r="J514" s="104">
        <f>IFERROR(VLOOKUP(A514,#REF!,16,0),0)+IFERROR(VLOOKUP(A514,#REF!,26,0),0)+IFERROR(VLOOKUP(A514,#REF!,11,0),0)+IFERROR(VLOOKUP(A514,#REF!,23,0),0)+IFERROR(VLOOKUP(A514,#REF!,11,0),0)+IFERROR(VLOOKUP(A514,#REF!,11,0),0)+IFERROR(VLOOKUP(A514,#REF!,11,0),0)</f>
        <v>0</v>
      </c>
      <c r="K514" s="96" t="str">
        <f>"07.02.24"</f>
        <v>07.02.24</v>
      </c>
    </row>
    <row r="515" spans="1:11" ht="11.25" customHeight="1" outlineLevel="1">
      <c r="A515" s="89" t="n">
        <v>13777</v>
      </c>
      <c r="B515" s="114" t="s">
        <v>601</v>
      </c>
      <c r="C515" s="89" t="s">
        <v>788</v>
      </c>
      <c r="D515" s="89" t="s">
        <v>15</v>
      </c>
      <c r="E515" s="89" t="s">
        <v>720</v>
      </c>
      <c r="F515" s="102" t="n">
        <v>195</v>
      </c>
      <c r="G515" s="102" t="n">
        <v>254</v>
      </c>
      <c r="H515" s="103" t="s">
        <v>17</v>
      </c>
      <c r="I515" s="103">
        <f>IFERROR(VLOOKUP(A515,#REF!,15,0),0)+IFERROR(VLOOKUP(A515,#REF!,25,0),0)+IFERROR(VLOOKUP(A515,#REF!,10,0),0)+IFERROR(VLOOKUP(A515,#REF!,14,0),0)+IFERROR(VLOOKUP(A515,#REF!,10,0),0)+IFERROR(VLOOKUP(A515,#REF!,10,0),0)+IFERROR(VLOOKUP(A515,#REF!,10,0),0)+IFERROR(VLOOKUP(A515,#REF!,9,0),0)+IFERROR(VLOOKUP(A515,#REF!,9,0),0)+IFERROR(VLOOKUP(A515,#REF!,9,0),0)+IFERROR(VLOOKUP(A515,#REF!,9,0),0)</f>
        <v>0</v>
      </c>
      <c r="J515" s="104">
        <f>IFERROR(VLOOKUP(A515,#REF!,16,0),0)+IFERROR(VLOOKUP(A515,#REF!,26,0),0)+IFERROR(VLOOKUP(A515,#REF!,11,0),0)+IFERROR(VLOOKUP(A515,#REF!,23,0),0)+IFERROR(VLOOKUP(A515,#REF!,11,0),0)+IFERROR(VLOOKUP(A515,#REF!,11,0),0)+IFERROR(VLOOKUP(A515,#REF!,11,0),0)</f>
        <v>0</v>
      </c>
      <c r="K515" s="96" t="str">
        <f>"07.02.24"</f>
        <v>07.02.24</v>
      </c>
    </row>
    <row r="516" spans="1:11" ht="11.25" customHeight="1" outlineLevel="1">
      <c r="A516" s="89" t="n">
        <v>38861</v>
      </c>
      <c r="B516" s="114" t="s">
        <v>601</v>
      </c>
      <c r="C516" s="89" t="s">
        <v>789</v>
      </c>
      <c r="D516" s="89" t="s">
        <v>15</v>
      </c>
      <c r="E516" s="89" t="s">
        <v>720</v>
      </c>
      <c r="F516" s="102" t="n">
        <v>287</v>
      </c>
      <c r="G516" s="102" t="n">
        <v>373</v>
      </c>
      <c r="H516" s="103" t="s">
        <v>48</v>
      </c>
      <c r="I516" s="103">
        <f>IFERROR(VLOOKUP(A516,#REF!,15,0),0)+IFERROR(VLOOKUP(A516,#REF!,25,0),0)+IFERROR(VLOOKUP(A516,#REF!,10,0),0)+IFERROR(VLOOKUP(A516,#REF!,14,0),0)+IFERROR(VLOOKUP(A516,#REF!,10,0),0)+IFERROR(VLOOKUP(A516,#REF!,10,0),0)+IFERROR(VLOOKUP(A516,#REF!,10,0),0)+IFERROR(VLOOKUP(A516,#REF!,9,0),0)+IFERROR(VLOOKUP(A516,#REF!,9,0),0)+IFERROR(VLOOKUP(A516,#REF!,9,0),0)+IFERROR(VLOOKUP(A516,#REF!,9,0),0)</f>
        <v>0</v>
      </c>
      <c r="J516" s="104">
        <f>IFERROR(VLOOKUP(A516,#REF!,16,0),0)+IFERROR(VLOOKUP(A516,#REF!,26,0),0)+IFERROR(VLOOKUP(A516,#REF!,11,0),0)+IFERROR(VLOOKUP(A516,#REF!,23,0),0)+IFERROR(VLOOKUP(A516,#REF!,11,0),0)+IFERROR(VLOOKUP(A516,#REF!,11,0),0)+IFERROR(VLOOKUP(A516,#REF!,11,0),0)</f>
        <v>0</v>
      </c>
      <c r="K516" s="96" t="str">
        <f>"07.02.24"</f>
        <v>07.02.24</v>
      </c>
    </row>
    <row r="517" spans="1:11" ht="11.25" customHeight="1" outlineLevel="1">
      <c r="A517" s="89" t="n">
        <v>7021530</v>
      </c>
      <c r="B517" s="114" t="s">
        <v>601</v>
      </c>
      <c r="C517" s="89" t="s">
        <v>790</v>
      </c>
      <c r="D517" s="89" t="s">
        <v>15</v>
      </c>
      <c r="E517" s="89"/>
      <c r="F517" s="102" t="n">
        <v>322</v>
      </c>
      <c r="G517" s="102" t="n">
        <v>419</v>
      </c>
      <c r="H517" s="103" t="s">
        <v>17</v>
      </c>
      <c r="I517" s="103">
        <f>IFERROR(VLOOKUP(A517,#REF!,15,0),0)+IFERROR(VLOOKUP(A517,#REF!,25,0),0)+IFERROR(VLOOKUP(A517,#REF!,10,0),0)+IFERROR(VLOOKUP(A517,#REF!,14,0),0)+IFERROR(VLOOKUP(A517,#REF!,10,0),0)+IFERROR(VLOOKUP(A517,#REF!,10,0),0)+IFERROR(VLOOKUP(A517,#REF!,10,0),0)+IFERROR(VLOOKUP(A517,#REF!,9,0),0)+IFERROR(VLOOKUP(A517,#REF!,9,0),0)+IFERROR(VLOOKUP(A517,#REF!,9,0),0)+IFERROR(VLOOKUP(A517,#REF!,9,0),0)</f>
        <v>0</v>
      </c>
      <c r="J517" s="104">
        <f>IFERROR(VLOOKUP(A517,#REF!,16,0),0)+IFERROR(VLOOKUP(A517,#REF!,26,0),0)+IFERROR(VLOOKUP(A517,#REF!,11,0),0)+IFERROR(VLOOKUP(A517,#REF!,23,0),0)+IFERROR(VLOOKUP(A517,#REF!,11,0),0)+IFERROR(VLOOKUP(A517,#REF!,11,0),0)+IFERROR(VLOOKUP(A517,#REF!,11,0),0)</f>
        <v>0</v>
      </c>
      <c r="K517" s="96" t="str">
        <f>"07.02.24"</f>
        <v>07.02.24</v>
      </c>
    </row>
    <row r="518" spans="1:11" ht="11.25" customHeight="1" outlineLevel="1">
      <c r="A518" s="89" t="n">
        <v>38862</v>
      </c>
      <c r="B518" s="114" t="s">
        <v>601</v>
      </c>
      <c r="C518" s="89" t="s">
        <v>791</v>
      </c>
      <c r="D518" s="89" t="s">
        <v>15</v>
      </c>
      <c r="E518" s="89" t="s">
        <v>720</v>
      </c>
      <c r="F518" s="102" t="n">
        <v>396</v>
      </c>
      <c r="G518" s="102" t="n">
        <v>515</v>
      </c>
      <c r="H518" s="103" t="s">
        <v>48</v>
      </c>
      <c r="I518" s="103">
        <f>IFERROR(VLOOKUP(A518,#REF!,15,0),0)+IFERROR(VLOOKUP(A518,#REF!,25,0),0)+IFERROR(VLOOKUP(A518,#REF!,10,0),0)+IFERROR(VLOOKUP(A518,#REF!,14,0),0)+IFERROR(VLOOKUP(A518,#REF!,10,0),0)+IFERROR(VLOOKUP(A518,#REF!,10,0),0)+IFERROR(VLOOKUP(A518,#REF!,10,0),0)+IFERROR(VLOOKUP(A518,#REF!,9,0),0)+IFERROR(VLOOKUP(A518,#REF!,9,0),0)+IFERROR(VLOOKUP(A518,#REF!,9,0),0)+IFERROR(VLOOKUP(A518,#REF!,9,0),0)</f>
        <v>0</v>
      </c>
      <c r="J518" s="104">
        <f>IFERROR(VLOOKUP(A518,#REF!,16,0),0)+IFERROR(VLOOKUP(A518,#REF!,26,0),0)+IFERROR(VLOOKUP(A518,#REF!,11,0),0)+IFERROR(VLOOKUP(A518,#REF!,23,0),0)+IFERROR(VLOOKUP(A518,#REF!,11,0),0)+IFERROR(VLOOKUP(A518,#REF!,11,0),0)+IFERROR(VLOOKUP(A518,#REF!,11,0),0)</f>
        <v>0</v>
      </c>
      <c r="K518" s="96" t="str">
        <f>"07.02.24"</f>
        <v>07.02.24</v>
      </c>
    </row>
    <row r="519" spans="1:11" ht="11.25" customHeight="1" outlineLevel="1">
      <c r="A519" s="89" t="n">
        <v>7021540</v>
      </c>
      <c r="B519" s="114" t="s">
        <v>601</v>
      </c>
      <c r="C519" s="89" t="s">
        <v>792</v>
      </c>
      <c r="D519" s="89" t="s">
        <v>15</v>
      </c>
      <c r="E519" s="89"/>
      <c r="F519" s="102" t="n">
        <v>322</v>
      </c>
      <c r="G519" s="102" t="n">
        <v>419</v>
      </c>
      <c r="H519" s="103" t="s">
        <v>17</v>
      </c>
      <c r="I519" s="103">
        <f>IFERROR(VLOOKUP(A519,#REF!,15,0),0)+IFERROR(VLOOKUP(A519,#REF!,25,0),0)+IFERROR(VLOOKUP(A519,#REF!,10,0),0)+IFERROR(VLOOKUP(A519,#REF!,14,0),0)+IFERROR(VLOOKUP(A519,#REF!,10,0),0)+IFERROR(VLOOKUP(A519,#REF!,10,0),0)+IFERROR(VLOOKUP(A519,#REF!,10,0),0)+IFERROR(VLOOKUP(A519,#REF!,9,0),0)+IFERROR(VLOOKUP(A519,#REF!,9,0),0)+IFERROR(VLOOKUP(A519,#REF!,9,0),0)+IFERROR(VLOOKUP(A519,#REF!,9,0),0)</f>
        <v>0</v>
      </c>
      <c r="J519" s="104">
        <f>IFERROR(VLOOKUP(A519,#REF!,16,0),0)+IFERROR(VLOOKUP(A519,#REF!,26,0),0)+IFERROR(VLOOKUP(A519,#REF!,11,0),0)+IFERROR(VLOOKUP(A519,#REF!,23,0),0)+IFERROR(VLOOKUP(A519,#REF!,11,0),0)+IFERROR(VLOOKUP(A519,#REF!,11,0),0)+IFERROR(VLOOKUP(A519,#REF!,11,0),0)</f>
        <v>0</v>
      </c>
      <c r="K519" s="96" t="str">
        <f>"07.02.24"</f>
        <v>07.02.24</v>
      </c>
    </row>
    <row r="520" spans="1:11" ht="11.25" customHeight="1" outlineLevel="1">
      <c r="A520" s="89" t="n">
        <v>38864</v>
      </c>
      <c r="B520" s="114" t="s">
        <v>601</v>
      </c>
      <c r="C520" s="89" t="s">
        <v>793</v>
      </c>
      <c r="D520" s="89" t="s">
        <v>15</v>
      </c>
      <c r="E520" s="89" t="s">
        <v>720</v>
      </c>
      <c r="F520" s="102" t="n">
        <v>362</v>
      </c>
      <c r="G520" s="102" t="n">
        <v>471</v>
      </c>
      <c r="H520" s="103" t="s">
        <v>17</v>
      </c>
      <c r="I520" s="103">
        <f>IFERROR(VLOOKUP(A520,#REF!,15,0),0)+IFERROR(VLOOKUP(A520,#REF!,25,0),0)+IFERROR(VLOOKUP(A520,#REF!,10,0),0)+IFERROR(VLOOKUP(A520,#REF!,14,0),0)+IFERROR(VLOOKUP(A520,#REF!,10,0),0)+IFERROR(VLOOKUP(A520,#REF!,10,0),0)+IFERROR(VLOOKUP(A520,#REF!,10,0),0)+IFERROR(VLOOKUP(A520,#REF!,9,0),0)+IFERROR(VLOOKUP(A520,#REF!,9,0),0)+IFERROR(VLOOKUP(A520,#REF!,9,0),0)+IFERROR(VLOOKUP(A520,#REF!,9,0),0)</f>
        <v>0</v>
      </c>
      <c r="J520" s="104">
        <f>IFERROR(VLOOKUP(A520,#REF!,16,0),0)+IFERROR(VLOOKUP(A520,#REF!,26,0),0)+IFERROR(VLOOKUP(A520,#REF!,11,0),0)+IFERROR(VLOOKUP(A520,#REF!,23,0),0)+IFERROR(VLOOKUP(A520,#REF!,11,0),0)+IFERROR(VLOOKUP(A520,#REF!,11,0),0)+IFERROR(VLOOKUP(A520,#REF!,11,0),0)</f>
        <v>0</v>
      </c>
      <c r="K520" s="96" t="str">
        <f>"07.02.24"</f>
        <v>07.02.24</v>
      </c>
    </row>
    <row r="521" spans="1:11" ht="11.25" customHeight="1" outlineLevel="1">
      <c r="A521" s="89" t="n">
        <v>38959</v>
      </c>
      <c r="B521" s="114" t="s">
        <v>601</v>
      </c>
      <c r="C521" s="89" t="s">
        <v>794</v>
      </c>
      <c r="D521" s="89" t="s">
        <v>15</v>
      </c>
      <c r="E521" s="89" t="s">
        <v>720</v>
      </c>
      <c r="F521" s="102" t="n">
        <v>151</v>
      </c>
      <c r="G521" s="102" t="n">
        <v>195</v>
      </c>
      <c r="H521" s="103" t="s">
        <v>17</v>
      </c>
      <c r="I521" s="103">
        <f>IFERROR(VLOOKUP(A521,#REF!,15,0),0)+IFERROR(VLOOKUP(A521,#REF!,25,0),0)+IFERROR(VLOOKUP(A521,#REF!,10,0),0)+IFERROR(VLOOKUP(A521,#REF!,14,0),0)+IFERROR(VLOOKUP(A521,#REF!,10,0),0)+IFERROR(VLOOKUP(A521,#REF!,10,0),0)+IFERROR(VLOOKUP(A521,#REF!,10,0),0)+IFERROR(VLOOKUP(A521,#REF!,9,0),0)+IFERROR(VLOOKUP(A521,#REF!,9,0),0)+IFERROR(VLOOKUP(A521,#REF!,9,0),0)+IFERROR(VLOOKUP(A521,#REF!,9,0),0)</f>
        <v>0</v>
      </c>
      <c r="J521" s="104">
        <f>IFERROR(VLOOKUP(A521,#REF!,16,0),0)+IFERROR(VLOOKUP(A521,#REF!,26,0),0)+IFERROR(VLOOKUP(A521,#REF!,11,0),0)+IFERROR(VLOOKUP(A521,#REF!,23,0),0)+IFERROR(VLOOKUP(A521,#REF!,11,0),0)+IFERROR(VLOOKUP(A521,#REF!,11,0),0)+IFERROR(VLOOKUP(A521,#REF!,11,0),0)</f>
        <v>0</v>
      </c>
      <c r="K521" s="96" t="str">
        <f>"07.02.24"</f>
        <v>07.02.24</v>
      </c>
    </row>
    <row r="522" spans="1:11" ht="11.25" customHeight="1" outlineLevel="1">
      <c r="A522" s="89" t="n">
        <v>10041</v>
      </c>
      <c r="B522" s="114" t="s">
        <v>601</v>
      </c>
      <c r="C522" s="89" t="s">
        <v>795</v>
      </c>
      <c r="D522" s="89" t="s">
        <v>15</v>
      </c>
      <c r="E522" s="89" t="s">
        <v>720</v>
      </c>
      <c r="F522" s="102" t="n">
        <v>160</v>
      </c>
      <c r="G522" s="102" t="n">
        <v>208</v>
      </c>
      <c r="H522" s="103" t="s">
        <v>17</v>
      </c>
      <c r="I522" s="103">
        <f>IFERROR(VLOOKUP(A522,#REF!,15,0),0)+IFERROR(VLOOKUP(A522,#REF!,25,0),0)+IFERROR(VLOOKUP(A522,#REF!,10,0),0)+IFERROR(VLOOKUP(A522,#REF!,14,0),0)+IFERROR(VLOOKUP(A522,#REF!,10,0),0)+IFERROR(VLOOKUP(A522,#REF!,10,0),0)+IFERROR(VLOOKUP(A522,#REF!,10,0),0)+IFERROR(VLOOKUP(A522,#REF!,9,0),0)+IFERROR(VLOOKUP(A522,#REF!,9,0),0)+IFERROR(VLOOKUP(A522,#REF!,9,0),0)+IFERROR(VLOOKUP(A522,#REF!,9,0),0)</f>
        <v>0</v>
      </c>
      <c r="J522" s="104">
        <f>IFERROR(VLOOKUP(A522,#REF!,16,0),0)+IFERROR(VLOOKUP(A522,#REF!,26,0),0)+IFERROR(VLOOKUP(A522,#REF!,11,0),0)+IFERROR(VLOOKUP(A522,#REF!,23,0),0)+IFERROR(VLOOKUP(A522,#REF!,11,0),0)+IFERROR(VLOOKUP(A522,#REF!,11,0),0)+IFERROR(VLOOKUP(A522,#REF!,11,0),0)</f>
        <v>0</v>
      </c>
      <c r="K522" s="96" t="str">
        <f>"07.02.24"</f>
        <v>07.02.24</v>
      </c>
    </row>
    <row r="523" spans="1:11" ht="11.25" customHeight="1" outlineLevel="1">
      <c r="A523" s="89" t="n">
        <v>38960</v>
      </c>
      <c r="B523" s="114" t="s">
        <v>601</v>
      </c>
      <c r="C523" s="89" t="s">
        <v>796</v>
      </c>
      <c r="D523" s="89" t="s">
        <v>15</v>
      </c>
      <c r="E523" s="89" t="s">
        <v>720</v>
      </c>
      <c r="F523" s="102" t="n">
        <v>167</v>
      </c>
      <c r="G523" s="102" t="n">
        <v>217</v>
      </c>
      <c r="H523" s="103" t="s">
        <v>17</v>
      </c>
      <c r="I523" s="103">
        <f>IFERROR(VLOOKUP(A523,#REF!,15,0),0)+IFERROR(VLOOKUP(A523,#REF!,25,0),0)+IFERROR(VLOOKUP(A523,#REF!,10,0),0)+IFERROR(VLOOKUP(A523,#REF!,14,0),0)+IFERROR(VLOOKUP(A523,#REF!,10,0),0)+IFERROR(VLOOKUP(A523,#REF!,10,0),0)+IFERROR(VLOOKUP(A523,#REF!,10,0),0)+IFERROR(VLOOKUP(A523,#REF!,9,0),0)+IFERROR(VLOOKUP(A523,#REF!,9,0),0)+IFERROR(VLOOKUP(A523,#REF!,9,0),0)+IFERROR(VLOOKUP(A523,#REF!,9,0),0)</f>
        <v>0</v>
      </c>
      <c r="J523" s="104">
        <f>IFERROR(VLOOKUP(A523,#REF!,16,0),0)+IFERROR(VLOOKUP(A523,#REF!,26,0),0)+IFERROR(VLOOKUP(A523,#REF!,11,0),0)+IFERROR(VLOOKUP(A523,#REF!,23,0),0)+IFERROR(VLOOKUP(A523,#REF!,11,0),0)+IFERROR(VLOOKUP(A523,#REF!,11,0),0)+IFERROR(VLOOKUP(A523,#REF!,11,0),0)</f>
        <v>0</v>
      </c>
      <c r="K523" s="96" t="str">
        <f>"07.02.24"</f>
        <v>07.02.24</v>
      </c>
    </row>
    <row r="524" spans="1:11" ht="11.25" customHeight="1" outlineLevel="1">
      <c r="A524" s="89" t="n">
        <v>16456</v>
      </c>
      <c r="B524" s="114" t="s">
        <v>601</v>
      </c>
      <c r="C524" s="89" t="s">
        <v>797</v>
      </c>
      <c r="D524" s="89" t="s">
        <v>15</v>
      </c>
      <c r="E524" s="89" t="s">
        <v>720</v>
      </c>
      <c r="F524" s="102" t="n">
        <v>195</v>
      </c>
      <c r="G524" s="102" t="n">
        <v>254</v>
      </c>
      <c r="H524" s="103" t="s">
        <v>48</v>
      </c>
      <c r="I524" s="103">
        <f>IFERROR(VLOOKUP(A524,#REF!,15,0),0)+IFERROR(VLOOKUP(A524,#REF!,25,0),0)+IFERROR(VLOOKUP(A524,#REF!,10,0),0)+IFERROR(VLOOKUP(A524,#REF!,14,0),0)+IFERROR(VLOOKUP(A524,#REF!,10,0),0)+IFERROR(VLOOKUP(A524,#REF!,10,0),0)+IFERROR(VLOOKUP(A524,#REF!,10,0),0)+IFERROR(VLOOKUP(A524,#REF!,9,0),0)+IFERROR(VLOOKUP(A524,#REF!,9,0),0)+IFERROR(VLOOKUP(A524,#REF!,9,0),0)+IFERROR(VLOOKUP(A524,#REF!,9,0),0)</f>
        <v>0</v>
      </c>
      <c r="J524" s="104">
        <f>IFERROR(VLOOKUP(A524,#REF!,16,0),0)+IFERROR(VLOOKUP(A524,#REF!,26,0),0)+IFERROR(VLOOKUP(A524,#REF!,11,0),0)+IFERROR(VLOOKUP(A524,#REF!,23,0),0)+IFERROR(VLOOKUP(A524,#REF!,11,0),0)+IFERROR(VLOOKUP(A524,#REF!,11,0),0)+IFERROR(VLOOKUP(A524,#REF!,11,0),0)</f>
        <v>0</v>
      </c>
      <c r="K524" s="96" t="str">
        <f>"07.02.24"</f>
        <v>07.02.24</v>
      </c>
    </row>
    <row r="525" spans="1:11" ht="11.25" customHeight="1" outlineLevel="1">
      <c r="A525" s="89" t="n">
        <v>38872</v>
      </c>
      <c r="B525" s="114" t="s">
        <v>601</v>
      </c>
      <c r="C525" s="89" t="s">
        <v>798</v>
      </c>
      <c r="D525" s="89" t="s">
        <v>15</v>
      </c>
      <c r="E525" s="89" t="s">
        <v>720</v>
      </c>
      <c r="F525" s="102" t="n">
        <v>244</v>
      </c>
      <c r="G525" s="102" t="n">
        <v>318</v>
      </c>
      <c r="H525" s="103" t="s">
        <v>48</v>
      </c>
      <c r="I525" s="103">
        <f>IFERROR(VLOOKUP(A525,#REF!,15,0),0)+IFERROR(VLOOKUP(A525,#REF!,25,0),0)+IFERROR(VLOOKUP(A525,#REF!,10,0),0)+IFERROR(VLOOKUP(A525,#REF!,14,0),0)+IFERROR(VLOOKUP(A525,#REF!,10,0),0)+IFERROR(VLOOKUP(A525,#REF!,10,0),0)+IFERROR(VLOOKUP(A525,#REF!,10,0),0)+IFERROR(VLOOKUP(A525,#REF!,9,0),0)+IFERROR(VLOOKUP(A525,#REF!,9,0),0)+IFERROR(VLOOKUP(A525,#REF!,9,0),0)+IFERROR(VLOOKUP(A525,#REF!,9,0),0)</f>
        <v>0</v>
      </c>
      <c r="J525" s="104">
        <f>IFERROR(VLOOKUP(A525,#REF!,16,0),0)+IFERROR(VLOOKUP(A525,#REF!,26,0),0)+IFERROR(VLOOKUP(A525,#REF!,11,0),0)+IFERROR(VLOOKUP(A525,#REF!,23,0),0)+IFERROR(VLOOKUP(A525,#REF!,11,0),0)+IFERROR(VLOOKUP(A525,#REF!,11,0),0)+IFERROR(VLOOKUP(A525,#REF!,11,0),0)</f>
        <v>0</v>
      </c>
      <c r="K525" s="96" t="str">
        <f>"07.02.24"</f>
        <v>07.02.24</v>
      </c>
    </row>
    <row r="526" spans="1:11" ht="11.25" customHeight="1" outlineLevel="1">
      <c r="A526" s="89" t="n">
        <v>36376</v>
      </c>
      <c r="B526" s="114" t="s">
        <v>601</v>
      </c>
      <c r="C526" s="89" t="s">
        <v>799</v>
      </c>
      <c r="D526" s="89" t="s">
        <v>15</v>
      </c>
      <c r="E526" s="89" t="s">
        <v>720</v>
      </c>
      <c r="F526" s="102" t="n">
        <v>976</v>
      </c>
      <c r="G526" s="102" t="n">
        <v>1317</v>
      </c>
      <c r="H526" s="103" t="s">
        <v>17</v>
      </c>
      <c r="I526" s="103">
        <f>IFERROR(VLOOKUP(A526,#REF!,15,0),0)+IFERROR(VLOOKUP(A526,#REF!,25,0),0)+IFERROR(VLOOKUP(A526,#REF!,10,0),0)+IFERROR(VLOOKUP(A526,#REF!,14,0),0)+IFERROR(VLOOKUP(A526,#REF!,10,0),0)+IFERROR(VLOOKUP(A526,#REF!,10,0),0)+IFERROR(VLOOKUP(A526,#REF!,10,0),0)+IFERROR(VLOOKUP(A526,#REF!,9,0),0)+IFERROR(VLOOKUP(A526,#REF!,9,0),0)+IFERROR(VLOOKUP(A526,#REF!,9,0),0)+IFERROR(VLOOKUP(A526,#REF!,9,0),0)</f>
        <v>0</v>
      </c>
      <c r="J526" s="104">
        <f>IFERROR(VLOOKUP(A526,#REF!,16,0),0)+IFERROR(VLOOKUP(A526,#REF!,26,0),0)+IFERROR(VLOOKUP(A526,#REF!,11,0),0)+IFERROR(VLOOKUP(A526,#REF!,23,0),0)+IFERROR(VLOOKUP(A526,#REF!,11,0),0)+IFERROR(VLOOKUP(A526,#REF!,11,0),0)+IFERROR(VLOOKUP(A526,#REF!,11,0),0)</f>
        <v>0</v>
      </c>
      <c r="K526" s="96" t="str">
        <f>"07.02.24"</f>
        <v>07.02.24</v>
      </c>
    </row>
    <row r="527" spans="1:11" ht="11.25" customHeight="1" outlineLevel="1">
      <c r="A527" s="89" t="n">
        <v>1174990</v>
      </c>
      <c r="B527" s="114" t="s">
        <v>601</v>
      </c>
      <c r="C527" s="89" t="s">
        <v>800</v>
      </c>
      <c r="D527" s="89" t="s">
        <v>15</v>
      </c>
      <c r="E527" s="89" t="s">
        <v>720</v>
      </c>
      <c r="F527" s="102" t="n">
        <v>1086</v>
      </c>
      <c r="G527" s="102" t="n">
        <v>1466</v>
      </c>
      <c r="H527" s="103" t="s">
        <v>48</v>
      </c>
      <c r="I527" s="103">
        <f>IFERROR(VLOOKUP(A527,#REF!,15,0),0)+IFERROR(VLOOKUP(A527,#REF!,25,0),0)+IFERROR(VLOOKUP(A527,#REF!,10,0),0)+IFERROR(VLOOKUP(A527,#REF!,14,0),0)+IFERROR(VLOOKUP(A527,#REF!,10,0),0)+IFERROR(VLOOKUP(A527,#REF!,10,0),0)+IFERROR(VLOOKUP(A527,#REF!,10,0),0)+IFERROR(VLOOKUP(A527,#REF!,9,0),0)+IFERROR(VLOOKUP(A527,#REF!,9,0),0)+IFERROR(VLOOKUP(A527,#REF!,9,0),0)+IFERROR(VLOOKUP(A527,#REF!,9,0),0)</f>
        <v>0</v>
      </c>
      <c r="J527" s="104">
        <f>IFERROR(VLOOKUP(A527,#REF!,16,0),0)+IFERROR(VLOOKUP(A527,#REF!,26,0),0)+IFERROR(VLOOKUP(A527,#REF!,11,0),0)+IFERROR(VLOOKUP(A527,#REF!,23,0),0)+IFERROR(VLOOKUP(A527,#REF!,11,0),0)+IFERROR(VLOOKUP(A527,#REF!,11,0),0)+IFERROR(VLOOKUP(A527,#REF!,11,0),0)</f>
        <v>0</v>
      </c>
      <c r="K527" s="96" t="str">
        <f>"07.02.24"</f>
        <v>07.02.24</v>
      </c>
    </row>
    <row r="528" spans="1:11" ht="11.25" customHeight="1" outlineLevel="1">
      <c r="A528" s="89" t="n">
        <v>7001500</v>
      </c>
      <c r="B528" s="114" t="s">
        <v>601</v>
      </c>
      <c r="C528" s="89" t="s">
        <v>801</v>
      </c>
      <c r="D528" s="89" t="s">
        <v>15</v>
      </c>
      <c r="E528" s="89"/>
      <c r="F528" s="102" t="n">
        <v>183</v>
      </c>
      <c r="G528" s="102" t="n">
        <v>238</v>
      </c>
      <c r="H528" s="103" t="s">
        <v>17</v>
      </c>
      <c r="I528" s="103">
        <f>IFERROR(VLOOKUP(A528,#REF!,15,0),0)+IFERROR(VLOOKUP(A528,#REF!,25,0),0)+IFERROR(VLOOKUP(A528,#REF!,10,0),0)+IFERROR(VLOOKUP(A528,#REF!,14,0),0)+IFERROR(VLOOKUP(A528,#REF!,10,0),0)+IFERROR(VLOOKUP(A528,#REF!,10,0),0)+IFERROR(VLOOKUP(A528,#REF!,10,0),0)+IFERROR(VLOOKUP(A528,#REF!,9,0),0)+IFERROR(VLOOKUP(A528,#REF!,9,0),0)+IFERROR(VLOOKUP(A528,#REF!,9,0),0)+IFERROR(VLOOKUP(A528,#REF!,9,0),0)</f>
        <v>0</v>
      </c>
      <c r="J528" s="104">
        <f>IFERROR(VLOOKUP(A528,#REF!,16,0),0)+IFERROR(VLOOKUP(A528,#REF!,26,0),0)+IFERROR(VLOOKUP(A528,#REF!,11,0),0)+IFERROR(VLOOKUP(A528,#REF!,23,0),0)+IFERROR(VLOOKUP(A528,#REF!,11,0),0)+IFERROR(VLOOKUP(A528,#REF!,11,0),0)+IFERROR(VLOOKUP(A528,#REF!,11,0),0)</f>
        <v>0</v>
      </c>
      <c r="K528" s="96" t="str">
        <f>"07.02.24"</f>
        <v>07.02.24</v>
      </c>
    </row>
    <row r="529" spans="1:11" ht="11.25" customHeight="1" outlineLevel="1">
      <c r="A529" s="89" t="n">
        <v>38900</v>
      </c>
      <c r="B529" s="114" t="s">
        <v>601</v>
      </c>
      <c r="C529" s="89" t="s">
        <v>802</v>
      </c>
      <c r="D529" s="89" t="s">
        <v>15</v>
      </c>
      <c r="E529" s="89" t="s">
        <v>720</v>
      </c>
      <c r="F529" s="102" t="n">
        <v>139</v>
      </c>
      <c r="G529" s="102" t="n">
        <v>180</v>
      </c>
      <c r="H529" s="103" t="s">
        <v>17</v>
      </c>
      <c r="I529" s="103">
        <f>IFERROR(VLOOKUP(A529,#REF!,15,0),0)+IFERROR(VLOOKUP(A529,#REF!,25,0),0)+IFERROR(VLOOKUP(A529,#REF!,10,0),0)+IFERROR(VLOOKUP(A529,#REF!,14,0),0)+IFERROR(VLOOKUP(A529,#REF!,10,0),0)+IFERROR(VLOOKUP(A529,#REF!,10,0),0)+IFERROR(VLOOKUP(A529,#REF!,10,0),0)+IFERROR(VLOOKUP(A529,#REF!,9,0),0)+IFERROR(VLOOKUP(A529,#REF!,9,0),0)+IFERROR(VLOOKUP(A529,#REF!,9,0),0)+IFERROR(VLOOKUP(A529,#REF!,9,0),0)</f>
        <v>0</v>
      </c>
      <c r="J529" s="104">
        <f>IFERROR(VLOOKUP(A529,#REF!,16,0),0)+IFERROR(VLOOKUP(A529,#REF!,26,0),0)+IFERROR(VLOOKUP(A529,#REF!,11,0),0)+IFERROR(VLOOKUP(A529,#REF!,23,0),0)+IFERROR(VLOOKUP(A529,#REF!,11,0),0)+IFERROR(VLOOKUP(A529,#REF!,11,0),0)+IFERROR(VLOOKUP(A529,#REF!,11,0),0)</f>
        <v>0</v>
      </c>
      <c r="K529" s="96" t="str">
        <f>"07.02.24"</f>
        <v>07.02.24</v>
      </c>
    </row>
    <row r="530" spans="1:11" ht="11.25" customHeight="1" outlineLevel="1">
      <c r="A530" s="89" t="n">
        <v>12003</v>
      </c>
      <c r="B530" s="114" t="s">
        <v>601</v>
      </c>
      <c r="C530" s="89" t="s">
        <v>803</v>
      </c>
      <c r="D530" s="89" t="s">
        <v>15</v>
      </c>
      <c r="E530" s="89" t="s">
        <v>720</v>
      </c>
      <c r="F530" s="102" t="n">
        <v>186</v>
      </c>
      <c r="G530" s="102" t="n">
        <v>241</v>
      </c>
      <c r="H530" s="103" t="s">
        <v>48</v>
      </c>
      <c r="I530" s="103">
        <f>IFERROR(VLOOKUP(A530,#REF!,15,0),0)+IFERROR(VLOOKUP(A530,#REF!,25,0),0)+IFERROR(VLOOKUP(A530,#REF!,10,0),0)+IFERROR(VLOOKUP(A530,#REF!,14,0),0)+IFERROR(VLOOKUP(A530,#REF!,10,0),0)+IFERROR(VLOOKUP(A530,#REF!,10,0),0)+IFERROR(VLOOKUP(A530,#REF!,10,0),0)+IFERROR(VLOOKUP(A530,#REF!,9,0),0)+IFERROR(VLOOKUP(A530,#REF!,9,0),0)+IFERROR(VLOOKUP(A530,#REF!,9,0),0)+IFERROR(VLOOKUP(A530,#REF!,9,0),0)</f>
        <v>0</v>
      </c>
      <c r="J530" s="104">
        <f>IFERROR(VLOOKUP(A530,#REF!,16,0),0)+IFERROR(VLOOKUP(A530,#REF!,26,0),0)+IFERROR(VLOOKUP(A530,#REF!,11,0),0)+IFERROR(VLOOKUP(A530,#REF!,23,0),0)+IFERROR(VLOOKUP(A530,#REF!,11,0),0)+IFERROR(VLOOKUP(A530,#REF!,11,0),0)+IFERROR(VLOOKUP(A530,#REF!,11,0),0)</f>
        <v>0</v>
      </c>
      <c r="K530" s="96" t="str">
        <f>"07.02.24"</f>
        <v>07.02.24</v>
      </c>
    </row>
    <row r="531" spans="1:11" ht="11.25" customHeight="1" outlineLevel="1">
      <c r="A531" s="89" t="n">
        <v>10063</v>
      </c>
      <c r="B531" s="114" t="s">
        <v>601</v>
      </c>
      <c r="C531" s="89" t="s">
        <v>804</v>
      </c>
      <c r="D531" s="89" t="s">
        <v>15</v>
      </c>
      <c r="E531" s="89" t="s">
        <v>720</v>
      </c>
      <c r="F531" s="102" t="n">
        <v>154</v>
      </c>
      <c r="G531" s="102" t="n">
        <v>201</v>
      </c>
      <c r="H531" s="103" t="s">
        <v>48</v>
      </c>
      <c r="I531" s="103">
        <f>IFERROR(VLOOKUP(A531,#REF!,15,0),0)+IFERROR(VLOOKUP(A531,#REF!,25,0),0)+IFERROR(VLOOKUP(A531,#REF!,10,0),0)+IFERROR(VLOOKUP(A531,#REF!,14,0),0)+IFERROR(VLOOKUP(A531,#REF!,10,0),0)+IFERROR(VLOOKUP(A531,#REF!,10,0),0)+IFERROR(VLOOKUP(A531,#REF!,10,0),0)+IFERROR(VLOOKUP(A531,#REF!,9,0),0)+IFERROR(VLOOKUP(A531,#REF!,9,0),0)+IFERROR(VLOOKUP(A531,#REF!,9,0),0)+IFERROR(VLOOKUP(A531,#REF!,9,0),0)</f>
        <v>0</v>
      </c>
      <c r="J531" s="104">
        <f>IFERROR(VLOOKUP(A531,#REF!,16,0),0)+IFERROR(VLOOKUP(A531,#REF!,26,0),0)+IFERROR(VLOOKUP(A531,#REF!,11,0),0)+IFERROR(VLOOKUP(A531,#REF!,23,0),0)+IFERROR(VLOOKUP(A531,#REF!,11,0),0)+IFERROR(VLOOKUP(A531,#REF!,11,0),0)+IFERROR(VLOOKUP(A531,#REF!,11,0),0)</f>
        <v>0</v>
      </c>
      <c r="K531" s="96" t="str">
        <f>"07.02.24"</f>
        <v>07.02.24</v>
      </c>
    </row>
    <row r="532" spans="1:11" ht="11.25" customHeight="1" outlineLevel="1">
      <c r="A532" s="89" t="n">
        <v>38902</v>
      </c>
      <c r="B532" s="114" t="s">
        <v>601</v>
      </c>
      <c r="C532" s="89" t="s">
        <v>805</v>
      </c>
      <c r="D532" s="89" t="s">
        <v>15</v>
      </c>
      <c r="E532" s="89" t="s">
        <v>720</v>
      </c>
      <c r="F532" s="102" t="n">
        <v>190</v>
      </c>
      <c r="G532" s="102" t="n">
        <v>247</v>
      </c>
      <c r="H532" s="103" t="s">
        <v>17</v>
      </c>
      <c r="I532" s="103">
        <f>IFERROR(VLOOKUP(A532,#REF!,15,0),0)+IFERROR(VLOOKUP(A532,#REF!,25,0),0)+IFERROR(VLOOKUP(A532,#REF!,10,0),0)+IFERROR(VLOOKUP(A532,#REF!,14,0),0)+IFERROR(VLOOKUP(A532,#REF!,10,0),0)+IFERROR(VLOOKUP(A532,#REF!,10,0),0)+IFERROR(VLOOKUP(A532,#REF!,10,0),0)+IFERROR(VLOOKUP(A532,#REF!,9,0),0)+IFERROR(VLOOKUP(A532,#REF!,9,0),0)+IFERROR(VLOOKUP(A532,#REF!,9,0),0)+IFERROR(VLOOKUP(A532,#REF!,9,0),0)</f>
        <v>0</v>
      </c>
      <c r="J532" s="104">
        <f>IFERROR(VLOOKUP(A532,#REF!,16,0),0)+IFERROR(VLOOKUP(A532,#REF!,26,0),0)+IFERROR(VLOOKUP(A532,#REF!,11,0),0)+IFERROR(VLOOKUP(A532,#REF!,23,0),0)+IFERROR(VLOOKUP(A532,#REF!,11,0),0)+IFERROR(VLOOKUP(A532,#REF!,11,0),0)+IFERROR(VLOOKUP(A532,#REF!,11,0),0)</f>
        <v>0</v>
      </c>
      <c r="K532" s="96" t="str">
        <f>"07.02.24"</f>
        <v>07.02.24</v>
      </c>
    </row>
    <row r="533" spans="1:11" ht="11.25" customHeight="1" outlineLevel="1">
      <c r="A533" s="89" t="n">
        <v>12005</v>
      </c>
      <c r="B533" s="114" t="s">
        <v>601</v>
      </c>
      <c r="C533" s="89" t="s">
        <v>806</v>
      </c>
      <c r="D533" s="89" t="s">
        <v>15</v>
      </c>
      <c r="E533" s="89" t="s">
        <v>720</v>
      </c>
      <c r="F533" s="102" t="n">
        <v>204</v>
      </c>
      <c r="G533" s="102" t="n">
        <v>265</v>
      </c>
      <c r="H533" s="103" t="s">
        <v>48</v>
      </c>
      <c r="I533" s="103">
        <f>IFERROR(VLOOKUP(A533,#REF!,15,0),0)+IFERROR(VLOOKUP(A533,#REF!,25,0),0)+IFERROR(VLOOKUP(A533,#REF!,10,0),0)+IFERROR(VLOOKUP(A533,#REF!,14,0),0)+IFERROR(VLOOKUP(A533,#REF!,10,0),0)+IFERROR(VLOOKUP(A533,#REF!,10,0),0)+IFERROR(VLOOKUP(A533,#REF!,10,0),0)+IFERROR(VLOOKUP(A533,#REF!,9,0),0)+IFERROR(VLOOKUP(A533,#REF!,9,0),0)+IFERROR(VLOOKUP(A533,#REF!,9,0),0)+IFERROR(VLOOKUP(A533,#REF!,9,0),0)</f>
        <v>0</v>
      </c>
      <c r="J533" s="104">
        <f>IFERROR(VLOOKUP(A533,#REF!,16,0),0)+IFERROR(VLOOKUP(A533,#REF!,26,0),0)+IFERROR(VLOOKUP(A533,#REF!,11,0),0)+IFERROR(VLOOKUP(A533,#REF!,23,0),0)+IFERROR(VLOOKUP(A533,#REF!,11,0),0)+IFERROR(VLOOKUP(A533,#REF!,11,0),0)+IFERROR(VLOOKUP(A533,#REF!,11,0),0)</f>
        <v>0</v>
      </c>
      <c r="K533" s="96" t="str">
        <f>"07.02.24"</f>
        <v>07.02.24</v>
      </c>
    </row>
    <row r="534" spans="1:11" ht="11.25" customHeight="1" outlineLevel="1">
      <c r="A534" s="89" t="n">
        <v>38903</v>
      </c>
      <c r="B534" s="114" t="s">
        <v>601</v>
      </c>
      <c r="C534" s="89" t="s">
        <v>807</v>
      </c>
      <c r="D534" s="89" t="s">
        <v>15</v>
      </c>
      <c r="E534" s="89" t="s">
        <v>720</v>
      </c>
      <c r="F534" s="102" t="n">
        <v>298</v>
      </c>
      <c r="G534" s="102" t="n">
        <v>387</v>
      </c>
      <c r="H534" s="103" t="s">
        <v>17</v>
      </c>
      <c r="I534" s="103">
        <f>IFERROR(VLOOKUP(A534,#REF!,15,0),0)+IFERROR(VLOOKUP(A534,#REF!,25,0),0)+IFERROR(VLOOKUP(A534,#REF!,10,0),0)+IFERROR(VLOOKUP(A534,#REF!,14,0),0)+IFERROR(VLOOKUP(A534,#REF!,10,0),0)+IFERROR(VLOOKUP(A534,#REF!,10,0),0)+IFERROR(VLOOKUP(A534,#REF!,10,0),0)+IFERROR(VLOOKUP(A534,#REF!,9,0),0)+IFERROR(VLOOKUP(A534,#REF!,9,0),0)+IFERROR(VLOOKUP(A534,#REF!,9,0),0)+IFERROR(VLOOKUP(A534,#REF!,9,0),0)</f>
        <v>0</v>
      </c>
      <c r="J534" s="104">
        <f>IFERROR(VLOOKUP(A534,#REF!,16,0),0)+IFERROR(VLOOKUP(A534,#REF!,26,0),0)+IFERROR(VLOOKUP(A534,#REF!,11,0),0)+IFERROR(VLOOKUP(A534,#REF!,23,0),0)+IFERROR(VLOOKUP(A534,#REF!,11,0),0)+IFERROR(VLOOKUP(A534,#REF!,11,0),0)+IFERROR(VLOOKUP(A534,#REF!,11,0),0)</f>
        <v>0</v>
      </c>
      <c r="K534" s="96" t="str">
        <f>"07.02.24"</f>
        <v>07.02.24</v>
      </c>
    </row>
    <row r="535" spans="1:11" ht="11.25" customHeight="1" outlineLevel="1">
      <c r="A535" s="89" t="n">
        <v>23961</v>
      </c>
      <c r="B535" s="114" t="s">
        <v>601</v>
      </c>
      <c r="C535" s="89" t="s">
        <v>808</v>
      </c>
      <c r="D535" s="89" t="s">
        <v>15</v>
      </c>
      <c r="E535" s="89" t="s">
        <v>720</v>
      </c>
      <c r="F535" s="102" t="n">
        <v>332</v>
      </c>
      <c r="G535" s="102" t="n">
        <v>431</v>
      </c>
      <c r="H535" s="103" t="s">
        <v>48</v>
      </c>
      <c r="I535" s="103">
        <f>IFERROR(VLOOKUP(A535,#REF!,15,0),0)+IFERROR(VLOOKUP(A535,#REF!,25,0),0)+IFERROR(VLOOKUP(A535,#REF!,10,0),0)+IFERROR(VLOOKUP(A535,#REF!,14,0),0)+IFERROR(VLOOKUP(A535,#REF!,10,0),0)+IFERROR(VLOOKUP(A535,#REF!,10,0),0)+IFERROR(VLOOKUP(A535,#REF!,10,0),0)+IFERROR(VLOOKUP(A535,#REF!,9,0),0)+IFERROR(VLOOKUP(A535,#REF!,9,0),0)+IFERROR(VLOOKUP(A535,#REF!,9,0),0)+IFERROR(VLOOKUP(A535,#REF!,9,0),0)</f>
        <v>0</v>
      </c>
      <c r="J535" s="104">
        <f>IFERROR(VLOOKUP(A535,#REF!,16,0),0)+IFERROR(VLOOKUP(A535,#REF!,26,0),0)+IFERROR(VLOOKUP(A535,#REF!,11,0),0)+IFERROR(VLOOKUP(A535,#REF!,23,0),0)+IFERROR(VLOOKUP(A535,#REF!,11,0),0)+IFERROR(VLOOKUP(A535,#REF!,11,0),0)+IFERROR(VLOOKUP(A535,#REF!,11,0),0)</f>
        <v>0</v>
      </c>
      <c r="K535" s="96" t="str">
        <f>"07.02.24"</f>
        <v>07.02.24</v>
      </c>
    </row>
    <row r="536" spans="1:11" ht="11.25" customHeight="1" outlineLevel="1">
      <c r="A536" s="89" t="n">
        <v>7020520</v>
      </c>
      <c r="B536" s="114" t="s">
        <v>601</v>
      </c>
      <c r="C536" s="89" t="s">
        <v>809</v>
      </c>
      <c r="D536" s="89" t="s">
        <v>15</v>
      </c>
      <c r="E536" s="89"/>
      <c r="F536" s="102" t="n">
        <v>184</v>
      </c>
      <c r="G536" s="102" t="n">
        <v>240</v>
      </c>
      <c r="H536" s="103" t="s">
        <v>17</v>
      </c>
      <c r="I536" s="103">
        <f>IFERROR(VLOOKUP(A536,#REF!,15,0),0)+IFERROR(VLOOKUP(A536,#REF!,25,0),0)+IFERROR(VLOOKUP(A536,#REF!,10,0),0)+IFERROR(VLOOKUP(A536,#REF!,14,0),0)+IFERROR(VLOOKUP(A536,#REF!,10,0),0)+IFERROR(VLOOKUP(A536,#REF!,10,0),0)+IFERROR(VLOOKUP(A536,#REF!,10,0),0)+IFERROR(VLOOKUP(A536,#REF!,9,0),0)+IFERROR(VLOOKUP(A536,#REF!,9,0),0)+IFERROR(VLOOKUP(A536,#REF!,9,0),0)+IFERROR(VLOOKUP(A536,#REF!,9,0),0)</f>
        <v>0</v>
      </c>
      <c r="J536" s="104">
        <f>IFERROR(VLOOKUP(A536,#REF!,16,0),0)+IFERROR(VLOOKUP(A536,#REF!,26,0),0)+IFERROR(VLOOKUP(A536,#REF!,11,0),0)+IFERROR(VLOOKUP(A536,#REF!,23,0),0)+IFERROR(VLOOKUP(A536,#REF!,11,0),0)+IFERROR(VLOOKUP(A536,#REF!,11,0),0)+IFERROR(VLOOKUP(A536,#REF!,11,0),0)</f>
        <v>0</v>
      </c>
      <c r="K536" s="96" t="str">
        <f>"07.02.24"</f>
        <v>07.02.24</v>
      </c>
    </row>
    <row r="537" spans="1:11" ht="11.25" customHeight="1" outlineLevel="1">
      <c r="A537" s="89" t="n">
        <v>7020530</v>
      </c>
      <c r="B537" s="114" t="s">
        <v>601</v>
      </c>
      <c r="C537" s="89" t="s">
        <v>810</v>
      </c>
      <c r="D537" s="89" t="s">
        <v>15</v>
      </c>
      <c r="E537" s="89"/>
      <c r="F537" s="102" t="n">
        <v>194</v>
      </c>
      <c r="G537" s="102" t="n">
        <v>252</v>
      </c>
      <c r="H537" s="103" t="s">
        <v>17</v>
      </c>
      <c r="I537" s="103">
        <f>IFERROR(VLOOKUP(A537,#REF!,15,0),0)+IFERROR(VLOOKUP(A537,#REF!,25,0),0)+IFERROR(VLOOKUP(A537,#REF!,10,0),0)+IFERROR(VLOOKUP(A537,#REF!,14,0),0)+IFERROR(VLOOKUP(A537,#REF!,10,0),0)+IFERROR(VLOOKUP(A537,#REF!,10,0),0)+IFERROR(VLOOKUP(A537,#REF!,10,0),0)+IFERROR(VLOOKUP(A537,#REF!,9,0),0)+IFERROR(VLOOKUP(A537,#REF!,9,0),0)+IFERROR(VLOOKUP(A537,#REF!,9,0),0)+IFERROR(VLOOKUP(A537,#REF!,9,0),0)</f>
        <v>0</v>
      </c>
      <c r="J537" s="104">
        <f>IFERROR(VLOOKUP(A537,#REF!,16,0),0)+IFERROR(VLOOKUP(A537,#REF!,26,0),0)+IFERROR(VLOOKUP(A537,#REF!,11,0),0)+IFERROR(VLOOKUP(A537,#REF!,23,0),0)+IFERROR(VLOOKUP(A537,#REF!,11,0),0)+IFERROR(VLOOKUP(A537,#REF!,11,0),0)+IFERROR(VLOOKUP(A537,#REF!,11,0),0)</f>
        <v>0</v>
      </c>
      <c r="K537" s="96" t="str">
        <f>"07.02.24"</f>
        <v>07.02.24</v>
      </c>
    </row>
    <row r="538" spans="1:11" ht="11.25" customHeight="1" outlineLevel="1">
      <c r="A538" s="89" t="n">
        <v>27809</v>
      </c>
      <c r="B538" s="114" t="s">
        <v>601</v>
      </c>
      <c r="C538" s="89" t="s">
        <v>811</v>
      </c>
      <c r="D538" s="89" t="s">
        <v>15</v>
      </c>
      <c r="E538" s="89" t="s">
        <v>720</v>
      </c>
      <c r="F538" s="102" t="n">
        <v>321</v>
      </c>
      <c r="G538" s="102" t="n">
        <v>418</v>
      </c>
      <c r="H538" s="103" t="s">
        <v>48</v>
      </c>
      <c r="I538" s="103">
        <f>IFERROR(VLOOKUP(A538,#REF!,15,0),0)+IFERROR(VLOOKUP(A538,#REF!,25,0),0)+IFERROR(VLOOKUP(A538,#REF!,10,0),0)+IFERROR(VLOOKUP(A538,#REF!,14,0),0)+IFERROR(VLOOKUP(A538,#REF!,10,0),0)+IFERROR(VLOOKUP(A538,#REF!,10,0),0)+IFERROR(VLOOKUP(A538,#REF!,10,0),0)+IFERROR(VLOOKUP(A538,#REF!,9,0),0)+IFERROR(VLOOKUP(A538,#REF!,9,0),0)+IFERROR(VLOOKUP(A538,#REF!,9,0),0)+IFERROR(VLOOKUP(A538,#REF!,9,0),0)</f>
        <v>0</v>
      </c>
      <c r="J538" s="104">
        <f>IFERROR(VLOOKUP(A538,#REF!,16,0),0)+IFERROR(VLOOKUP(A538,#REF!,26,0),0)+IFERROR(VLOOKUP(A538,#REF!,11,0),0)+IFERROR(VLOOKUP(A538,#REF!,23,0),0)+IFERROR(VLOOKUP(A538,#REF!,11,0),0)+IFERROR(VLOOKUP(A538,#REF!,11,0),0)+IFERROR(VLOOKUP(A538,#REF!,11,0),0)</f>
        <v>0</v>
      </c>
      <c r="K538" s="96" t="str">
        <f>"07.02.24"</f>
        <v>07.02.24</v>
      </c>
    </row>
    <row r="539" spans="1:11" ht="11.25" customHeight="1" outlineLevel="1">
      <c r="A539" s="89" t="n">
        <v>38914</v>
      </c>
      <c r="B539" s="114" t="s">
        <v>601</v>
      </c>
      <c r="C539" s="89" t="s">
        <v>812</v>
      </c>
      <c r="D539" s="89" t="s">
        <v>15</v>
      </c>
      <c r="E539" s="89" t="s">
        <v>720</v>
      </c>
      <c r="F539" s="102" t="n">
        <v>112</v>
      </c>
      <c r="G539" s="102" t="n">
        <v>146</v>
      </c>
      <c r="H539" s="103" t="s">
        <v>17</v>
      </c>
      <c r="I539" s="103">
        <f>IFERROR(VLOOKUP(A539,#REF!,15,0),0)+IFERROR(VLOOKUP(A539,#REF!,25,0),0)+IFERROR(VLOOKUP(A539,#REF!,10,0),0)+IFERROR(VLOOKUP(A539,#REF!,14,0),0)+IFERROR(VLOOKUP(A539,#REF!,10,0),0)+IFERROR(VLOOKUP(A539,#REF!,10,0),0)+IFERROR(VLOOKUP(A539,#REF!,10,0),0)+IFERROR(VLOOKUP(A539,#REF!,9,0),0)+IFERROR(VLOOKUP(A539,#REF!,9,0),0)+IFERROR(VLOOKUP(A539,#REF!,9,0),0)+IFERROR(VLOOKUP(A539,#REF!,9,0),0)</f>
        <v>0</v>
      </c>
      <c r="J539" s="104">
        <f>IFERROR(VLOOKUP(A539,#REF!,16,0),0)+IFERROR(VLOOKUP(A539,#REF!,26,0),0)+IFERROR(VLOOKUP(A539,#REF!,11,0),0)+IFERROR(VLOOKUP(A539,#REF!,23,0),0)+IFERROR(VLOOKUP(A539,#REF!,11,0),0)+IFERROR(VLOOKUP(A539,#REF!,11,0),0)+IFERROR(VLOOKUP(A539,#REF!,11,0),0)</f>
        <v>0</v>
      </c>
      <c r="K539" s="96" t="str">
        <f>"07.02.24"</f>
        <v>07.02.24</v>
      </c>
    </row>
    <row r="540" spans="1:11" ht="11.25" customHeight="1" outlineLevel="1">
      <c r="A540" s="89" t="n">
        <v>12008</v>
      </c>
      <c r="B540" s="114" t="s">
        <v>601</v>
      </c>
      <c r="C540" s="89" t="s">
        <v>813</v>
      </c>
      <c r="D540" s="89" t="s">
        <v>15</v>
      </c>
      <c r="E540" s="89" t="s">
        <v>720</v>
      </c>
      <c r="F540" s="102" t="n">
        <v>124</v>
      </c>
      <c r="G540" s="102" t="n">
        <v>162</v>
      </c>
      <c r="H540" s="103" t="s">
        <v>48</v>
      </c>
      <c r="I540" s="103">
        <f>IFERROR(VLOOKUP(A540,#REF!,15,0),0)+IFERROR(VLOOKUP(A540,#REF!,25,0),0)+IFERROR(VLOOKUP(A540,#REF!,10,0),0)+IFERROR(VLOOKUP(A540,#REF!,14,0),0)+IFERROR(VLOOKUP(A540,#REF!,10,0),0)+IFERROR(VLOOKUP(A540,#REF!,10,0),0)+IFERROR(VLOOKUP(A540,#REF!,10,0),0)+IFERROR(VLOOKUP(A540,#REF!,9,0),0)+IFERROR(VLOOKUP(A540,#REF!,9,0),0)+IFERROR(VLOOKUP(A540,#REF!,9,0),0)+IFERROR(VLOOKUP(A540,#REF!,9,0),0)</f>
        <v>0</v>
      </c>
      <c r="J540" s="104">
        <f>IFERROR(VLOOKUP(A540,#REF!,16,0),0)+IFERROR(VLOOKUP(A540,#REF!,26,0),0)+IFERROR(VLOOKUP(A540,#REF!,11,0),0)+IFERROR(VLOOKUP(A540,#REF!,23,0),0)+IFERROR(VLOOKUP(A540,#REF!,11,0),0)+IFERROR(VLOOKUP(A540,#REF!,11,0),0)+IFERROR(VLOOKUP(A540,#REF!,11,0),0)</f>
        <v>0</v>
      </c>
      <c r="K540" s="96" t="str">
        <f>"07.02.24"</f>
        <v>07.02.24</v>
      </c>
    </row>
    <row r="541" spans="1:11" ht="11.25" customHeight="1" outlineLevel="1">
      <c r="A541" s="89" t="n">
        <v>12009</v>
      </c>
      <c r="B541" s="114" t="s">
        <v>601</v>
      </c>
      <c r="C541" s="89" t="s">
        <v>814</v>
      </c>
      <c r="D541" s="89" t="s">
        <v>15</v>
      </c>
      <c r="E541" s="89" t="s">
        <v>720</v>
      </c>
      <c r="F541" s="102" t="n">
        <v>168</v>
      </c>
      <c r="G541" s="102" t="n">
        <v>218</v>
      </c>
      <c r="H541" s="103" t="s">
        <v>48</v>
      </c>
      <c r="I541" s="103">
        <f>IFERROR(VLOOKUP(A541,#REF!,15,0),0)+IFERROR(VLOOKUP(A541,#REF!,25,0),0)+IFERROR(VLOOKUP(A541,#REF!,10,0),0)+IFERROR(VLOOKUP(A541,#REF!,14,0),0)+IFERROR(VLOOKUP(A541,#REF!,10,0),0)+IFERROR(VLOOKUP(A541,#REF!,10,0),0)+IFERROR(VLOOKUP(A541,#REF!,10,0),0)+IFERROR(VLOOKUP(A541,#REF!,9,0),0)+IFERROR(VLOOKUP(A541,#REF!,9,0),0)+IFERROR(VLOOKUP(A541,#REF!,9,0),0)+IFERROR(VLOOKUP(A541,#REF!,9,0),0)</f>
        <v>0</v>
      </c>
      <c r="J541" s="104">
        <f>IFERROR(VLOOKUP(A541,#REF!,16,0),0)+IFERROR(VLOOKUP(A541,#REF!,26,0),0)+IFERROR(VLOOKUP(A541,#REF!,11,0),0)+IFERROR(VLOOKUP(A541,#REF!,23,0),0)+IFERROR(VLOOKUP(A541,#REF!,11,0),0)+IFERROR(VLOOKUP(A541,#REF!,11,0),0)+IFERROR(VLOOKUP(A541,#REF!,11,0),0)</f>
        <v>0</v>
      </c>
      <c r="K541" s="96" t="str">
        <f>"07.02.24"</f>
        <v>07.02.24</v>
      </c>
    </row>
    <row r="542" spans="1:11" ht="11.25" customHeight="1" outlineLevel="1">
      <c r="A542" s="89" t="n">
        <v>12010</v>
      </c>
      <c r="B542" s="114" t="s">
        <v>601</v>
      </c>
      <c r="C542" s="89" t="s">
        <v>815</v>
      </c>
      <c r="D542" s="89" t="s">
        <v>15</v>
      </c>
      <c r="E542" s="89" t="s">
        <v>720</v>
      </c>
      <c r="F542" s="102" t="n">
        <v>222</v>
      </c>
      <c r="G542" s="102" t="n">
        <v>288</v>
      </c>
      <c r="H542" s="103" t="s">
        <v>17</v>
      </c>
      <c r="I542" s="103">
        <f>IFERROR(VLOOKUP(A542,#REF!,15,0),0)+IFERROR(VLOOKUP(A542,#REF!,25,0),0)+IFERROR(VLOOKUP(A542,#REF!,10,0),0)+IFERROR(VLOOKUP(A542,#REF!,14,0),0)+IFERROR(VLOOKUP(A542,#REF!,10,0),0)+IFERROR(VLOOKUP(A542,#REF!,10,0),0)+IFERROR(VLOOKUP(A542,#REF!,10,0),0)+IFERROR(VLOOKUP(A542,#REF!,9,0),0)+IFERROR(VLOOKUP(A542,#REF!,9,0),0)+IFERROR(VLOOKUP(A542,#REF!,9,0),0)+IFERROR(VLOOKUP(A542,#REF!,9,0),0)</f>
        <v>0</v>
      </c>
      <c r="J542" s="104">
        <f>IFERROR(VLOOKUP(A542,#REF!,16,0),0)+IFERROR(VLOOKUP(A542,#REF!,26,0),0)+IFERROR(VLOOKUP(A542,#REF!,11,0),0)+IFERROR(VLOOKUP(A542,#REF!,23,0),0)+IFERROR(VLOOKUP(A542,#REF!,11,0),0)+IFERROR(VLOOKUP(A542,#REF!,11,0),0)+IFERROR(VLOOKUP(A542,#REF!,11,0),0)</f>
        <v>0</v>
      </c>
      <c r="K542" s="96" t="str">
        <f>"07.02.24"</f>
        <v>07.02.24</v>
      </c>
    </row>
    <row r="543" spans="1:11" ht="11.25" customHeight="1" outlineLevel="1">
      <c r="A543" s="89" t="n">
        <v>38915</v>
      </c>
      <c r="B543" s="114" t="s">
        <v>601</v>
      </c>
      <c r="C543" s="89" t="s">
        <v>816</v>
      </c>
      <c r="D543" s="89" t="s">
        <v>15</v>
      </c>
      <c r="E543" s="89" t="s">
        <v>720</v>
      </c>
      <c r="F543" s="102" t="n">
        <v>135</v>
      </c>
      <c r="G543" s="102" t="n">
        <v>176</v>
      </c>
      <c r="H543" s="103" t="s">
        <v>17</v>
      </c>
      <c r="I543" s="103">
        <f>IFERROR(VLOOKUP(A543,#REF!,15,0),0)+IFERROR(VLOOKUP(A543,#REF!,25,0),0)+IFERROR(VLOOKUP(A543,#REF!,10,0),0)+IFERROR(VLOOKUP(A543,#REF!,14,0),0)+IFERROR(VLOOKUP(A543,#REF!,10,0),0)+IFERROR(VLOOKUP(A543,#REF!,10,0),0)+IFERROR(VLOOKUP(A543,#REF!,10,0),0)+IFERROR(VLOOKUP(A543,#REF!,9,0),0)+IFERROR(VLOOKUP(A543,#REF!,9,0),0)+IFERROR(VLOOKUP(A543,#REF!,9,0),0)+IFERROR(VLOOKUP(A543,#REF!,9,0),0)</f>
        <v>0</v>
      </c>
      <c r="J543" s="104">
        <f>IFERROR(VLOOKUP(A543,#REF!,16,0),0)+IFERROR(VLOOKUP(A543,#REF!,26,0),0)+IFERROR(VLOOKUP(A543,#REF!,11,0),0)+IFERROR(VLOOKUP(A543,#REF!,23,0),0)+IFERROR(VLOOKUP(A543,#REF!,11,0),0)+IFERROR(VLOOKUP(A543,#REF!,11,0),0)+IFERROR(VLOOKUP(A543,#REF!,11,0),0)</f>
        <v>0</v>
      </c>
      <c r="K543" s="96" t="str">
        <f>"07.02.24"</f>
        <v>07.02.24</v>
      </c>
    </row>
    <row r="544" spans="1:11" ht="11.25" customHeight="1" outlineLevel="1">
      <c r="A544" s="89" t="n">
        <v>12011</v>
      </c>
      <c r="B544" s="114" t="s">
        <v>601</v>
      </c>
      <c r="C544" s="89" t="s">
        <v>817</v>
      </c>
      <c r="D544" s="89" t="s">
        <v>15</v>
      </c>
      <c r="E544" s="89" t="s">
        <v>720</v>
      </c>
      <c r="F544" s="102" t="n">
        <v>141</v>
      </c>
      <c r="G544" s="102" t="n">
        <v>183</v>
      </c>
      <c r="H544" s="103" t="s">
        <v>17</v>
      </c>
      <c r="I544" s="103">
        <f>IFERROR(VLOOKUP(A544,#REF!,15,0),0)+IFERROR(VLOOKUP(A544,#REF!,25,0),0)+IFERROR(VLOOKUP(A544,#REF!,10,0),0)+IFERROR(VLOOKUP(A544,#REF!,14,0),0)+IFERROR(VLOOKUP(A544,#REF!,10,0),0)+IFERROR(VLOOKUP(A544,#REF!,10,0),0)+IFERROR(VLOOKUP(A544,#REF!,10,0),0)+IFERROR(VLOOKUP(A544,#REF!,9,0),0)+IFERROR(VLOOKUP(A544,#REF!,9,0),0)+IFERROR(VLOOKUP(A544,#REF!,9,0),0)+IFERROR(VLOOKUP(A544,#REF!,9,0),0)</f>
        <v>0</v>
      </c>
      <c r="J544" s="104">
        <f>IFERROR(VLOOKUP(A544,#REF!,16,0),0)+IFERROR(VLOOKUP(A544,#REF!,26,0),0)+IFERROR(VLOOKUP(A544,#REF!,11,0),0)+IFERROR(VLOOKUP(A544,#REF!,23,0),0)+IFERROR(VLOOKUP(A544,#REF!,11,0),0)+IFERROR(VLOOKUP(A544,#REF!,11,0),0)+IFERROR(VLOOKUP(A544,#REF!,11,0),0)</f>
        <v>0</v>
      </c>
      <c r="K544" s="96" t="str">
        <f>"07.02.24"</f>
        <v>07.02.24</v>
      </c>
    </row>
    <row r="545" spans="1:11" ht="11.25" customHeight="1" outlineLevel="1">
      <c r="A545" s="89" t="n">
        <v>38916</v>
      </c>
      <c r="B545" s="114" t="s">
        <v>601</v>
      </c>
      <c r="C545" s="89" t="s">
        <v>818</v>
      </c>
      <c r="D545" s="89" t="s">
        <v>15</v>
      </c>
      <c r="E545" s="89" t="s">
        <v>720</v>
      </c>
      <c r="F545" s="102" t="n">
        <v>183</v>
      </c>
      <c r="G545" s="102" t="n">
        <v>238</v>
      </c>
      <c r="H545" s="103" t="s">
        <v>17</v>
      </c>
      <c r="I545" s="103">
        <f>IFERROR(VLOOKUP(A545,#REF!,15,0),0)+IFERROR(VLOOKUP(A545,#REF!,25,0),0)+IFERROR(VLOOKUP(A545,#REF!,10,0),0)+IFERROR(VLOOKUP(A545,#REF!,14,0),0)+IFERROR(VLOOKUP(A545,#REF!,10,0),0)+IFERROR(VLOOKUP(A545,#REF!,10,0),0)+IFERROR(VLOOKUP(A545,#REF!,10,0),0)+IFERROR(VLOOKUP(A545,#REF!,9,0),0)+IFERROR(VLOOKUP(A545,#REF!,9,0),0)+IFERROR(VLOOKUP(A545,#REF!,9,0),0)+IFERROR(VLOOKUP(A545,#REF!,9,0),0)</f>
        <v>0</v>
      </c>
      <c r="J545" s="104">
        <f>IFERROR(VLOOKUP(A545,#REF!,16,0),0)+IFERROR(VLOOKUP(A545,#REF!,26,0),0)+IFERROR(VLOOKUP(A545,#REF!,11,0),0)+IFERROR(VLOOKUP(A545,#REF!,23,0),0)+IFERROR(VLOOKUP(A545,#REF!,11,0),0)+IFERROR(VLOOKUP(A545,#REF!,11,0),0)+IFERROR(VLOOKUP(A545,#REF!,11,0),0)</f>
        <v>0</v>
      </c>
      <c r="K545" s="96" t="str">
        <f>"07.02.24"</f>
        <v>07.02.24</v>
      </c>
    </row>
    <row r="546" spans="1:11" ht="11.25" customHeight="1" outlineLevel="1">
      <c r="A546" s="89" t="n">
        <v>12012</v>
      </c>
      <c r="B546" s="114" t="s">
        <v>601</v>
      </c>
      <c r="C546" s="89" t="s">
        <v>819</v>
      </c>
      <c r="D546" s="89" t="s">
        <v>15</v>
      </c>
      <c r="E546" s="89" t="s">
        <v>720</v>
      </c>
      <c r="F546" s="102" t="n">
        <v>213</v>
      </c>
      <c r="G546" s="102" t="n">
        <v>277</v>
      </c>
      <c r="H546" s="103" t="s">
        <v>48</v>
      </c>
      <c r="I546" s="103">
        <f>IFERROR(VLOOKUP(A546,#REF!,15,0),0)+IFERROR(VLOOKUP(A546,#REF!,25,0),0)+IFERROR(VLOOKUP(A546,#REF!,10,0),0)+IFERROR(VLOOKUP(A546,#REF!,14,0),0)+IFERROR(VLOOKUP(A546,#REF!,10,0),0)+IFERROR(VLOOKUP(A546,#REF!,10,0),0)+IFERROR(VLOOKUP(A546,#REF!,10,0),0)+IFERROR(VLOOKUP(A546,#REF!,9,0),0)+IFERROR(VLOOKUP(A546,#REF!,9,0),0)+IFERROR(VLOOKUP(A546,#REF!,9,0),0)+IFERROR(VLOOKUP(A546,#REF!,9,0),0)</f>
        <v>0</v>
      </c>
      <c r="J546" s="104">
        <f>IFERROR(VLOOKUP(A546,#REF!,16,0),0)+IFERROR(VLOOKUP(A546,#REF!,26,0),0)+IFERROR(VLOOKUP(A546,#REF!,11,0),0)+IFERROR(VLOOKUP(A546,#REF!,23,0),0)+IFERROR(VLOOKUP(A546,#REF!,11,0),0)+IFERROR(VLOOKUP(A546,#REF!,11,0),0)+IFERROR(VLOOKUP(A546,#REF!,11,0),0)</f>
        <v>0</v>
      </c>
      <c r="K546" s="96" t="str">
        <f>"07.02.24"</f>
        <v>07.02.24</v>
      </c>
    </row>
    <row r="547" spans="1:11" ht="11.25" customHeight="1" outlineLevel="1">
      <c r="A547" s="89" t="n">
        <v>12013</v>
      </c>
      <c r="B547" s="114" t="s">
        <v>601</v>
      </c>
      <c r="C547" s="89" t="s">
        <v>820</v>
      </c>
      <c r="D547" s="89" t="s">
        <v>15</v>
      </c>
      <c r="E547" s="89" t="s">
        <v>720</v>
      </c>
      <c r="F547" s="102" t="n">
        <v>200</v>
      </c>
      <c r="G547" s="102" t="n">
        <v>260</v>
      </c>
      <c r="H547" s="103" t="s">
        <v>48</v>
      </c>
      <c r="I547" s="103">
        <f>IFERROR(VLOOKUP(A547,#REF!,15,0),0)+IFERROR(VLOOKUP(A547,#REF!,25,0),0)+IFERROR(VLOOKUP(A547,#REF!,10,0),0)+IFERROR(VLOOKUP(A547,#REF!,14,0),0)+IFERROR(VLOOKUP(A547,#REF!,10,0),0)+IFERROR(VLOOKUP(A547,#REF!,10,0),0)+IFERROR(VLOOKUP(A547,#REF!,10,0),0)+IFERROR(VLOOKUP(A547,#REF!,9,0),0)+IFERROR(VLOOKUP(A547,#REF!,9,0),0)+IFERROR(VLOOKUP(A547,#REF!,9,0),0)+IFERROR(VLOOKUP(A547,#REF!,9,0),0)</f>
        <v>0</v>
      </c>
      <c r="J547" s="104">
        <f>IFERROR(VLOOKUP(A547,#REF!,16,0),0)+IFERROR(VLOOKUP(A547,#REF!,26,0),0)+IFERROR(VLOOKUP(A547,#REF!,11,0),0)+IFERROR(VLOOKUP(A547,#REF!,23,0),0)+IFERROR(VLOOKUP(A547,#REF!,11,0),0)+IFERROR(VLOOKUP(A547,#REF!,11,0),0)+IFERROR(VLOOKUP(A547,#REF!,11,0),0)</f>
        <v>0</v>
      </c>
      <c r="K547" s="96" t="str">
        <f>"07.02.24"</f>
        <v>07.02.24</v>
      </c>
    </row>
    <row r="548" spans="1:11" ht="11.25" customHeight="1" outlineLevel="1">
      <c r="A548" s="89" t="n">
        <v>27813</v>
      </c>
      <c r="B548" s="114" t="s">
        <v>601</v>
      </c>
      <c r="C548" s="89" t="s">
        <v>821</v>
      </c>
      <c r="D548" s="89" t="s">
        <v>15</v>
      </c>
      <c r="E548" s="89" t="s">
        <v>720</v>
      </c>
      <c r="F548" s="102" t="n">
        <v>138</v>
      </c>
      <c r="G548" s="102" t="n">
        <v>179</v>
      </c>
      <c r="H548" s="103" t="s">
        <v>48</v>
      </c>
      <c r="I548" s="103">
        <f>IFERROR(VLOOKUP(A548,#REF!,15,0),0)+IFERROR(VLOOKUP(A548,#REF!,25,0),0)+IFERROR(VLOOKUP(A548,#REF!,10,0),0)+IFERROR(VLOOKUP(A548,#REF!,14,0),0)+IFERROR(VLOOKUP(A548,#REF!,10,0),0)+IFERROR(VLOOKUP(A548,#REF!,10,0),0)+IFERROR(VLOOKUP(A548,#REF!,10,0),0)+IFERROR(VLOOKUP(A548,#REF!,9,0),0)+IFERROR(VLOOKUP(A548,#REF!,9,0),0)+IFERROR(VLOOKUP(A548,#REF!,9,0),0)+IFERROR(VLOOKUP(A548,#REF!,9,0),0)</f>
        <v>0</v>
      </c>
      <c r="J548" s="104">
        <f>IFERROR(VLOOKUP(A548,#REF!,16,0),0)+IFERROR(VLOOKUP(A548,#REF!,26,0),0)+IFERROR(VLOOKUP(A548,#REF!,11,0),0)+IFERROR(VLOOKUP(A548,#REF!,23,0),0)+IFERROR(VLOOKUP(A548,#REF!,11,0),0)+IFERROR(VLOOKUP(A548,#REF!,11,0),0)+IFERROR(VLOOKUP(A548,#REF!,11,0),0)</f>
        <v>0</v>
      </c>
      <c r="K548" s="96" t="str">
        <f>"07.02.24"</f>
        <v>07.02.24</v>
      </c>
    </row>
    <row r="549" spans="1:11" ht="11.25" customHeight="1" outlineLevel="1">
      <c r="A549" s="89" t="n">
        <v>38919</v>
      </c>
      <c r="B549" s="114" t="s">
        <v>601</v>
      </c>
      <c r="C549" s="89" t="s">
        <v>822</v>
      </c>
      <c r="D549" s="89" t="s">
        <v>15</v>
      </c>
      <c r="E549" s="89" t="s">
        <v>720</v>
      </c>
      <c r="F549" s="102" t="n">
        <v>425</v>
      </c>
      <c r="G549" s="102" t="n">
        <v>552</v>
      </c>
      <c r="H549" s="103" t="s">
        <v>17</v>
      </c>
      <c r="I549" s="103">
        <f>IFERROR(VLOOKUP(A549,#REF!,15,0),0)+IFERROR(VLOOKUP(A549,#REF!,25,0),0)+IFERROR(VLOOKUP(A549,#REF!,10,0),0)+IFERROR(VLOOKUP(A549,#REF!,14,0),0)+IFERROR(VLOOKUP(A549,#REF!,10,0),0)+IFERROR(VLOOKUP(A549,#REF!,10,0),0)+IFERROR(VLOOKUP(A549,#REF!,10,0),0)+IFERROR(VLOOKUP(A549,#REF!,9,0),0)+IFERROR(VLOOKUP(A549,#REF!,9,0),0)+IFERROR(VLOOKUP(A549,#REF!,9,0),0)+IFERROR(VLOOKUP(A549,#REF!,9,0),0)</f>
        <v>0</v>
      </c>
      <c r="J549" s="104">
        <f>IFERROR(VLOOKUP(A549,#REF!,16,0),0)+IFERROR(VLOOKUP(A549,#REF!,26,0),0)+IFERROR(VLOOKUP(A549,#REF!,11,0),0)+IFERROR(VLOOKUP(A549,#REF!,23,0),0)+IFERROR(VLOOKUP(A549,#REF!,11,0),0)+IFERROR(VLOOKUP(A549,#REF!,11,0),0)+IFERROR(VLOOKUP(A549,#REF!,11,0),0)</f>
        <v>0</v>
      </c>
      <c r="K549" s="96" t="str">
        <f>"07.02.24"</f>
        <v>07.02.24</v>
      </c>
    </row>
    <row r="550" spans="1:11" ht="11.25" customHeight="1" outlineLevel="1">
      <c r="A550" s="89" t="n">
        <v>27815</v>
      </c>
      <c r="B550" s="114" t="s">
        <v>601</v>
      </c>
      <c r="C550" s="89" t="s">
        <v>823</v>
      </c>
      <c r="D550" s="89" t="s">
        <v>15</v>
      </c>
      <c r="E550" s="89" t="s">
        <v>720</v>
      </c>
      <c r="F550" s="102" t="n">
        <v>568</v>
      </c>
      <c r="G550" s="102" t="n">
        <v>738</v>
      </c>
      <c r="H550" s="103" t="s">
        <v>48</v>
      </c>
      <c r="I550" s="103">
        <f>IFERROR(VLOOKUP(A550,#REF!,15,0),0)+IFERROR(VLOOKUP(A550,#REF!,25,0),0)+IFERROR(VLOOKUP(A550,#REF!,10,0),0)+IFERROR(VLOOKUP(A550,#REF!,14,0),0)+IFERROR(VLOOKUP(A550,#REF!,10,0),0)+IFERROR(VLOOKUP(A550,#REF!,10,0),0)+IFERROR(VLOOKUP(A550,#REF!,10,0),0)+IFERROR(VLOOKUP(A550,#REF!,9,0),0)+IFERROR(VLOOKUP(A550,#REF!,9,0),0)+IFERROR(VLOOKUP(A550,#REF!,9,0),0)+IFERROR(VLOOKUP(A550,#REF!,9,0),0)</f>
        <v>0</v>
      </c>
      <c r="J550" s="104">
        <f>IFERROR(VLOOKUP(A550,#REF!,16,0),0)+IFERROR(VLOOKUP(A550,#REF!,26,0),0)+IFERROR(VLOOKUP(A550,#REF!,11,0),0)+IFERROR(VLOOKUP(A550,#REF!,23,0),0)+IFERROR(VLOOKUP(A550,#REF!,11,0),0)+IFERROR(VLOOKUP(A550,#REF!,11,0),0)+IFERROR(VLOOKUP(A550,#REF!,11,0),0)</f>
        <v>0</v>
      </c>
      <c r="K550" s="96" t="str">
        <f>"07.02.24"</f>
        <v>07.02.24</v>
      </c>
    </row>
    <row r="551" spans="1:11" ht="11.25" customHeight="1" outlineLevel="1">
      <c r="A551" s="89" t="n">
        <v>38957</v>
      </c>
      <c r="B551" s="114" t="s">
        <v>601</v>
      </c>
      <c r="C551" s="89" t="s">
        <v>824</v>
      </c>
      <c r="D551" s="89" t="s">
        <v>15</v>
      </c>
      <c r="E551" s="89" t="s">
        <v>720</v>
      </c>
      <c r="F551" s="102" t="n">
        <v>147</v>
      </c>
      <c r="G551" s="102" t="n">
        <v>192</v>
      </c>
      <c r="H551" s="103" t="s">
        <v>17</v>
      </c>
      <c r="I551" s="103">
        <f>IFERROR(VLOOKUP(A551,#REF!,15,0),0)+IFERROR(VLOOKUP(A551,#REF!,25,0),0)+IFERROR(VLOOKUP(A551,#REF!,10,0),0)+IFERROR(VLOOKUP(A551,#REF!,14,0),0)+IFERROR(VLOOKUP(A551,#REF!,10,0),0)+IFERROR(VLOOKUP(A551,#REF!,10,0),0)+IFERROR(VLOOKUP(A551,#REF!,10,0),0)+IFERROR(VLOOKUP(A551,#REF!,9,0),0)+IFERROR(VLOOKUP(A551,#REF!,9,0),0)+IFERROR(VLOOKUP(A551,#REF!,9,0),0)+IFERROR(VLOOKUP(A551,#REF!,9,0),0)</f>
        <v>0</v>
      </c>
      <c r="J551" s="104">
        <f>IFERROR(VLOOKUP(A551,#REF!,16,0),0)+IFERROR(VLOOKUP(A551,#REF!,26,0),0)+IFERROR(VLOOKUP(A551,#REF!,11,0),0)+IFERROR(VLOOKUP(A551,#REF!,23,0),0)+IFERROR(VLOOKUP(A551,#REF!,11,0),0)+IFERROR(VLOOKUP(A551,#REF!,11,0),0)+IFERROR(VLOOKUP(A551,#REF!,11,0),0)</f>
        <v>0</v>
      </c>
      <c r="K551" s="96" t="str">
        <f>"07.02.24"</f>
        <v>07.02.24</v>
      </c>
    </row>
    <row r="552" spans="1:11" ht="11.25" customHeight="1" outlineLevel="1">
      <c r="A552" s="89" t="n">
        <v>10044</v>
      </c>
      <c r="B552" s="114" t="s">
        <v>601</v>
      </c>
      <c r="C552" s="89" t="s">
        <v>825</v>
      </c>
      <c r="D552" s="89" t="s">
        <v>15</v>
      </c>
      <c r="E552" s="89" t="s">
        <v>720</v>
      </c>
      <c r="F552" s="102" t="n">
        <v>154</v>
      </c>
      <c r="G552" s="102" t="n">
        <v>200</v>
      </c>
      <c r="H552" s="103" t="s">
        <v>17</v>
      </c>
      <c r="I552" s="103">
        <f>IFERROR(VLOOKUP(A552,#REF!,15,0),0)+IFERROR(VLOOKUP(A552,#REF!,25,0),0)+IFERROR(VLOOKUP(A552,#REF!,10,0),0)+IFERROR(VLOOKUP(A552,#REF!,14,0),0)+IFERROR(VLOOKUP(A552,#REF!,10,0),0)+IFERROR(VLOOKUP(A552,#REF!,10,0),0)+IFERROR(VLOOKUP(A552,#REF!,10,0),0)+IFERROR(VLOOKUP(A552,#REF!,9,0),0)+IFERROR(VLOOKUP(A552,#REF!,9,0),0)+IFERROR(VLOOKUP(A552,#REF!,9,0),0)+IFERROR(VLOOKUP(A552,#REF!,9,0),0)</f>
        <v>0</v>
      </c>
      <c r="J552" s="104">
        <f>IFERROR(VLOOKUP(A552,#REF!,16,0),0)+IFERROR(VLOOKUP(A552,#REF!,26,0),0)+IFERROR(VLOOKUP(A552,#REF!,11,0),0)+IFERROR(VLOOKUP(A552,#REF!,23,0),0)+IFERROR(VLOOKUP(A552,#REF!,11,0),0)+IFERROR(VLOOKUP(A552,#REF!,11,0),0)+IFERROR(VLOOKUP(A552,#REF!,11,0),0)</f>
        <v>0</v>
      </c>
      <c r="K552" s="96" t="str">
        <f>"07.02.24"</f>
        <v>07.02.24</v>
      </c>
    </row>
    <row r="553" spans="1:11" ht="11.25" customHeight="1" outlineLevel="1">
      <c r="A553" s="89" t="n">
        <v>12015</v>
      </c>
      <c r="B553" s="114" t="s">
        <v>601</v>
      </c>
      <c r="C553" s="89" t="s">
        <v>826</v>
      </c>
      <c r="D553" s="89" t="s">
        <v>15</v>
      </c>
      <c r="E553" s="89" t="s">
        <v>720</v>
      </c>
      <c r="F553" s="102" t="n">
        <v>188</v>
      </c>
      <c r="G553" s="102" t="n">
        <v>244</v>
      </c>
      <c r="H553" s="103" t="s">
        <v>48</v>
      </c>
      <c r="I553" s="103">
        <f>IFERROR(VLOOKUP(A553,#REF!,15,0),0)+IFERROR(VLOOKUP(A553,#REF!,25,0),0)+IFERROR(VLOOKUP(A553,#REF!,10,0),0)+IFERROR(VLOOKUP(A553,#REF!,14,0),0)+IFERROR(VLOOKUP(A553,#REF!,10,0),0)+IFERROR(VLOOKUP(A553,#REF!,10,0),0)+IFERROR(VLOOKUP(A553,#REF!,10,0),0)+IFERROR(VLOOKUP(A553,#REF!,9,0),0)+IFERROR(VLOOKUP(A553,#REF!,9,0),0)+IFERROR(VLOOKUP(A553,#REF!,9,0),0)+IFERROR(VLOOKUP(A553,#REF!,9,0),0)</f>
        <v>0</v>
      </c>
      <c r="J553" s="104">
        <f>IFERROR(VLOOKUP(A553,#REF!,16,0),0)+IFERROR(VLOOKUP(A553,#REF!,26,0),0)+IFERROR(VLOOKUP(A553,#REF!,11,0),0)+IFERROR(VLOOKUP(A553,#REF!,23,0),0)+IFERROR(VLOOKUP(A553,#REF!,11,0),0)+IFERROR(VLOOKUP(A553,#REF!,11,0),0)+IFERROR(VLOOKUP(A553,#REF!,11,0),0)</f>
        <v>0</v>
      </c>
      <c r="K553" s="96" t="str">
        <f>"07.02.24"</f>
        <v>07.02.24</v>
      </c>
    </row>
    <row r="554" spans="1:11" ht="11.25" customHeight="1" outlineLevel="1">
      <c r="A554" s="89" t="n">
        <v>12016</v>
      </c>
      <c r="B554" s="114" t="s">
        <v>601</v>
      </c>
      <c r="C554" s="89" t="s">
        <v>827</v>
      </c>
      <c r="D554" s="89" t="s">
        <v>15</v>
      </c>
      <c r="E554" s="89" t="s">
        <v>720</v>
      </c>
      <c r="F554" s="102" t="n">
        <v>300</v>
      </c>
      <c r="G554" s="102" t="n">
        <v>391</v>
      </c>
      <c r="H554" s="103" t="s">
        <v>17</v>
      </c>
      <c r="I554" s="103">
        <f>IFERROR(VLOOKUP(A554,#REF!,15,0),0)+IFERROR(VLOOKUP(A554,#REF!,25,0),0)+IFERROR(VLOOKUP(A554,#REF!,10,0),0)+IFERROR(VLOOKUP(A554,#REF!,14,0),0)+IFERROR(VLOOKUP(A554,#REF!,10,0),0)+IFERROR(VLOOKUP(A554,#REF!,10,0),0)+IFERROR(VLOOKUP(A554,#REF!,10,0),0)+IFERROR(VLOOKUP(A554,#REF!,9,0),0)+IFERROR(VLOOKUP(A554,#REF!,9,0),0)+IFERROR(VLOOKUP(A554,#REF!,9,0),0)+IFERROR(VLOOKUP(A554,#REF!,9,0),0)</f>
        <v>0</v>
      </c>
      <c r="J554" s="104">
        <f>IFERROR(VLOOKUP(A554,#REF!,16,0),0)+IFERROR(VLOOKUP(A554,#REF!,26,0),0)+IFERROR(VLOOKUP(A554,#REF!,11,0),0)+IFERROR(VLOOKUP(A554,#REF!,23,0),0)+IFERROR(VLOOKUP(A554,#REF!,11,0),0)+IFERROR(VLOOKUP(A554,#REF!,11,0),0)+IFERROR(VLOOKUP(A554,#REF!,11,0),0)</f>
        <v>0</v>
      </c>
      <c r="K554" s="96" t="str">
        <f>"07.02.24"</f>
        <v>07.02.24</v>
      </c>
    </row>
    <row r="555" spans="1:11" ht="11.25" customHeight="1" outlineLevel="1">
      <c r="A555" s="89" t="n">
        <v>38920</v>
      </c>
      <c r="B555" s="114" t="s">
        <v>601</v>
      </c>
      <c r="C555" s="89" t="s">
        <v>828</v>
      </c>
      <c r="D555" s="89" t="s">
        <v>15</v>
      </c>
      <c r="E555" s="89" t="s">
        <v>720</v>
      </c>
      <c r="F555" s="102" t="n">
        <v>135</v>
      </c>
      <c r="G555" s="102" t="n">
        <v>176</v>
      </c>
      <c r="H555" s="103" t="s">
        <v>17</v>
      </c>
      <c r="I555" s="103">
        <f>IFERROR(VLOOKUP(A555,#REF!,15,0),0)+IFERROR(VLOOKUP(A555,#REF!,25,0),0)+IFERROR(VLOOKUP(A555,#REF!,10,0),0)+IFERROR(VLOOKUP(A555,#REF!,14,0),0)+IFERROR(VLOOKUP(A555,#REF!,10,0),0)+IFERROR(VLOOKUP(A555,#REF!,10,0),0)+IFERROR(VLOOKUP(A555,#REF!,10,0),0)+IFERROR(VLOOKUP(A555,#REF!,9,0),0)+IFERROR(VLOOKUP(A555,#REF!,9,0),0)+IFERROR(VLOOKUP(A555,#REF!,9,0),0)+IFERROR(VLOOKUP(A555,#REF!,9,0),0)</f>
        <v>0</v>
      </c>
      <c r="J555" s="104">
        <f>IFERROR(VLOOKUP(A555,#REF!,16,0),0)+IFERROR(VLOOKUP(A555,#REF!,26,0),0)+IFERROR(VLOOKUP(A555,#REF!,11,0),0)+IFERROR(VLOOKUP(A555,#REF!,23,0),0)+IFERROR(VLOOKUP(A555,#REF!,11,0),0)+IFERROR(VLOOKUP(A555,#REF!,11,0),0)+IFERROR(VLOOKUP(A555,#REF!,11,0),0)</f>
        <v>0</v>
      </c>
      <c r="K555" s="96" t="str">
        <f>"07.02.24"</f>
        <v>07.02.24</v>
      </c>
    </row>
    <row r="556" spans="1:11" ht="11.25" customHeight="1" outlineLevel="1">
      <c r="A556" s="89" t="n">
        <v>12017</v>
      </c>
      <c r="B556" s="114" t="s">
        <v>601</v>
      </c>
      <c r="C556" s="89" t="s">
        <v>829</v>
      </c>
      <c r="D556" s="89" t="s">
        <v>15</v>
      </c>
      <c r="E556" s="89" t="s">
        <v>720</v>
      </c>
      <c r="F556" s="102" t="n">
        <v>154</v>
      </c>
      <c r="G556" s="102" t="n">
        <v>200</v>
      </c>
      <c r="H556" s="103" t="s">
        <v>17</v>
      </c>
      <c r="I556" s="103">
        <f>IFERROR(VLOOKUP(A556,#REF!,15,0),0)+IFERROR(VLOOKUP(A556,#REF!,25,0),0)+IFERROR(VLOOKUP(A556,#REF!,10,0),0)+IFERROR(VLOOKUP(A556,#REF!,14,0),0)+IFERROR(VLOOKUP(A556,#REF!,10,0),0)+IFERROR(VLOOKUP(A556,#REF!,10,0),0)+IFERROR(VLOOKUP(A556,#REF!,10,0),0)+IFERROR(VLOOKUP(A556,#REF!,9,0),0)+IFERROR(VLOOKUP(A556,#REF!,9,0),0)+IFERROR(VLOOKUP(A556,#REF!,9,0),0)+IFERROR(VLOOKUP(A556,#REF!,9,0),0)</f>
        <v>0</v>
      </c>
      <c r="J556" s="104">
        <f>IFERROR(VLOOKUP(A556,#REF!,16,0),0)+IFERROR(VLOOKUP(A556,#REF!,26,0),0)+IFERROR(VLOOKUP(A556,#REF!,11,0),0)+IFERROR(VLOOKUP(A556,#REF!,23,0),0)+IFERROR(VLOOKUP(A556,#REF!,11,0),0)+IFERROR(VLOOKUP(A556,#REF!,11,0),0)+IFERROR(VLOOKUP(A556,#REF!,11,0),0)</f>
        <v>0</v>
      </c>
      <c r="K556" s="96" t="str">
        <f>"07.02.24"</f>
        <v>07.02.24</v>
      </c>
    </row>
    <row r="557" spans="1:11" ht="11.25" customHeight="1" outlineLevel="1">
      <c r="A557" s="89" t="n">
        <v>23962</v>
      </c>
      <c r="B557" s="114" t="s">
        <v>601</v>
      </c>
      <c r="C557" s="89" t="s">
        <v>830</v>
      </c>
      <c r="D557" s="89" t="s">
        <v>15</v>
      </c>
      <c r="E557" s="89" t="s">
        <v>720</v>
      </c>
      <c r="F557" s="102" t="n">
        <v>192</v>
      </c>
      <c r="G557" s="102" t="n">
        <v>250</v>
      </c>
      <c r="H557" s="103" t="s">
        <v>48</v>
      </c>
      <c r="I557" s="103">
        <f>IFERROR(VLOOKUP(A557,#REF!,15,0),0)+IFERROR(VLOOKUP(A557,#REF!,25,0),0)+IFERROR(VLOOKUP(A557,#REF!,10,0),0)+IFERROR(VLOOKUP(A557,#REF!,14,0),0)+IFERROR(VLOOKUP(A557,#REF!,10,0),0)+IFERROR(VLOOKUP(A557,#REF!,10,0),0)+IFERROR(VLOOKUP(A557,#REF!,10,0),0)+IFERROR(VLOOKUP(A557,#REF!,9,0),0)+IFERROR(VLOOKUP(A557,#REF!,9,0),0)+IFERROR(VLOOKUP(A557,#REF!,9,0),0)+IFERROR(VLOOKUP(A557,#REF!,9,0),0)</f>
        <v>0</v>
      </c>
      <c r="J557" s="104">
        <f>IFERROR(VLOOKUP(A557,#REF!,16,0),0)+IFERROR(VLOOKUP(A557,#REF!,26,0),0)+IFERROR(VLOOKUP(A557,#REF!,11,0),0)+IFERROR(VLOOKUP(A557,#REF!,23,0),0)+IFERROR(VLOOKUP(A557,#REF!,11,0),0)+IFERROR(VLOOKUP(A557,#REF!,11,0),0)+IFERROR(VLOOKUP(A557,#REF!,11,0),0)</f>
        <v>0</v>
      </c>
      <c r="K557" s="96" t="str">
        <f>"07.02.24"</f>
        <v>07.02.24</v>
      </c>
    </row>
    <row r="558" spans="1:11" ht="11.25" customHeight="1" outlineLevel="1">
      <c r="A558" s="89" t="n">
        <v>38922</v>
      </c>
      <c r="B558" s="114" t="s">
        <v>601</v>
      </c>
      <c r="C558" s="89" t="s">
        <v>831</v>
      </c>
      <c r="D558" s="89" t="s">
        <v>15</v>
      </c>
      <c r="E558" s="89" t="s">
        <v>720</v>
      </c>
      <c r="F558" s="102" t="n">
        <v>171</v>
      </c>
      <c r="G558" s="102" t="n">
        <v>223</v>
      </c>
      <c r="H558" s="103" t="s">
        <v>17</v>
      </c>
      <c r="I558" s="103">
        <f>IFERROR(VLOOKUP(A558,#REF!,15,0),0)+IFERROR(VLOOKUP(A558,#REF!,25,0),0)+IFERROR(VLOOKUP(A558,#REF!,10,0),0)+IFERROR(VLOOKUP(A558,#REF!,14,0),0)+IFERROR(VLOOKUP(A558,#REF!,10,0),0)+IFERROR(VLOOKUP(A558,#REF!,10,0),0)+IFERROR(VLOOKUP(A558,#REF!,10,0),0)+IFERROR(VLOOKUP(A558,#REF!,9,0),0)+IFERROR(VLOOKUP(A558,#REF!,9,0),0)+IFERROR(VLOOKUP(A558,#REF!,9,0),0)+IFERROR(VLOOKUP(A558,#REF!,9,0),0)</f>
        <v>0</v>
      </c>
      <c r="J558" s="104">
        <f>IFERROR(VLOOKUP(A558,#REF!,16,0),0)+IFERROR(VLOOKUP(A558,#REF!,26,0),0)+IFERROR(VLOOKUP(A558,#REF!,11,0),0)+IFERROR(VLOOKUP(A558,#REF!,23,0),0)+IFERROR(VLOOKUP(A558,#REF!,11,0),0)+IFERROR(VLOOKUP(A558,#REF!,11,0),0)+IFERROR(VLOOKUP(A558,#REF!,11,0),0)</f>
        <v>0</v>
      </c>
      <c r="K558" s="96" t="str">
        <f>"07.02.24"</f>
        <v>07.02.24</v>
      </c>
    </row>
    <row r="559" spans="1:11" ht="11.25" customHeight="1" outlineLevel="1">
      <c r="A559" s="89" t="n">
        <v>12018</v>
      </c>
      <c r="B559" s="114" t="s">
        <v>601</v>
      </c>
      <c r="C559" s="89" t="s">
        <v>832</v>
      </c>
      <c r="D559" s="89" t="s">
        <v>15</v>
      </c>
      <c r="E559" s="89" t="s">
        <v>720</v>
      </c>
      <c r="F559" s="102" t="n">
        <v>179</v>
      </c>
      <c r="G559" s="102" t="n">
        <v>232</v>
      </c>
      <c r="H559" s="103" t="s">
        <v>17</v>
      </c>
      <c r="I559" s="103">
        <f>IFERROR(VLOOKUP(A559,#REF!,15,0),0)+IFERROR(VLOOKUP(A559,#REF!,25,0),0)+IFERROR(VLOOKUP(A559,#REF!,10,0),0)+IFERROR(VLOOKUP(A559,#REF!,14,0),0)+IFERROR(VLOOKUP(A559,#REF!,10,0),0)+IFERROR(VLOOKUP(A559,#REF!,10,0),0)+IFERROR(VLOOKUP(A559,#REF!,10,0),0)+IFERROR(VLOOKUP(A559,#REF!,9,0),0)+IFERROR(VLOOKUP(A559,#REF!,9,0),0)+IFERROR(VLOOKUP(A559,#REF!,9,0),0)+IFERROR(VLOOKUP(A559,#REF!,9,0),0)</f>
        <v>0</v>
      </c>
      <c r="J559" s="104">
        <f>IFERROR(VLOOKUP(A559,#REF!,16,0),0)+IFERROR(VLOOKUP(A559,#REF!,26,0),0)+IFERROR(VLOOKUP(A559,#REF!,11,0),0)+IFERROR(VLOOKUP(A559,#REF!,23,0),0)+IFERROR(VLOOKUP(A559,#REF!,11,0),0)+IFERROR(VLOOKUP(A559,#REF!,11,0),0)+IFERROR(VLOOKUP(A559,#REF!,11,0),0)</f>
        <v>0</v>
      </c>
      <c r="K559" s="96" t="str">
        <f>"07.02.24"</f>
        <v>07.02.24</v>
      </c>
    </row>
    <row r="560" spans="1:11" ht="11.25" customHeight="1" outlineLevel="1">
      <c r="A560" s="89" t="n">
        <v>38923</v>
      </c>
      <c r="B560" s="114" t="s">
        <v>601</v>
      </c>
      <c r="C560" s="89" t="s">
        <v>833</v>
      </c>
      <c r="D560" s="89" t="s">
        <v>15</v>
      </c>
      <c r="E560" s="89" t="s">
        <v>720</v>
      </c>
      <c r="F560" s="102" t="n">
        <v>234</v>
      </c>
      <c r="G560" s="102" t="n">
        <v>303</v>
      </c>
      <c r="H560" s="103" t="s">
        <v>17</v>
      </c>
      <c r="I560" s="103">
        <f>IFERROR(VLOOKUP(A560,#REF!,15,0),0)+IFERROR(VLOOKUP(A560,#REF!,25,0),0)+IFERROR(VLOOKUP(A560,#REF!,10,0),0)+IFERROR(VLOOKUP(A560,#REF!,14,0),0)+IFERROR(VLOOKUP(A560,#REF!,10,0),0)+IFERROR(VLOOKUP(A560,#REF!,10,0),0)+IFERROR(VLOOKUP(A560,#REF!,10,0),0)+IFERROR(VLOOKUP(A560,#REF!,9,0),0)+IFERROR(VLOOKUP(A560,#REF!,9,0),0)+IFERROR(VLOOKUP(A560,#REF!,9,0),0)+IFERROR(VLOOKUP(A560,#REF!,9,0),0)</f>
        <v>0</v>
      </c>
      <c r="J560" s="104">
        <f>IFERROR(VLOOKUP(A560,#REF!,16,0),0)+IFERROR(VLOOKUP(A560,#REF!,26,0),0)+IFERROR(VLOOKUP(A560,#REF!,11,0),0)+IFERROR(VLOOKUP(A560,#REF!,23,0),0)+IFERROR(VLOOKUP(A560,#REF!,11,0),0)+IFERROR(VLOOKUP(A560,#REF!,11,0),0)+IFERROR(VLOOKUP(A560,#REF!,11,0),0)</f>
        <v>0</v>
      </c>
      <c r="K560" s="96" t="str">
        <f>"07.02.24"</f>
        <v>07.02.24</v>
      </c>
    </row>
    <row r="561" spans="1:11" ht="11.25" customHeight="1" outlineLevel="1">
      <c r="A561" s="89" t="n">
        <v>12019</v>
      </c>
      <c r="B561" s="114" t="s">
        <v>601</v>
      </c>
      <c r="C561" s="89" t="s">
        <v>834</v>
      </c>
      <c r="D561" s="89" t="s">
        <v>15</v>
      </c>
      <c r="E561" s="89" t="s">
        <v>720</v>
      </c>
      <c r="F561" s="102" t="n">
        <v>256</v>
      </c>
      <c r="G561" s="102" t="n">
        <v>334</v>
      </c>
      <c r="H561" s="103" t="s">
        <v>48</v>
      </c>
      <c r="I561" s="103">
        <f>IFERROR(VLOOKUP(A561,#REF!,15,0),0)+IFERROR(VLOOKUP(A561,#REF!,25,0),0)+IFERROR(VLOOKUP(A561,#REF!,10,0),0)+IFERROR(VLOOKUP(A561,#REF!,14,0),0)+IFERROR(VLOOKUP(A561,#REF!,10,0),0)+IFERROR(VLOOKUP(A561,#REF!,10,0),0)+IFERROR(VLOOKUP(A561,#REF!,10,0),0)+IFERROR(VLOOKUP(A561,#REF!,9,0),0)+IFERROR(VLOOKUP(A561,#REF!,9,0),0)+IFERROR(VLOOKUP(A561,#REF!,9,0),0)+IFERROR(VLOOKUP(A561,#REF!,9,0),0)</f>
        <v>0</v>
      </c>
      <c r="J561" s="104">
        <f>IFERROR(VLOOKUP(A561,#REF!,16,0),0)+IFERROR(VLOOKUP(A561,#REF!,26,0),0)+IFERROR(VLOOKUP(A561,#REF!,11,0),0)+IFERROR(VLOOKUP(A561,#REF!,23,0),0)+IFERROR(VLOOKUP(A561,#REF!,11,0),0)+IFERROR(VLOOKUP(A561,#REF!,11,0),0)+IFERROR(VLOOKUP(A561,#REF!,11,0),0)</f>
        <v>0</v>
      </c>
      <c r="K561" s="96" t="str">
        <f>"07.02.24"</f>
        <v>07.02.24</v>
      </c>
    </row>
    <row r="562" spans="1:11" ht="11.25" customHeight="1" outlineLevel="1">
      <c r="A562" s="89" t="n">
        <v>8083800</v>
      </c>
      <c r="B562" s="114" t="s">
        <v>601</v>
      </c>
      <c r="C562" s="89" t="s">
        <v>835</v>
      </c>
      <c r="D562" s="89" t="s">
        <v>15</v>
      </c>
      <c r="E562" s="89"/>
      <c r="F562" s="102" t="n">
        <v>227</v>
      </c>
      <c r="G562" s="102" t="n">
        <v>295</v>
      </c>
      <c r="H562" s="103" t="s">
        <v>17</v>
      </c>
      <c r="I562" s="103">
        <f>IFERROR(VLOOKUP(A562,#REF!,15,0),0)+IFERROR(VLOOKUP(A562,#REF!,25,0),0)+IFERROR(VLOOKUP(A562,#REF!,10,0),0)+IFERROR(VLOOKUP(A562,#REF!,14,0),0)+IFERROR(VLOOKUP(A562,#REF!,10,0),0)+IFERROR(VLOOKUP(A562,#REF!,10,0),0)+IFERROR(VLOOKUP(A562,#REF!,10,0),0)+IFERROR(VLOOKUP(A562,#REF!,9,0),0)+IFERROR(VLOOKUP(A562,#REF!,9,0),0)+IFERROR(VLOOKUP(A562,#REF!,9,0),0)+IFERROR(VLOOKUP(A562,#REF!,9,0),0)</f>
        <v>0</v>
      </c>
      <c r="J562" s="104">
        <f>IFERROR(VLOOKUP(A562,#REF!,16,0),0)+IFERROR(VLOOKUP(A562,#REF!,26,0),0)+IFERROR(VLOOKUP(A562,#REF!,11,0),0)+IFERROR(VLOOKUP(A562,#REF!,23,0),0)+IFERROR(VLOOKUP(A562,#REF!,11,0),0)+IFERROR(VLOOKUP(A562,#REF!,11,0),0)+IFERROR(VLOOKUP(A562,#REF!,11,0),0)</f>
        <v>0</v>
      </c>
      <c r="K562" s="96" t="str">
        <f>"07.02.24"</f>
        <v>07.02.24</v>
      </c>
    </row>
    <row r="563" spans="1:11" ht="11.25" customHeight="1" outlineLevel="1">
      <c r="A563" s="89" t="n">
        <v>12020</v>
      </c>
      <c r="B563" s="114" t="s">
        <v>601</v>
      </c>
      <c r="C563" s="89" t="s">
        <v>836</v>
      </c>
      <c r="D563" s="89" t="s">
        <v>15</v>
      </c>
      <c r="E563" s="89" t="s">
        <v>720</v>
      </c>
      <c r="F563" s="102" t="n">
        <v>265</v>
      </c>
      <c r="G563" s="102" t="n">
        <v>345</v>
      </c>
      <c r="H563" s="103" t="s">
        <v>17</v>
      </c>
      <c r="I563" s="103">
        <f>IFERROR(VLOOKUP(A563,#REF!,15,0),0)+IFERROR(VLOOKUP(A563,#REF!,25,0),0)+IFERROR(VLOOKUP(A563,#REF!,10,0),0)+IFERROR(VLOOKUP(A563,#REF!,14,0),0)+IFERROR(VLOOKUP(A563,#REF!,10,0),0)+IFERROR(VLOOKUP(A563,#REF!,10,0),0)+IFERROR(VLOOKUP(A563,#REF!,10,0),0)+IFERROR(VLOOKUP(A563,#REF!,9,0),0)+IFERROR(VLOOKUP(A563,#REF!,9,0),0)+IFERROR(VLOOKUP(A563,#REF!,9,0),0)+IFERROR(VLOOKUP(A563,#REF!,9,0),0)</f>
        <v>0</v>
      </c>
      <c r="J563" s="104">
        <f>IFERROR(VLOOKUP(A563,#REF!,16,0),0)+IFERROR(VLOOKUP(A563,#REF!,26,0),0)+IFERROR(VLOOKUP(A563,#REF!,11,0),0)+IFERROR(VLOOKUP(A563,#REF!,23,0),0)+IFERROR(VLOOKUP(A563,#REF!,11,0),0)+IFERROR(VLOOKUP(A563,#REF!,11,0),0)+IFERROR(VLOOKUP(A563,#REF!,11,0),0)</f>
        <v>0</v>
      </c>
      <c r="K563" s="96" t="str">
        <f>"07.02.24"</f>
        <v>07.02.24</v>
      </c>
    </row>
    <row r="564" spans="1:11" ht="11.25" customHeight="1" outlineLevel="1">
      <c r="A564" s="89" t="n">
        <v>38918</v>
      </c>
      <c r="B564" s="114" t="s">
        <v>601</v>
      </c>
      <c r="C564" s="89" t="s">
        <v>837</v>
      </c>
      <c r="D564" s="89" t="s">
        <v>15</v>
      </c>
      <c r="E564" s="89" t="s">
        <v>720</v>
      </c>
      <c r="F564" s="102" t="n">
        <v>139</v>
      </c>
      <c r="G564" s="102" t="n">
        <v>180</v>
      </c>
      <c r="H564" s="103" t="s">
        <v>17</v>
      </c>
      <c r="I564" s="103">
        <f>IFERROR(VLOOKUP(A564,#REF!,15,0),0)+IFERROR(VLOOKUP(A564,#REF!,25,0),0)+IFERROR(VLOOKUP(A564,#REF!,10,0),0)+IFERROR(VLOOKUP(A564,#REF!,14,0),0)+IFERROR(VLOOKUP(A564,#REF!,10,0),0)+IFERROR(VLOOKUP(A564,#REF!,10,0),0)+IFERROR(VLOOKUP(A564,#REF!,10,0),0)+IFERROR(VLOOKUP(A564,#REF!,9,0),0)+IFERROR(VLOOKUP(A564,#REF!,9,0),0)+IFERROR(VLOOKUP(A564,#REF!,9,0),0)+IFERROR(VLOOKUP(A564,#REF!,9,0),0)</f>
        <v>0</v>
      </c>
      <c r="J564" s="104">
        <f>IFERROR(VLOOKUP(A564,#REF!,16,0),0)+IFERROR(VLOOKUP(A564,#REF!,26,0),0)+IFERROR(VLOOKUP(A564,#REF!,11,0),0)+IFERROR(VLOOKUP(A564,#REF!,23,0),0)+IFERROR(VLOOKUP(A564,#REF!,11,0),0)+IFERROR(VLOOKUP(A564,#REF!,11,0),0)+IFERROR(VLOOKUP(A564,#REF!,11,0),0)</f>
        <v>0</v>
      </c>
      <c r="K564" s="96" t="str">
        <f>"07.02.24"</f>
        <v>07.02.24</v>
      </c>
    </row>
    <row r="565" spans="1:11" ht="11.25" customHeight="1" outlineLevel="1">
      <c r="A565" s="89" t="n">
        <v>10045</v>
      </c>
      <c r="B565" s="114" t="s">
        <v>601</v>
      </c>
      <c r="C565" s="89" t="s">
        <v>838</v>
      </c>
      <c r="D565" s="89" t="s">
        <v>15</v>
      </c>
      <c r="E565" s="89" t="s">
        <v>720</v>
      </c>
      <c r="F565" s="102" t="n">
        <v>154</v>
      </c>
      <c r="G565" s="102" t="n">
        <v>200</v>
      </c>
      <c r="H565" s="103" t="s">
        <v>17</v>
      </c>
      <c r="I565" s="103">
        <f>IFERROR(VLOOKUP(A565,#REF!,15,0),0)+IFERROR(VLOOKUP(A565,#REF!,25,0),0)+IFERROR(VLOOKUP(A565,#REF!,10,0),0)+IFERROR(VLOOKUP(A565,#REF!,14,0),0)+IFERROR(VLOOKUP(A565,#REF!,10,0),0)+IFERROR(VLOOKUP(A565,#REF!,10,0),0)+IFERROR(VLOOKUP(A565,#REF!,10,0),0)+IFERROR(VLOOKUP(A565,#REF!,9,0),0)+IFERROR(VLOOKUP(A565,#REF!,9,0),0)+IFERROR(VLOOKUP(A565,#REF!,9,0),0)+IFERROR(VLOOKUP(A565,#REF!,9,0),0)</f>
        <v>0</v>
      </c>
      <c r="J565" s="104">
        <f>IFERROR(VLOOKUP(A565,#REF!,16,0),0)+IFERROR(VLOOKUP(A565,#REF!,26,0),0)+IFERROR(VLOOKUP(A565,#REF!,11,0),0)+IFERROR(VLOOKUP(A565,#REF!,23,0),0)+IFERROR(VLOOKUP(A565,#REF!,11,0),0)+IFERROR(VLOOKUP(A565,#REF!,11,0),0)+IFERROR(VLOOKUP(A565,#REF!,11,0),0)</f>
        <v>0</v>
      </c>
      <c r="K565" s="96" t="str">
        <f>"07.02.24"</f>
        <v>07.02.24</v>
      </c>
    </row>
    <row r="566" spans="1:11" ht="11.25" customHeight="1" outlineLevel="1">
      <c r="A566" s="89" t="n">
        <v>10073</v>
      </c>
      <c r="B566" s="114" t="s">
        <v>601</v>
      </c>
      <c r="C566" s="89" t="s">
        <v>839</v>
      </c>
      <c r="D566" s="89" t="s">
        <v>15</v>
      </c>
      <c r="E566" s="89" t="s">
        <v>720</v>
      </c>
      <c r="F566" s="102" t="n">
        <v>222</v>
      </c>
      <c r="G566" s="102" t="n">
        <v>288</v>
      </c>
      <c r="H566" s="103" t="s">
        <v>17</v>
      </c>
      <c r="I566" s="103">
        <f>IFERROR(VLOOKUP(A566,#REF!,15,0),0)+IFERROR(VLOOKUP(A566,#REF!,25,0),0)+IFERROR(VLOOKUP(A566,#REF!,10,0),0)+IFERROR(VLOOKUP(A566,#REF!,14,0),0)+IFERROR(VLOOKUP(A566,#REF!,10,0),0)+IFERROR(VLOOKUP(A566,#REF!,10,0),0)+IFERROR(VLOOKUP(A566,#REF!,10,0),0)+IFERROR(VLOOKUP(A566,#REF!,9,0),0)+IFERROR(VLOOKUP(A566,#REF!,9,0),0)+IFERROR(VLOOKUP(A566,#REF!,9,0),0)+IFERROR(VLOOKUP(A566,#REF!,9,0),0)</f>
        <v>0</v>
      </c>
      <c r="J566" s="104">
        <f>IFERROR(VLOOKUP(A566,#REF!,16,0),0)+IFERROR(VLOOKUP(A566,#REF!,26,0),0)+IFERROR(VLOOKUP(A566,#REF!,11,0),0)+IFERROR(VLOOKUP(A566,#REF!,23,0),0)+IFERROR(VLOOKUP(A566,#REF!,11,0),0)+IFERROR(VLOOKUP(A566,#REF!,11,0),0)+IFERROR(VLOOKUP(A566,#REF!,11,0),0)</f>
        <v>0</v>
      </c>
      <c r="K566" s="96" t="str">
        <f>"07.02.24"</f>
        <v>07.02.24</v>
      </c>
    </row>
    <row r="567" spans="1:11" ht="11.25" customHeight="1" outlineLevel="1">
      <c r="A567" s="89" t="n">
        <v>7004110</v>
      </c>
      <c r="B567" s="114" t="s">
        <v>601</v>
      </c>
      <c r="C567" s="89" t="s">
        <v>840</v>
      </c>
      <c r="D567" s="89" t="s">
        <v>15</v>
      </c>
      <c r="E567" s="89"/>
      <c r="F567" s="102" t="n">
        <v>298</v>
      </c>
      <c r="G567" s="102" t="n">
        <v>387</v>
      </c>
      <c r="H567" s="103" t="s">
        <v>17</v>
      </c>
      <c r="I567" s="103">
        <f>IFERROR(VLOOKUP(A567,#REF!,15,0),0)+IFERROR(VLOOKUP(A567,#REF!,25,0),0)+IFERROR(VLOOKUP(A567,#REF!,10,0),0)+IFERROR(VLOOKUP(A567,#REF!,14,0),0)+IFERROR(VLOOKUP(A567,#REF!,10,0),0)+IFERROR(VLOOKUP(A567,#REF!,10,0),0)+IFERROR(VLOOKUP(A567,#REF!,10,0),0)+IFERROR(VLOOKUP(A567,#REF!,9,0),0)+IFERROR(VLOOKUP(A567,#REF!,9,0),0)+IFERROR(VLOOKUP(A567,#REF!,9,0),0)+IFERROR(VLOOKUP(A567,#REF!,9,0),0)</f>
        <v>0</v>
      </c>
      <c r="J567" s="104">
        <f>IFERROR(VLOOKUP(A567,#REF!,16,0),0)+IFERROR(VLOOKUP(A567,#REF!,26,0),0)+IFERROR(VLOOKUP(A567,#REF!,11,0),0)+IFERROR(VLOOKUP(A567,#REF!,23,0),0)+IFERROR(VLOOKUP(A567,#REF!,11,0),0)+IFERROR(VLOOKUP(A567,#REF!,11,0),0)+IFERROR(VLOOKUP(A567,#REF!,11,0),0)</f>
        <v>0</v>
      </c>
      <c r="K567" s="96" t="str">
        <f>"07.02.24"</f>
        <v>07.02.24</v>
      </c>
    </row>
    <row r="568" spans="1:11" ht="11.25" customHeight="1" outlineLevel="1">
      <c r="A568" s="89" t="n">
        <v>12025</v>
      </c>
      <c r="B568" s="114" t="s">
        <v>601</v>
      </c>
      <c r="C568" s="89" t="s">
        <v>841</v>
      </c>
      <c r="D568" s="89" t="s">
        <v>15</v>
      </c>
      <c r="E568" s="89" t="s">
        <v>720</v>
      </c>
      <c r="F568" s="102" t="n">
        <v>362</v>
      </c>
      <c r="G568" s="102" t="n">
        <v>471</v>
      </c>
      <c r="H568" s="103" t="s">
        <v>48</v>
      </c>
      <c r="I568" s="103">
        <f>IFERROR(VLOOKUP(A568,#REF!,15,0),0)+IFERROR(VLOOKUP(A568,#REF!,25,0),0)+IFERROR(VLOOKUP(A568,#REF!,10,0),0)+IFERROR(VLOOKUP(A568,#REF!,14,0),0)+IFERROR(VLOOKUP(A568,#REF!,10,0),0)+IFERROR(VLOOKUP(A568,#REF!,10,0),0)+IFERROR(VLOOKUP(A568,#REF!,10,0),0)+IFERROR(VLOOKUP(A568,#REF!,9,0),0)+IFERROR(VLOOKUP(A568,#REF!,9,0),0)+IFERROR(VLOOKUP(A568,#REF!,9,0),0)+IFERROR(VLOOKUP(A568,#REF!,9,0),0)</f>
        <v>0</v>
      </c>
      <c r="J568" s="104">
        <f>IFERROR(VLOOKUP(A568,#REF!,16,0),0)+IFERROR(VLOOKUP(A568,#REF!,26,0),0)+IFERROR(VLOOKUP(A568,#REF!,11,0),0)+IFERROR(VLOOKUP(A568,#REF!,23,0),0)+IFERROR(VLOOKUP(A568,#REF!,11,0),0)+IFERROR(VLOOKUP(A568,#REF!,11,0),0)+IFERROR(VLOOKUP(A568,#REF!,11,0),0)</f>
        <v>0</v>
      </c>
      <c r="K568" s="96" t="str">
        <f>"07.02.24"</f>
        <v>07.02.24</v>
      </c>
    </row>
    <row r="569" spans="1:11" ht="11.25" customHeight="1" outlineLevel="1">
      <c r="A569" s="89" t="n">
        <v>12026</v>
      </c>
      <c r="B569" s="114" t="s">
        <v>601</v>
      </c>
      <c r="C569" s="89" t="s">
        <v>842</v>
      </c>
      <c r="D569" s="89" t="s">
        <v>15</v>
      </c>
      <c r="E569" s="89" t="s">
        <v>720</v>
      </c>
      <c r="F569" s="102" t="n">
        <v>145</v>
      </c>
      <c r="G569" s="102" t="n">
        <v>189</v>
      </c>
      <c r="H569" s="103" t="s">
        <v>17</v>
      </c>
      <c r="I569" s="103">
        <f>IFERROR(VLOOKUP(A569,#REF!,15,0),0)+IFERROR(VLOOKUP(A569,#REF!,25,0),0)+IFERROR(VLOOKUP(A569,#REF!,10,0),0)+IFERROR(VLOOKUP(A569,#REF!,14,0),0)+IFERROR(VLOOKUP(A569,#REF!,10,0),0)+IFERROR(VLOOKUP(A569,#REF!,10,0),0)+IFERROR(VLOOKUP(A569,#REF!,10,0),0)+IFERROR(VLOOKUP(A569,#REF!,9,0),0)+IFERROR(VLOOKUP(A569,#REF!,9,0),0)+IFERROR(VLOOKUP(A569,#REF!,9,0),0)+IFERROR(VLOOKUP(A569,#REF!,9,0),0)</f>
        <v>0</v>
      </c>
      <c r="J569" s="104">
        <f>IFERROR(VLOOKUP(A569,#REF!,16,0),0)+IFERROR(VLOOKUP(A569,#REF!,26,0),0)+IFERROR(VLOOKUP(A569,#REF!,11,0),0)+IFERROR(VLOOKUP(A569,#REF!,23,0),0)+IFERROR(VLOOKUP(A569,#REF!,11,0),0)+IFERROR(VLOOKUP(A569,#REF!,11,0),0)+IFERROR(VLOOKUP(A569,#REF!,11,0),0)</f>
        <v>0</v>
      </c>
      <c r="K569" s="96" t="str">
        <f>"07.02.24"</f>
        <v>07.02.24</v>
      </c>
    </row>
    <row r="570" spans="1:11" ht="11.25" customHeight="1" outlineLevel="1">
      <c r="A570" s="89" t="n">
        <v>7021560</v>
      </c>
      <c r="B570" s="114" t="s">
        <v>601</v>
      </c>
      <c r="C570" s="89" t="s">
        <v>843</v>
      </c>
      <c r="D570" s="89" t="s">
        <v>15</v>
      </c>
      <c r="E570" s="89"/>
      <c r="F570" s="102" t="n">
        <v>274</v>
      </c>
      <c r="G570" s="102" t="n">
        <v>356</v>
      </c>
      <c r="H570" s="103" t="s">
        <v>17</v>
      </c>
      <c r="I570" s="103">
        <f>IFERROR(VLOOKUP(A570,#REF!,15,0),0)+IFERROR(VLOOKUP(A570,#REF!,25,0),0)+IFERROR(VLOOKUP(A570,#REF!,10,0),0)+IFERROR(VLOOKUP(A570,#REF!,14,0),0)+IFERROR(VLOOKUP(A570,#REF!,10,0),0)+IFERROR(VLOOKUP(A570,#REF!,10,0),0)+IFERROR(VLOOKUP(A570,#REF!,10,0),0)+IFERROR(VLOOKUP(A570,#REF!,9,0),0)+IFERROR(VLOOKUP(A570,#REF!,9,0),0)+IFERROR(VLOOKUP(A570,#REF!,9,0),0)+IFERROR(VLOOKUP(A570,#REF!,9,0),0)</f>
        <v>0</v>
      </c>
      <c r="J570" s="104">
        <f>IFERROR(VLOOKUP(A570,#REF!,16,0),0)+IFERROR(VLOOKUP(A570,#REF!,26,0),0)+IFERROR(VLOOKUP(A570,#REF!,11,0),0)+IFERROR(VLOOKUP(A570,#REF!,23,0),0)+IFERROR(VLOOKUP(A570,#REF!,11,0),0)+IFERROR(VLOOKUP(A570,#REF!,11,0),0)+IFERROR(VLOOKUP(A570,#REF!,11,0),0)</f>
        <v>0</v>
      </c>
      <c r="K570" s="96" t="str">
        <f>"07.02.24"</f>
        <v>07.02.24</v>
      </c>
    </row>
    <row r="571" spans="1:11" ht="11.25" customHeight="1" outlineLevel="1">
      <c r="A571" s="89" t="n">
        <v>12029</v>
      </c>
      <c r="B571" s="114" t="s">
        <v>601</v>
      </c>
      <c r="C571" s="89" t="s">
        <v>844</v>
      </c>
      <c r="D571" s="89" t="s">
        <v>15</v>
      </c>
      <c r="E571" s="89" t="s">
        <v>720</v>
      </c>
      <c r="F571" s="102" t="n">
        <v>261</v>
      </c>
      <c r="G571" s="102" t="n">
        <v>341</v>
      </c>
      <c r="H571" s="103" t="s">
        <v>17</v>
      </c>
      <c r="I571" s="103">
        <f>IFERROR(VLOOKUP(A571,#REF!,15,0),0)+IFERROR(VLOOKUP(A571,#REF!,25,0),0)+IFERROR(VLOOKUP(A571,#REF!,10,0),0)+IFERROR(VLOOKUP(A571,#REF!,14,0),0)+IFERROR(VLOOKUP(A571,#REF!,10,0),0)+IFERROR(VLOOKUP(A571,#REF!,10,0),0)+IFERROR(VLOOKUP(A571,#REF!,10,0),0)+IFERROR(VLOOKUP(A571,#REF!,9,0),0)+IFERROR(VLOOKUP(A571,#REF!,9,0),0)+IFERROR(VLOOKUP(A571,#REF!,9,0),0)+IFERROR(VLOOKUP(A571,#REF!,9,0),0)</f>
        <v>0</v>
      </c>
      <c r="J571" s="104">
        <f>IFERROR(VLOOKUP(A571,#REF!,16,0),0)+IFERROR(VLOOKUP(A571,#REF!,26,0),0)+IFERROR(VLOOKUP(A571,#REF!,11,0),0)+IFERROR(VLOOKUP(A571,#REF!,23,0),0)+IFERROR(VLOOKUP(A571,#REF!,11,0),0)+IFERROR(VLOOKUP(A571,#REF!,11,0),0)+IFERROR(VLOOKUP(A571,#REF!,11,0),0)</f>
        <v>0</v>
      </c>
      <c r="K571" s="96" t="str">
        <f>"07.02.24"</f>
        <v>07.02.24</v>
      </c>
    </row>
    <row r="572" spans="1:11" ht="11.25" customHeight="1" outlineLevel="1">
      <c r="A572" s="89" t="n">
        <v>7054500</v>
      </c>
      <c r="B572" s="114" t="s">
        <v>601</v>
      </c>
      <c r="C572" s="89" t="s">
        <v>845</v>
      </c>
      <c r="D572" s="89" t="s">
        <v>15</v>
      </c>
      <c r="E572" s="89" t="s">
        <v>720</v>
      </c>
      <c r="F572" s="102" t="n">
        <v>184</v>
      </c>
      <c r="G572" s="102" t="n">
        <v>240</v>
      </c>
      <c r="H572" s="103" t="s">
        <v>17</v>
      </c>
      <c r="I572" s="103">
        <f>IFERROR(VLOOKUP(A572,#REF!,15,0),0)+IFERROR(VLOOKUP(A572,#REF!,25,0),0)+IFERROR(VLOOKUP(A572,#REF!,10,0),0)+IFERROR(VLOOKUP(A572,#REF!,14,0),0)+IFERROR(VLOOKUP(A572,#REF!,10,0),0)+IFERROR(VLOOKUP(A572,#REF!,10,0),0)+IFERROR(VLOOKUP(A572,#REF!,10,0),0)+IFERROR(VLOOKUP(A572,#REF!,9,0),0)+IFERROR(VLOOKUP(A572,#REF!,9,0),0)+IFERROR(VLOOKUP(A572,#REF!,9,0),0)+IFERROR(VLOOKUP(A572,#REF!,9,0),0)</f>
        <v>0</v>
      </c>
      <c r="J572" s="104">
        <f>IFERROR(VLOOKUP(A572,#REF!,16,0),0)+IFERROR(VLOOKUP(A572,#REF!,26,0),0)+IFERROR(VLOOKUP(A572,#REF!,11,0),0)+IFERROR(VLOOKUP(A572,#REF!,23,0),0)+IFERROR(VLOOKUP(A572,#REF!,11,0),0)+IFERROR(VLOOKUP(A572,#REF!,11,0),0)+IFERROR(VLOOKUP(A572,#REF!,11,0),0)</f>
        <v>0</v>
      </c>
      <c r="K572" s="96" t="str">
        <f>"07.02.24"</f>
        <v>07.02.24</v>
      </c>
    </row>
    <row r="573" spans="1:11" ht="11.25" customHeight="1" outlineLevel="1">
      <c r="A573" s="89" t="n">
        <v>7054510</v>
      </c>
      <c r="B573" s="114" t="s">
        <v>601</v>
      </c>
      <c r="C573" s="89" t="s">
        <v>846</v>
      </c>
      <c r="D573" s="89" t="s">
        <v>15</v>
      </c>
      <c r="E573" s="89" t="s">
        <v>720</v>
      </c>
      <c r="F573" s="102" t="n">
        <v>274</v>
      </c>
      <c r="G573" s="102" t="n">
        <v>356</v>
      </c>
      <c r="H573" s="103" t="s">
        <v>17</v>
      </c>
      <c r="I573" s="103">
        <f>IFERROR(VLOOKUP(A573,#REF!,15,0),0)+IFERROR(VLOOKUP(A573,#REF!,25,0),0)+IFERROR(VLOOKUP(A573,#REF!,10,0),0)+IFERROR(VLOOKUP(A573,#REF!,14,0),0)+IFERROR(VLOOKUP(A573,#REF!,10,0),0)+IFERROR(VLOOKUP(A573,#REF!,10,0),0)+IFERROR(VLOOKUP(A573,#REF!,10,0),0)+IFERROR(VLOOKUP(A573,#REF!,9,0),0)+IFERROR(VLOOKUP(A573,#REF!,9,0),0)+IFERROR(VLOOKUP(A573,#REF!,9,0),0)+IFERROR(VLOOKUP(A573,#REF!,9,0),0)</f>
        <v>0</v>
      </c>
      <c r="J573" s="104">
        <f>IFERROR(VLOOKUP(A573,#REF!,16,0),0)+IFERROR(VLOOKUP(A573,#REF!,26,0),0)+IFERROR(VLOOKUP(A573,#REF!,11,0),0)+IFERROR(VLOOKUP(A573,#REF!,23,0),0)+IFERROR(VLOOKUP(A573,#REF!,11,0),0)+IFERROR(VLOOKUP(A573,#REF!,11,0),0)+IFERROR(VLOOKUP(A573,#REF!,11,0),0)</f>
        <v>0</v>
      </c>
      <c r="K573" s="96" t="str">
        <f>"07.02.24"</f>
        <v>07.02.24</v>
      </c>
    </row>
    <row r="574" spans="1:11" ht="11.25" customHeight="1" outlineLevel="1">
      <c r="A574" s="89" t="n">
        <v>12031</v>
      </c>
      <c r="B574" s="114" t="s">
        <v>601</v>
      </c>
      <c r="C574" s="89" t="s">
        <v>847</v>
      </c>
      <c r="D574" s="89" t="s">
        <v>15</v>
      </c>
      <c r="E574" s="89" t="s">
        <v>720</v>
      </c>
      <c r="F574" s="102" t="n">
        <v>371</v>
      </c>
      <c r="G574" s="102" t="n">
        <v>482</v>
      </c>
      <c r="H574" s="103" t="s">
        <v>17</v>
      </c>
      <c r="I574" s="103">
        <f>IFERROR(VLOOKUP(A574,#REF!,15,0),0)+IFERROR(VLOOKUP(A574,#REF!,25,0),0)+IFERROR(VLOOKUP(A574,#REF!,10,0),0)+IFERROR(VLOOKUP(A574,#REF!,14,0),0)+IFERROR(VLOOKUP(A574,#REF!,10,0),0)+IFERROR(VLOOKUP(A574,#REF!,10,0),0)+IFERROR(VLOOKUP(A574,#REF!,10,0),0)+IFERROR(VLOOKUP(A574,#REF!,9,0),0)+IFERROR(VLOOKUP(A574,#REF!,9,0),0)+IFERROR(VLOOKUP(A574,#REF!,9,0),0)+IFERROR(VLOOKUP(A574,#REF!,9,0),0)</f>
        <v>0</v>
      </c>
      <c r="J574" s="104">
        <f>IFERROR(VLOOKUP(A574,#REF!,16,0),0)+IFERROR(VLOOKUP(A574,#REF!,26,0),0)+IFERROR(VLOOKUP(A574,#REF!,11,0),0)+IFERROR(VLOOKUP(A574,#REF!,23,0),0)+IFERROR(VLOOKUP(A574,#REF!,11,0),0)+IFERROR(VLOOKUP(A574,#REF!,11,0),0)+IFERROR(VLOOKUP(A574,#REF!,11,0),0)</f>
        <v>0</v>
      </c>
      <c r="K574" s="96" t="str">
        <f>"07.02.24"</f>
        <v>07.02.24</v>
      </c>
    </row>
    <row r="575" spans="1:11" ht="11.25" customHeight="1" outlineLevel="1">
      <c r="A575" s="89" t="n">
        <v>38904</v>
      </c>
      <c r="B575" s="114" t="s">
        <v>601</v>
      </c>
      <c r="C575" s="89" t="s">
        <v>848</v>
      </c>
      <c r="D575" s="89" t="s">
        <v>15</v>
      </c>
      <c r="E575" s="89" t="s">
        <v>720</v>
      </c>
      <c r="F575" s="102" t="n">
        <v>154</v>
      </c>
      <c r="G575" s="102" t="n">
        <v>200</v>
      </c>
      <c r="H575" s="103" t="s">
        <v>17</v>
      </c>
      <c r="I575" s="103">
        <f>IFERROR(VLOOKUP(A575,#REF!,15,0),0)+IFERROR(VLOOKUP(A575,#REF!,25,0),0)+IFERROR(VLOOKUP(A575,#REF!,10,0),0)+IFERROR(VLOOKUP(A575,#REF!,14,0),0)+IFERROR(VLOOKUP(A575,#REF!,10,0),0)+IFERROR(VLOOKUP(A575,#REF!,10,0),0)+IFERROR(VLOOKUP(A575,#REF!,10,0),0)+IFERROR(VLOOKUP(A575,#REF!,9,0),0)+IFERROR(VLOOKUP(A575,#REF!,9,0),0)+IFERROR(VLOOKUP(A575,#REF!,9,0),0)+IFERROR(VLOOKUP(A575,#REF!,9,0),0)</f>
        <v>0</v>
      </c>
      <c r="J575" s="104">
        <f>IFERROR(VLOOKUP(A575,#REF!,16,0),0)+IFERROR(VLOOKUP(A575,#REF!,26,0),0)+IFERROR(VLOOKUP(A575,#REF!,11,0),0)+IFERROR(VLOOKUP(A575,#REF!,23,0),0)+IFERROR(VLOOKUP(A575,#REF!,11,0),0)+IFERROR(VLOOKUP(A575,#REF!,11,0),0)+IFERROR(VLOOKUP(A575,#REF!,11,0),0)</f>
        <v>0</v>
      </c>
      <c r="K575" s="96" t="str">
        <f>"07.02.24"</f>
        <v>07.02.24</v>
      </c>
    </row>
    <row r="576" spans="1:11" ht="11.25" customHeight="1" outlineLevel="1">
      <c r="A576" s="89" t="n">
        <v>16460</v>
      </c>
      <c r="B576" s="114" t="s">
        <v>601</v>
      </c>
      <c r="C576" s="89" t="s">
        <v>849</v>
      </c>
      <c r="D576" s="89" t="s">
        <v>15</v>
      </c>
      <c r="E576" s="89" t="s">
        <v>720</v>
      </c>
      <c r="F576" s="102" t="n">
        <v>175</v>
      </c>
      <c r="G576" s="102" t="n">
        <v>227</v>
      </c>
      <c r="H576" s="103" t="s">
        <v>17</v>
      </c>
      <c r="I576" s="103">
        <f>IFERROR(VLOOKUP(A576,#REF!,15,0),0)+IFERROR(VLOOKUP(A576,#REF!,25,0),0)+IFERROR(VLOOKUP(A576,#REF!,10,0),0)+IFERROR(VLOOKUP(A576,#REF!,14,0),0)+IFERROR(VLOOKUP(A576,#REF!,10,0),0)+IFERROR(VLOOKUP(A576,#REF!,10,0),0)+IFERROR(VLOOKUP(A576,#REF!,10,0),0)+IFERROR(VLOOKUP(A576,#REF!,9,0),0)+IFERROR(VLOOKUP(A576,#REF!,9,0),0)+IFERROR(VLOOKUP(A576,#REF!,9,0),0)+IFERROR(VLOOKUP(A576,#REF!,9,0),0)</f>
        <v>0</v>
      </c>
      <c r="J576" s="104">
        <f>IFERROR(VLOOKUP(A576,#REF!,16,0),0)+IFERROR(VLOOKUP(A576,#REF!,26,0),0)+IFERROR(VLOOKUP(A576,#REF!,11,0),0)+IFERROR(VLOOKUP(A576,#REF!,23,0),0)+IFERROR(VLOOKUP(A576,#REF!,11,0),0)+IFERROR(VLOOKUP(A576,#REF!,11,0),0)+IFERROR(VLOOKUP(A576,#REF!,11,0),0)</f>
        <v>0</v>
      </c>
      <c r="K576" s="96" t="str">
        <f>"07.02.24"</f>
        <v>07.02.24</v>
      </c>
    </row>
    <row r="577" spans="1:11" ht="11.25" customHeight="1" outlineLevel="1">
      <c r="A577" s="89" t="n">
        <v>16461</v>
      </c>
      <c r="B577" s="114" t="s">
        <v>601</v>
      </c>
      <c r="C577" s="89" t="s">
        <v>850</v>
      </c>
      <c r="D577" s="89" t="s">
        <v>15</v>
      </c>
      <c r="E577" s="89" t="s">
        <v>720</v>
      </c>
      <c r="F577" s="102" t="n">
        <v>175</v>
      </c>
      <c r="G577" s="102" t="n">
        <v>227</v>
      </c>
      <c r="H577" s="103" t="s">
        <v>17</v>
      </c>
      <c r="I577" s="103">
        <f>IFERROR(VLOOKUP(A577,#REF!,15,0),0)+IFERROR(VLOOKUP(A577,#REF!,25,0),0)+IFERROR(VLOOKUP(A577,#REF!,10,0),0)+IFERROR(VLOOKUP(A577,#REF!,14,0),0)+IFERROR(VLOOKUP(A577,#REF!,10,0),0)+IFERROR(VLOOKUP(A577,#REF!,10,0),0)+IFERROR(VLOOKUP(A577,#REF!,10,0),0)+IFERROR(VLOOKUP(A577,#REF!,9,0),0)+IFERROR(VLOOKUP(A577,#REF!,9,0),0)+IFERROR(VLOOKUP(A577,#REF!,9,0),0)+IFERROR(VLOOKUP(A577,#REF!,9,0),0)</f>
        <v>0</v>
      </c>
      <c r="J577" s="104">
        <f>IFERROR(VLOOKUP(A577,#REF!,16,0),0)+IFERROR(VLOOKUP(A577,#REF!,26,0),0)+IFERROR(VLOOKUP(A577,#REF!,11,0),0)+IFERROR(VLOOKUP(A577,#REF!,23,0),0)+IFERROR(VLOOKUP(A577,#REF!,11,0),0)+IFERROR(VLOOKUP(A577,#REF!,11,0),0)+IFERROR(VLOOKUP(A577,#REF!,11,0),0)</f>
        <v>0</v>
      </c>
      <c r="K577" s="96" t="str">
        <f>"07.02.24"</f>
        <v>07.02.24</v>
      </c>
    </row>
    <row r="578" spans="1:11" ht="11.25" customHeight="1" outlineLevel="1">
      <c r="A578" s="89" t="n">
        <v>38962</v>
      </c>
      <c r="B578" s="114" t="s">
        <v>601</v>
      </c>
      <c r="C578" s="89" t="s">
        <v>851</v>
      </c>
      <c r="D578" s="89" t="s">
        <v>15</v>
      </c>
      <c r="E578" s="89" t="s">
        <v>720</v>
      </c>
      <c r="F578" s="102" t="n">
        <v>154</v>
      </c>
      <c r="G578" s="102" t="n">
        <v>200</v>
      </c>
      <c r="H578" s="103" t="s">
        <v>17</v>
      </c>
      <c r="I578" s="103">
        <f>IFERROR(VLOOKUP(A578,#REF!,15,0),0)+IFERROR(VLOOKUP(A578,#REF!,25,0),0)+IFERROR(VLOOKUP(A578,#REF!,10,0),0)+IFERROR(VLOOKUP(A578,#REF!,14,0),0)+IFERROR(VLOOKUP(A578,#REF!,10,0),0)+IFERROR(VLOOKUP(A578,#REF!,10,0),0)+IFERROR(VLOOKUP(A578,#REF!,10,0),0)+IFERROR(VLOOKUP(A578,#REF!,9,0),0)+IFERROR(VLOOKUP(A578,#REF!,9,0),0)+IFERROR(VLOOKUP(A578,#REF!,9,0),0)+IFERROR(VLOOKUP(A578,#REF!,9,0),0)</f>
        <v>0</v>
      </c>
      <c r="J578" s="104">
        <f>IFERROR(VLOOKUP(A578,#REF!,16,0),0)+IFERROR(VLOOKUP(A578,#REF!,26,0),0)+IFERROR(VLOOKUP(A578,#REF!,11,0),0)+IFERROR(VLOOKUP(A578,#REF!,23,0),0)+IFERROR(VLOOKUP(A578,#REF!,11,0),0)+IFERROR(VLOOKUP(A578,#REF!,11,0),0)+IFERROR(VLOOKUP(A578,#REF!,11,0),0)</f>
        <v>0</v>
      </c>
      <c r="K578" s="96" t="str">
        <f>"07.02.24"</f>
        <v>07.02.24</v>
      </c>
    </row>
    <row r="579" spans="1:11" ht="11.25" customHeight="1" outlineLevel="1">
      <c r="A579" s="89" t="n">
        <v>16462</v>
      </c>
      <c r="B579" s="114" t="s">
        <v>601</v>
      </c>
      <c r="C579" s="89" t="s">
        <v>852</v>
      </c>
      <c r="D579" s="89" t="s">
        <v>15</v>
      </c>
      <c r="E579" s="89" t="s">
        <v>720</v>
      </c>
      <c r="F579" s="102" t="n">
        <v>177</v>
      </c>
      <c r="G579" s="102" t="n">
        <v>230</v>
      </c>
      <c r="H579" s="103" t="s">
        <v>17</v>
      </c>
      <c r="I579" s="103">
        <f>IFERROR(VLOOKUP(A579,#REF!,15,0),0)+IFERROR(VLOOKUP(A579,#REF!,25,0),0)+IFERROR(VLOOKUP(A579,#REF!,10,0),0)+IFERROR(VLOOKUP(A579,#REF!,14,0),0)+IFERROR(VLOOKUP(A579,#REF!,10,0),0)+IFERROR(VLOOKUP(A579,#REF!,10,0),0)+IFERROR(VLOOKUP(A579,#REF!,10,0),0)+IFERROR(VLOOKUP(A579,#REF!,9,0),0)+IFERROR(VLOOKUP(A579,#REF!,9,0),0)+IFERROR(VLOOKUP(A579,#REF!,9,0),0)+IFERROR(VLOOKUP(A579,#REF!,9,0),0)</f>
        <v>0</v>
      </c>
      <c r="J579" s="104">
        <f>IFERROR(VLOOKUP(A579,#REF!,16,0),0)+IFERROR(VLOOKUP(A579,#REF!,26,0),0)+IFERROR(VLOOKUP(A579,#REF!,11,0),0)+IFERROR(VLOOKUP(A579,#REF!,23,0),0)+IFERROR(VLOOKUP(A579,#REF!,11,0),0)+IFERROR(VLOOKUP(A579,#REF!,11,0),0)+IFERROR(VLOOKUP(A579,#REF!,11,0),0)</f>
        <v>0</v>
      </c>
      <c r="K579" s="96" t="str">
        <f>"07.02.24"</f>
        <v>07.02.24</v>
      </c>
    </row>
    <row r="580" spans="1:11" ht="11.25" customHeight="1" outlineLevel="1">
      <c r="A580" s="89" t="n">
        <v>10074</v>
      </c>
      <c r="B580" s="114" t="s">
        <v>601</v>
      </c>
      <c r="C580" s="89" t="s">
        <v>853</v>
      </c>
      <c r="D580" s="89" t="s">
        <v>15</v>
      </c>
      <c r="E580" s="89" t="s">
        <v>720</v>
      </c>
      <c r="F580" s="102" t="n">
        <v>163</v>
      </c>
      <c r="G580" s="102" t="n">
        <v>212</v>
      </c>
      <c r="H580" s="103" t="s">
        <v>17</v>
      </c>
      <c r="I580" s="103">
        <f>IFERROR(VLOOKUP(A580,#REF!,15,0),0)+IFERROR(VLOOKUP(A580,#REF!,25,0),0)+IFERROR(VLOOKUP(A580,#REF!,10,0),0)+IFERROR(VLOOKUP(A580,#REF!,14,0),0)+IFERROR(VLOOKUP(A580,#REF!,10,0),0)+IFERROR(VLOOKUP(A580,#REF!,10,0),0)+IFERROR(VLOOKUP(A580,#REF!,10,0),0)+IFERROR(VLOOKUP(A580,#REF!,9,0),0)+IFERROR(VLOOKUP(A580,#REF!,9,0),0)+IFERROR(VLOOKUP(A580,#REF!,9,0),0)+IFERROR(VLOOKUP(A580,#REF!,9,0),0)</f>
        <v>0</v>
      </c>
      <c r="J580" s="104">
        <f>IFERROR(VLOOKUP(A580,#REF!,16,0),0)+IFERROR(VLOOKUP(A580,#REF!,26,0),0)+IFERROR(VLOOKUP(A580,#REF!,11,0),0)+IFERROR(VLOOKUP(A580,#REF!,23,0),0)+IFERROR(VLOOKUP(A580,#REF!,11,0),0)+IFERROR(VLOOKUP(A580,#REF!,11,0),0)+IFERROR(VLOOKUP(A580,#REF!,11,0),0)</f>
        <v>0</v>
      </c>
      <c r="K580" s="96" t="str">
        <f>"07.02.24"</f>
        <v>07.02.24</v>
      </c>
    </row>
    <row r="581" spans="1:11" ht="11.25" customHeight="1" outlineLevel="1">
      <c r="A581" s="89" t="n">
        <v>7021570</v>
      </c>
      <c r="B581" s="114" t="s">
        <v>601</v>
      </c>
      <c r="C581" s="89" t="s">
        <v>854</v>
      </c>
      <c r="D581" s="89" t="s">
        <v>15</v>
      </c>
      <c r="E581" s="89"/>
      <c r="F581" s="102" t="n">
        <v>115</v>
      </c>
      <c r="G581" s="102" t="n">
        <v>150</v>
      </c>
      <c r="H581" s="103" t="s">
        <v>17</v>
      </c>
      <c r="I581" s="103">
        <f>IFERROR(VLOOKUP(A581,#REF!,15,0),0)+IFERROR(VLOOKUP(A581,#REF!,25,0),0)+IFERROR(VLOOKUP(A581,#REF!,10,0),0)+IFERROR(VLOOKUP(A581,#REF!,14,0),0)+IFERROR(VLOOKUP(A581,#REF!,10,0),0)+IFERROR(VLOOKUP(A581,#REF!,10,0),0)+IFERROR(VLOOKUP(A581,#REF!,10,0),0)+IFERROR(VLOOKUP(A581,#REF!,9,0),0)+IFERROR(VLOOKUP(A581,#REF!,9,0),0)+IFERROR(VLOOKUP(A581,#REF!,9,0),0)+IFERROR(VLOOKUP(A581,#REF!,9,0),0)</f>
        <v>0</v>
      </c>
      <c r="J581" s="104">
        <f>IFERROR(VLOOKUP(A581,#REF!,16,0),0)+IFERROR(VLOOKUP(A581,#REF!,26,0),0)+IFERROR(VLOOKUP(A581,#REF!,11,0),0)+IFERROR(VLOOKUP(A581,#REF!,23,0),0)+IFERROR(VLOOKUP(A581,#REF!,11,0),0)+IFERROR(VLOOKUP(A581,#REF!,11,0),0)+IFERROR(VLOOKUP(A581,#REF!,11,0),0)</f>
        <v>0</v>
      </c>
      <c r="K581" s="96" t="str">
        <f>"07.02.24"</f>
        <v>07.02.24</v>
      </c>
    </row>
    <row r="582" spans="1:11" ht="11.25" customHeight="1" outlineLevel="1">
      <c r="A582" s="89" t="n">
        <v>38866</v>
      </c>
      <c r="B582" s="114" t="s">
        <v>601</v>
      </c>
      <c r="C582" s="89" t="s">
        <v>855</v>
      </c>
      <c r="D582" s="89" t="s">
        <v>15</v>
      </c>
      <c r="E582" s="89" t="s">
        <v>720</v>
      </c>
      <c r="F582" s="102" t="n">
        <v>123</v>
      </c>
      <c r="G582" s="102" t="n">
        <v>160</v>
      </c>
      <c r="H582" s="103" t="s">
        <v>17</v>
      </c>
      <c r="I582" s="103">
        <f>IFERROR(VLOOKUP(A582,#REF!,15,0),0)+IFERROR(VLOOKUP(A582,#REF!,25,0),0)+IFERROR(VLOOKUP(A582,#REF!,10,0),0)+IFERROR(VLOOKUP(A582,#REF!,14,0),0)+IFERROR(VLOOKUP(A582,#REF!,10,0),0)+IFERROR(VLOOKUP(A582,#REF!,10,0),0)+IFERROR(VLOOKUP(A582,#REF!,10,0),0)+IFERROR(VLOOKUP(A582,#REF!,9,0),0)+IFERROR(VLOOKUP(A582,#REF!,9,0),0)+IFERROR(VLOOKUP(A582,#REF!,9,0),0)+IFERROR(VLOOKUP(A582,#REF!,9,0),0)</f>
        <v>0</v>
      </c>
      <c r="J582" s="104">
        <f>IFERROR(VLOOKUP(A582,#REF!,16,0),0)+IFERROR(VLOOKUP(A582,#REF!,26,0),0)+IFERROR(VLOOKUP(A582,#REF!,11,0),0)+IFERROR(VLOOKUP(A582,#REF!,23,0),0)+IFERROR(VLOOKUP(A582,#REF!,11,0),0)+IFERROR(VLOOKUP(A582,#REF!,11,0),0)+IFERROR(VLOOKUP(A582,#REF!,11,0),0)</f>
        <v>0</v>
      </c>
      <c r="K582" s="96" t="str">
        <f>"07.02.24"</f>
        <v>07.02.24</v>
      </c>
    </row>
    <row r="583" spans="1:11" ht="11.25" customHeight="1" outlineLevel="1">
      <c r="A583" s="89" t="n">
        <v>38932</v>
      </c>
      <c r="B583" s="114" t="s">
        <v>601</v>
      </c>
      <c r="C583" s="89" t="s">
        <v>856</v>
      </c>
      <c r="D583" s="89" t="s">
        <v>15</v>
      </c>
      <c r="E583" s="89" t="s">
        <v>720</v>
      </c>
      <c r="F583" s="102" t="n">
        <v>154</v>
      </c>
      <c r="G583" s="102" t="n">
        <v>200</v>
      </c>
      <c r="H583" s="103" t="s">
        <v>17</v>
      </c>
      <c r="I583" s="103">
        <f>IFERROR(VLOOKUP(A583,#REF!,15,0),0)+IFERROR(VLOOKUP(A583,#REF!,25,0),0)+IFERROR(VLOOKUP(A583,#REF!,10,0),0)+IFERROR(VLOOKUP(A583,#REF!,14,0),0)+IFERROR(VLOOKUP(A583,#REF!,10,0),0)+IFERROR(VLOOKUP(A583,#REF!,10,0),0)+IFERROR(VLOOKUP(A583,#REF!,10,0),0)+IFERROR(VLOOKUP(A583,#REF!,9,0),0)+IFERROR(VLOOKUP(A583,#REF!,9,0),0)+IFERROR(VLOOKUP(A583,#REF!,9,0),0)+IFERROR(VLOOKUP(A583,#REF!,9,0),0)</f>
        <v>0</v>
      </c>
      <c r="J583" s="104">
        <f>IFERROR(VLOOKUP(A583,#REF!,16,0),0)+IFERROR(VLOOKUP(A583,#REF!,26,0),0)+IFERROR(VLOOKUP(A583,#REF!,11,0),0)+IFERROR(VLOOKUP(A583,#REF!,23,0),0)+IFERROR(VLOOKUP(A583,#REF!,11,0),0)+IFERROR(VLOOKUP(A583,#REF!,11,0),0)+IFERROR(VLOOKUP(A583,#REF!,11,0),0)</f>
        <v>0</v>
      </c>
      <c r="K583" s="96" t="str">
        <f>"07.02.24"</f>
        <v>07.02.24</v>
      </c>
    </row>
    <row r="584" spans="1:11" ht="11.25" customHeight="1" outlineLevel="1">
      <c r="A584" s="89" t="n">
        <v>10075</v>
      </c>
      <c r="B584" s="114" t="s">
        <v>601</v>
      </c>
      <c r="C584" s="89" t="s">
        <v>857</v>
      </c>
      <c r="D584" s="89" t="s">
        <v>15</v>
      </c>
      <c r="E584" s="89" t="s">
        <v>720</v>
      </c>
      <c r="F584" s="102" t="n">
        <v>163</v>
      </c>
      <c r="G584" s="102" t="n">
        <v>212</v>
      </c>
      <c r="H584" s="103" t="s">
        <v>17</v>
      </c>
      <c r="I584" s="103">
        <f>IFERROR(VLOOKUP(A584,#REF!,15,0),0)+IFERROR(VLOOKUP(A584,#REF!,25,0),0)+IFERROR(VLOOKUP(A584,#REF!,10,0),0)+IFERROR(VLOOKUP(A584,#REF!,14,0),0)+IFERROR(VLOOKUP(A584,#REF!,10,0),0)+IFERROR(VLOOKUP(A584,#REF!,10,0),0)+IFERROR(VLOOKUP(A584,#REF!,10,0),0)+IFERROR(VLOOKUP(A584,#REF!,9,0),0)+IFERROR(VLOOKUP(A584,#REF!,9,0),0)+IFERROR(VLOOKUP(A584,#REF!,9,0),0)+IFERROR(VLOOKUP(A584,#REF!,9,0),0)</f>
        <v>0</v>
      </c>
      <c r="J584" s="104">
        <f>IFERROR(VLOOKUP(A584,#REF!,16,0),0)+IFERROR(VLOOKUP(A584,#REF!,26,0),0)+IFERROR(VLOOKUP(A584,#REF!,11,0),0)+IFERROR(VLOOKUP(A584,#REF!,23,0),0)+IFERROR(VLOOKUP(A584,#REF!,11,0),0)+IFERROR(VLOOKUP(A584,#REF!,11,0),0)+IFERROR(VLOOKUP(A584,#REF!,11,0),0)</f>
        <v>0</v>
      </c>
      <c r="K584" s="96" t="str">
        <f>"07.02.24"</f>
        <v>07.02.24</v>
      </c>
    </row>
    <row r="585" spans="1:11" ht="11.25" customHeight="1" outlineLevel="1">
      <c r="A585" s="89" t="n">
        <v>38965</v>
      </c>
      <c r="B585" s="114" t="s">
        <v>601</v>
      </c>
      <c r="C585" s="89" t="s">
        <v>858</v>
      </c>
      <c r="D585" s="89" t="s">
        <v>15</v>
      </c>
      <c r="E585" s="89" t="s">
        <v>720</v>
      </c>
      <c r="F585" s="102" t="n">
        <v>175</v>
      </c>
      <c r="G585" s="102" t="n">
        <v>227</v>
      </c>
      <c r="H585" s="103" t="s">
        <v>17</v>
      </c>
      <c r="I585" s="103">
        <f>IFERROR(VLOOKUP(A585,#REF!,15,0),0)+IFERROR(VLOOKUP(A585,#REF!,25,0),0)+IFERROR(VLOOKUP(A585,#REF!,10,0),0)+IFERROR(VLOOKUP(A585,#REF!,14,0),0)+IFERROR(VLOOKUP(A585,#REF!,10,0),0)+IFERROR(VLOOKUP(A585,#REF!,10,0),0)+IFERROR(VLOOKUP(A585,#REF!,10,0),0)+IFERROR(VLOOKUP(A585,#REF!,9,0),0)+IFERROR(VLOOKUP(A585,#REF!,9,0),0)+IFERROR(VLOOKUP(A585,#REF!,9,0),0)+IFERROR(VLOOKUP(A585,#REF!,9,0),0)</f>
        <v>0</v>
      </c>
      <c r="J585" s="104">
        <f>IFERROR(VLOOKUP(A585,#REF!,16,0),0)+IFERROR(VLOOKUP(A585,#REF!,26,0),0)+IFERROR(VLOOKUP(A585,#REF!,11,0),0)+IFERROR(VLOOKUP(A585,#REF!,23,0),0)+IFERROR(VLOOKUP(A585,#REF!,11,0),0)+IFERROR(VLOOKUP(A585,#REF!,11,0),0)+IFERROR(VLOOKUP(A585,#REF!,11,0),0)</f>
        <v>0</v>
      </c>
      <c r="K585" s="96" t="str">
        <f>"07.02.24"</f>
        <v>07.02.24</v>
      </c>
    </row>
    <row r="586" spans="1:11" ht="11.25" customHeight="1" outlineLevel="1">
      <c r="A586" s="89" t="n">
        <v>15253</v>
      </c>
      <c r="B586" s="114" t="s">
        <v>601</v>
      </c>
      <c r="C586" s="89" t="s">
        <v>859</v>
      </c>
      <c r="D586" s="89" t="s">
        <v>15</v>
      </c>
      <c r="E586" s="89" t="s">
        <v>720</v>
      </c>
      <c r="F586" s="102" t="n">
        <v>204</v>
      </c>
      <c r="G586" s="102" t="n">
        <v>265</v>
      </c>
      <c r="H586" s="103" t="s">
        <v>17</v>
      </c>
      <c r="I586" s="103">
        <f>IFERROR(VLOOKUP(A586,#REF!,15,0),0)+IFERROR(VLOOKUP(A586,#REF!,25,0),0)+IFERROR(VLOOKUP(A586,#REF!,10,0),0)+IFERROR(VLOOKUP(A586,#REF!,14,0),0)+IFERROR(VLOOKUP(A586,#REF!,10,0),0)+IFERROR(VLOOKUP(A586,#REF!,10,0),0)+IFERROR(VLOOKUP(A586,#REF!,10,0),0)+IFERROR(VLOOKUP(A586,#REF!,9,0),0)+IFERROR(VLOOKUP(A586,#REF!,9,0),0)+IFERROR(VLOOKUP(A586,#REF!,9,0),0)+IFERROR(VLOOKUP(A586,#REF!,9,0),0)</f>
        <v>0</v>
      </c>
      <c r="J586" s="104">
        <f>IFERROR(VLOOKUP(A586,#REF!,16,0),0)+IFERROR(VLOOKUP(A586,#REF!,26,0),0)+IFERROR(VLOOKUP(A586,#REF!,11,0),0)+IFERROR(VLOOKUP(A586,#REF!,23,0),0)+IFERROR(VLOOKUP(A586,#REF!,11,0),0)+IFERROR(VLOOKUP(A586,#REF!,11,0),0)+IFERROR(VLOOKUP(A586,#REF!,11,0),0)</f>
        <v>0</v>
      </c>
      <c r="K586" s="96" t="str">
        <f>"07.02.24"</f>
        <v>07.02.24</v>
      </c>
    </row>
    <row r="587" spans="1:11" ht="11.25" customHeight="1" outlineLevel="1">
      <c r="A587" s="89" t="n">
        <v>15254</v>
      </c>
      <c r="B587" s="114" t="s">
        <v>601</v>
      </c>
      <c r="C587" s="89" t="s">
        <v>860</v>
      </c>
      <c r="D587" s="89" t="s">
        <v>15</v>
      </c>
      <c r="E587" s="89" t="s">
        <v>720</v>
      </c>
      <c r="F587" s="102" t="n">
        <v>204</v>
      </c>
      <c r="G587" s="102" t="n">
        <v>265</v>
      </c>
      <c r="H587" s="103" t="s">
        <v>17</v>
      </c>
      <c r="I587" s="103">
        <f>IFERROR(VLOOKUP(A587,#REF!,15,0),0)+IFERROR(VLOOKUP(A587,#REF!,25,0),0)+IFERROR(VLOOKUP(A587,#REF!,10,0),0)+IFERROR(VLOOKUP(A587,#REF!,14,0),0)+IFERROR(VLOOKUP(A587,#REF!,10,0),0)+IFERROR(VLOOKUP(A587,#REF!,10,0),0)+IFERROR(VLOOKUP(A587,#REF!,10,0),0)+IFERROR(VLOOKUP(A587,#REF!,9,0),0)+IFERROR(VLOOKUP(A587,#REF!,9,0),0)+IFERROR(VLOOKUP(A587,#REF!,9,0),0)+IFERROR(VLOOKUP(A587,#REF!,9,0),0)</f>
        <v>0</v>
      </c>
      <c r="J587" s="104">
        <f>IFERROR(VLOOKUP(A587,#REF!,16,0),0)+IFERROR(VLOOKUP(A587,#REF!,26,0),0)+IFERROR(VLOOKUP(A587,#REF!,11,0),0)+IFERROR(VLOOKUP(A587,#REF!,23,0),0)+IFERROR(VLOOKUP(A587,#REF!,11,0),0)+IFERROR(VLOOKUP(A587,#REF!,11,0),0)+IFERROR(VLOOKUP(A587,#REF!,11,0),0)</f>
        <v>0</v>
      </c>
      <c r="K587" s="96" t="str">
        <f>"07.02.24"</f>
        <v>07.02.24</v>
      </c>
    </row>
    <row r="588" spans="1:11" ht="11.25" customHeight="1" outlineLevel="1">
      <c r="A588" s="89" t="n">
        <v>7021580</v>
      </c>
      <c r="B588" s="114" t="s">
        <v>601</v>
      </c>
      <c r="C588" s="89" t="s">
        <v>861</v>
      </c>
      <c r="D588" s="89" t="s">
        <v>15</v>
      </c>
      <c r="E588" s="89"/>
      <c r="F588" s="102" t="n">
        <v>260</v>
      </c>
      <c r="G588" s="102" t="n">
        <v>337</v>
      </c>
      <c r="H588" s="103" t="s">
        <v>17</v>
      </c>
      <c r="I588" s="103">
        <f>IFERROR(VLOOKUP(A588,#REF!,15,0),0)+IFERROR(VLOOKUP(A588,#REF!,25,0),0)+IFERROR(VLOOKUP(A588,#REF!,10,0),0)+IFERROR(VLOOKUP(A588,#REF!,14,0),0)+IFERROR(VLOOKUP(A588,#REF!,10,0),0)+IFERROR(VLOOKUP(A588,#REF!,10,0),0)+IFERROR(VLOOKUP(A588,#REF!,10,0),0)+IFERROR(VLOOKUP(A588,#REF!,9,0),0)+IFERROR(VLOOKUP(A588,#REF!,9,0),0)+IFERROR(VLOOKUP(A588,#REF!,9,0),0)+IFERROR(VLOOKUP(A588,#REF!,9,0),0)</f>
        <v>0</v>
      </c>
      <c r="J588" s="104">
        <f>IFERROR(VLOOKUP(A588,#REF!,16,0),0)+IFERROR(VLOOKUP(A588,#REF!,26,0),0)+IFERROR(VLOOKUP(A588,#REF!,11,0),0)+IFERROR(VLOOKUP(A588,#REF!,23,0),0)+IFERROR(VLOOKUP(A588,#REF!,11,0),0)+IFERROR(VLOOKUP(A588,#REF!,11,0),0)+IFERROR(VLOOKUP(A588,#REF!,11,0),0)</f>
        <v>0</v>
      </c>
      <c r="K588" s="96" t="str">
        <f>"07.02.24"</f>
        <v>07.02.24</v>
      </c>
    </row>
    <row r="589" spans="1:11" ht="11.25" customHeight="1" outlineLevel="1">
      <c r="A589" s="89" t="n">
        <v>13779</v>
      </c>
      <c r="B589" s="114" t="s">
        <v>601</v>
      </c>
      <c r="C589" s="89" t="s">
        <v>862</v>
      </c>
      <c r="D589" s="89" t="s">
        <v>15</v>
      </c>
      <c r="E589" s="89" t="s">
        <v>720</v>
      </c>
      <c r="F589" s="102" t="n">
        <v>306</v>
      </c>
      <c r="G589" s="102" t="n">
        <v>397</v>
      </c>
      <c r="H589" s="103" t="s">
        <v>17</v>
      </c>
      <c r="I589" s="103">
        <f>IFERROR(VLOOKUP(A589,#REF!,15,0),0)+IFERROR(VLOOKUP(A589,#REF!,25,0),0)+IFERROR(VLOOKUP(A589,#REF!,10,0),0)+IFERROR(VLOOKUP(A589,#REF!,14,0),0)+IFERROR(VLOOKUP(A589,#REF!,10,0),0)+IFERROR(VLOOKUP(A589,#REF!,10,0),0)+IFERROR(VLOOKUP(A589,#REF!,10,0),0)+IFERROR(VLOOKUP(A589,#REF!,9,0),0)+IFERROR(VLOOKUP(A589,#REF!,9,0),0)+IFERROR(VLOOKUP(A589,#REF!,9,0),0)+IFERROR(VLOOKUP(A589,#REF!,9,0),0)</f>
        <v>0</v>
      </c>
      <c r="J589" s="104">
        <f>IFERROR(VLOOKUP(A589,#REF!,16,0),0)+IFERROR(VLOOKUP(A589,#REF!,26,0),0)+IFERROR(VLOOKUP(A589,#REF!,11,0),0)+IFERROR(VLOOKUP(A589,#REF!,23,0),0)+IFERROR(VLOOKUP(A589,#REF!,11,0),0)+IFERROR(VLOOKUP(A589,#REF!,11,0),0)+IFERROR(VLOOKUP(A589,#REF!,11,0),0)</f>
        <v>0</v>
      </c>
      <c r="K589" s="96" t="str">
        <f>"07.02.24"</f>
        <v>07.02.24</v>
      </c>
    </row>
    <row r="590" spans="1:11" ht="11.25" customHeight="1" outlineLevel="1">
      <c r="A590" s="89" t="n">
        <v>38964</v>
      </c>
      <c r="B590" s="114" t="s">
        <v>601</v>
      </c>
      <c r="C590" s="89" t="s">
        <v>863</v>
      </c>
      <c r="D590" s="89" t="s">
        <v>15</v>
      </c>
      <c r="E590" s="89" t="s">
        <v>720</v>
      </c>
      <c r="F590" s="102" t="n">
        <v>154</v>
      </c>
      <c r="G590" s="102" t="n">
        <v>200</v>
      </c>
      <c r="H590" s="103" t="s">
        <v>17</v>
      </c>
      <c r="I590" s="103">
        <f>IFERROR(VLOOKUP(A590,#REF!,15,0),0)+IFERROR(VLOOKUP(A590,#REF!,25,0),0)+IFERROR(VLOOKUP(A590,#REF!,10,0),0)+IFERROR(VLOOKUP(A590,#REF!,14,0),0)+IFERROR(VLOOKUP(A590,#REF!,10,0),0)+IFERROR(VLOOKUP(A590,#REF!,10,0),0)+IFERROR(VLOOKUP(A590,#REF!,10,0),0)+IFERROR(VLOOKUP(A590,#REF!,9,0),0)+IFERROR(VLOOKUP(A590,#REF!,9,0),0)+IFERROR(VLOOKUP(A590,#REF!,9,0),0)+IFERROR(VLOOKUP(A590,#REF!,9,0),0)</f>
        <v>0</v>
      </c>
      <c r="J590" s="104">
        <f>IFERROR(VLOOKUP(A590,#REF!,16,0),0)+IFERROR(VLOOKUP(A590,#REF!,26,0),0)+IFERROR(VLOOKUP(A590,#REF!,11,0),0)+IFERROR(VLOOKUP(A590,#REF!,23,0),0)+IFERROR(VLOOKUP(A590,#REF!,11,0),0)+IFERROR(VLOOKUP(A590,#REF!,11,0),0)+IFERROR(VLOOKUP(A590,#REF!,11,0),0)</f>
        <v>0</v>
      </c>
      <c r="K590" s="96" t="str">
        <f>"07.02.24"</f>
        <v>07.02.24</v>
      </c>
    </row>
    <row r="591" spans="1:11" ht="11.25" customHeight="1" outlineLevel="1">
      <c r="A591" s="89" t="n">
        <v>6854</v>
      </c>
      <c r="B591" s="114" t="s">
        <v>601</v>
      </c>
      <c r="C591" s="89" t="s">
        <v>864</v>
      </c>
      <c r="D591" s="89" t="s">
        <v>15</v>
      </c>
      <c r="E591" s="89" t="s">
        <v>720</v>
      </c>
      <c r="F591" s="102" t="n">
        <v>163</v>
      </c>
      <c r="G591" s="102" t="n">
        <v>212</v>
      </c>
      <c r="H591" s="103" t="s">
        <v>17</v>
      </c>
      <c r="I591" s="103">
        <f>IFERROR(VLOOKUP(A591,#REF!,15,0),0)+IFERROR(VLOOKUP(A591,#REF!,25,0),0)+IFERROR(VLOOKUP(A591,#REF!,10,0),0)+IFERROR(VLOOKUP(A591,#REF!,14,0),0)+IFERROR(VLOOKUP(A591,#REF!,10,0),0)+IFERROR(VLOOKUP(A591,#REF!,10,0),0)+IFERROR(VLOOKUP(A591,#REF!,10,0),0)+IFERROR(VLOOKUP(A591,#REF!,9,0),0)+IFERROR(VLOOKUP(A591,#REF!,9,0),0)+IFERROR(VLOOKUP(A591,#REF!,9,0),0)+IFERROR(VLOOKUP(A591,#REF!,9,0),0)</f>
        <v>0</v>
      </c>
      <c r="J591" s="104">
        <f>IFERROR(VLOOKUP(A591,#REF!,16,0),0)+IFERROR(VLOOKUP(A591,#REF!,26,0),0)+IFERROR(VLOOKUP(A591,#REF!,11,0),0)+IFERROR(VLOOKUP(A591,#REF!,23,0),0)+IFERROR(VLOOKUP(A591,#REF!,11,0),0)+IFERROR(VLOOKUP(A591,#REF!,11,0),0)+IFERROR(VLOOKUP(A591,#REF!,11,0),0)</f>
        <v>0</v>
      </c>
      <c r="K591" s="96" t="str">
        <f>"07.02.24"</f>
        <v>07.02.24</v>
      </c>
    </row>
    <row r="592" spans="1:11" ht="11.25" customHeight="1" outlineLevel="1">
      <c r="A592" s="89" t="n">
        <v>38933</v>
      </c>
      <c r="B592" s="114" t="s">
        <v>601</v>
      </c>
      <c r="C592" s="89" t="s">
        <v>865</v>
      </c>
      <c r="D592" s="89" t="s">
        <v>15</v>
      </c>
      <c r="E592" s="89" t="s">
        <v>720</v>
      </c>
      <c r="F592" s="102" t="n">
        <v>151</v>
      </c>
      <c r="G592" s="102" t="n">
        <v>195</v>
      </c>
      <c r="H592" s="103" t="s">
        <v>17</v>
      </c>
      <c r="I592" s="103">
        <f>IFERROR(VLOOKUP(A592,#REF!,15,0),0)+IFERROR(VLOOKUP(A592,#REF!,25,0),0)+IFERROR(VLOOKUP(A592,#REF!,10,0),0)+IFERROR(VLOOKUP(A592,#REF!,14,0),0)+IFERROR(VLOOKUP(A592,#REF!,10,0),0)+IFERROR(VLOOKUP(A592,#REF!,10,0),0)+IFERROR(VLOOKUP(A592,#REF!,10,0),0)+IFERROR(VLOOKUP(A592,#REF!,9,0),0)+IFERROR(VLOOKUP(A592,#REF!,9,0),0)+IFERROR(VLOOKUP(A592,#REF!,9,0),0)+IFERROR(VLOOKUP(A592,#REF!,9,0),0)</f>
        <v>0</v>
      </c>
      <c r="J592" s="104">
        <f>IFERROR(VLOOKUP(A592,#REF!,16,0),0)+IFERROR(VLOOKUP(A592,#REF!,26,0),0)+IFERROR(VLOOKUP(A592,#REF!,11,0),0)+IFERROR(VLOOKUP(A592,#REF!,23,0),0)+IFERROR(VLOOKUP(A592,#REF!,11,0),0)+IFERROR(VLOOKUP(A592,#REF!,11,0),0)+IFERROR(VLOOKUP(A592,#REF!,11,0),0)</f>
        <v>0</v>
      </c>
      <c r="K592" s="96" t="str">
        <f>"07.02.24"</f>
        <v>07.02.24</v>
      </c>
    </row>
    <row r="593" spans="1:11" ht="11.25" customHeight="1" outlineLevel="1">
      <c r="A593" s="89" t="n">
        <v>38834</v>
      </c>
      <c r="B593" s="114" t="s">
        <v>601</v>
      </c>
      <c r="C593" s="89" t="s">
        <v>866</v>
      </c>
      <c r="D593" s="89" t="s">
        <v>15</v>
      </c>
      <c r="E593" s="89" t="s">
        <v>720</v>
      </c>
      <c r="F593" s="102" t="n">
        <v>166</v>
      </c>
      <c r="G593" s="102" t="n">
        <v>216</v>
      </c>
      <c r="H593" s="103" t="s">
        <v>17</v>
      </c>
      <c r="I593" s="103">
        <f>IFERROR(VLOOKUP(A593,#REF!,15,0),0)+IFERROR(VLOOKUP(A593,#REF!,25,0),0)+IFERROR(VLOOKUP(A593,#REF!,10,0),0)+IFERROR(VLOOKUP(A593,#REF!,14,0),0)+IFERROR(VLOOKUP(A593,#REF!,10,0),0)+IFERROR(VLOOKUP(A593,#REF!,10,0),0)+IFERROR(VLOOKUP(A593,#REF!,10,0),0)+IFERROR(VLOOKUP(A593,#REF!,9,0),0)+IFERROR(VLOOKUP(A593,#REF!,9,0),0)+IFERROR(VLOOKUP(A593,#REF!,9,0),0)+IFERROR(VLOOKUP(A593,#REF!,9,0),0)</f>
        <v>0</v>
      </c>
      <c r="J593" s="104">
        <f>IFERROR(VLOOKUP(A593,#REF!,16,0),0)+IFERROR(VLOOKUP(A593,#REF!,26,0),0)+IFERROR(VLOOKUP(A593,#REF!,11,0),0)+IFERROR(VLOOKUP(A593,#REF!,23,0),0)+IFERROR(VLOOKUP(A593,#REF!,11,0),0)+IFERROR(VLOOKUP(A593,#REF!,11,0),0)+IFERROR(VLOOKUP(A593,#REF!,11,0),0)</f>
        <v>0</v>
      </c>
      <c r="K593" s="96" t="str">
        <f>"07.02.24"</f>
        <v>07.02.24</v>
      </c>
    </row>
    <row r="594" spans="1:11" ht="11.25" customHeight="1" outlineLevel="1">
      <c r="A594" s="89" t="n">
        <v>38911</v>
      </c>
      <c r="B594" s="114" t="s">
        <v>601</v>
      </c>
      <c r="C594" s="89" t="s">
        <v>867</v>
      </c>
      <c r="D594" s="89" t="s">
        <v>15</v>
      </c>
      <c r="E594" s="89" t="s">
        <v>720</v>
      </c>
      <c r="F594" s="102" t="n">
        <v>242</v>
      </c>
      <c r="G594" s="102" t="n">
        <v>315</v>
      </c>
      <c r="H594" s="103" t="s">
        <v>17</v>
      </c>
      <c r="I594" s="103">
        <f>IFERROR(VLOOKUP(A594,#REF!,15,0),0)+IFERROR(VLOOKUP(A594,#REF!,25,0),0)+IFERROR(VLOOKUP(A594,#REF!,10,0),0)+IFERROR(VLOOKUP(A594,#REF!,14,0),0)+IFERROR(VLOOKUP(A594,#REF!,10,0),0)+IFERROR(VLOOKUP(A594,#REF!,10,0),0)+IFERROR(VLOOKUP(A594,#REF!,10,0),0)+IFERROR(VLOOKUP(A594,#REF!,9,0),0)+IFERROR(VLOOKUP(A594,#REF!,9,0),0)+IFERROR(VLOOKUP(A594,#REF!,9,0),0)+IFERROR(VLOOKUP(A594,#REF!,9,0),0)</f>
        <v>0</v>
      </c>
      <c r="J594" s="104">
        <f>IFERROR(VLOOKUP(A594,#REF!,16,0),0)+IFERROR(VLOOKUP(A594,#REF!,26,0),0)+IFERROR(VLOOKUP(A594,#REF!,11,0),0)+IFERROR(VLOOKUP(A594,#REF!,23,0),0)+IFERROR(VLOOKUP(A594,#REF!,11,0),0)+IFERROR(VLOOKUP(A594,#REF!,11,0),0)+IFERROR(VLOOKUP(A594,#REF!,11,0),0)</f>
        <v>0</v>
      </c>
      <c r="K594" s="96" t="str">
        <f>"07.02.24"</f>
        <v>07.02.24</v>
      </c>
    </row>
    <row r="595" spans="1:11" ht="11.25" customHeight="1" outlineLevel="1">
      <c r="A595" s="89" t="n">
        <v>10788</v>
      </c>
      <c r="B595" s="114" t="s">
        <v>601</v>
      </c>
      <c r="C595" s="89" t="s">
        <v>868</v>
      </c>
      <c r="D595" s="89" t="s">
        <v>15</v>
      </c>
      <c r="E595" s="89" t="s">
        <v>720</v>
      </c>
      <c r="F595" s="102" t="n">
        <v>617</v>
      </c>
      <c r="G595" s="102" t="n">
        <v>802</v>
      </c>
      <c r="H595" s="103" t="s">
        <v>48</v>
      </c>
      <c r="I595" s="103">
        <f>IFERROR(VLOOKUP(A595,#REF!,15,0),0)+IFERROR(VLOOKUP(A595,#REF!,25,0),0)+IFERROR(VLOOKUP(A595,#REF!,10,0),0)+IFERROR(VLOOKUP(A595,#REF!,14,0),0)+IFERROR(VLOOKUP(A595,#REF!,10,0),0)+IFERROR(VLOOKUP(A595,#REF!,10,0),0)+IFERROR(VLOOKUP(A595,#REF!,10,0),0)+IFERROR(VLOOKUP(A595,#REF!,9,0),0)+IFERROR(VLOOKUP(A595,#REF!,9,0),0)+IFERROR(VLOOKUP(A595,#REF!,9,0),0)+IFERROR(VLOOKUP(A595,#REF!,9,0),0)</f>
        <v>0</v>
      </c>
      <c r="J595" s="104">
        <f>IFERROR(VLOOKUP(A595,#REF!,16,0),0)+IFERROR(VLOOKUP(A595,#REF!,26,0),0)+IFERROR(VLOOKUP(A595,#REF!,11,0),0)+IFERROR(VLOOKUP(A595,#REF!,23,0),0)+IFERROR(VLOOKUP(A595,#REF!,11,0),0)+IFERROR(VLOOKUP(A595,#REF!,11,0),0)+IFERROR(VLOOKUP(A595,#REF!,11,0),0)</f>
        <v>0</v>
      </c>
      <c r="K595" s="96" t="str">
        <f>"07.02.24"</f>
        <v>07.02.24</v>
      </c>
    </row>
    <row r="596" spans="1:11" ht="11.25" customHeight="1" outlineLevel="1">
      <c r="A596" s="89" t="n">
        <v>38912</v>
      </c>
      <c r="B596" s="114" t="s">
        <v>601</v>
      </c>
      <c r="C596" s="89" t="s">
        <v>869</v>
      </c>
      <c r="D596" s="89" t="s">
        <v>15</v>
      </c>
      <c r="E596" s="89" t="s">
        <v>720</v>
      </c>
      <c r="F596" s="102" t="n">
        <v>261</v>
      </c>
      <c r="G596" s="102" t="n">
        <v>339</v>
      </c>
      <c r="H596" s="103" t="s">
        <v>17</v>
      </c>
      <c r="I596" s="103">
        <f>IFERROR(VLOOKUP(A596,#REF!,15,0),0)+IFERROR(VLOOKUP(A596,#REF!,25,0),0)+IFERROR(VLOOKUP(A596,#REF!,10,0),0)+IFERROR(VLOOKUP(A596,#REF!,14,0),0)+IFERROR(VLOOKUP(A596,#REF!,10,0),0)+IFERROR(VLOOKUP(A596,#REF!,10,0),0)+IFERROR(VLOOKUP(A596,#REF!,10,0),0)+IFERROR(VLOOKUP(A596,#REF!,9,0),0)+IFERROR(VLOOKUP(A596,#REF!,9,0),0)+IFERROR(VLOOKUP(A596,#REF!,9,0),0)+IFERROR(VLOOKUP(A596,#REF!,9,0),0)</f>
        <v>0</v>
      </c>
      <c r="J596" s="104">
        <f>IFERROR(VLOOKUP(A596,#REF!,16,0),0)+IFERROR(VLOOKUP(A596,#REF!,26,0),0)+IFERROR(VLOOKUP(A596,#REF!,11,0),0)+IFERROR(VLOOKUP(A596,#REF!,23,0),0)+IFERROR(VLOOKUP(A596,#REF!,11,0),0)+IFERROR(VLOOKUP(A596,#REF!,11,0),0)+IFERROR(VLOOKUP(A596,#REF!,11,0),0)</f>
        <v>0</v>
      </c>
      <c r="K596" s="96" t="str">
        <f>"07.02.24"</f>
        <v>07.02.24</v>
      </c>
    </row>
    <row r="597" spans="1:11" ht="11.25" customHeight="1" outlineLevel="1">
      <c r="A597" s="89" t="n">
        <v>38909</v>
      </c>
      <c r="B597" s="114" t="s">
        <v>601</v>
      </c>
      <c r="C597" s="89" t="s">
        <v>870</v>
      </c>
      <c r="D597" s="89" t="s">
        <v>15</v>
      </c>
      <c r="E597" s="89" t="s">
        <v>720</v>
      </c>
      <c r="F597" s="102" t="n">
        <v>210</v>
      </c>
      <c r="G597" s="102" t="n">
        <v>273</v>
      </c>
      <c r="H597" s="103" t="s">
        <v>17</v>
      </c>
      <c r="I597" s="103">
        <f>IFERROR(VLOOKUP(A597,#REF!,15,0),0)+IFERROR(VLOOKUP(A597,#REF!,25,0),0)+IFERROR(VLOOKUP(A597,#REF!,10,0),0)+IFERROR(VLOOKUP(A597,#REF!,14,0),0)+IFERROR(VLOOKUP(A597,#REF!,10,0),0)+IFERROR(VLOOKUP(A597,#REF!,10,0),0)+IFERROR(VLOOKUP(A597,#REF!,10,0),0)+IFERROR(VLOOKUP(A597,#REF!,9,0),0)+IFERROR(VLOOKUP(A597,#REF!,9,0),0)+IFERROR(VLOOKUP(A597,#REF!,9,0),0)+IFERROR(VLOOKUP(A597,#REF!,9,0),0)</f>
        <v>0</v>
      </c>
      <c r="J597" s="104">
        <f>IFERROR(VLOOKUP(A597,#REF!,16,0),0)+IFERROR(VLOOKUP(A597,#REF!,26,0),0)+IFERROR(VLOOKUP(A597,#REF!,11,0),0)+IFERROR(VLOOKUP(A597,#REF!,23,0),0)+IFERROR(VLOOKUP(A597,#REF!,11,0),0)+IFERROR(VLOOKUP(A597,#REF!,11,0),0)+IFERROR(VLOOKUP(A597,#REF!,11,0),0)</f>
        <v>0</v>
      </c>
      <c r="K597" s="96" t="str">
        <f>"07.02.24"</f>
        <v>07.02.24</v>
      </c>
    </row>
    <row r="598" spans="1:11" ht="11.25" customHeight="1" outlineLevel="1">
      <c r="A598" s="89" t="n">
        <v>34387</v>
      </c>
      <c r="B598" s="114" t="s">
        <v>601</v>
      </c>
      <c r="C598" s="89" t="s">
        <v>871</v>
      </c>
      <c r="D598" s="89" t="s">
        <v>15</v>
      </c>
      <c r="E598" s="89" t="s">
        <v>720</v>
      </c>
      <c r="F598" s="102" t="n">
        <v>227</v>
      </c>
      <c r="G598" s="102" t="n">
        <v>295</v>
      </c>
      <c r="H598" s="103" t="s">
        <v>48</v>
      </c>
      <c r="I598" s="103">
        <f>IFERROR(VLOOKUP(A598,#REF!,15,0),0)+IFERROR(VLOOKUP(A598,#REF!,25,0),0)+IFERROR(VLOOKUP(A598,#REF!,10,0),0)+IFERROR(VLOOKUP(A598,#REF!,14,0),0)+IFERROR(VLOOKUP(A598,#REF!,10,0),0)+IFERROR(VLOOKUP(A598,#REF!,10,0),0)+IFERROR(VLOOKUP(A598,#REF!,10,0),0)+IFERROR(VLOOKUP(A598,#REF!,9,0),0)+IFERROR(VLOOKUP(A598,#REF!,9,0),0)+IFERROR(VLOOKUP(A598,#REF!,9,0),0)+IFERROR(VLOOKUP(A598,#REF!,9,0),0)</f>
        <v>0</v>
      </c>
      <c r="J598" s="104">
        <f>IFERROR(VLOOKUP(A598,#REF!,16,0),0)+IFERROR(VLOOKUP(A598,#REF!,26,0),0)+IFERROR(VLOOKUP(A598,#REF!,11,0),0)+IFERROR(VLOOKUP(A598,#REF!,23,0),0)+IFERROR(VLOOKUP(A598,#REF!,11,0),0)+IFERROR(VLOOKUP(A598,#REF!,11,0),0)+IFERROR(VLOOKUP(A598,#REF!,11,0),0)</f>
        <v>0</v>
      </c>
      <c r="K598" s="96" t="str">
        <f>"07.02.24"</f>
        <v>07.02.24</v>
      </c>
    </row>
    <row r="599" spans="1:11" ht="11.25" customHeight="1" outlineLevel="1">
      <c r="A599" s="89" t="n">
        <v>38910</v>
      </c>
      <c r="B599" s="114" t="s">
        <v>601</v>
      </c>
      <c r="C599" s="89" t="s">
        <v>872</v>
      </c>
      <c r="D599" s="89" t="s">
        <v>15</v>
      </c>
      <c r="E599" s="89" t="s">
        <v>720</v>
      </c>
      <c r="F599" s="102" t="n">
        <v>339</v>
      </c>
      <c r="G599" s="102" t="n">
        <v>441</v>
      </c>
      <c r="H599" s="103" t="s">
        <v>17</v>
      </c>
      <c r="I599" s="103">
        <f>IFERROR(VLOOKUP(A599,#REF!,15,0),0)+IFERROR(VLOOKUP(A599,#REF!,25,0),0)+IFERROR(VLOOKUP(A599,#REF!,10,0),0)+IFERROR(VLOOKUP(A599,#REF!,14,0),0)+IFERROR(VLOOKUP(A599,#REF!,10,0),0)+IFERROR(VLOOKUP(A599,#REF!,10,0),0)+IFERROR(VLOOKUP(A599,#REF!,10,0),0)+IFERROR(VLOOKUP(A599,#REF!,9,0),0)+IFERROR(VLOOKUP(A599,#REF!,9,0),0)+IFERROR(VLOOKUP(A599,#REF!,9,0),0)+IFERROR(VLOOKUP(A599,#REF!,9,0),0)</f>
        <v>0</v>
      </c>
      <c r="J599" s="104">
        <f>IFERROR(VLOOKUP(A599,#REF!,16,0),0)+IFERROR(VLOOKUP(A599,#REF!,26,0),0)+IFERROR(VLOOKUP(A599,#REF!,11,0),0)+IFERROR(VLOOKUP(A599,#REF!,23,0),0)+IFERROR(VLOOKUP(A599,#REF!,11,0),0)+IFERROR(VLOOKUP(A599,#REF!,11,0),0)+IFERROR(VLOOKUP(A599,#REF!,11,0),0)</f>
        <v>0</v>
      </c>
      <c r="K599" s="96" t="str">
        <f>"07.02.24"</f>
        <v>07.02.24</v>
      </c>
    </row>
    <row r="600" spans="1:11" ht="11.25" customHeight="1" outlineLevel="1">
      <c r="A600" s="89" t="n">
        <v>23965</v>
      </c>
      <c r="B600" s="114" t="s">
        <v>601</v>
      </c>
      <c r="C600" s="89" t="s">
        <v>873</v>
      </c>
      <c r="D600" s="89" t="s">
        <v>15</v>
      </c>
      <c r="E600" s="89" t="s">
        <v>720</v>
      </c>
      <c r="F600" s="102" t="n">
        <v>380</v>
      </c>
      <c r="G600" s="102" t="n">
        <v>493</v>
      </c>
      <c r="H600" s="103" t="s">
        <v>48</v>
      </c>
      <c r="I600" s="103">
        <f>IFERROR(VLOOKUP(A600,#REF!,15,0),0)+IFERROR(VLOOKUP(A600,#REF!,25,0),0)+IFERROR(VLOOKUP(A600,#REF!,10,0),0)+IFERROR(VLOOKUP(A600,#REF!,14,0),0)+IFERROR(VLOOKUP(A600,#REF!,10,0),0)+IFERROR(VLOOKUP(A600,#REF!,10,0),0)+IFERROR(VLOOKUP(A600,#REF!,10,0),0)+IFERROR(VLOOKUP(A600,#REF!,9,0),0)+IFERROR(VLOOKUP(A600,#REF!,9,0),0)+IFERROR(VLOOKUP(A600,#REF!,9,0),0)+IFERROR(VLOOKUP(A600,#REF!,9,0),0)</f>
        <v>0</v>
      </c>
      <c r="J600" s="104">
        <f>IFERROR(VLOOKUP(A600,#REF!,16,0),0)+IFERROR(VLOOKUP(A600,#REF!,26,0),0)+IFERROR(VLOOKUP(A600,#REF!,11,0),0)+IFERROR(VLOOKUP(A600,#REF!,23,0),0)+IFERROR(VLOOKUP(A600,#REF!,11,0),0)+IFERROR(VLOOKUP(A600,#REF!,11,0),0)+IFERROR(VLOOKUP(A600,#REF!,11,0),0)</f>
        <v>0</v>
      </c>
      <c r="K600" s="96" t="str">
        <f>"07.02.24"</f>
        <v>07.02.24</v>
      </c>
    </row>
    <row r="601" spans="1:11" ht="11.25" customHeight="1" outlineLevel="1">
      <c r="A601" s="89" t="n">
        <v>34388</v>
      </c>
      <c r="B601" s="114" t="s">
        <v>601</v>
      </c>
      <c r="C601" s="89" t="s">
        <v>874</v>
      </c>
      <c r="D601" s="89" t="s">
        <v>15</v>
      </c>
      <c r="E601" s="89" t="s">
        <v>720</v>
      </c>
      <c r="F601" s="102" t="n">
        <v>1070</v>
      </c>
      <c r="G601" s="102" t="n">
        <v>1390</v>
      </c>
      <c r="H601" s="103" t="s">
        <v>17</v>
      </c>
      <c r="I601" s="103">
        <f>IFERROR(VLOOKUP(A601,#REF!,15,0),0)+IFERROR(VLOOKUP(A601,#REF!,25,0),0)+IFERROR(VLOOKUP(A601,#REF!,10,0),0)+IFERROR(VLOOKUP(A601,#REF!,14,0),0)+IFERROR(VLOOKUP(A601,#REF!,10,0),0)+IFERROR(VLOOKUP(A601,#REF!,10,0),0)+IFERROR(VLOOKUP(A601,#REF!,10,0),0)+IFERROR(VLOOKUP(A601,#REF!,9,0),0)+IFERROR(VLOOKUP(A601,#REF!,9,0),0)+IFERROR(VLOOKUP(A601,#REF!,9,0),0)+IFERROR(VLOOKUP(A601,#REF!,9,0),0)</f>
        <v>0</v>
      </c>
      <c r="J601" s="104">
        <f>IFERROR(VLOOKUP(A601,#REF!,16,0),0)+IFERROR(VLOOKUP(A601,#REF!,26,0),0)+IFERROR(VLOOKUP(A601,#REF!,11,0),0)+IFERROR(VLOOKUP(A601,#REF!,23,0),0)+IFERROR(VLOOKUP(A601,#REF!,11,0),0)+IFERROR(VLOOKUP(A601,#REF!,11,0),0)+IFERROR(VLOOKUP(A601,#REF!,11,0),0)</f>
        <v>0</v>
      </c>
      <c r="K601" s="96" t="str">
        <f>"07.02.24"</f>
        <v>07.02.24</v>
      </c>
    </row>
    <row r="602" spans="1:11" ht="11.25" customHeight="1" outlineLevel="1">
      <c r="A602" s="89" t="n">
        <v>38908</v>
      </c>
      <c r="B602" s="114" t="s">
        <v>601</v>
      </c>
      <c r="C602" s="89" t="s">
        <v>875</v>
      </c>
      <c r="D602" s="89" t="s">
        <v>15</v>
      </c>
      <c r="E602" s="89" t="s">
        <v>720</v>
      </c>
      <c r="F602" s="102" t="n">
        <v>318</v>
      </c>
      <c r="G602" s="102" t="n">
        <v>413</v>
      </c>
      <c r="H602" s="103" t="s">
        <v>17</v>
      </c>
      <c r="I602" s="103">
        <f>IFERROR(VLOOKUP(A602,#REF!,15,0),0)+IFERROR(VLOOKUP(A602,#REF!,25,0),0)+IFERROR(VLOOKUP(A602,#REF!,10,0),0)+IFERROR(VLOOKUP(A602,#REF!,14,0),0)+IFERROR(VLOOKUP(A602,#REF!,10,0),0)+IFERROR(VLOOKUP(A602,#REF!,10,0),0)+IFERROR(VLOOKUP(A602,#REF!,10,0),0)+IFERROR(VLOOKUP(A602,#REF!,9,0),0)+IFERROR(VLOOKUP(A602,#REF!,9,0),0)+IFERROR(VLOOKUP(A602,#REF!,9,0),0)+IFERROR(VLOOKUP(A602,#REF!,9,0),0)</f>
        <v>0</v>
      </c>
      <c r="J602" s="104">
        <f>IFERROR(VLOOKUP(A602,#REF!,16,0),0)+IFERROR(VLOOKUP(A602,#REF!,26,0),0)+IFERROR(VLOOKUP(A602,#REF!,11,0),0)+IFERROR(VLOOKUP(A602,#REF!,23,0),0)+IFERROR(VLOOKUP(A602,#REF!,11,0),0)+IFERROR(VLOOKUP(A602,#REF!,11,0),0)+IFERROR(VLOOKUP(A602,#REF!,11,0),0)</f>
        <v>0</v>
      </c>
      <c r="K602" s="96" t="str">
        <f>"07.02.24"</f>
        <v>07.02.24</v>
      </c>
    </row>
    <row r="603" spans="1:11" ht="11.25" customHeight="1" outlineLevel="1">
      <c r="A603" s="89" t="n">
        <v>23967</v>
      </c>
      <c r="B603" s="114" t="s">
        <v>601</v>
      </c>
      <c r="C603" s="89" t="s">
        <v>876</v>
      </c>
      <c r="D603" s="89" t="s">
        <v>15</v>
      </c>
      <c r="E603" s="89" t="s">
        <v>720</v>
      </c>
      <c r="F603" s="102" t="n">
        <v>380</v>
      </c>
      <c r="G603" s="102" t="n">
        <v>493</v>
      </c>
      <c r="H603" s="103" t="s">
        <v>48</v>
      </c>
      <c r="I603" s="103">
        <f>IFERROR(VLOOKUP(A603,#REF!,15,0),0)+IFERROR(VLOOKUP(A603,#REF!,25,0),0)+IFERROR(VLOOKUP(A603,#REF!,10,0),0)+IFERROR(VLOOKUP(A603,#REF!,14,0),0)+IFERROR(VLOOKUP(A603,#REF!,10,0),0)+IFERROR(VLOOKUP(A603,#REF!,10,0),0)+IFERROR(VLOOKUP(A603,#REF!,10,0),0)+IFERROR(VLOOKUP(A603,#REF!,9,0),0)+IFERROR(VLOOKUP(A603,#REF!,9,0),0)+IFERROR(VLOOKUP(A603,#REF!,9,0),0)+IFERROR(VLOOKUP(A603,#REF!,9,0),0)</f>
        <v>0</v>
      </c>
      <c r="J603" s="104">
        <f>IFERROR(VLOOKUP(A603,#REF!,16,0),0)+IFERROR(VLOOKUP(A603,#REF!,26,0),0)+IFERROR(VLOOKUP(A603,#REF!,11,0),0)+IFERROR(VLOOKUP(A603,#REF!,23,0),0)+IFERROR(VLOOKUP(A603,#REF!,11,0),0)+IFERROR(VLOOKUP(A603,#REF!,11,0),0)+IFERROR(VLOOKUP(A603,#REF!,11,0),0)</f>
        <v>0</v>
      </c>
      <c r="K603" s="96" t="str">
        <f>"07.02.24"</f>
        <v>07.02.24</v>
      </c>
    </row>
    <row r="604" spans="1:11" ht="11.25" customHeight="1" outlineLevel="1">
      <c r="A604" s="89" t="n">
        <v>23968</v>
      </c>
      <c r="B604" s="114" t="s">
        <v>601</v>
      </c>
      <c r="C604" s="89" t="s">
        <v>877</v>
      </c>
      <c r="D604" s="89" t="s">
        <v>15</v>
      </c>
      <c r="E604" s="89" t="s">
        <v>720</v>
      </c>
      <c r="F604" s="102" t="n">
        <v>732</v>
      </c>
      <c r="G604" s="102" t="n">
        <v>952</v>
      </c>
      <c r="H604" s="103" t="s">
        <v>48</v>
      </c>
      <c r="I604" s="103">
        <f>IFERROR(VLOOKUP(A604,#REF!,15,0),0)+IFERROR(VLOOKUP(A604,#REF!,25,0),0)+IFERROR(VLOOKUP(A604,#REF!,10,0),0)+IFERROR(VLOOKUP(A604,#REF!,14,0),0)+IFERROR(VLOOKUP(A604,#REF!,10,0),0)+IFERROR(VLOOKUP(A604,#REF!,10,0),0)+IFERROR(VLOOKUP(A604,#REF!,10,0),0)+IFERROR(VLOOKUP(A604,#REF!,9,0),0)+IFERROR(VLOOKUP(A604,#REF!,9,0),0)+IFERROR(VLOOKUP(A604,#REF!,9,0),0)+IFERROR(VLOOKUP(A604,#REF!,9,0),0)</f>
        <v>0</v>
      </c>
      <c r="J604" s="104">
        <f>IFERROR(VLOOKUP(A604,#REF!,16,0),0)+IFERROR(VLOOKUP(A604,#REF!,26,0),0)+IFERROR(VLOOKUP(A604,#REF!,11,0),0)+IFERROR(VLOOKUP(A604,#REF!,23,0),0)+IFERROR(VLOOKUP(A604,#REF!,11,0),0)+IFERROR(VLOOKUP(A604,#REF!,11,0),0)+IFERROR(VLOOKUP(A604,#REF!,11,0),0)</f>
        <v>0</v>
      </c>
      <c r="K604" s="96" t="str">
        <f>"07.02.24"</f>
        <v>07.02.24</v>
      </c>
    </row>
    <row r="605" spans="1:11" ht="11.25" customHeight="1" outlineLevel="1">
      <c r="A605" s="89" t="n">
        <v>28169</v>
      </c>
      <c r="B605" s="114" t="s">
        <v>601</v>
      </c>
      <c r="C605" s="89" t="s">
        <v>878</v>
      </c>
      <c r="D605" s="89" t="s">
        <v>15</v>
      </c>
      <c r="E605" s="89" t="s">
        <v>720</v>
      </c>
      <c r="F605" s="102" t="n">
        <v>538</v>
      </c>
      <c r="G605" s="102" t="n">
        <v>700</v>
      </c>
      <c r="H605" s="103" t="s">
        <v>48</v>
      </c>
      <c r="I605" s="103">
        <f>IFERROR(VLOOKUP(A605,#REF!,15,0),0)+IFERROR(VLOOKUP(A605,#REF!,25,0),0)+IFERROR(VLOOKUP(A605,#REF!,10,0),0)+IFERROR(VLOOKUP(A605,#REF!,14,0),0)+IFERROR(VLOOKUP(A605,#REF!,10,0),0)+IFERROR(VLOOKUP(A605,#REF!,10,0),0)+IFERROR(VLOOKUP(A605,#REF!,10,0),0)+IFERROR(VLOOKUP(A605,#REF!,9,0),0)+IFERROR(VLOOKUP(A605,#REF!,9,0),0)+IFERROR(VLOOKUP(A605,#REF!,9,0),0)+IFERROR(VLOOKUP(A605,#REF!,9,0),0)</f>
        <v>0</v>
      </c>
      <c r="J605" s="104">
        <f>IFERROR(VLOOKUP(A605,#REF!,16,0),0)+IFERROR(VLOOKUP(A605,#REF!,26,0),0)+IFERROR(VLOOKUP(A605,#REF!,11,0),0)+IFERROR(VLOOKUP(A605,#REF!,23,0),0)+IFERROR(VLOOKUP(A605,#REF!,11,0),0)+IFERROR(VLOOKUP(A605,#REF!,11,0),0)+IFERROR(VLOOKUP(A605,#REF!,11,0),0)</f>
        <v>0</v>
      </c>
      <c r="K605" s="96" t="str">
        <f>"07.02.24"</f>
        <v>07.02.24</v>
      </c>
    </row>
    <row r="606" spans="1:11" ht="11.25" customHeight="1" outlineLevel="1">
      <c r="A606" s="89" t="n">
        <v>34390</v>
      </c>
      <c r="B606" s="114" t="s">
        <v>601</v>
      </c>
      <c r="C606" s="89" t="s">
        <v>879</v>
      </c>
      <c r="D606" s="89" t="s">
        <v>15</v>
      </c>
      <c r="E606" s="89" t="s">
        <v>720</v>
      </c>
      <c r="F606" s="102" t="n">
        <v>694</v>
      </c>
      <c r="G606" s="102" t="n">
        <v>903</v>
      </c>
      <c r="H606" s="103" t="s">
        <v>48</v>
      </c>
      <c r="I606" s="103">
        <f>IFERROR(VLOOKUP(A606,#REF!,15,0),0)+IFERROR(VLOOKUP(A606,#REF!,25,0),0)+IFERROR(VLOOKUP(A606,#REF!,10,0),0)+IFERROR(VLOOKUP(A606,#REF!,14,0),0)+IFERROR(VLOOKUP(A606,#REF!,10,0),0)+IFERROR(VLOOKUP(A606,#REF!,10,0),0)+IFERROR(VLOOKUP(A606,#REF!,10,0),0)+IFERROR(VLOOKUP(A606,#REF!,9,0),0)+IFERROR(VLOOKUP(A606,#REF!,9,0),0)+IFERROR(VLOOKUP(A606,#REF!,9,0),0)+IFERROR(VLOOKUP(A606,#REF!,9,0),0)</f>
        <v>0</v>
      </c>
      <c r="J606" s="104">
        <f>IFERROR(VLOOKUP(A606,#REF!,16,0),0)+IFERROR(VLOOKUP(A606,#REF!,26,0),0)+IFERROR(VLOOKUP(A606,#REF!,11,0),0)+IFERROR(VLOOKUP(A606,#REF!,23,0),0)+IFERROR(VLOOKUP(A606,#REF!,11,0),0)+IFERROR(VLOOKUP(A606,#REF!,11,0),0)+IFERROR(VLOOKUP(A606,#REF!,11,0),0)</f>
        <v>0</v>
      </c>
      <c r="K606" s="96" t="str">
        <f>"07.02.24"</f>
        <v>07.02.24</v>
      </c>
    </row>
    <row r="607" spans="1:11" ht="11.25" customHeight="1" outlineLevel="1">
      <c r="A607" s="89" t="n">
        <v>593040</v>
      </c>
      <c r="B607" s="114" t="s">
        <v>601</v>
      </c>
      <c r="C607" s="89" t="s">
        <v>880</v>
      </c>
      <c r="D607" s="89" t="s">
        <v>15</v>
      </c>
      <c r="E607" s="89" t="s">
        <v>720</v>
      </c>
      <c r="F607" s="102" t="n">
        <v>239</v>
      </c>
      <c r="G607" s="102" t="n">
        <v>311</v>
      </c>
      <c r="H607" s="103" t="s">
        <v>17</v>
      </c>
      <c r="I607" s="103">
        <f>IFERROR(VLOOKUP(A607,#REF!,15,0),0)+IFERROR(VLOOKUP(A607,#REF!,25,0),0)+IFERROR(VLOOKUP(A607,#REF!,10,0),0)+IFERROR(VLOOKUP(A607,#REF!,14,0),0)+IFERROR(VLOOKUP(A607,#REF!,10,0),0)+IFERROR(VLOOKUP(A607,#REF!,10,0),0)+IFERROR(VLOOKUP(A607,#REF!,10,0),0)+IFERROR(VLOOKUP(A607,#REF!,9,0),0)+IFERROR(VLOOKUP(A607,#REF!,9,0),0)+IFERROR(VLOOKUP(A607,#REF!,9,0),0)+IFERROR(VLOOKUP(A607,#REF!,9,0),0)</f>
        <v>0</v>
      </c>
      <c r="J607" s="104">
        <f>IFERROR(VLOOKUP(A607,#REF!,16,0),0)+IFERROR(VLOOKUP(A607,#REF!,26,0),0)+IFERROR(VLOOKUP(A607,#REF!,11,0),0)+IFERROR(VLOOKUP(A607,#REF!,23,0),0)+IFERROR(VLOOKUP(A607,#REF!,11,0),0)+IFERROR(VLOOKUP(A607,#REF!,11,0),0)+IFERROR(VLOOKUP(A607,#REF!,11,0),0)</f>
        <v>0</v>
      </c>
      <c r="K607" s="96" t="str">
        <f>"07.02.24"</f>
        <v>07.02.24</v>
      </c>
    </row>
    <row r="608" spans="1:11" ht="11.25" customHeight="1" outlineLevel="1">
      <c r="A608" s="89" t="n">
        <v>38874</v>
      </c>
      <c r="B608" s="114" t="s">
        <v>601</v>
      </c>
      <c r="C608" s="89" t="s">
        <v>881</v>
      </c>
      <c r="D608" s="89" t="s">
        <v>15</v>
      </c>
      <c r="E608" s="89" t="s">
        <v>720</v>
      </c>
      <c r="F608" s="102" t="n">
        <v>280</v>
      </c>
      <c r="G608" s="102" t="n">
        <v>365</v>
      </c>
      <c r="H608" s="103" t="s">
        <v>17</v>
      </c>
      <c r="I608" s="103">
        <f>IFERROR(VLOOKUP(A608,#REF!,15,0),0)+IFERROR(VLOOKUP(A608,#REF!,25,0),0)+IFERROR(VLOOKUP(A608,#REF!,10,0),0)+IFERROR(VLOOKUP(A608,#REF!,14,0),0)+IFERROR(VLOOKUP(A608,#REF!,10,0),0)+IFERROR(VLOOKUP(A608,#REF!,10,0),0)+IFERROR(VLOOKUP(A608,#REF!,10,0),0)+IFERROR(VLOOKUP(A608,#REF!,9,0),0)+IFERROR(VLOOKUP(A608,#REF!,9,0),0)+IFERROR(VLOOKUP(A608,#REF!,9,0),0)+IFERROR(VLOOKUP(A608,#REF!,9,0),0)</f>
        <v>0</v>
      </c>
      <c r="J608" s="104">
        <f>IFERROR(VLOOKUP(A608,#REF!,16,0),0)+IFERROR(VLOOKUP(A608,#REF!,26,0),0)+IFERROR(VLOOKUP(A608,#REF!,11,0),0)+IFERROR(VLOOKUP(A608,#REF!,23,0),0)+IFERROR(VLOOKUP(A608,#REF!,11,0),0)+IFERROR(VLOOKUP(A608,#REF!,11,0),0)+IFERROR(VLOOKUP(A608,#REF!,11,0),0)</f>
        <v>0</v>
      </c>
      <c r="K608" s="96" t="str">
        <f>"07.02.24"</f>
        <v>07.02.24</v>
      </c>
    </row>
    <row r="609" spans="1:11" ht="11.25" customHeight="1" outlineLevel="1">
      <c r="A609" s="89" t="n">
        <v>27821</v>
      </c>
      <c r="B609" s="114" t="s">
        <v>601</v>
      </c>
      <c r="C609" s="89" t="s">
        <v>882</v>
      </c>
      <c r="D609" s="89" t="s">
        <v>15</v>
      </c>
      <c r="E609" s="89" t="s">
        <v>720</v>
      </c>
      <c r="F609" s="102" t="n">
        <v>371</v>
      </c>
      <c r="G609" s="102" t="n">
        <v>482</v>
      </c>
      <c r="H609" s="103" t="s">
        <v>17</v>
      </c>
      <c r="I609" s="103">
        <f>IFERROR(VLOOKUP(A609,#REF!,15,0),0)+IFERROR(VLOOKUP(A609,#REF!,25,0),0)+IFERROR(VLOOKUP(A609,#REF!,10,0),0)+IFERROR(VLOOKUP(A609,#REF!,14,0),0)+IFERROR(VLOOKUP(A609,#REF!,10,0),0)+IFERROR(VLOOKUP(A609,#REF!,10,0),0)+IFERROR(VLOOKUP(A609,#REF!,10,0),0)+IFERROR(VLOOKUP(A609,#REF!,9,0),0)+IFERROR(VLOOKUP(A609,#REF!,9,0),0)+IFERROR(VLOOKUP(A609,#REF!,9,0),0)+IFERROR(VLOOKUP(A609,#REF!,9,0),0)</f>
        <v>0</v>
      </c>
      <c r="J609" s="104">
        <f>IFERROR(VLOOKUP(A609,#REF!,16,0),0)+IFERROR(VLOOKUP(A609,#REF!,26,0),0)+IFERROR(VLOOKUP(A609,#REF!,11,0),0)+IFERROR(VLOOKUP(A609,#REF!,23,0),0)+IFERROR(VLOOKUP(A609,#REF!,11,0),0)+IFERROR(VLOOKUP(A609,#REF!,11,0),0)+IFERROR(VLOOKUP(A609,#REF!,11,0),0)</f>
        <v>0</v>
      </c>
      <c r="K609" s="96" t="str">
        <f>"07.02.24"</f>
        <v>07.02.24</v>
      </c>
    </row>
    <row r="610" spans="1:11" ht="11.25" customHeight="1" outlineLevel="1">
      <c r="A610" s="89" t="n">
        <v>27824</v>
      </c>
      <c r="B610" s="114" t="s">
        <v>601</v>
      </c>
      <c r="C610" s="89" t="s">
        <v>883</v>
      </c>
      <c r="D610" s="89" t="s">
        <v>15</v>
      </c>
      <c r="E610" s="89" t="s">
        <v>720</v>
      </c>
      <c r="F610" s="102" t="n">
        <v>511</v>
      </c>
      <c r="G610" s="102" t="n">
        <v>664</v>
      </c>
      <c r="H610" s="103" t="s">
        <v>17</v>
      </c>
      <c r="I610" s="103">
        <f>IFERROR(VLOOKUP(A610,#REF!,15,0),0)+IFERROR(VLOOKUP(A610,#REF!,25,0),0)+IFERROR(VLOOKUP(A610,#REF!,10,0),0)+IFERROR(VLOOKUP(A610,#REF!,14,0),0)+IFERROR(VLOOKUP(A610,#REF!,10,0),0)+IFERROR(VLOOKUP(A610,#REF!,10,0),0)+IFERROR(VLOOKUP(A610,#REF!,10,0),0)+IFERROR(VLOOKUP(A610,#REF!,9,0),0)+IFERROR(VLOOKUP(A610,#REF!,9,0),0)+IFERROR(VLOOKUP(A610,#REF!,9,0),0)+IFERROR(VLOOKUP(A610,#REF!,9,0),0)</f>
        <v>0</v>
      </c>
      <c r="J610" s="104">
        <f>IFERROR(VLOOKUP(A610,#REF!,16,0),0)+IFERROR(VLOOKUP(A610,#REF!,26,0),0)+IFERROR(VLOOKUP(A610,#REF!,11,0),0)+IFERROR(VLOOKUP(A610,#REF!,23,0),0)+IFERROR(VLOOKUP(A610,#REF!,11,0),0)+IFERROR(VLOOKUP(A610,#REF!,11,0),0)+IFERROR(VLOOKUP(A610,#REF!,11,0),0)</f>
        <v>0</v>
      </c>
      <c r="K610" s="96" t="str">
        <f>"07.02.24"</f>
        <v>07.02.24</v>
      </c>
    </row>
    <row r="611" spans="1:11" ht="11.25" customHeight="1" outlineLevel="1">
      <c r="A611" s="89" t="n">
        <v>28170</v>
      </c>
      <c r="B611" s="114" t="s">
        <v>601</v>
      </c>
      <c r="C611" s="89" t="s">
        <v>884</v>
      </c>
      <c r="D611" s="89" t="s">
        <v>15</v>
      </c>
      <c r="E611" s="89" t="s">
        <v>720</v>
      </c>
      <c r="F611" s="102" t="n">
        <v>327</v>
      </c>
      <c r="G611" s="102" t="n">
        <v>426</v>
      </c>
      <c r="H611" s="103" t="s">
        <v>48</v>
      </c>
      <c r="I611" s="103">
        <f>IFERROR(VLOOKUP(A611,#REF!,15,0),0)+IFERROR(VLOOKUP(A611,#REF!,25,0),0)+IFERROR(VLOOKUP(A611,#REF!,10,0),0)+IFERROR(VLOOKUP(A611,#REF!,14,0),0)+IFERROR(VLOOKUP(A611,#REF!,10,0),0)+IFERROR(VLOOKUP(A611,#REF!,10,0),0)+IFERROR(VLOOKUP(A611,#REF!,10,0),0)+IFERROR(VLOOKUP(A611,#REF!,9,0),0)+IFERROR(VLOOKUP(A611,#REF!,9,0),0)+IFERROR(VLOOKUP(A611,#REF!,9,0),0)+IFERROR(VLOOKUP(A611,#REF!,9,0),0)</f>
        <v>0</v>
      </c>
      <c r="J611" s="104">
        <f>IFERROR(VLOOKUP(A611,#REF!,16,0),0)+IFERROR(VLOOKUP(A611,#REF!,26,0),0)+IFERROR(VLOOKUP(A611,#REF!,11,0),0)+IFERROR(VLOOKUP(A611,#REF!,23,0),0)+IFERROR(VLOOKUP(A611,#REF!,11,0),0)+IFERROR(VLOOKUP(A611,#REF!,11,0),0)+IFERROR(VLOOKUP(A611,#REF!,11,0),0)</f>
        <v>0</v>
      </c>
      <c r="K611" s="96" t="str">
        <f>"07.02.24"</f>
        <v>07.02.24</v>
      </c>
    </row>
    <row r="612" spans="1:11" ht="11.25" customHeight="1" outlineLevel="1">
      <c r="A612" s="89" t="n">
        <v>593010</v>
      </c>
      <c r="B612" s="114" t="s">
        <v>601</v>
      </c>
      <c r="C612" s="89" t="s">
        <v>885</v>
      </c>
      <c r="D612" s="89" t="s">
        <v>15</v>
      </c>
      <c r="E612" s="89" t="s">
        <v>720</v>
      </c>
      <c r="F612" s="102" t="n">
        <v>465</v>
      </c>
      <c r="G612" s="102" t="n">
        <v>605</v>
      </c>
      <c r="H612" s="103" t="s">
        <v>17</v>
      </c>
      <c r="I612" s="103">
        <f>IFERROR(VLOOKUP(A612,#REF!,15,0),0)+IFERROR(VLOOKUP(A612,#REF!,25,0),0)+IFERROR(VLOOKUP(A612,#REF!,10,0),0)+IFERROR(VLOOKUP(A612,#REF!,14,0),0)+IFERROR(VLOOKUP(A612,#REF!,10,0),0)+IFERROR(VLOOKUP(A612,#REF!,10,0),0)+IFERROR(VLOOKUP(A612,#REF!,10,0),0)+IFERROR(VLOOKUP(A612,#REF!,9,0),0)+IFERROR(VLOOKUP(A612,#REF!,9,0),0)+IFERROR(VLOOKUP(A612,#REF!,9,0),0)+IFERROR(VLOOKUP(A612,#REF!,9,0),0)</f>
        <v>0</v>
      </c>
      <c r="J612" s="104">
        <f>IFERROR(VLOOKUP(A612,#REF!,16,0),0)+IFERROR(VLOOKUP(A612,#REF!,26,0),0)+IFERROR(VLOOKUP(A612,#REF!,11,0),0)+IFERROR(VLOOKUP(A612,#REF!,23,0),0)+IFERROR(VLOOKUP(A612,#REF!,11,0),0)+IFERROR(VLOOKUP(A612,#REF!,11,0),0)+IFERROR(VLOOKUP(A612,#REF!,11,0),0)</f>
        <v>0</v>
      </c>
      <c r="K612" s="96" t="str">
        <f>"07.02.24"</f>
        <v>07.02.24</v>
      </c>
    </row>
    <row r="613" spans="1:11" ht="11.25" customHeight="1" outlineLevel="1">
      <c r="A613" s="89" t="n">
        <v>28172</v>
      </c>
      <c r="B613" s="114" t="s">
        <v>601</v>
      </c>
      <c r="C613" s="89" t="s">
        <v>886</v>
      </c>
      <c r="D613" s="89" t="s">
        <v>15</v>
      </c>
      <c r="E613" s="89" t="s">
        <v>720</v>
      </c>
      <c r="F613" s="102" t="n">
        <v>151</v>
      </c>
      <c r="G613" s="102" t="n">
        <v>195</v>
      </c>
      <c r="H613" s="103" t="s">
        <v>48</v>
      </c>
      <c r="I613" s="103">
        <f>IFERROR(VLOOKUP(A613,#REF!,15,0),0)+IFERROR(VLOOKUP(A613,#REF!,25,0),0)+IFERROR(VLOOKUP(A613,#REF!,10,0),0)+IFERROR(VLOOKUP(A613,#REF!,14,0),0)+IFERROR(VLOOKUP(A613,#REF!,10,0),0)+IFERROR(VLOOKUP(A613,#REF!,10,0),0)+IFERROR(VLOOKUP(A613,#REF!,10,0),0)+IFERROR(VLOOKUP(A613,#REF!,9,0),0)+IFERROR(VLOOKUP(A613,#REF!,9,0),0)+IFERROR(VLOOKUP(A613,#REF!,9,0),0)+IFERROR(VLOOKUP(A613,#REF!,9,0),0)</f>
        <v>0</v>
      </c>
      <c r="J613" s="104">
        <f>IFERROR(VLOOKUP(A613,#REF!,16,0),0)+IFERROR(VLOOKUP(A613,#REF!,26,0),0)+IFERROR(VLOOKUP(A613,#REF!,11,0),0)+IFERROR(VLOOKUP(A613,#REF!,23,0),0)+IFERROR(VLOOKUP(A613,#REF!,11,0),0)+IFERROR(VLOOKUP(A613,#REF!,11,0),0)+IFERROR(VLOOKUP(A613,#REF!,11,0),0)</f>
        <v>0</v>
      </c>
      <c r="K613" s="96" t="str">
        <f>"07.02.24"</f>
        <v>07.02.24</v>
      </c>
    </row>
    <row r="614" spans="1:11" ht="11.25" customHeight="1" outlineLevel="1">
      <c r="A614" s="89" t="n">
        <v>38906</v>
      </c>
      <c r="B614" s="114" t="s">
        <v>601</v>
      </c>
      <c r="C614" s="89" t="s">
        <v>887</v>
      </c>
      <c r="D614" s="89" t="s">
        <v>15</v>
      </c>
      <c r="E614" s="89" t="s">
        <v>720</v>
      </c>
      <c r="F614" s="102" t="n">
        <v>297</v>
      </c>
      <c r="G614" s="102" t="n">
        <v>386</v>
      </c>
      <c r="H614" s="103" t="s">
        <v>17</v>
      </c>
      <c r="I614" s="103">
        <f>IFERROR(VLOOKUP(A614,#REF!,15,0),0)+IFERROR(VLOOKUP(A614,#REF!,25,0),0)+IFERROR(VLOOKUP(A614,#REF!,10,0),0)+IFERROR(VLOOKUP(A614,#REF!,14,0),0)+IFERROR(VLOOKUP(A614,#REF!,10,0),0)+IFERROR(VLOOKUP(A614,#REF!,10,0),0)+IFERROR(VLOOKUP(A614,#REF!,10,0),0)+IFERROR(VLOOKUP(A614,#REF!,9,0),0)+IFERROR(VLOOKUP(A614,#REF!,9,0),0)+IFERROR(VLOOKUP(A614,#REF!,9,0),0)+IFERROR(VLOOKUP(A614,#REF!,9,0),0)</f>
        <v>0</v>
      </c>
      <c r="J614" s="104">
        <f>IFERROR(VLOOKUP(A614,#REF!,16,0),0)+IFERROR(VLOOKUP(A614,#REF!,26,0),0)+IFERROR(VLOOKUP(A614,#REF!,11,0),0)+IFERROR(VLOOKUP(A614,#REF!,23,0),0)+IFERROR(VLOOKUP(A614,#REF!,11,0),0)+IFERROR(VLOOKUP(A614,#REF!,11,0),0)+IFERROR(VLOOKUP(A614,#REF!,11,0),0)</f>
        <v>0</v>
      </c>
      <c r="K614" s="96" t="str">
        <f>"07.02.24"</f>
        <v>07.02.24</v>
      </c>
    </row>
    <row r="615" spans="1:11" ht="11.25" customHeight="1" outlineLevel="1">
      <c r="A615" s="89" t="n">
        <v>28173</v>
      </c>
      <c r="B615" s="114" t="s">
        <v>601</v>
      </c>
      <c r="C615" s="89" t="s">
        <v>888</v>
      </c>
      <c r="D615" s="89" t="s">
        <v>15</v>
      </c>
      <c r="E615" s="89" t="s">
        <v>720</v>
      </c>
      <c r="F615" s="102" t="n">
        <v>358</v>
      </c>
      <c r="G615" s="102" t="n">
        <v>465</v>
      </c>
      <c r="H615" s="103" t="s">
        <v>48</v>
      </c>
      <c r="I615" s="103">
        <f>IFERROR(VLOOKUP(A615,#REF!,15,0),0)+IFERROR(VLOOKUP(A615,#REF!,25,0),0)+IFERROR(VLOOKUP(A615,#REF!,10,0),0)+IFERROR(VLOOKUP(A615,#REF!,14,0),0)+IFERROR(VLOOKUP(A615,#REF!,10,0),0)+IFERROR(VLOOKUP(A615,#REF!,10,0),0)+IFERROR(VLOOKUP(A615,#REF!,10,0),0)+IFERROR(VLOOKUP(A615,#REF!,9,0),0)+IFERROR(VLOOKUP(A615,#REF!,9,0),0)+IFERROR(VLOOKUP(A615,#REF!,9,0),0)+IFERROR(VLOOKUP(A615,#REF!,9,0),0)</f>
        <v>0</v>
      </c>
      <c r="J615" s="104">
        <f>IFERROR(VLOOKUP(A615,#REF!,16,0),0)+IFERROR(VLOOKUP(A615,#REF!,26,0),0)+IFERROR(VLOOKUP(A615,#REF!,11,0),0)+IFERROR(VLOOKUP(A615,#REF!,23,0),0)+IFERROR(VLOOKUP(A615,#REF!,11,0),0)+IFERROR(VLOOKUP(A615,#REF!,11,0),0)+IFERROR(VLOOKUP(A615,#REF!,11,0),0)</f>
        <v>0</v>
      </c>
      <c r="K615" s="96" t="str">
        <f>"07.02.24"</f>
        <v>07.02.24</v>
      </c>
    </row>
    <row r="616" spans="1:11" ht="11.25" customHeight="1" outlineLevel="1">
      <c r="A616" s="89" t="n">
        <v>38905</v>
      </c>
      <c r="B616" s="114" t="s">
        <v>601</v>
      </c>
      <c r="C616" s="89" t="s">
        <v>889</v>
      </c>
      <c r="D616" s="89" t="s">
        <v>15</v>
      </c>
      <c r="E616" s="89" t="s">
        <v>720</v>
      </c>
      <c r="F616" s="102" t="n">
        <v>291</v>
      </c>
      <c r="G616" s="102" t="n">
        <v>379</v>
      </c>
      <c r="H616" s="103" t="s">
        <v>17</v>
      </c>
      <c r="I616" s="103">
        <f>IFERROR(VLOOKUP(A616,#REF!,15,0),0)+IFERROR(VLOOKUP(A616,#REF!,25,0),0)+IFERROR(VLOOKUP(A616,#REF!,10,0),0)+IFERROR(VLOOKUP(A616,#REF!,14,0),0)+IFERROR(VLOOKUP(A616,#REF!,10,0),0)+IFERROR(VLOOKUP(A616,#REF!,10,0),0)+IFERROR(VLOOKUP(A616,#REF!,10,0),0)+IFERROR(VLOOKUP(A616,#REF!,9,0),0)+IFERROR(VLOOKUP(A616,#REF!,9,0),0)+IFERROR(VLOOKUP(A616,#REF!,9,0),0)+IFERROR(VLOOKUP(A616,#REF!,9,0),0)</f>
        <v>0</v>
      </c>
      <c r="J616" s="104">
        <f>IFERROR(VLOOKUP(A616,#REF!,16,0),0)+IFERROR(VLOOKUP(A616,#REF!,26,0),0)+IFERROR(VLOOKUP(A616,#REF!,11,0),0)+IFERROR(VLOOKUP(A616,#REF!,23,0),0)+IFERROR(VLOOKUP(A616,#REF!,11,0),0)+IFERROR(VLOOKUP(A616,#REF!,11,0),0)+IFERROR(VLOOKUP(A616,#REF!,11,0),0)</f>
        <v>0</v>
      </c>
      <c r="K616" s="96" t="str">
        <f>"07.02.24"</f>
        <v>07.02.24</v>
      </c>
    </row>
    <row r="617" spans="1:11" ht="11.25" customHeight="1" outlineLevel="1">
      <c r="A617" s="89" t="n">
        <v>27830</v>
      </c>
      <c r="B617" s="114" t="s">
        <v>601</v>
      </c>
      <c r="C617" s="89" t="s">
        <v>890</v>
      </c>
      <c r="D617" s="89" t="s">
        <v>15</v>
      </c>
      <c r="E617" s="89" t="s">
        <v>720</v>
      </c>
      <c r="F617" s="102" t="n">
        <v>391</v>
      </c>
      <c r="G617" s="102" t="n">
        <v>508</v>
      </c>
      <c r="H617" s="103" t="s">
        <v>48</v>
      </c>
      <c r="I617" s="103">
        <f>IFERROR(VLOOKUP(A617,#REF!,15,0),0)+IFERROR(VLOOKUP(A617,#REF!,25,0),0)+IFERROR(VLOOKUP(A617,#REF!,10,0),0)+IFERROR(VLOOKUP(A617,#REF!,14,0),0)+IFERROR(VLOOKUP(A617,#REF!,10,0),0)+IFERROR(VLOOKUP(A617,#REF!,10,0),0)+IFERROR(VLOOKUP(A617,#REF!,10,0),0)+IFERROR(VLOOKUP(A617,#REF!,9,0),0)+IFERROR(VLOOKUP(A617,#REF!,9,0),0)+IFERROR(VLOOKUP(A617,#REF!,9,0),0)+IFERROR(VLOOKUP(A617,#REF!,9,0),0)</f>
        <v>0</v>
      </c>
      <c r="J617" s="104">
        <f>IFERROR(VLOOKUP(A617,#REF!,16,0),0)+IFERROR(VLOOKUP(A617,#REF!,26,0),0)+IFERROR(VLOOKUP(A617,#REF!,11,0),0)+IFERROR(VLOOKUP(A617,#REF!,23,0),0)+IFERROR(VLOOKUP(A617,#REF!,11,0),0)+IFERROR(VLOOKUP(A617,#REF!,11,0),0)+IFERROR(VLOOKUP(A617,#REF!,11,0),0)</f>
        <v>0</v>
      </c>
      <c r="K617" s="96" t="str">
        <f>"07.02.24"</f>
        <v>07.02.24</v>
      </c>
    </row>
    <row r="618" spans="1:11" ht="11.25" customHeight="1" outlineLevel="1">
      <c r="A618" s="89" t="n">
        <v>2701880</v>
      </c>
      <c r="B618" s="114" t="s">
        <v>601</v>
      </c>
      <c r="C618" s="89" t="s">
        <v>891</v>
      </c>
      <c r="D618" s="89" t="s">
        <v>15</v>
      </c>
      <c r="E618" s="89" t="s">
        <v>720</v>
      </c>
      <c r="F618" s="102" t="n">
        <v>495</v>
      </c>
      <c r="G618" s="102" t="n">
        <v>644</v>
      </c>
      <c r="H618" s="103" t="s">
        <v>17</v>
      </c>
      <c r="I618" s="103">
        <f>IFERROR(VLOOKUP(A618,#REF!,15,0),0)+IFERROR(VLOOKUP(A618,#REF!,25,0),0)+IFERROR(VLOOKUP(A618,#REF!,10,0),0)+IFERROR(VLOOKUP(A618,#REF!,14,0),0)+IFERROR(VLOOKUP(A618,#REF!,10,0),0)+IFERROR(VLOOKUP(A618,#REF!,10,0),0)+IFERROR(VLOOKUP(A618,#REF!,10,0),0)+IFERROR(VLOOKUP(A618,#REF!,9,0),0)+IFERROR(VLOOKUP(A618,#REF!,9,0),0)+IFERROR(VLOOKUP(A618,#REF!,9,0),0)+IFERROR(VLOOKUP(A618,#REF!,9,0),0)</f>
        <v>0</v>
      </c>
      <c r="J618" s="104">
        <f>IFERROR(VLOOKUP(A618,#REF!,16,0),0)+IFERROR(VLOOKUP(A618,#REF!,26,0),0)+IFERROR(VLOOKUP(A618,#REF!,11,0),0)+IFERROR(VLOOKUP(A618,#REF!,23,0),0)+IFERROR(VLOOKUP(A618,#REF!,11,0),0)+IFERROR(VLOOKUP(A618,#REF!,11,0),0)+IFERROR(VLOOKUP(A618,#REF!,11,0),0)</f>
        <v>0</v>
      </c>
      <c r="K618" s="96" t="str">
        <f>"07.02.24"</f>
        <v>07.02.24</v>
      </c>
    </row>
    <row r="619" spans="1:11" ht="11.25" customHeight="1" outlineLevel="1">
      <c r="A619" s="89" t="n">
        <v>38953</v>
      </c>
      <c r="B619" s="114" t="s">
        <v>601</v>
      </c>
      <c r="C619" s="89" t="s">
        <v>892</v>
      </c>
      <c r="D619" s="89" t="s">
        <v>15</v>
      </c>
      <c r="E619" s="89" t="s">
        <v>720</v>
      </c>
      <c r="F619" s="102" t="n">
        <v>394</v>
      </c>
      <c r="G619" s="102" t="n">
        <v>532</v>
      </c>
      <c r="H619" s="103" t="s">
        <v>17</v>
      </c>
      <c r="I619" s="103">
        <f>IFERROR(VLOOKUP(A619,#REF!,15,0),0)+IFERROR(VLOOKUP(A619,#REF!,25,0),0)+IFERROR(VLOOKUP(A619,#REF!,10,0),0)+IFERROR(VLOOKUP(A619,#REF!,14,0),0)+IFERROR(VLOOKUP(A619,#REF!,10,0),0)+IFERROR(VLOOKUP(A619,#REF!,10,0),0)+IFERROR(VLOOKUP(A619,#REF!,10,0),0)+IFERROR(VLOOKUP(A619,#REF!,9,0),0)+IFERROR(VLOOKUP(A619,#REF!,9,0),0)+IFERROR(VLOOKUP(A619,#REF!,9,0),0)+IFERROR(VLOOKUP(A619,#REF!,9,0),0)</f>
        <v>0</v>
      </c>
      <c r="J619" s="104">
        <f>IFERROR(VLOOKUP(A619,#REF!,16,0),0)+IFERROR(VLOOKUP(A619,#REF!,26,0),0)+IFERROR(VLOOKUP(A619,#REF!,11,0),0)+IFERROR(VLOOKUP(A619,#REF!,23,0),0)+IFERROR(VLOOKUP(A619,#REF!,11,0),0)+IFERROR(VLOOKUP(A619,#REF!,11,0),0)+IFERROR(VLOOKUP(A619,#REF!,11,0),0)</f>
        <v>0</v>
      </c>
      <c r="K619" s="96" t="str">
        <f>"07.02.24"</f>
        <v>07.02.24</v>
      </c>
    </row>
    <row r="620" spans="1:11" ht="11.25" customHeight="1" outlineLevel="1">
      <c r="A620" s="89" t="n">
        <v>12034</v>
      </c>
      <c r="B620" s="114" t="s">
        <v>601</v>
      </c>
      <c r="C620" s="89" t="s">
        <v>893</v>
      </c>
      <c r="D620" s="89" t="s">
        <v>15</v>
      </c>
      <c r="E620" s="89" t="s">
        <v>720</v>
      </c>
      <c r="F620" s="102" t="n">
        <v>446</v>
      </c>
      <c r="G620" s="102" t="n">
        <v>602</v>
      </c>
      <c r="H620" s="103" t="s">
        <v>17</v>
      </c>
      <c r="I620" s="103">
        <f>IFERROR(VLOOKUP(A620,#REF!,15,0),0)+IFERROR(VLOOKUP(A620,#REF!,25,0),0)+IFERROR(VLOOKUP(A620,#REF!,10,0),0)+IFERROR(VLOOKUP(A620,#REF!,14,0),0)+IFERROR(VLOOKUP(A620,#REF!,10,0),0)+IFERROR(VLOOKUP(A620,#REF!,10,0),0)+IFERROR(VLOOKUP(A620,#REF!,10,0),0)+IFERROR(VLOOKUP(A620,#REF!,9,0),0)+IFERROR(VLOOKUP(A620,#REF!,9,0),0)+IFERROR(VLOOKUP(A620,#REF!,9,0),0)+IFERROR(VLOOKUP(A620,#REF!,9,0),0)</f>
        <v>0</v>
      </c>
      <c r="J620" s="104">
        <f>IFERROR(VLOOKUP(A620,#REF!,16,0),0)+IFERROR(VLOOKUP(A620,#REF!,26,0),0)+IFERROR(VLOOKUP(A620,#REF!,11,0),0)+IFERROR(VLOOKUP(A620,#REF!,23,0),0)+IFERROR(VLOOKUP(A620,#REF!,11,0),0)+IFERROR(VLOOKUP(A620,#REF!,11,0),0)+IFERROR(VLOOKUP(A620,#REF!,11,0),0)</f>
        <v>0</v>
      </c>
      <c r="K620" s="96" t="str">
        <f>"07.02.24"</f>
        <v>07.02.24</v>
      </c>
    </row>
    <row r="621" spans="1:11" ht="11.25" customHeight="1" outlineLevel="1">
      <c r="A621" s="89" t="n">
        <v>38954</v>
      </c>
      <c r="B621" s="114" t="s">
        <v>601</v>
      </c>
      <c r="C621" s="89" t="s">
        <v>894</v>
      </c>
      <c r="D621" s="89" t="s">
        <v>15</v>
      </c>
      <c r="E621" s="89" t="s">
        <v>720</v>
      </c>
      <c r="F621" s="102" t="n">
        <v>522</v>
      </c>
      <c r="G621" s="102" t="n">
        <v>704</v>
      </c>
      <c r="H621" s="103" t="s">
        <v>17</v>
      </c>
      <c r="I621" s="103">
        <f>IFERROR(VLOOKUP(A621,#REF!,15,0),0)+IFERROR(VLOOKUP(A621,#REF!,25,0),0)+IFERROR(VLOOKUP(A621,#REF!,10,0),0)+IFERROR(VLOOKUP(A621,#REF!,14,0),0)+IFERROR(VLOOKUP(A621,#REF!,10,0),0)+IFERROR(VLOOKUP(A621,#REF!,10,0),0)+IFERROR(VLOOKUP(A621,#REF!,10,0),0)+IFERROR(VLOOKUP(A621,#REF!,9,0),0)+IFERROR(VLOOKUP(A621,#REF!,9,0),0)+IFERROR(VLOOKUP(A621,#REF!,9,0),0)+IFERROR(VLOOKUP(A621,#REF!,9,0),0)</f>
        <v>0</v>
      </c>
      <c r="J621" s="104">
        <f>IFERROR(VLOOKUP(A621,#REF!,16,0),0)+IFERROR(VLOOKUP(A621,#REF!,26,0),0)+IFERROR(VLOOKUP(A621,#REF!,11,0),0)+IFERROR(VLOOKUP(A621,#REF!,23,0),0)+IFERROR(VLOOKUP(A621,#REF!,11,0),0)+IFERROR(VLOOKUP(A621,#REF!,11,0),0)+IFERROR(VLOOKUP(A621,#REF!,11,0),0)</f>
        <v>0</v>
      </c>
      <c r="K621" s="96" t="str">
        <f>"07.02.24"</f>
        <v>07.02.24</v>
      </c>
    </row>
    <row r="622" spans="1:11" ht="11.25" customHeight="1" outlineLevel="1">
      <c r="A622" s="89" t="n">
        <v>36377</v>
      </c>
      <c r="B622" s="114" t="s">
        <v>601</v>
      </c>
      <c r="C622" s="89" t="s">
        <v>895</v>
      </c>
      <c r="D622" s="89" t="s">
        <v>15</v>
      </c>
      <c r="E622" s="89" t="s">
        <v>720</v>
      </c>
      <c r="F622" s="102" t="n">
        <v>1071</v>
      </c>
      <c r="G622" s="102" t="n">
        <v>1445</v>
      </c>
      <c r="H622" s="103" t="s">
        <v>48</v>
      </c>
      <c r="I622" s="103">
        <f>IFERROR(VLOOKUP(A622,#REF!,15,0),0)+IFERROR(VLOOKUP(A622,#REF!,25,0),0)+IFERROR(VLOOKUP(A622,#REF!,10,0),0)+IFERROR(VLOOKUP(A622,#REF!,14,0),0)+IFERROR(VLOOKUP(A622,#REF!,10,0),0)+IFERROR(VLOOKUP(A622,#REF!,10,0),0)+IFERROR(VLOOKUP(A622,#REF!,10,0),0)+IFERROR(VLOOKUP(A622,#REF!,9,0),0)+IFERROR(VLOOKUP(A622,#REF!,9,0),0)+IFERROR(VLOOKUP(A622,#REF!,9,0),0)+IFERROR(VLOOKUP(A622,#REF!,9,0),0)</f>
        <v>0</v>
      </c>
      <c r="J622" s="104">
        <f>IFERROR(VLOOKUP(A622,#REF!,16,0),0)+IFERROR(VLOOKUP(A622,#REF!,26,0),0)+IFERROR(VLOOKUP(A622,#REF!,11,0),0)+IFERROR(VLOOKUP(A622,#REF!,23,0),0)+IFERROR(VLOOKUP(A622,#REF!,11,0),0)+IFERROR(VLOOKUP(A622,#REF!,11,0),0)+IFERROR(VLOOKUP(A622,#REF!,11,0),0)</f>
        <v>0</v>
      </c>
      <c r="K622" s="96" t="str">
        <f>"07.02.24"</f>
        <v>07.02.24</v>
      </c>
    </row>
    <row r="623" spans="1:11" ht="11.25" customHeight="1" outlineLevel="1">
      <c r="A623" s="89" t="n">
        <v>10019</v>
      </c>
      <c r="B623" s="114" t="s">
        <v>601</v>
      </c>
      <c r="C623" s="89" t="s">
        <v>896</v>
      </c>
      <c r="D623" s="89" t="s">
        <v>15</v>
      </c>
      <c r="E623" s="89" t="s">
        <v>720</v>
      </c>
      <c r="F623" s="102" t="n">
        <v>808</v>
      </c>
      <c r="G623" s="102" t="n">
        <v>1050</v>
      </c>
      <c r="H623" s="103" t="s">
        <v>48</v>
      </c>
      <c r="I623" s="103">
        <f>IFERROR(VLOOKUP(A623,#REF!,15,0),0)+IFERROR(VLOOKUP(A623,#REF!,25,0),0)+IFERROR(VLOOKUP(A623,#REF!,10,0),0)+IFERROR(VLOOKUP(A623,#REF!,14,0),0)+IFERROR(VLOOKUP(A623,#REF!,10,0),0)+IFERROR(VLOOKUP(A623,#REF!,10,0),0)+IFERROR(VLOOKUP(A623,#REF!,10,0),0)+IFERROR(VLOOKUP(A623,#REF!,9,0),0)+IFERROR(VLOOKUP(A623,#REF!,9,0),0)+IFERROR(VLOOKUP(A623,#REF!,9,0),0)+IFERROR(VLOOKUP(A623,#REF!,9,0),0)</f>
        <v>0</v>
      </c>
      <c r="J623" s="104">
        <f>IFERROR(VLOOKUP(A623,#REF!,16,0),0)+IFERROR(VLOOKUP(A623,#REF!,26,0),0)+IFERROR(VLOOKUP(A623,#REF!,11,0),0)+IFERROR(VLOOKUP(A623,#REF!,23,0),0)+IFERROR(VLOOKUP(A623,#REF!,11,0),0)+IFERROR(VLOOKUP(A623,#REF!,11,0),0)+IFERROR(VLOOKUP(A623,#REF!,11,0),0)</f>
        <v>0</v>
      </c>
      <c r="K623" s="96" t="str">
        <f>"07.02.24"</f>
        <v>07.02.24</v>
      </c>
    </row>
    <row r="624" spans="1:11" ht="11.25" customHeight="1" outlineLevel="1">
      <c r="A624" s="89" t="n">
        <v>38970</v>
      </c>
      <c r="B624" s="114" t="s">
        <v>601</v>
      </c>
      <c r="C624" s="89" t="s">
        <v>897</v>
      </c>
      <c r="D624" s="89" t="s">
        <v>15</v>
      </c>
      <c r="E624" s="89" t="s">
        <v>720</v>
      </c>
      <c r="F624" s="102" t="n">
        <v>714</v>
      </c>
      <c r="G624" s="102" t="n">
        <v>928</v>
      </c>
      <c r="H624" s="103" t="s">
        <v>17</v>
      </c>
      <c r="I624" s="103">
        <f>IFERROR(VLOOKUP(A624,#REF!,15,0),0)+IFERROR(VLOOKUP(A624,#REF!,25,0),0)+IFERROR(VLOOKUP(A624,#REF!,10,0),0)+IFERROR(VLOOKUP(A624,#REF!,14,0),0)+IFERROR(VLOOKUP(A624,#REF!,10,0),0)+IFERROR(VLOOKUP(A624,#REF!,10,0),0)+IFERROR(VLOOKUP(A624,#REF!,10,0),0)+IFERROR(VLOOKUP(A624,#REF!,9,0),0)+IFERROR(VLOOKUP(A624,#REF!,9,0),0)+IFERROR(VLOOKUP(A624,#REF!,9,0),0)+IFERROR(VLOOKUP(A624,#REF!,9,0),0)</f>
        <v>0</v>
      </c>
      <c r="J624" s="104">
        <f>IFERROR(VLOOKUP(A624,#REF!,16,0),0)+IFERROR(VLOOKUP(A624,#REF!,26,0),0)+IFERROR(VLOOKUP(A624,#REF!,11,0),0)+IFERROR(VLOOKUP(A624,#REF!,23,0),0)+IFERROR(VLOOKUP(A624,#REF!,11,0),0)+IFERROR(VLOOKUP(A624,#REF!,11,0),0)+IFERROR(VLOOKUP(A624,#REF!,11,0),0)</f>
        <v>0</v>
      </c>
      <c r="K624" s="96" t="str">
        <f>"07.02.24"</f>
        <v>07.02.24</v>
      </c>
    </row>
    <row r="625" spans="1:11" ht="11.25" customHeight="1" outlineLevel="1">
      <c r="A625" s="89" t="n">
        <v>13775</v>
      </c>
      <c r="B625" s="114" t="s">
        <v>601</v>
      </c>
      <c r="C625" s="89" t="s">
        <v>898</v>
      </c>
      <c r="D625" s="89" t="s">
        <v>15</v>
      </c>
      <c r="E625" s="89" t="s">
        <v>720</v>
      </c>
      <c r="F625" s="102" t="n">
        <v>859</v>
      </c>
      <c r="G625" s="102" t="n">
        <v>1117</v>
      </c>
      <c r="H625" s="103" t="s">
        <v>48</v>
      </c>
      <c r="I625" s="103">
        <f>IFERROR(VLOOKUP(A625,#REF!,15,0),0)+IFERROR(VLOOKUP(A625,#REF!,25,0),0)+IFERROR(VLOOKUP(A625,#REF!,10,0),0)+IFERROR(VLOOKUP(A625,#REF!,14,0),0)+IFERROR(VLOOKUP(A625,#REF!,10,0),0)+IFERROR(VLOOKUP(A625,#REF!,10,0),0)+IFERROR(VLOOKUP(A625,#REF!,10,0),0)+IFERROR(VLOOKUP(A625,#REF!,9,0),0)+IFERROR(VLOOKUP(A625,#REF!,9,0),0)+IFERROR(VLOOKUP(A625,#REF!,9,0),0)+IFERROR(VLOOKUP(A625,#REF!,9,0),0)</f>
        <v>0</v>
      </c>
      <c r="J625" s="104">
        <f>IFERROR(VLOOKUP(A625,#REF!,16,0),0)+IFERROR(VLOOKUP(A625,#REF!,26,0),0)+IFERROR(VLOOKUP(A625,#REF!,11,0),0)+IFERROR(VLOOKUP(A625,#REF!,23,0),0)+IFERROR(VLOOKUP(A625,#REF!,11,0),0)+IFERROR(VLOOKUP(A625,#REF!,11,0),0)+IFERROR(VLOOKUP(A625,#REF!,11,0),0)</f>
        <v>0</v>
      </c>
      <c r="K625" s="96" t="str">
        <f>"07.02.24"</f>
        <v>07.02.24</v>
      </c>
    </row>
    <row r="626" spans="1:11" ht="11.25" customHeight="1" outlineLevel="1">
      <c r="A626" s="89" t="n">
        <v>7054520</v>
      </c>
      <c r="B626" s="114" t="s">
        <v>601</v>
      </c>
      <c r="C626" s="89" t="s">
        <v>899</v>
      </c>
      <c r="D626" s="89" t="s">
        <v>15</v>
      </c>
      <c r="E626" s="89" t="s">
        <v>720</v>
      </c>
      <c r="F626" s="102" t="n">
        <v>695</v>
      </c>
      <c r="G626" s="102" t="n">
        <v>904</v>
      </c>
      <c r="H626" s="103" t="s">
        <v>17</v>
      </c>
      <c r="I626" s="103">
        <f>IFERROR(VLOOKUP(A626,#REF!,15,0),0)+IFERROR(VLOOKUP(A626,#REF!,25,0),0)+IFERROR(VLOOKUP(A626,#REF!,10,0),0)+IFERROR(VLOOKUP(A626,#REF!,14,0),0)+IFERROR(VLOOKUP(A626,#REF!,10,0),0)+IFERROR(VLOOKUP(A626,#REF!,10,0),0)+IFERROR(VLOOKUP(A626,#REF!,10,0),0)+IFERROR(VLOOKUP(A626,#REF!,9,0),0)+IFERROR(VLOOKUP(A626,#REF!,9,0),0)+IFERROR(VLOOKUP(A626,#REF!,9,0),0)+IFERROR(VLOOKUP(A626,#REF!,9,0),0)</f>
        <v>0</v>
      </c>
      <c r="J626" s="104">
        <f>IFERROR(VLOOKUP(A626,#REF!,16,0),0)+IFERROR(VLOOKUP(A626,#REF!,26,0),0)+IFERROR(VLOOKUP(A626,#REF!,11,0),0)+IFERROR(VLOOKUP(A626,#REF!,23,0),0)+IFERROR(VLOOKUP(A626,#REF!,11,0),0)+IFERROR(VLOOKUP(A626,#REF!,11,0),0)+IFERROR(VLOOKUP(A626,#REF!,11,0),0)</f>
        <v>0</v>
      </c>
      <c r="K626" s="96" t="str">
        <f>"07.02.24"</f>
        <v>07.02.24</v>
      </c>
    </row>
    <row r="627" spans="1:11" ht="11.25" customHeight="1" outlineLevel="1">
      <c r="A627" s="89" t="n">
        <v>10021</v>
      </c>
      <c r="B627" s="114" t="s">
        <v>601</v>
      </c>
      <c r="C627" s="89" t="s">
        <v>900</v>
      </c>
      <c r="D627" s="89" t="s">
        <v>15</v>
      </c>
      <c r="E627" s="89" t="s">
        <v>720</v>
      </c>
      <c r="F627" s="102" t="n">
        <v>840</v>
      </c>
      <c r="G627" s="102" t="n">
        <v>1092</v>
      </c>
      <c r="H627" s="103" t="s">
        <v>48</v>
      </c>
      <c r="I627" s="103">
        <f>IFERROR(VLOOKUP(A627,#REF!,15,0),0)+IFERROR(VLOOKUP(A627,#REF!,25,0),0)+IFERROR(VLOOKUP(A627,#REF!,10,0),0)+IFERROR(VLOOKUP(A627,#REF!,14,0),0)+IFERROR(VLOOKUP(A627,#REF!,10,0),0)+IFERROR(VLOOKUP(A627,#REF!,10,0),0)+IFERROR(VLOOKUP(A627,#REF!,10,0),0)+IFERROR(VLOOKUP(A627,#REF!,9,0),0)+IFERROR(VLOOKUP(A627,#REF!,9,0),0)+IFERROR(VLOOKUP(A627,#REF!,9,0),0)+IFERROR(VLOOKUP(A627,#REF!,9,0),0)</f>
        <v>0</v>
      </c>
      <c r="J627" s="104">
        <f>IFERROR(VLOOKUP(A627,#REF!,16,0),0)+IFERROR(VLOOKUP(A627,#REF!,26,0),0)+IFERROR(VLOOKUP(A627,#REF!,11,0),0)+IFERROR(VLOOKUP(A627,#REF!,23,0),0)+IFERROR(VLOOKUP(A627,#REF!,11,0),0)+IFERROR(VLOOKUP(A627,#REF!,11,0),0)+IFERROR(VLOOKUP(A627,#REF!,11,0),0)</f>
        <v>0</v>
      </c>
      <c r="K627" s="96" t="str">
        <f>"07.02.24"</f>
        <v>07.02.24</v>
      </c>
    </row>
    <row r="628" spans="1:11" ht="11.25" customHeight="1" outlineLevel="1">
      <c r="A628" s="89" t="n">
        <v>10022</v>
      </c>
      <c r="B628" s="114" t="s">
        <v>601</v>
      </c>
      <c r="C628" s="89" t="s">
        <v>901</v>
      </c>
      <c r="D628" s="89" t="s">
        <v>15</v>
      </c>
      <c r="E628" s="89" t="s">
        <v>720</v>
      </c>
      <c r="F628" s="102" t="n">
        <v>840</v>
      </c>
      <c r="G628" s="102" t="n">
        <v>1092</v>
      </c>
      <c r="H628" s="103" t="s">
        <v>48</v>
      </c>
      <c r="I628" s="103">
        <f>IFERROR(VLOOKUP(A628,#REF!,15,0),0)+IFERROR(VLOOKUP(A628,#REF!,25,0),0)+IFERROR(VLOOKUP(A628,#REF!,10,0),0)+IFERROR(VLOOKUP(A628,#REF!,14,0),0)+IFERROR(VLOOKUP(A628,#REF!,10,0),0)+IFERROR(VLOOKUP(A628,#REF!,10,0),0)+IFERROR(VLOOKUP(A628,#REF!,10,0),0)+IFERROR(VLOOKUP(A628,#REF!,9,0),0)+IFERROR(VLOOKUP(A628,#REF!,9,0),0)+IFERROR(VLOOKUP(A628,#REF!,9,0),0)+IFERROR(VLOOKUP(A628,#REF!,9,0),0)</f>
        <v>0</v>
      </c>
      <c r="J628" s="104">
        <f>IFERROR(VLOOKUP(A628,#REF!,16,0),0)+IFERROR(VLOOKUP(A628,#REF!,26,0),0)+IFERROR(VLOOKUP(A628,#REF!,11,0),0)+IFERROR(VLOOKUP(A628,#REF!,23,0),0)+IFERROR(VLOOKUP(A628,#REF!,11,0),0)+IFERROR(VLOOKUP(A628,#REF!,11,0),0)+IFERROR(VLOOKUP(A628,#REF!,11,0),0)</f>
        <v>0</v>
      </c>
      <c r="K628" s="96" t="str">
        <f>"07.02.24"</f>
        <v>07.02.24</v>
      </c>
    </row>
    <row r="629" spans="1:11" ht="11.25" customHeight="1" outlineLevel="1">
      <c r="A629" s="89" t="n">
        <v>10051</v>
      </c>
      <c r="B629" s="114" t="s">
        <v>601</v>
      </c>
      <c r="C629" s="89" t="s">
        <v>902</v>
      </c>
      <c r="D629" s="89" t="s">
        <v>15</v>
      </c>
      <c r="E629" s="89" t="s">
        <v>720</v>
      </c>
      <c r="F629" s="102" t="n">
        <v>1175</v>
      </c>
      <c r="G629" s="102" t="n">
        <v>1528</v>
      </c>
      <c r="H629" s="103" t="s">
        <v>48</v>
      </c>
      <c r="I629" s="103">
        <f>IFERROR(VLOOKUP(A629,#REF!,15,0),0)+IFERROR(VLOOKUP(A629,#REF!,25,0),0)+IFERROR(VLOOKUP(A629,#REF!,10,0),0)+IFERROR(VLOOKUP(A629,#REF!,14,0),0)+IFERROR(VLOOKUP(A629,#REF!,10,0),0)+IFERROR(VLOOKUP(A629,#REF!,10,0),0)+IFERROR(VLOOKUP(A629,#REF!,10,0),0)+IFERROR(VLOOKUP(A629,#REF!,9,0),0)+IFERROR(VLOOKUP(A629,#REF!,9,0),0)+IFERROR(VLOOKUP(A629,#REF!,9,0),0)+IFERROR(VLOOKUP(A629,#REF!,9,0),0)</f>
        <v>0</v>
      </c>
      <c r="J629" s="104">
        <f>IFERROR(VLOOKUP(A629,#REF!,16,0),0)+IFERROR(VLOOKUP(A629,#REF!,26,0),0)+IFERROR(VLOOKUP(A629,#REF!,11,0),0)+IFERROR(VLOOKUP(A629,#REF!,23,0),0)+IFERROR(VLOOKUP(A629,#REF!,11,0),0)+IFERROR(VLOOKUP(A629,#REF!,11,0),0)+IFERROR(VLOOKUP(A629,#REF!,11,0),0)</f>
        <v>0</v>
      </c>
      <c r="K629" s="96" t="str">
        <f>"07.02.24"</f>
        <v>07.02.24</v>
      </c>
    </row>
    <row r="630" spans="1:11" ht="11.25" customHeight="1" outlineLevel="1">
      <c r="A630" s="89" t="n">
        <v>11991</v>
      </c>
      <c r="B630" s="114" t="s">
        <v>601</v>
      </c>
      <c r="C630" s="89" t="s">
        <v>903</v>
      </c>
      <c r="D630" s="89" t="s">
        <v>15</v>
      </c>
      <c r="E630" s="89" t="s">
        <v>720</v>
      </c>
      <c r="F630" s="102" t="n">
        <v>1159</v>
      </c>
      <c r="G630" s="102" t="n">
        <v>1507</v>
      </c>
      <c r="H630" s="103" t="s">
        <v>48</v>
      </c>
      <c r="I630" s="103">
        <f>IFERROR(VLOOKUP(A630,#REF!,15,0),0)+IFERROR(VLOOKUP(A630,#REF!,25,0),0)+IFERROR(VLOOKUP(A630,#REF!,10,0),0)+IFERROR(VLOOKUP(A630,#REF!,14,0),0)+IFERROR(VLOOKUP(A630,#REF!,10,0),0)+IFERROR(VLOOKUP(A630,#REF!,10,0),0)+IFERROR(VLOOKUP(A630,#REF!,10,0),0)+IFERROR(VLOOKUP(A630,#REF!,9,0),0)+IFERROR(VLOOKUP(A630,#REF!,9,0),0)+IFERROR(VLOOKUP(A630,#REF!,9,0),0)+IFERROR(VLOOKUP(A630,#REF!,9,0),0)</f>
        <v>0</v>
      </c>
      <c r="J630" s="104">
        <f>IFERROR(VLOOKUP(A630,#REF!,16,0),0)+IFERROR(VLOOKUP(A630,#REF!,26,0),0)+IFERROR(VLOOKUP(A630,#REF!,11,0),0)+IFERROR(VLOOKUP(A630,#REF!,23,0),0)+IFERROR(VLOOKUP(A630,#REF!,11,0),0)+IFERROR(VLOOKUP(A630,#REF!,11,0),0)+IFERROR(VLOOKUP(A630,#REF!,11,0),0)</f>
        <v>0</v>
      </c>
      <c r="K630" s="96" t="str">
        <f>"07.02.24"</f>
        <v>07.02.24</v>
      </c>
    </row>
    <row r="631" spans="1:11" ht="11.25" customHeight="1" outlineLevel="1">
      <c r="A631" s="89" t="n">
        <v>38945</v>
      </c>
      <c r="B631" s="114" t="s">
        <v>601</v>
      </c>
      <c r="C631" s="89" t="s">
        <v>904</v>
      </c>
      <c r="D631" s="89" t="s">
        <v>15</v>
      </c>
      <c r="E631" s="89" t="s">
        <v>720</v>
      </c>
      <c r="F631" s="102" t="n">
        <v>957</v>
      </c>
      <c r="G631" s="102" t="n">
        <v>1244</v>
      </c>
      <c r="H631" s="103" t="s">
        <v>17</v>
      </c>
      <c r="I631" s="103">
        <f>IFERROR(VLOOKUP(A631,#REF!,15,0),0)+IFERROR(VLOOKUP(A631,#REF!,25,0),0)+IFERROR(VLOOKUP(A631,#REF!,10,0),0)+IFERROR(VLOOKUP(A631,#REF!,14,0),0)+IFERROR(VLOOKUP(A631,#REF!,10,0),0)+IFERROR(VLOOKUP(A631,#REF!,10,0),0)+IFERROR(VLOOKUP(A631,#REF!,10,0),0)+IFERROR(VLOOKUP(A631,#REF!,9,0),0)+IFERROR(VLOOKUP(A631,#REF!,9,0),0)+IFERROR(VLOOKUP(A631,#REF!,9,0),0)+IFERROR(VLOOKUP(A631,#REF!,9,0),0)</f>
        <v>0</v>
      </c>
      <c r="J631" s="104">
        <f>IFERROR(VLOOKUP(A631,#REF!,16,0),0)+IFERROR(VLOOKUP(A631,#REF!,26,0),0)+IFERROR(VLOOKUP(A631,#REF!,11,0),0)+IFERROR(VLOOKUP(A631,#REF!,23,0),0)+IFERROR(VLOOKUP(A631,#REF!,11,0),0)+IFERROR(VLOOKUP(A631,#REF!,11,0),0)+IFERROR(VLOOKUP(A631,#REF!,11,0),0)</f>
        <v>0</v>
      </c>
      <c r="K631" s="96" t="str">
        <f>"07.02.24"</f>
        <v>07.02.24</v>
      </c>
    </row>
    <row r="632" spans="1:11" ht="11.25" customHeight="1" outlineLevel="1">
      <c r="A632" s="89" t="n">
        <v>38879</v>
      </c>
      <c r="B632" s="114" t="s">
        <v>601</v>
      </c>
      <c r="C632" s="89" t="s">
        <v>905</v>
      </c>
      <c r="D632" s="89" t="s">
        <v>15</v>
      </c>
      <c r="E632" s="89" t="s">
        <v>720</v>
      </c>
      <c r="F632" s="102" t="n">
        <v>978</v>
      </c>
      <c r="G632" s="102" t="n">
        <v>1271</v>
      </c>
      <c r="H632" s="103" t="s">
        <v>17</v>
      </c>
      <c r="I632" s="103">
        <f>IFERROR(VLOOKUP(A632,#REF!,15,0),0)+IFERROR(VLOOKUP(A632,#REF!,25,0),0)+IFERROR(VLOOKUP(A632,#REF!,10,0),0)+IFERROR(VLOOKUP(A632,#REF!,14,0),0)+IFERROR(VLOOKUP(A632,#REF!,10,0),0)+IFERROR(VLOOKUP(A632,#REF!,10,0),0)+IFERROR(VLOOKUP(A632,#REF!,10,0),0)+IFERROR(VLOOKUP(A632,#REF!,9,0),0)+IFERROR(VLOOKUP(A632,#REF!,9,0),0)+IFERROR(VLOOKUP(A632,#REF!,9,0),0)+IFERROR(VLOOKUP(A632,#REF!,9,0),0)</f>
        <v>0</v>
      </c>
      <c r="J632" s="104">
        <f>IFERROR(VLOOKUP(A632,#REF!,16,0),0)+IFERROR(VLOOKUP(A632,#REF!,26,0),0)+IFERROR(VLOOKUP(A632,#REF!,11,0),0)+IFERROR(VLOOKUP(A632,#REF!,23,0),0)+IFERROR(VLOOKUP(A632,#REF!,11,0),0)+IFERROR(VLOOKUP(A632,#REF!,11,0),0)+IFERROR(VLOOKUP(A632,#REF!,11,0),0)</f>
        <v>0</v>
      </c>
      <c r="K632" s="96" t="str">
        <f>"07.02.24"</f>
        <v>07.02.24</v>
      </c>
    </row>
    <row r="633" spans="1:11" ht="11.25" customHeight="1" outlineLevel="1">
      <c r="A633" s="89" t="n">
        <v>38955</v>
      </c>
      <c r="B633" s="114" t="s">
        <v>601</v>
      </c>
      <c r="C633" s="89" t="s">
        <v>906</v>
      </c>
      <c r="D633" s="89" t="s">
        <v>15</v>
      </c>
      <c r="E633" s="89" t="s">
        <v>720</v>
      </c>
      <c r="F633" s="102" t="n">
        <v>695</v>
      </c>
      <c r="G633" s="102" t="n">
        <v>904</v>
      </c>
      <c r="H633" s="103" t="s">
        <v>17</v>
      </c>
      <c r="I633" s="103">
        <f>IFERROR(VLOOKUP(A633,#REF!,15,0),0)+IFERROR(VLOOKUP(A633,#REF!,25,0),0)+IFERROR(VLOOKUP(A633,#REF!,10,0),0)+IFERROR(VLOOKUP(A633,#REF!,14,0),0)+IFERROR(VLOOKUP(A633,#REF!,10,0),0)+IFERROR(VLOOKUP(A633,#REF!,10,0),0)+IFERROR(VLOOKUP(A633,#REF!,10,0),0)+IFERROR(VLOOKUP(A633,#REF!,9,0),0)+IFERROR(VLOOKUP(A633,#REF!,9,0),0)+IFERROR(VLOOKUP(A633,#REF!,9,0),0)+IFERROR(VLOOKUP(A633,#REF!,9,0),0)</f>
        <v>0</v>
      </c>
      <c r="J633" s="104">
        <f>IFERROR(VLOOKUP(A633,#REF!,16,0),0)+IFERROR(VLOOKUP(A633,#REF!,26,0),0)+IFERROR(VLOOKUP(A633,#REF!,11,0),0)+IFERROR(VLOOKUP(A633,#REF!,23,0),0)+IFERROR(VLOOKUP(A633,#REF!,11,0),0)+IFERROR(VLOOKUP(A633,#REF!,11,0),0)+IFERROR(VLOOKUP(A633,#REF!,11,0),0)</f>
        <v>0</v>
      </c>
      <c r="K633" s="96" t="str">
        <f>"07.02.24"</f>
        <v>07.02.24</v>
      </c>
    </row>
    <row r="634" spans="1:11" ht="11.25" customHeight="1" outlineLevel="1">
      <c r="A634" s="89" t="n">
        <v>10046</v>
      </c>
      <c r="B634" s="114" t="s">
        <v>601</v>
      </c>
      <c r="C634" s="89" t="s">
        <v>907</v>
      </c>
      <c r="D634" s="89" t="s">
        <v>15</v>
      </c>
      <c r="E634" s="89" t="s">
        <v>720</v>
      </c>
      <c r="F634" s="102" t="n">
        <v>859</v>
      </c>
      <c r="G634" s="102" t="n">
        <v>1117</v>
      </c>
      <c r="H634" s="103" t="s">
        <v>17</v>
      </c>
      <c r="I634" s="103">
        <f>IFERROR(VLOOKUP(A634,#REF!,15,0),0)+IFERROR(VLOOKUP(A634,#REF!,25,0),0)+IFERROR(VLOOKUP(A634,#REF!,10,0),0)+IFERROR(VLOOKUP(A634,#REF!,14,0),0)+IFERROR(VLOOKUP(A634,#REF!,10,0),0)+IFERROR(VLOOKUP(A634,#REF!,10,0),0)+IFERROR(VLOOKUP(A634,#REF!,10,0),0)+IFERROR(VLOOKUP(A634,#REF!,9,0),0)+IFERROR(VLOOKUP(A634,#REF!,9,0),0)+IFERROR(VLOOKUP(A634,#REF!,9,0),0)+IFERROR(VLOOKUP(A634,#REF!,9,0),0)</f>
        <v>0</v>
      </c>
      <c r="J634" s="104">
        <f>IFERROR(VLOOKUP(A634,#REF!,16,0),0)+IFERROR(VLOOKUP(A634,#REF!,26,0),0)+IFERROR(VLOOKUP(A634,#REF!,11,0),0)+IFERROR(VLOOKUP(A634,#REF!,23,0),0)+IFERROR(VLOOKUP(A634,#REF!,11,0),0)+IFERROR(VLOOKUP(A634,#REF!,11,0),0)+IFERROR(VLOOKUP(A634,#REF!,11,0),0)</f>
        <v>0</v>
      </c>
      <c r="K634" s="96" t="str">
        <f>"07.02.24"</f>
        <v>07.02.24</v>
      </c>
    </row>
    <row r="635" spans="1:11" ht="11.25" customHeight="1" outlineLevel="1">
      <c r="A635" s="89" t="n">
        <v>1827150</v>
      </c>
      <c r="B635" s="114" t="s">
        <v>601</v>
      </c>
      <c r="C635" s="89" t="s">
        <v>908</v>
      </c>
      <c r="D635" s="89" t="s">
        <v>15</v>
      </c>
      <c r="E635" s="89" t="s">
        <v>717</v>
      </c>
      <c r="F635" s="102" t="n">
        <v>695</v>
      </c>
      <c r="G635" s="102" t="n">
        <v>904</v>
      </c>
      <c r="H635" s="103" t="s">
        <v>17</v>
      </c>
      <c r="I635" s="103">
        <f>IFERROR(VLOOKUP(A635,#REF!,15,0),0)+IFERROR(VLOOKUP(A635,#REF!,25,0),0)+IFERROR(VLOOKUP(A635,#REF!,10,0),0)+IFERROR(VLOOKUP(A635,#REF!,14,0),0)+IFERROR(VLOOKUP(A635,#REF!,10,0),0)+IFERROR(VLOOKUP(A635,#REF!,10,0),0)+IFERROR(VLOOKUP(A635,#REF!,10,0),0)+IFERROR(VLOOKUP(A635,#REF!,9,0),0)+IFERROR(VLOOKUP(A635,#REF!,9,0),0)+IFERROR(VLOOKUP(A635,#REF!,9,0),0)+IFERROR(VLOOKUP(A635,#REF!,9,0),0)</f>
        <v>0</v>
      </c>
      <c r="J635" s="104">
        <f>IFERROR(VLOOKUP(A635,#REF!,16,0),0)+IFERROR(VLOOKUP(A635,#REF!,26,0),0)+IFERROR(VLOOKUP(A635,#REF!,11,0),0)+IFERROR(VLOOKUP(A635,#REF!,23,0),0)+IFERROR(VLOOKUP(A635,#REF!,11,0),0)+IFERROR(VLOOKUP(A635,#REF!,11,0),0)+IFERROR(VLOOKUP(A635,#REF!,11,0),0)</f>
        <v>0</v>
      </c>
      <c r="K635" s="96" t="str">
        <f>"07.02.24"</f>
        <v>07.02.24</v>
      </c>
    </row>
    <row r="636" spans="1:11" ht="11.25" customHeight="1" outlineLevel="1">
      <c r="A636" s="89" t="n">
        <v>10047</v>
      </c>
      <c r="B636" s="114" t="s">
        <v>601</v>
      </c>
      <c r="C636" s="89" t="s">
        <v>909</v>
      </c>
      <c r="D636" s="89" t="s">
        <v>15</v>
      </c>
      <c r="E636" s="89" t="s">
        <v>720</v>
      </c>
      <c r="F636" s="102" t="n">
        <v>859</v>
      </c>
      <c r="G636" s="102" t="n">
        <v>1117</v>
      </c>
      <c r="H636" s="103" t="s">
        <v>17</v>
      </c>
      <c r="I636" s="103">
        <f>IFERROR(VLOOKUP(A636,#REF!,15,0),0)+IFERROR(VLOOKUP(A636,#REF!,25,0),0)+IFERROR(VLOOKUP(A636,#REF!,10,0),0)+IFERROR(VLOOKUP(A636,#REF!,14,0),0)+IFERROR(VLOOKUP(A636,#REF!,10,0),0)+IFERROR(VLOOKUP(A636,#REF!,10,0),0)+IFERROR(VLOOKUP(A636,#REF!,10,0),0)+IFERROR(VLOOKUP(A636,#REF!,9,0),0)+IFERROR(VLOOKUP(A636,#REF!,9,0),0)+IFERROR(VLOOKUP(A636,#REF!,9,0),0)+IFERROR(VLOOKUP(A636,#REF!,9,0),0)</f>
        <v>0</v>
      </c>
      <c r="J636" s="104">
        <f>IFERROR(VLOOKUP(A636,#REF!,16,0),0)+IFERROR(VLOOKUP(A636,#REF!,26,0),0)+IFERROR(VLOOKUP(A636,#REF!,11,0),0)+IFERROR(VLOOKUP(A636,#REF!,23,0),0)+IFERROR(VLOOKUP(A636,#REF!,11,0),0)+IFERROR(VLOOKUP(A636,#REF!,11,0),0)+IFERROR(VLOOKUP(A636,#REF!,11,0),0)</f>
        <v>0</v>
      </c>
      <c r="K636" s="96" t="str">
        <f>"07.02.24"</f>
        <v>07.02.24</v>
      </c>
    </row>
    <row r="637" spans="1:11" ht="11.25" customHeight="1" outlineLevel="1">
      <c r="A637" s="89" t="n">
        <v>38956</v>
      </c>
      <c r="B637" s="114" t="s">
        <v>601</v>
      </c>
      <c r="C637" s="89" t="s">
        <v>910</v>
      </c>
      <c r="D637" s="89" t="s">
        <v>15</v>
      </c>
      <c r="E637" s="89" t="s">
        <v>720</v>
      </c>
      <c r="F637" s="102" t="n">
        <v>740</v>
      </c>
      <c r="G637" s="102" t="n">
        <v>962</v>
      </c>
      <c r="H637" s="103" t="s">
        <v>17</v>
      </c>
      <c r="I637" s="103">
        <f>IFERROR(VLOOKUP(A637,#REF!,15,0),0)+IFERROR(VLOOKUP(A637,#REF!,25,0),0)+IFERROR(VLOOKUP(A637,#REF!,10,0),0)+IFERROR(VLOOKUP(A637,#REF!,14,0),0)+IFERROR(VLOOKUP(A637,#REF!,10,0),0)+IFERROR(VLOOKUP(A637,#REF!,10,0),0)+IFERROR(VLOOKUP(A637,#REF!,10,0),0)+IFERROR(VLOOKUP(A637,#REF!,9,0),0)+IFERROR(VLOOKUP(A637,#REF!,9,0),0)+IFERROR(VLOOKUP(A637,#REF!,9,0),0)+IFERROR(VLOOKUP(A637,#REF!,9,0),0)</f>
        <v>0</v>
      </c>
      <c r="J637" s="104">
        <f>IFERROR(VLOOKUP(A637,#REF!,16,0),0)+IFERROR(VLOOKUP(A637,#REF!,26,0),0)+IFERROR(VLOOKUP(A637,#REF!,11,0),0)+IFERROR(VLOOKUP(A637,#REF!,23,0),0)+IFERROR(VLOOKUP(A637,#REF!,11,0),0)+IFERROR(VLOOKUP(A637,#REF!,11,0),0)+IFERROR(VLOOKUP(A637,#REF!,11,0),0)</f>
        <v>0</v>
      </c>
      <c r="K637" s="96" t="str">
        <f>"07.02.24"</f>
        <v>07.02.24</v>
      </c>
    </row>
    <row r="638" spans="1:11" ht="11.25" customHeight="1" outlineLevel="1">
      <c r="A638" s="89" t="n">
        <v>10048</v>
      </c>
      <c r="B638" s="114" t="s">
        <v>601</v>
      </c>
      <c r="C638" s="89" t="s">
        <v>911</v>
      </c>
      <c r="D638" s="89" t="s">
        <v>15</v>
      </c>
      <c r="E638" s="89" t="s">
        <v>720</v>
      </c>
      <c r="F638" s="102" t="n">
        <v>993</v>
      </c>
      <c r="G638" s="102" t="n">
        <v>1291</v>
      </c>
      <c r="H638" s="103" t="s">
        <v>17</v>
      </c>
      <c r="I638" s="103">
        <f>IFERROR(VLOOKUP(A638,#REF!,15,0),0)+IFERROR(VLOOKUP(A638,#REF!,25,0),0)+IFERROR(VLOOKUP(A638,#REF!,10,0),0)+IFERROR(VLOOKUP(A638,#REF!,14,0),0)+IFERROR(VLOOKUP(A638,#REF!,10,0),0)+IFERROR(VLOOKUP(A638,#REF!,10,0),0)+IFERROR(VLOOKUP(A638,#REF!,10,0),0)+IFERROR(VLOOKUP(A638,#REF!,9,0),0)+IFERROR(VLOOKUP(A638,#REF!,9,0),0)+IFERROR(VLOOKUP(A638,#REF!,9,0),0)+IFERROR(VLOOKUP(A638,#REF!,9,0),0)</f>
        <v>0</v>
      </c>
      <c r="J638" s="104">
        <f>IFERROR(VLOOKUP(A638,#REF!,16,0),0)+IFERROR(VLOOKUP(A638,#REF!,26,0),0)+IFERROR(VLOOKUP(A638,#REF!,11,0),0)+IFERROR(VLOOKUP(A638,#REF!,23,0),0)+IFERROR(VLOOKUP(A638,#REF!,11,0),0)+IFERROR(VLOOKUP(A638,#REF!,11,0),0)+IFERROR(VLOOKUP(A638,#REF!,11,0),0)</f>
        <v>0</v>
      </c>
      <c r="K638" s="96" t="str">
        <f>"07.02.24"</f>
        <v>07.02.24</v>
      </c>
    </row>
    <row r="639" spans="1:11" ht="11.25" customHeight="1" outlineLevel="1">
      <c r="A639" s="89" t="n">
        <v>38877</v>
      </c>
      <c r="B639" s="114" t="s">
        <v>601</v>
      </c>
      <c r="C639" s="89" t="s">
        <v>912</v>
      </c>
      <c r="D639" s="89" t="s">
        <v>15</v>
      </c>
      <c r="E639" s="89" t="s">
        <v>720</v>
      </c>
      <c r="F639" s="102" t="n">
        <v>1351</v>
      </c>
      <c r="G639" s="102" t="n">
        <v>1758</v>
      </c>
      <c r="H639" s="103" t="s">
        <v>48</v>
      </c>
      <c r="I639" s="103">
        <f>IFERROR(VLOOKUP(A639,#REF!,15,0),0)+IFERROR(VLOOKUP(A639,#REF!,25,0),0)+IFERROR(VLOOKUP(A639,#REF!,10,0),0)+IFERROR(VLOOKUP(A639,#REF!,14,0),0)+IFERROR(VLOOKUP(A639,#REF!,10,0),0)+IFERROR(VLOOKUP(A639,#REF!,10,0),0)+IFERROR(VLOOKUP(A639,#REF!,10,0),0)+IFERROR(VLOOKUP(A639,#REF!,9,0),0)+IFERROR(VLOOKUP(A639,#REF!,9,0),0)+IFERROR(VLOOKUP(A639,#REF!,9,0),0)+IFERROR(VLOOKUP(A639,#REF!,9,0),0)</f>
        <v>0</v>
      </c>
      <c r="J639" s="104">
        <f>IFERROR(VLOOKUP(A639,#REF!,16,0),0)+IFERROR(VLOOKUP(A639,#REF!,26,0),0)+IFERROR(VLOOKUP(A639,#REF!,11,0),0)+IFERROR(VLOOKUP(A639,#REF!,23,0),0)+IFERROR(VLOOKUP(A639,#REF!,11,0),0)+IFERROR(VLOOKUP(A639,#REF!,11,0),0)+IFERROR(VLOOKUP(A639,#REF!,11,0),0)</f>
        <v>0</v>
      </c>
      <c r="K639" s="96" t="str">
        <f>"07.02.24"</f>
        <v>07.02.24</v>
      </c>
    </row>
    <row r="640" spans="1:11" ht="11.25" customHeight="1" outlineLevel="1">
      <c r="A640" s="89" t="n">
        <v>7054530</v>
      </c>
      <c r="B640" s="114" t="s">
        <v>601</v>
      </c>
      <c r="C640" s="89" t="s">
        <v>913</v>
      </c>
      <c r="D640" s="89" t="s">
        <v>15</v>
      </c>
      <c r="E640" s="89" t="s">
        <v>720</v>
      </c>
      <c r="F640" s="102" t="n">
        <v>791</v>
      </c>
      <c r="G640" s="102" t="n">
        <v>1029</v>
      </c>
      <c r="H640" s="103" t="s">
        <v>17</v>
      </c>
      <c r="I640" s="103">
        <f>IFERROR(VLOOKUP(A640,#REF!,15,0),0)+IFERROR(VLOOKUP(A640,#REF!,25,0),0)+IFERROR(VLOOKUP(A640,#REF!,10,0),0)+IFERROR(VLOOKUP(A640,#REF!,14,0),0)+IFERROR(VLOOKUP(A640,#REF!,10,0),0)+IFERROR(VLOOKUP(A640,#REF!,10,0),0)+IFERROR(VLOOKUP(A640,#REF!,10,0),0)+IFERROR(VLOOKUP(A640,#REF!,9,0),0)+IFERROR(VLOOKUP(A640,#REF!,9,0),0)+IFERROR(VLOOKUP(A640,#REF!,9,0),0)+IFERROR(VLOOKUP(A640,#REF!,9,0),0)</f>
        <v>0</v>
      </c>
      <c r="J640" s="104">
        <f>IFERROR(VLOOKUP(A640,#REF!,16,0),0)+IFERROR(VLOOKUP(A640,#REF!,26,0),0)+IFERROR(VLOOKUP(A640,#REF!,11,0),0)+IFERROR(VLOOKUP(A640,#REF!,23,0),0)+IFERROR(VLOOKUP(A640,#REF!,11,0),0)+IFERROR(VLOOKUP(A640,#REF!,11,0),0)+IFERROR(VLOOKUP(A640,#REF!,11,0),0)</f>
        <v>0</v>
      </c>
      <c r="K640" s="96" t="str">
        <f>"07.02.24"</f>
        <v>07.02.24</v>
      </c>
    </row>
    <row r="641" spans="1:11" ht="11.25" customHeight="1" outlineLevel="1">
      <c r="A641" s="89" t="n">
        <v>6901</v>
      </c>
      <c r="B641" s="114" t="s">
        <v>601</v>
      </c>
      <c r="C641" s="89" t="s">
        <v>914</v>
      </c>
      <c r="D641" s="89" t="s">
        <v>15</v>
      </c>
      <c r="E641" s="89" t="s">
        <v>720</v>
      </c>
      <c r="F641" s="102" t="n">
        <v>1028</v>
      </c>
      <c r="G641" s="102" t="n">
        <v>1337</v>
      </c>
      <c r="H641" s="103" t="s">
        <v>48</v>
      </c>
      <c r="I641" s="103">
        <f>IFERROR(VLOOKUP(A641,#REF!,15,0),0)+IFERROR(VLOOKUP(A641,#REF!,25,0),0)+IFERROR(VLOOKUP(A641,#REF!,10,0),0)+IFERROR(VLOOKUP(A641,#REF!,14,0),0)+IFERROR(VLOOKUP(A641,#REF!,10,0),0)+IFERROR(VLOOKUP(A641,#REF!,10,0),0)+IFERROR(VLOOKUP(A641,#REF!,10,0),0)+IFERROR(VLOOKUP(A641,#REF!,9,0),0)+IFERROR(VLOOKUP(A641,#REF!,9,0),0)+IFERROR(VLOOKUP(A641,#REF!,9,0),0)+IFERROR(VLOOKUP(A641,#REF!,9,0),0)</f>
        <v>0</v>
      </c>
      <c r="J641" s="104">
        <f>IFERROR(VLOOKUP(A641,#REF!,16,0),0)+IFERROR(VLOOKUP(A641,#REF!,26,0),0)+IFERROR(VLOOKUP(A641,#REF!,11,0),0)+IFERROR(VLOOKUP(A641,#REF!,23,0),0)+IFERROR(VLOOKUP(A641,#REF!,11,0),0)+IFERROR(VLOOKUP(A641,#REF!,11,0),0)+IFERROR(VLOOKUP(A641,#REF!,11,0),0)</f>
        <v>0</v>
      </c>
      <c r="K641" s="96" t="str">
        <f>"07.02.24"</f>
        <v>07.02.24</v>
      </c>
    </row>
    <row r="642" spans="1:11" ht="11.25" customHeight="1" outlineLevel="1">
      <c r="A642" s="89" t="n">
        <v>23945</v>
      </c>
      <c r="B642" s="114" t="s">
        <v>601</v>
      </c>
      <c r="C642" s="89" t="s">
        <v>915</v>
      </c>
      <c r="D642" s="89" t="s">
        <v>15</v>
      </c>
      <c r="E642" s="89" t="s">
        <v>720</v>
      </c>
      <c r="F642" s="102" t="n">
        <v>1127</v>
      </c>
      <c r="G642" s="102" t="n">
        <v>1466</v>
      </c>
      <c r="H642" s="103" t="s">
        <v>48</v>
      </c>
      <c r="I642" s="103">
        <f>IFERROR(VLOOKUP(A642,#REF!,15,0),0)+IFERROR(VLOOKUP(A642,#REF!,25,0),0)+IFERROR(VLOOKUP(A642,#REF!,10,0),0)+IFERROR(VLOOKUP(A642,#REF!,14,0),0)+IFERROR(VLOOKUP(A642,#REF!,10,0),0)+IFERROR(VLOOKUP(A642,#REF!,10,0),0)+IFERROR(VLOOKUP(A642,#REF!,10,0),0)+IFERROR(VLOOKUP(A642,#REF!,9,0),0)+IFERROR(VLOOKUP(A642,#REF!,9,0),0)+IFERROR(VLOOKUP(A642,#REF!,9,0),0)+IFERROR(VLOOKUP(A642,#REF!,9,0),0)</f>
        <v>0</v>
      </c>
      <c r="J642" s="104">
        <f>IFERROR(VLOOKUP(A642,#REF!,16,0),0)+IFERROR(VLOOKUP(A642,#REF!,26,0),0)+IFERROR(VLOOKUP(A642,#REF!,11,0),0)+IFERROR(VLOOKUP(A642,#REF!,23,0),0)+IFERROR(VLOOKUP(A642,#REF!,11,0),0)+IFERROR(VLOOKUP(A642,#REF!,11,0),0)+IFERROR(VLOOKUP(A642,#REF!,11,0),0)</f>
        <v>0</v>
      </c>
      <c r="K642" s="96" t="str">
        <f>"07.02.24"</f>
        <v>07.02.24</v>
      </c>
    </row>
    <row r="643" spans="1:11" ht="11.25" customHeight="1" outlineLevel="1">
      <c r="A643" s="89" t="n">
        <v>7054470</v>
      </c>
      <c r="B643" s="114" t="s">
        <v>601</v>
      </c>
      <c r="C643" s="89" t="s">
        <v>916</v>
      </c>
      <c r="D643" s="89" t="s">
        <v>15</v>
      </c>
      <c r="E643" s="89" t="s">
        <v>720</v>
      </c>
      <c r="F643" s="102" t="n">
        <v>525</v>
      </c>
      <c r="G643" s="102" t="n">
        <v>682</v>
      </c>
      <c r="H643" s="103" t="s">
        <v>17</v>
      </c>
      <c r="I643" s="103">
        <f>IFERROR(VLOOKUP(A643,#REF!,15,0),0)+IFERROR(VLOOKUP(A643,#REF!,25,0),0)+IFERROR(VLOOKUP(A643,#REF!,10,0),0)+IFERROR(VLOOKUP(A643,#REF!,14,0),0)+IFERROR(VLOOKUP(A643,#REF!,10,0),0)+IFERROR(VLOOKUP(A643,#REF!,10,0),0)+IFERROR(VLOOKUP(A643,#REF!,10,0),0)+IFERROR(VLOOKUP(A643,#REF!,9,0),0)+IFERROR(VLOOKUP(A643,#REF!,9,0),0)+IFERROR(VLOOKUP(A643,#REF!,9,0),0)+IFERROR(VLOOKUP(A643,#REF!,9,0),0)</f>
        <v>0</v>
      </c>
      <c r="J643" s="104">
        <f>IFERROR(VLOOKUP(A643,#REF!,16,0),0)+IFERROR(VLOOKUP(A643,#REF!,26,0),0)+IFERROR(VLOOKUP(A643,#REF!,11,0),0)+IFERROR(VLOOKUP(A643,#REF!,23,0),0)+IFERROR(VLOOKUP(A643,#REF!,11,0),0)+IFERROR(VLOOKUP(A643,#REF!,11,0),0)+IFERROR(VLOOKUP(A643,#REF!,11,0),0)</f>
        <v>0</v>
      </c>
      <c r="K643" s="96" t="str">
        <f>"07.02.24"</f>
        <v>07.02.24</v>
      </c>
    </row>
    <row r="644" spans="1:11" ht="11.25" customHeight="1" outlineLevel="1">
      <c r="A644" s="89" t="n">
        <v>7054480</v>
      </c>
      <c r="B644" s="114" t="s">
        <v>601</v>
      </c>
      <c r="C644" s="89" t="s">
        <v>917</v>
      </c>
      <c r="D644" s="89" t="s">
        <v>15</v>
      </c>
      <c r="E644" s="89" t="s">
        <v>720</v>
      </c>
      <c r="F644" s="102" t="n">
        <v>565</v>
      </c>
      <c r="G644" s="102" t="n">
        <v>735</v>
      </c>
      <c r="H644" s="103" t="s">
        <v>17</v>
      </c>
      <c r="I644" s="103">
        <f>IFERROR(VLOOKUP(A644,#REF!,15,0),0)+IFERROR(VLOOKUP(A644,#REF!,25,0),0)+IFERROR(VLOOKUP(A644,#REF!,10,0),0)+IFERROR(VLOOKUP(A644,#REF!,14,0),0)+IFERROR(VLOOKUP(A644,#REF!,10,0),0)+IFERROR(VLOOKUP(A644,#REF!,10,0),0)+IFERROR(VLOOKUP(A644,#REF!,10,0),0)+IFERROR(VLOOKUP(A644,#REF!,9,0),0)+IFERROR(VLOOKUP(A644,#REF!,9,0),0)+IFERROR(VLOOKUP(A644,#REF!,9,0),0)+IFERROR(VLOOKUP(A644,#REF!,9,0),0)</f>
        <v>0</v>
      </c>
      <c r="J644" s="104">
        <f>IFERROR(VLOOKUP(A644,#REF!,16,0),0)+IFERROR(VLOOKUP(A644,#REF!,26,0),0)+IFERROR(VLOOKUP(A644,#REF!,11,0),0)+IFERROR(VLOOKUP(A644,#REF!,23,0),0)+IFERROR(VLOOKUP(A644,#REF!,11,0),0)+IFERROR(VLOOKUP(A644,#REF!,11,0),0)+IFERROR(VLOOKUP(A644,#REF!,11,0),0)</f>
        <v>0</v>
      </c>
      <c r="K644" s="96" t="str">
        <f>"07.02.24"</f>
        <v>07.02.24</v>
      </c>
    </row>
    <row r="645" spans="1:11" ht="11.25" customHeight="1" outlineLevel="1">
      <c r="A645" s="89" t="n">
        <v>7054490</v>
      </c>
      <c r="B645" s="114" t="s">
        <v>601</v>
      </c>
      <c r="C645" s="89" t="s">
        <v>918</v>
      </c>
      <c r="D645" s="89" t="s">
        <v>15</v>
      </c>
      <c r="E645" s="89" t="s">
        <v>720</v>
      </c>
      <c r="F645" s="102" t="n">
        <v>208</v>
      </c>
      <c r="G645" s="102" t="n">
        <v>271</v>
      </c>
      <c r="H645" s="103" t="s">
        <v>17</v>
      </c>
      <c r="I645" s="103">
        <f>IFERROR(VLOOKUP(A645,#REF!,15,0),0)+IFERROR(VLOOKUP(A645,#REF!,25,0),0)+IFERROR(VLOOKUP(A645,#REF!,10,0),0)+IFERROR(VLOOKUP(A645,#REF!,14,0),0)+IFERROR(VLOOKUP(A645,#REF!,10,0),0)+IFERROR(VLOOKUP(A645,#REF!,10,0),0)+IFERROR(VLOOKUP(A645,#REF!,10,0),0)+IFERROR(VLOOKUP(A645,#REF!,9,0),0)+IFERROR(VLOOKUP(A645,#REF!,9,0),0)+IFERROR(VLOOKUP(A645,#REF!,9,0),0)+IFERROR(VLOOKUP(A645,#REF!,9,0),0)</f>
        <v>0</v>
      </c>
      <c r="J645" s="104">
        <f>IFERROR(VLOOKUP(A645,#REF!,16,0),0)+IFERROR(VLOOKUP(A645,#REF!,26,0),0)+IFERROR(VLOOKUP(A645,#REF!,11,0),0)+IFERROR(VLOOKUP(A645,#REF!,23,0),0)+IFERROR(VLOOKUP(A645,#REF!,11,0),0)+IFERROR(VLOOKUP(A645,#REF!,11,0),0)+IFERROR(VLOOKUP(A645,#REF!,11,0),0)</f>
        <v>0</v>
      </c>
      <c r="K645" s="96" t="str">
        <f>"07.02.24"</f>
        <v>07.02.24</v>
      </c>
    </row>
    <row r="646" spans="1:11" ht="11.25" customHeight="1" outlineLevel="1">
      <c r="A646" s="89" t="n">
        <v>28424</v>
      </c>
      <c r="B646" s="114" t="s">
        <v>601</v>
      </c>
      <c r="C646" s="89" t="s">
        <v>919</v>
      </c>
      <c r="D646" s="89" t="s">
        <v>15</v>
      </c>
      <c r="E646" s="89" t="s">
        <v>920</v>
      </c>
      <c r="F646" s="102" t="n">
        <v>40</v>
      </c>
      <c r="G646" s="102" t="n">
        <v>52</v>
      </c>
      <c r="H646" s="103" t="s">
        <v>48</v>
      </c>
      <c r="I646" s="103">
        <f>IFERROR(VLOOKUP(A646,#REF!,15,0),0)+IFERROR(VLOOKUP(A646,#REF!,25,0),0)+IFERROR(VLOOKUP(A646,#REF!,10,0),0)+IFERROR(VLOOKUP(A646,#REF!,14,0),0)+IFERROR(VLOOKUP(A646,#REF!,10,0),0)+IFERROR(VLOOKUP(A646,#REF!,10,0),0)+IFERROR(VLOOKUP(A646,#REF!,10,0),0)+IFERROR(VLOOKUP(A646,#REF!,9,0),0)+IFERROR(VLOOKUP(A646,#REF!,9,0),0)+IFERROR(VLOOKUP(A646,#REF!,9,0),0)+IFERROR(VLOOKUP(A646,#REF!,9,0),0)</f>
        <v>0</v>
      </c>
      <c r="J646" s="104">
        <f>IFERROR(VLOOKUP(A646,#REF!,16,0),0)+IFERROR(VLOOKUP(A646,#REF!,26,0),0)+IFERROR(VLOOKUP(A646,#REF!,11,0),0)+IFERROR(VLOOKUP(A646,#REF!,23,0),0)+IFERROR(VLOOKUP(A646,#REF!,11,0),0)+IFERROR(VLOOKUP(A646,#REF!,11,0),0)+IFERROR(VLOOKUP(A646,#REF!,11,0),0)</f>
        <v>0</v>
      </c>
      <c r="K646" s="96" t="str">
        <f>"07.02.24"</f>
        <v>07.02.24</v>
      </c>
    </row>
    <row r="647" spans="1:11" ht="11.25" customHeight="1" outlineLevel="1">
      <c r="A647" s="89" t="n">
        <v>8251</v>
      </c>
      <c r="B647" s="114" t="s">
        <v>601</v>
      </c>
      <c r="C647" s="89" t="s">
        <v>921</v>
      </c>
      <c r="D647" s="89" t="s">
        <v>15</v>
      </c>
      <c r="E647" s="89" t="s">
        <v>922</v>
      </c>
      <c r="F647" s="102" t="n">
        <v>3398</v>
      </c>
      <c r="G647" s="102" t="n">
        <v>4587</v>
      </c>
      <c r="H647" s="103" t="s">
        <v>17</v>
      </c>
      <c r="I647" s="103">
        <f>IFERROR(VLOOKUP(A647,#REF!,15,0),0)+IFERROR(VLOOKUP(A647,#REF!,25,0),0)+IFERROR(VLOOKUP(A647,#REF!,10,0),0)+IFERROR(VLOOKUP(A647,#REF!,14,0),0)+IFERROR(VLOOKUP(A647,#REF!,10,0),0)+IFERROR(VLOOKUP(A647,#REF!,10,0),0)+IFERROR(VLOOKUP(A647,#REF!,10,0),0)+IFERROR(VLOOKUP(A647,#REF!,9,0),0)+IFERROR(VLOOKUP(A647,#REF!,9,0),0)+IFERROR(VLOOKUP(A647,#REF!,9,0),0)+IFERROR(VLOOKUP(A647,#REF!,9,0),0)</f>
        <v>0</v>
      </c>
      <c r="J647" s="104">
        <f>IFERROR(VLOOKUP(A647,#REF!,16,0),0)+IFERROR(VLOOKUP(A647,#REF!,26,0),0)+IFERROR(VLOOKUP(A647,#REF!,11,0),0)+IFERROR(VLOOKUP(A647,#REF!,23,0),0)+IFERROR(VLOOKUP(A647,#REF!,11,0),0)+IFERROR(VLOOKUP(A647,#REF!,11,0),0)+IFERROR(VLOOKUP(A647,#REF!,11,0),0)</f>
        <v>0</v>
      </c>
      <c r="K647" s="96" t="str">
        <f>"07.02.24"</f>
        <v>07.02.24</v>
      </c>
    </row>
    <row r="648" spans="1:11" ht="11.25" customHeight="1" outlineLevel="1">
      <c r="A648" s="89" t="n">
        <v>30048</v>
      </c>
      <c r="B648" s="114" t="s">
        <v>601</v>
      </c>
      <c r="C648" s="89" t="s">
        <v>923</v>
      </c>
      <c r="D648" s="89" t="s">
        <v>15</v>
      </c>
      <c r="E648" s="89" t="s">
        <v>924</v>
      </c>
      <c r="F648" s="102" t="n">
        <v>4032</v>
      </c>
      <c r="G648" s="102" t="n">
        <v>5443</v>
      </c>
      <c r="H648" s="103" t="s">
        <v>48</v>
      </c>
      <c r="I648" s="103">
        <f>IFERROR(VLOOKUP(A648,#REF!,15,0),0)+IFERROR(VLOOKUP(A648,#REF!,25,0),0)+IFERROR(VLOOKUP(A648,#REF!,10,0),0)+IFERROR(VLOOKUP(A648,#REF!,14,0),0)+IFERROR(VLOOKUP(A648,#REF!,10,0),0)+IFERROR(VLOOKUP(A648,#REF!,10,0),0)+IFERROR(VLOOKUP(A648,#REF!,10,0),0)+IFERROR(VLOOKUP(A648,#REF!,9,0),0)+IFERROR(VLOOKUP(A648,#REF!,9,0),0)+IFERROR(VLOOKUP(A648,#REF!,9,0),0)+IFERROR(VLOOKUP(A648,#REF!,9,0),0)</f>
        <v>0</v>
      </c>
      <c r="J648" s="104">
        <f>IFERROR(VLOOKUP(A648,#REF!,16,0),0)+IFERROR(VLOOKUP(A648,#REF!,26,0),0)+IFERROR(VLOOKUP(A648,#REF!,11,0),0)+IFERROR(VLOOKUP(A648,#REF!,23,0),0)+IFERROR(VLOOKUP(A648,#REF!,11,0),0)+IFERROR(VLOOKUP(A648,#REF!,11,0),0)+IFERROR(VLOOKUP(A648,#REF!,11,0),0)</f>
        <v>0</v>
      </c>
      <c r="K648" s="96" t="str">
        <f>"07.02.24"</f>
        <v>07.02.24</v>
      </c>
    </row>
    <row r="649" spans="1:11" ht="11.25" customHeight="1" outlineLevel="1">
      <c r="A649" s="89" t="n">
        <v>24466</v>
      </c>
      <c r="B649" s="114" t="s">
        <v>601</v>
      </c>
      <c r="C649" s="89" t="s">
        <v>925</v>
      </c>
      <c r="D649" s="89" t="s">
        <v>15</v>
      </c>
      <c r="E649" s="89" t="s">
        <v>926</v>
      </c>
      <c r="F649" s="102" t="n">
        <v>3061</v>
      </c>
      <c r="G649" s="102" t="n">
        <v>4133</v>
      </c>
      <c r="H649" s="103" t="s">
        <v>17</v>
      </c>
      <c r="I649" s="103">
        <f>IFERROR(VLOOKUP(A649,#REF!,15,0),0)+IFERROR(VLOOKUP(A649,#REF!,25,0),0)+IFERROR(VLOOKUP(A649,#REF!,10,0),0)+IFERROR(VLOOKUP(A649,#REF!,14,0),0)+IFERROR(VLOOKUP(A649,#REF!,10,0),0)+IFERROR(VLOOKUP(A649,#REF!,10,0),0)+IFERROR(VLOOKUP(A649,#REF!,10,0),0)+IFERROR(VLOOKUP(A649,#REF!,9,0),0)+IFERROR(VLOOKUP(A649,#REF!,9,0),0)+IFERROR(VLOOKUP(A649,#REF!,9,0),0)+IFERROR(VLOOKUP(A649,#REF!,9,0),0)</f>
        <v>0</v>
      </c>
      <c r="J649" s="104">
        <f>IFERROR(VLOOKUP(A649,#REF!,16,0),0)+IFERROR(VLOOKUP(A649,#REF!,26,0),0)+IFERROR(VLOOKUP(A649,#REF!,11,0),0)+IFERROR(VLOOKUP(A649,#REF!,23,0),0)+IFERROR(VLOOKUP(A649,#REF!,11,0),0)+IFERROR(VLOOKUP(A649,#REF!,11,0),0)+IFERROR(VLOOKUP(A649,#REF!,11,0),0)</f>
        <v>0</v>
      </c>
      <c r="K649" s="96" t="str">
        <f>"07.02.24"</f>
        <v>07.02.24</v>
      </c>
    </row>
    <row r="650" spans="1:11" ht="11.25" customHeight="1" outlineLevel="1">
      <c r="A650" s="89" t="n">
        <v>26560</v>
      </c>
      <c r="B650" s="114" t="s">
        <v>601</v>
      </c>
      <c r="C650" s="89" t="s">
        <v>927</v>
      </c>
      <c r="D650" s="89" t="s">
        <v>15</v>
      </c>
      <c r="E650" s="89" t="s">
        <v>926</v>
      </c>
      <c r="F650" s="102" t="n">
        <v>3061</v>
      </c>
      <c r="G650" s="102" t="n">
        <v>4133</v>
      </c>
      <c r="H650" s="103" t="s">
        <v>48</v>
      </c>
      <c r="I650" s="103">
        <f>IFERROR(VLOOKUP(A650,#REF!,15,0),0)+IFERROR(VLOOKUP(A650,#REF!,25,0),0)+IFERROR(VLOOKUP(A650,#REF!,10,0),0)+IFERROR(VLOOKUP(A650,#REF!,14,0),0)+IFERROR(VLOOKUP(A650,#REF!,10,0),0)+IFERROR(VLOOKUP(A650,#REF!,10,0),0)+IFERROR(VLOOKUP(A650,#REF!,10,0),0)+IFERROR(VLOOKUP(A650,#REF!,9,0),0)+IFERROR(VLOOKUP(A650,#REF!,9,0),0)+IFERROR(VLOOKUP(A650,#REF!,9,0),0)+IFERROR(VLOOKUP(A650,#REF!,9,0),0)</f>
        <v>0</v>
      </c>
      <c r="J650" s="104">
        <f>IFERROR(VLOOKUP(A650,#REF!,16,0),0)+IFERROR(VLOOKUP(A650,#REF!,26,0),0)+IFERROR(VLOOKUP(A650,#REF!,11,0),0)+IFERROR(VLOOKUP(A650,#REF!,23,0),0)+IFERROR(VLOOKUP(A650,#REF!,11,0),0)+IFERROR(VLOOKUP(A650,#REF!,11,0),0)+IFERROR(VLOOKUP(A650,#REF!,11,0),0)</f>
        <v>0</v>
      </c>
      <c r="K650" s="96" t="str">
        <f>"07.02.24"</f>
        <v>07.02.24</v>
      </c>
    </row>
    <row r="651" spans="1:11" ht="11.25" customHeight="1" outlineLevel="1">
      <c r="A651" s="89" t="n">
        <v>26561</v>
      </c>
      <c r="B651" s="114" t="s">
        <v>601</v>
      </c>
      <c r="C651" s="89" t="s">
        <v>928</v>
      </c>
      <c r="D651" s="89" t="s">
        <v>15</v>
      </c>
      <c r="E651" s="89" t="s">
        <v>924</v>
      </c>
      <c r="F651" s="102" t="n">
        <v>3305</v>
      </c>
      <c r="G651" s="102" t="n">
        <v>4462</v>
      </c>
      <c r="H651" s="103" t="s">
        <v>48</v>
      </c>
      <c r="I651" s="103">
        <f>IFERROR(VLOOKUP(A651,#REF!,15,0),0)+IFERROR(VLOOKUP(A651,#REF!,25,0),0)+IFERROR(VLOOKUP(A651,#REF!,10,0),0)+IFERROR(VLOOKUP(A651,#REF!,14,0),0)+IFERROR(VLOOKUP(A651,#REF!,10,0),0)+IFERROR(VLOOKUP(A651,#REF!,10,0),0)+IFERROR(VLOOKUP(A651,#REF!,10,0),0)+IFERROR(VLOOKUP(A651,#REF!,9,0),0)+IFERROR(VLOOKUP(A651,#REF!,9,0),0)+IFERROR(VLOOKUP(A651,#REF!,9,0),0)+IFERROR(VLOOKUP(A651,#REF!,9,0),0)</f>
        <v>0</v>
      </c>
      <c r="J651" s="104">
        <f>IFERROR(VLOOKUP(A651,#REF!,16,0),0)+IFERROR(VLOOKUP(A651,#REF!,26,0),0)+IFERROR(VLOOKUP(A651,#REF!,11,0),0)+IFERROR(VLOOKUP(A651,#REF!,23,0),0)+IFERROR(VLOOKUP(A651,#REF!,11,0),0)+IFERROR(VLOOKUP(A651,#REF!,11,0),0)+IFERROR(VLOOKUP(A651,#REF!,11,0),0)</f>
        <v>0</v>
      </c>
      <c r="K651" s="96" t="str">
        <f>"07.02.24"</f>
        <v>07.02.24</v>
      </c>
    </row>
    <row r="652" spans="1:11" ht="11.25" customHeight="1" outlineLevel="1">
      <c r="A652" s="89" t="n">
        <v>11449</v>
      </c>
      <c r="B652" s="114" t="s">
        <v>601</v>
      </c>
      <c r="C652" s="89" t="s">
        <v>929</v>
      </c>
      <c r="D652" s="89" t="s">
        <v>15</v>
      </c>
      <c r="E652" s="89" t="s">
        <v>924</v>
      </c>
      <c r="F652" s="102" t="n">
        <v>3876</v>
      </c>
      <c r="G652" s="102" t="n">
        <v>5232</v>
      </c>
      <c r="H652" s="103" t="s">
        <v>48</v>
      </c>
      <c r="I652" s="103">
        <f>IFERROR(VLOOKUP(A652,#REF!,15,0),0)+IFERROR(VLOOKUP(A652,#REF!,25,0),0)+IFERROR(VLOOKUP(A652,#REF!,10,0),0)+IFERROR(VLOOKUP(A652,#REF!,14,0),0)+IFERROR(VLOOKUP(A652,#REF!,10,0),0)+IFERROR(VLOOKUP(A652,#REF!,10,0),0)+IFERROR(VLOOKUP(A652,#REF!,10,0),0)+IFERROR(VLOOKUP(A652,#REF!,9,0),0)+IFERROR(VLOOKUP(A652,#REF!,9,0),0)+IFERROR(VLOOKUP(A652,#REF!,9,0),0)+IFERROR(VLOOKUP(A652,#REF!,9,0),0)</f>
        <v>0</v>
      </c>
      <c r="J652" s="104">
        <f>IFERROR(VLOOKUP(A652,#REF!,16,0),0)+IFERROR(VLOOKUP(A652,#REF!,26,0),0)+IFERROR(VLOOKUP(A652,#REF!,11,0),0)+IFERROR(VLOOKUP(A652,#REF!,23,0),0)+IFERROR(VLOOKUP(A652,#REF!,11,0),0)+IFERROR(VLOOKUP(A652,#REF!,11,0),0)+IFERROR(VLOOKUP(A652,#REF!,11,0),0)</f>
        <v>0</v>
      </c>
      <c r="K652" s="96" t="str">
        <f>"07.02.24"</f>
        <v>07.02.24</v>
      </c>
    </row>
    <row r="653" spans="1:11" ht="11.25" customHeight="1" outlineLevel="1">
      <c r="A653" s="89" t="n">
        <v>27463</v>
      </c>
      <c r="B653" s="114" t="s">
        <v>601</v>
      </c>
      <c r="C653" s="89" t="s">
        <v>930</v>
      </c>
      <c r="D653" s="89" t="s">
        <v>15</v>
      </c>
      <c r="E653" s="89" t="s">
        <v>931</v>
      </c>
      <c r="F653" s="102" t="n">
        <v>1724</v>
      </c>
      <c r="G653" s="102" t="n">
        <v>2328</v>
      </c>
      <c r="H653" s="103" t="s">
        <v>17</v>
      </c>
      <c r="I653" s="103">
        <f>IFERROR(VLOOKUP(A653,#REF!,15,0),0)+IFERROR(VLOOKUP(A653,#REF!,25,0),0)+IFERROR(VLOOKUP(A653,#REF!,10,0),0)+IFERROR(VLOOKUP(A653,#REF!,14,0),0)+IFERROR(VLOOKUP(A653,#REF!,10,0),0)+IFERROR(VLOOKUP(A653,#REF!,10,0),0)+IFERROR(VLOOKUP(A653,#REF!,10,0),0)+IFERROR(VLOOKUP(A653,#REF!,9,0),0)+IFERROR(VLOOKUP(A653,#REF!,9,0),0)+IFERROR(VLOOKUP(A653,#REF!,9,0),0)+IFERROR(VLOOKUP(A653,#REF!,9,0),0)</f>
        <v>0</v>
      </c>
      <c r="J653" s="104">
        <f>IFERROR(VLOOKUP(A653,#REF!,16,0),0)+IFERROR(VLOOKUP(A653,#REF!,26,0),0)+IFERROR(VLOOKUP(A653,#REF!,11,0),0)+IFERROR(VLOOKUP(A653,#REF!,23,0),0)+IFERROR(VLOOKUP(A653,#REF!,11,0),0)+IFERROR(VLOOKUP(A653,#REF!,11,0),0)+IFERROR(VLOOKUP(A653,#REF!,11,0),0)</f>
        <v>0</v>
      </c>
      <c r="K653" s="96" t="str">
        <f>"07.02.24"</f>
        <v>07.02.24</v>
      </c>
    </row>
    <row r="654" spans="1:11" ht="11.25" customHeight="1" outlineLevel="1">
      <c r="A654" s="89" t="n">
        <v>24463</v>
      </c>
      <c r="B654" s="114" t="s">
        <v>601</v>
      </c>
      <c r="C654" s="89" t="s">
        <v>932</v>
      </c>
      <c r="D654" s="89" t="s">
        <v>15</v>
      </c>
      <c r="E654" s="89" t="s">
        <v>933</v>
      </c>
      <c r="F654" s="102" t="n">
        <v>2922</v>
      </c>
      <c r="G654" s="102" t="n">
        <v>3944</v>
      </c>
      <c r="H654" s="103" t="s">
        <v>48</v>
      </c>
      <c r="I654" s="103">
        <f>IFERROR(VLOOKUP(A654,#REF!,15,0),0)+IFERROR(VLOOKUP(A654,#REF!,25,0),0)+IFERROR(VLOOKUP(A654,#REF!,10,0),0)+IFERROR(VLOOKUP(A654,#REF!,14,0),0)+IFERROR(VLOOKUP(A654,#REF!,10,0),0)+IFERROR(VLOOKUP(A654,#REF!,10,0),0)+IFERROR(VLOOKUP(A654,#REF!,10,0),0)+IFERROR(VLOOKUP(A654,#REF!,9,0),0)+IFERROR(VLOOKUP(A654,#REF!,9,0),0)+IFERROR(VLOOKUP(A654,#REF!,9,0),0)+IFERROR(VLOOKUP(A654,#REF!,9,0),0)</f>
        <v>0</v>
      </c>
      <c r="J654" s="104">
        <f>IFERROR(VLOOKUP(A654,#REF!,16,0),0)+IFERROR(VLOOKUP(A654,#REF!,26,0),0)+IFERROR(VLOOKUP(A654,#REF!,11,0),0)+IFERROR(VLOOKUP(A654,#REF!,23,0),0)+IFERROR(VLOOKUP(A654,#REF!,11,0),0)+IFERROR(VLOOKUP(A654,#REF!,11,0),0)+IFERROR(VLOOKUP(A654,#REF!,11,0),0)</f>
        <v>0</v>
      </c>
      <c r="K654" s="96" t="str">
        <f>"07.02.24"</f>
        <v>07.02.24</v>
      </c>
    </row>
    <row r="655" spans="1:11" ht="11.25" customHeight="1" outlineLevel="1">
      <c r="A655" s="89" t="n">
        <v>7051300</v>
      </c>
      <c r="B655" s="114" t="s">
        <v>601</v>
      </c>
      <c r="C655" s="89" t="s">
        <v>934</v>
      </c>
      <c r="D655" s="89" t="s">
        <v>15</v>
      </c>
      <c r="E655" s="89" t="s">
        <v>933</v>
      </c>
      <c r="F655" s="102" t="n">
        <v>4210</v>
      </c>
      <c r="G655" s="102" t="n">
        <v>5683</v>
      </c>
      <c r="H655" s="103" t="s">
        <v>17</v>
      </c>
      <c r="I655" s="103">
        <f>IFERROR(VLOOKUP(A655,#REF!,15,0),0)+IFERROR(VLOOKUP(A655,#REF!,25,0),0)+IFERROR(VLOOKUP(A655,#REF!,10,0),0)+IFERROR(VLOOKUP(A655,#REF!,14,0),0)+IFERROR(VLOOKUP(A655,#REF!,10,0),0)+IFERROR(VLOOKUP(A655,#REF!,10,0),0)+IFERROR(VLOOKUP(A655,#REF!,10,0),0)+IFERROR(VLOOKUP(A655,#REF!,9,0),0)+IFERROR(VLOOKUP(A655,#REF!,9,0),0)+IFERROR(VLOOKUP(A655,#REF!,9,0),0)+IFERROR(VLOOKUP(A655,#REF!,9,0),0)</f>
        <v>0</v>
      </c>
      <c r="J655" s="104">
        <f>IFERROR(VLOOKUP(A655,#REF!,16,0),0)+IFERROR(VLOOKUP(A655,#REF!,26,0),0)+IFERROR(VLOOKUP(A655,#REF!,11,0),0)+IFERROR(VLOOKUP(A655,#REF!,23,0),0)+IFERROR(VLOOKUP(A655,#REF!,11,0),0)+IFERROR(VLOOKUP(A655,#REF!,11,0),0)+IFERROR(VLOOKUP(A655,#REF!,11,0),0)</f>
        <v>0</v>
      </c>
      <c r="K655" s="96" t="str">
        <f>"07.02.24"</f>
        <v>07.02.24</v>
      </c>
    </row>
    <row r="656" spans="1:11" ht="11.25" customHeight="1" outlineLevel="1">
      <c r="A656" s="89" t="n">
        <v>7051320</v>
      </c>
      <c r="B656" s="114" t="s">
        <v>601</v>
      </c>
      <c r="C656" s="89" t="s">
        <v>935</v>
      </c>
      <c r="D656" s="89" t="s">
        <v>15</v>
      </c>
      <c r="E656" s="89" t="s">
        <v>933</v>
      </c>
      <c r="F656" s="102" t="n">
        <v>1650</v>
      </c>
      <c r="G656" s="102" t="n">
        <v>2228</v>
      </c>
      <c r="H656" s="103" t="s">
        <v>17</v>
      </c>
      <c r="I656" s="103">
        <f>IFERROR(VLOOKUP(A656,#REF!,15,0),0)+IFERROR(VLOOKUP(A656,#REF!,25,0),0)+IFERROR(VLOOKUP(A656,#REF!,10,0),0)+IFERROR(VLOOKUP(A656,#REF!,14,0),0)+IFERROR(VLOOKUP(A656,#REF!,10,0),0)+IFERROR(VLOOKUP(A656,#REF!,10,0),0)+IFERROR(VLOOKUP(A656,#REF!,10,0),0)+IFERROR(VLOOKUP(A656,#REF!,9,0),0)+IFERROR(VLOOKUP(A656,#REF!,9,0),0)+IFERROR(VLOOKUP(A656,#REF!,9,0),0)+IFERROR(VLOOKUP(A656,#REF!,9,0),0)</f>
        <v>0</v>
      </c>
      <c r="J656" s="104">
        <f>IFERROR(VLOOKUP(A656,#REF!,16,0),0)+IFERROR(VLOOKUP(A656,#REF!,26,0),0)+IFERROR(VLOOKUP(A656,#REF!,11,0),0)+IFERROR(VLOOKUP(A656,#REF!,23,0),0)+IFERROR(VLOOKUP(A656,#REF!,11,0),0)+IFERROR(VLOOKUP(A656,#REF!,11,0),0)+IFERROR(VLOOKUP(A656,#REF!,11,0),0)</f>
        <v>0</v>
      </c>
      <c r="K656" s="96" t="str">
        <f>"07.02.24"</f>
        <v>07.02.24</v>
      </c>
    </row>
    <row r="657" spans="1:11" ht="11.25" customHeight="1" outlineLevel="1">
      <c r="A657" s="89" t="n">
        <v>24464</v>
      </c>
      <c r="B657" s="114" t="s">
        <v>601</v>
      </c>
      <c r="C657" s="89" t="s">
        <v>936</v>
      </c>
      <c r="D657" s="89" t="s">
        <v>15</v>
      </c>
      <c r="E657" s="89" t="s">
        <v>937</v>
      </c>
      <c r="F657" s="102" t="n">
        <v>7284</v>
      </c>
      <c r="G657" s="102" t="n">
        <v>9834</v>
      </c>
      <c r="H657" s="103" t="s">
        <v>17</v>
      </c>
      <c r="I657" s="103">
        <f>IFERROR(VLOOKUP(A657,#REF!,15,0),0)+IFERROR(VLOOKUP(A657,#REF!,25,0),0)+IFERROR(VLOOKUP(A657,#REF!,10,0),0)+IFERROR(VLOOKUP(A657,#REF!,14,0),0)+IFERROR(VLOOKUP(A657,#REF!,10,0),0)+IFERROR(VLOOKUP(A657,#REF!,10,0),0)+IFERROR(VLOOKUP(A657,#REF!,10,0),0)+IFERROR(VLOOKUP(A657,#REF!,9,0),0)+IFERROR(VLOOKUP(A657,#REF!,9,0),0)+IFERROR(VLOOKUP(A657,#REF!,9,0),0)+IFERROR(VLOOKUP(A657,#REF!,9,0),0)</f>
        <v>0</v>
      </c>
      <c r="J657" s="104">
        <f>IFERROR(VLOOKUP(A657,#REF!,16,0),0)+IFERROR(VLOOKUP(A657,#REF!,26,0),0)+IFERROR(VLOOKUP(A657,#REF!,11,0),0)+IFERROR(VLOOKUP(A657,#REF!,23,0),0)+IFERROR(VLOOKUP(A657,#REF!,11,0),0)+IFERROR(VLOOKUP(A657,#REF!,11,0),0)+IFERROR(VLOOKUP(A657,#REF!,11,0),0)</f>
        <v>0</v>
      </c>
      <c r="K657" s="96" t="str">
        <f>"07.02.24"</f>
        <v>07.02.24</v>
      </c>
    </row>
    <row r="658" spans="1:11" ht="11.25" customHeight="1" outlineLevel="1">
      <c r="A658" s="89" t="n">
        <v>24461</v>
      </c>
      <c r="B658" s="114" t="s">
        <v>601</v>
      </c>
      <c r="C658" s="89" t="s">
        <v>938</v>
      </c>
      <c r="D658" s="89" t="s">
        <v>15</v>
      </c>
      <c r="E658" s="89" t="s">
        <v>939</v>
      </c>
      <c r="F658" s="102" t="n">
        <v>994</v>
      </c>
      <c r="G658" s="102" t="n">
        <v>1342</v>
      </c>
      <c r="H658" s="103" t="s">
        <v>17</v>
      </c>
      <c r="I658" s="103">
        <f>IFERROR(VLOOKUP(A658,#REF!,15,0),0)+IFERROR(VLOOKUP(A658,#REF!,25,0),0)+IFERROR(VLOOKUP(A658,#REF!,10,0),0)+IFERROR(VLOOKUP(A658,#REF!,14,0),0)+IFERROR(VLOOKUP(A658,#REF!,10,0),0)+IFERROR(VLOOKUP(A658,#REF!,10,0),0)+IFERROR(VLOOKUP(A658,#REF!,10,0),0)+IFERROR(VLOOKUP(A658,#REF!,9,0),0)+IFERROR(VLOOKUP(A658,#REF!,9,0),0)+IFERROR(VLOOKUP(A658,#REF!,9,0),0)+IFERROR(VLOOKUP(A658,#REF!,9,0),0)</f>
        <v>0</v>
      </c>
      <c r="J658" s="104">
        <f>IFERROR(VLOOKUP(A658,#REF!,16,0),0)+IFERROR(VLOOKUP(A658,#REF!,26,0),0)+IFERROR(VLOOKUP(A658,#REF!,11,0),0)+IFERROR(VLOOKUP(A658,#REF!,23,0),0)+IFERROR(VLOOKUP(A658,#REF!,11,0),0)+IFERROR(VLOOKUP(A658,#REF!,11,0),0)+IFERROR(VLOOKUP(A658,#REF!,11,0),0)</f>
        <v>0</v>
      </c>
      <c r="K658" s="96" t="str">
        <f>"07.02.24"</f>
        <v>07.02.24</v>
      </c>
    </row>
    <row r="659" spans="1:11" ht="11.25" customHeight="1" outlineLevel="1">
      <c r="A659" s="89" t="n">
        <v>24462</v>
      </c>
      <c r="B659" s="114" t="s">
        <v>601</v>
      </c>
      <c r="C659" s="89" t="s">
        <v>940</v>
      </c>
      <c r="D659" s="89" t="s">
        <v>15</v>
      </c>
      <c r="E659" s="89" t="s">
        <v>939</v>
      </c>
      <c r="F659" s="102" t="n">
        <v>1315</v>
      </c>
      <c r="G659" s="102" t="n">
        <v>1776</v>
      </c>
      <c r="H659" s="103" t="s">
        <v>17</v>
      </c>
      <c r="I659" s="103">
        <f>IFERROR(VLOOKUP(A659,#REF!,15,0),0)+IFERROR(VLOOKUP(A659,#REF!,25,0),0)+IFERROR(VLOOKUP(A659,#REF!,10,0),0)+IFERROR(VLOOKUP(A659,#REF!,14,0),0)+IFERROR(VLOOKUP(A659,#REF!,10,0),0)+IFERROR(VLOOKUP(A659,#REF!,10,0),0)+IFERROR(VLOOKUP(A659,#REF!,10,0),0)+IFERROR(VLOOKUP(A659,#REF!,9,0),0)+IFERROR(VLOOKUP(A659,#REF!,9,0),0)+IFERROR(VLOOKUP(A659,#REF!,9,0),0)+IFERROR(VLOOKUP(A659,#REF!,9,0),0)</f>
        <v>0</v>
      </c>
      <c r="J659" s="104">
        <f>IFERROR(VLOOKUP(A659,#REF!,16,0),0)+IFERROR(VLOOKUP(A659,#REF!,26,0),0)+IFERROR(VLOOKUP(A659,#REF!,11,0),0)+IFERROR(VLOOKUP(A659,#REF!,23,0),0)+IFERROR(VLOOKUP(A659,#REF!,11,0),0)+IFERROR(VLOOKUP(A659,#REF!,11,0),0)+IFERROR(VLOOKUP(A659,#REF!,11,0),0)</f>
        <v>0</v>
      </c>
      <c r="K659" s="96" t="str">
        <f>"07.02.24"</f>
        <v>07.02.24</v>
      </c>
    </row>
    <row r="660" spans="1:11" ht="11.25" customHeight="1" outlineLevel="1">
      <c r="A660" s="89" t="n">
        <v>27464</v>
      </c>
      <c r="B660" s="114" t="s">
        <v>601</v>
      </c>
      <c r="C660" s="89" t="s">
        <v>941</v>
      </c>
      <c r="D660" s="89" t="s">
        <v>15</v>
      </c>
      <c r="E660" s="89" t="s">
        <v>942</v>
      </c>
      <c r="F660" s="102" t="n">
        <v>2879</v>
      </c>
      <c r="G660" s="102" t="n">
        <v>3886</v>
      </c>
      <c r="H660" s="103" t="s">
        <v>17</v>
      </c>
      <c r="I660" s="103">
        <f>IFERROR(VLOOKUP(A660,#REF!,15,0),0)+IFERROR(VLOOKUP(A660,#REF!,25,0),0)+IFERROR(VLOOKUP(A660,#REF!,10,0),0)+IFERROR(VLOOKUP(A660,#REF!,14,0),0)+IFERROR(VLOOKUP(A660,#REF!,10,0),0)+IFERROR(VLOOKUP(A660,#REF!,10,0),0)+IFERROR(VLOOKUP(A660,#REF!,10,0),0)+IFERROR(VLOOKUP(A660,#REF!,9,0),0)+IFERROR(VLOOKUP(A660,#REF!,9,0),0)+IFERROR(VLOOKUP(A660,#REF!,9,0),0)+IFERROR(VLOOKUP(A660,#REF!,9,0),0)</f>
        <v>0</v>
      </c>
      <c r="J660" s="104">
        <f>IFERROR(VLOOKUP(A660,#REF!,16,0),0)+IFERROR(VLOOKUP(A660,#REF!,26,0),0)+IFERROR(VLOOKUP(A660,#REF!,11,0),0)+IFERROR(VLOOKUP(A660,#REF!,23,0),0)+IFERROR(VLOOKUP(A660,#REF!,11,0),0)+IFERROR(VLOOKUP(A660,#REF!,11,0),0)+IFERROR(VLOOKUP(A660,#REF!,11,0),0)</f>
        <v>0</v>
      </c>
      <c r="K660" s="96" t="str">
        <f>"07.02.24"</f>
        <v>07.02.24</v>
      </c>
    </row>
    <row r="661" spans="1:11" ht="11.25" customHeight="1" outlineLevel="1">
      <c r="A661" s="89" t="n">
        <v>24465</v>
      </c>
      <c r="B661" s="114" t="s">
        <v>601</v>
      </c>
      <c r="C661" s="89" t="s">
        <v>943</v>
      </c>
      <c r="D661" s="89" t="s">
        <v>15</v>
      </c>
      <c r="E661" s="89" t="s">
        <v>942</v>
      </c>
      <c r="F661" s="102" t="n">
        <v>2234</v>
      </c>
      <c r="G661" s="102" t="n">
        <v>3016</v>
      </c>
      <c r="H661" s="103" t="s">
        <v>17</v>
      </c>
      <c r="I661" s="103">
        <f>IFERROR(VLOOKUP(A661,#REF!,15,0),0)+IFERROR(VLOOKUP(A661,#REF!,25,0),0)+IFERROR(VLOOKUP(A661,#REF!,10,0),0)+IFERROR(VLOOKUP(A661,#REF!,14,0),0)+IFERROR(VLOOKUP(A661,#REF!,10,0),0)+IFERROR(VLOOKUP(A661,#REF!,10,0),0)+IFERROR(VLOOKUP(A661,#REF!,10,0),0)+IFERROR(VLOOKUP(A661,#REF!,9,0),0)+IFERROR(VLOOKUP(A661,#REF!,9,0),0)+IFERROR(VLOOKUP(A661,#REF!,9,0),0)+IFERROR(VLOOKUP(A661,#REF!,9,0),0)</f>
        <v>0</v>
      </c>
      <c r="J661" s="104">
        <f>IFERROR(VLOOKUP(A661,#REF!,16,0),0)+IFERROR(VLOOKUP(A661,#REF!,26,0),0)+IFERROR(VLOOKUP(A661,#REF!,11,0),0)+IFERROR(VLOOKUP(A661,#REF!,23,0),0)+IFERROR(VLOOKUP(A661,#REF!,11,0),0)+IFERROR(VLOOKUP(A661,#REF!,11,0),0)+IFERROR(VLOOKUP(A661,#REF!,11,0),0)</f>
        <v>0</v>
      </c>
      <c r="K661" s="96" t="str">
        <f>"07.02.24"</f>
        <v>07.02.24</v>
      </c>
    </row>
    <row r="662" spans="1:11" ht="11.25" customHeight="1" outlineLevel="1">
      <c r="A662" s="89" t="n">
        <v>4166790</v>
      </c>
      <c r="B662" s="114" t="s">
        <v>601</v>
      </c>
      <c r="C662" s="89" t="s">
        <v>944</v>
      </c>
      <c r="D662" s="89" t="s">
        <v>15</v>
      </c>
      <c r="E662" s="89"/>
      <c r="F662" s="102" t="n">
        <v>5432</v>
      </c>
      <c r="G662" s="102" t="n">
        <v>7333</v>
      </c>
      <c r="H662" s="103" t="s">
        <v>17</v>
      </c>
      <c r="I662" s="103">
        <f>IFERROR(VLOOKUP(A662,#REF!,15,0),0)+IFERROR(VLOOKUP(A662,#REF!,25,0),0)+IFERROR(VLOOKUP(A662,#REF!,10,0),0)+IFERROR(VLOOKUP(A662,#REF!,14,0),0)+IFERROR(VLOOKUP(A662,#REF!,10,0),0)+IFERROR(VLOOKUP(A662,#REF!,10,0),0)+IFERROR(VLOOKUP(A662,#REF!,10,0),0)+IFERROR(VLOOKUP(A662,#REF!,9,0),0)+IFERROR(VLOOKUP(A662,#REF!,9,0),0)+IFERROR(VLOOKUP(A662,#REF!,9,0),0)+IFERROR(VLOOKUP(A662,#REF!,9,0),0)</f>
        <v>0</v>
      </c>
      <c r="J662" s="104">
        <f>IFERROR(VLOOKUP(A662,#REF!,16,0),0)+IFERROR(VLOOKUP(A662,#REF!,26,0),0)+IFERROR(VLOOKUP(A662,#REF!,11,0),0)+IFERROR(VLOOKUP(A662,#REF!,23,0),0)+IFERROR(VLOOKUP(A662,#REF!,11,0),0)+IFERROR(VLOOKUP(A662,#REF!,11,0),0)+IFERROR(VLOOKUP(A662,#REF!,11,0),0)</f>
        <v>0</v>
      </c>
      <c r="K662" s="96" t="str">
        <f>"07.02.24"</f>
        <v>07.02.24</v>
      </c>
    </row>
    <row r="663" spans="1:11" ht="11.25" customHeight="1" outlineLevel="1">
      <c r="A663" s="89" t="n">
        <v>8080590</v>
      </c>
      <c r="B663" s="114" t="s">
        <v>601</v>
      </c>
      <c r="C663" s="89" t="s">
        <v>945</v>
      </c>
      <c r="D663" s="89" t="s">
        <v>15</v>
      </c>
      <c r="E663" s="89" t="s">
        <v>713</v>
      </c>
      <c r="F663" s="102" t="n">
        <v>2834</v>
      </c>
      <c r="G663" s="102" t="n">
        <v>3826</v>
      </c>
      <c r="H663" s="103" t="s">
        <v>17</v>
      </c>
      <c r="I663" s="103">
        <f>IFERROR(VLOOKUP(A663,#REF!,15,0),0)+IFERROR(VLOOKUP(A663,#REF!,25,0),0)+IFERROR(VLOOKUP(A663,#REF!,10,0),0)+IFERROR(VLOOKUP(A663,#REF!,14,0),0)+IFERROR(VLOOKUP(A663,#REF!,10,0),0)+IFERROR(VLOOKUP(A663,#REF!,10,0),0)+IFERROR(VLOOKUP(A663,#REF!,10,0),0)+IFERROR(VLOOKUP(A663,#REF!,9,0),0)+IFERROR(VLOOKUP(A663,#REF!,9,0),0)+IFERROR(VLOOKUP(A663,#REF!,9,0),0)+IFERROR(VLOOKUP(A663,#REF!,9,0),0)</f>
        <v>0</v>
      </c>
      <c r="J663" s="104">
        <f>IFERROR(VLOOKUP(A663,#REF!,16,0),0)+IFERROR(VLOOKUP(A663,#REF!,26,0),0)+IFERROR(VLOOKUP(A663,#REF!,11,0),0)+IFERROR(VLOOKUP(A663,#REF!,23,0),0)+IFERROR(VLOOKUP(A663,#REF!,11,0),0)+IFERROR(VLOOKUP(A663,#REF!,11,0),0)+IFERROR(VLOOKUP(A663,#REF!,11,0),0)</f>
        <v>0</v>
      </c>
      <c r="K663" s="96" t="str">
        <f>"07.02.24"</f>
        <v>07.02.24</v>
      </c>
    </row>
    <row r="664" spans="1:11" ht="11.25" customHeight="1" outlineLevel="1">
      <c r="A664" s="89" t="n">
        <v>10080</v>
      </c>
      <c r="B664" s="114" t="s">
        <v>601</v>
      </c>
      <c r="C664" s="89" t="s">
        <v>946</v>
      </c>
      <c r="D664" s="89" t="s">
        <v>15</v>
      </c>
      <c r="E664" s="89" t="s">
        <v>686</v>
      </c>
      <c r="F664" s="102" t="n">
        <v>4080</v>
      </c>
      <c r="G664" s="102" t="n">
        <v>5507</v>
      </c>
      <c r="H664" s="103" t="s">
        <v>17</v>
      </c>
      <c r="I664" s="103">
        <f>IFERROR(VLOOKUP(A664,#REF!,15,0),0)+IFERROR(VLOOKUP(A664,#REF!,25,0),0)+IFERROR(VLOOKUP(A664,#REF!,10,0),0)+IFERROR(VLOOKUP(A664,#REF!,14,0),0)+IFERROR(VLOOKUP(A664,#REF!,10,0),0)+IFERROR(VLOOKUP(A664,#REF!,10,0),0)+IFERROR(VLOOKUP(A664,#REF!,10,0),0)+IFERROR(VLOOKUP(A664,#REF!,9,0),0)+IFERROR(VLOOKUP(A664,#REF!,9,0),0)+IFERROR(VLOOKUP(A664,#REF!,9,0),0)+IFERROR(VLOOKUP(A664,#REF!,9,0),0)</f>
        <v>0</v>
      </c>
      <c r="J664" s="104">
        <f>IFERROR(VLOOKUP(A664,#REF!,16,0),0)+IFERROR(VLOOKUP(A664,#REF!,26,0),0)+IFERROR(VLOOKUP(A664,#REF!,11,0),0)+IFERROR(VLOOKUP(A664,#REF!,23,0),0)+IFERROR(VLOOKUP(A664,#REF!,11,0),0)+IFERROR(VLOOKUP(A664,#REF!,11,0),0)+IFERROR(VLOOKUP(A664,#REF!,11,0),0)</f>
        <v>0</v>
      </c>
      <c r="K664" s="96" t="str">
        <f>"07.02.24"</f>
        <v>07.02.24</v>
      </c>
    </row>
    <row r="665" spans="1:11" ht="11.25" customHeight="1" outlineLevel="1">
      <c r="A665" s="89" t="n">
        <v>13022</v>
      </c>
      <c r="B665" s="114" t="s">
        <v>601</v>
      </c>
      <c r="C665" s="89" t="s">
        <v>947</v>
      </c>
      <c r="D665" s="89" t="s">
        <v>15</v>
      </c>
      <c r="E665" s="89" t="s">
        <v>688</v>
      </c>
      <c r="F665" s="102" t="n">
        <v>6173</v>
      </c>
      <c r="G665" s="102" t="n">
        <v>8334</v>
      </c>
      <c r="H665" s="103" t="s">
        <v>48</v>
      </c>
      <c r="I665" s="103">
        <f>IFERROR(VLOOKUP(A665,#REF!,15,0),0)+IFERROR(VLOOKUP(A665,#REF!,25,0),0)+IFERROR(VLOOKUP(A665,#REF!,10,0),0)+IFERROR(VLOOKUP(A665,#REF!,14,0),0)+IFERROR(VLOOKUP(A665,#REF!,10,0),0)+IFERROR(VLOOKUP(A665,#REF!,10,0),0)+IFERROR(VLOOKUP(A665,#REF!,10,0),0)+IFERROR(VLOOKUP(A665,#REF!,9,0),0)+IFERROR(VLOOKUP(A665,#REF!,9,0),0)+IFERROR(VLOOKUP(A665,#REF!,9,0),0)+IFERROR(VLOOKUP(A665,#REF!,9,0),0)</f>
        <v>0</v>
      </c>
      <c r="J665" s="104">
        <f>IFERROR(VLOOKUP(A665,#REF!,16,0),0)+IFERROR(VLOOKUP(A665,#REF!,26,0),0)+IFERROR(VLOOKUP(A665,#REF!,11,0),0)+IFERROR(VLOOKUP(A665,#REF!,23,0),0)+IFERROR(VLOOKUP(A665,#REF!,11,0),0)+IFERROR(VLOOKUP(A665,#REF!,11,0),0)+IFERROR(VLOOKUP(A665,#REF!,11,0),0)</f>
        <v>0</v>
      </c>
      <c r="K665" s="96" t="str">
        <f>"07.02.24"</f>
        <v>07.02.24</v>
      </c>
    </row>
    <row r="666" spans="1:11" ht="11.25" customHeight="1" outlineLevel="1">
      <c r="A666" s="89" t="n">
        <v>13014</v>
      </c>
      <c r="B666" s="114" t="s">
        <v>601</v>
      </c>
      <c r="C666" s="89" t="s">
        <v>948</v>
      </c>
      <c r="D666" s="89" t="s">
        <v>15</v>
      </c>
      <c r="E666" s="89" t="s">
        <v>690</v>
      </c>
      <c r="F666" s="102" t="n">
        <v>6173</v>
      </c>
      <c r="G666" s="102" t="n">
        <v>8334</v>
      </c>
      <c r="H666" s="103" t="s">
        <v>17</v>
      </c>
      <c r="I666" s="103">
        <f>IFERROR(VLOOKUP(A666,#REF!,15,0),0)+IFERROR(VLOOKUP(A666,#REF!,25,0),0)+IFERROR(VLOOKUP(A666,#REF!,10,0),0)+IFERROR(VLOOKUP(A666,#REF!,14,0),0)+IFERROR(VLOOKUP(A666,#REF!,10,0),0)+IFERROR(VLOOKUP(A666,#REF!,10,0),0)+IFERROR(VLOOKUP(A666,#REF!,10,0),0)+IFERROR(VLOOKUP(A666,#REF!,9,0),0)+IFERROR(VLOOKUP(A666,#REF!,9,0),0)+IFERROR(VLOOKUP(A666,#REF!,9,0),0)+IFERROR(VLOOKUP(A666,#REF!,9,0),0)</f>
        <v>0</v>
      </c>
      <c r="J666" s="104">
        <f>IFERROR(VLOOKUP(A666,#REF!,16,0),0)+IFERROR(VLOOKUP(A666,#REF!,26,0),0)+IFERROR(VLOOKUP(A666,#REF!,11,0),0)+IFERROR(VLOOKUP(A666,#REF!,23,0),0)+IFERROR(VLOOKUP(A666,#REF!,11,0),0)+IFERROR(VLOOKUP(A666,#REF!,11,0),0)+IFERROR(VLOOKUP(A666,#REF!,11,0),0)</f>
        <v>0</v>
      </c>
      <c r="K666" s="96" t="str">
        <f>"07.02.24"</f>
        <v>07.02.24</v>
      </c>
    </row>
    <row r="667" spans="1:11" ht="11.25" customHeight="1" outlineLevel="1">
      <c r="A667" s="89" t="n">
        <v>25659</v>
      </c>
      <c r="B667" s="114" t="s">
        <v>601</v>
      </c>
      <c r="C667" s="89" t="s">
        <v>949</v>
      </c>
      <c r="D667" s="89" t="s">
        <v>15</v>
      </c>
      <c r="E667" s="89" t="s">
        <v>950</v>
      </c>
      <c r="F667" s="102" t="n">
        <v>2416</v>
      </c>
      <c r="G667" s="102" t="n">
        <v>3262</v>
      </c>
      <c r="H667" s="103" t="s">
        <v>17</v>
      </c>
      <c r="I667" s="103">
        <f>IFERROR(VLOOKUP(A667,#REF!,15,0),0)+IFERROR(VLOOKUP(A667,#REF!,25,0),0)+IFERROR(VLOOKUP(A667,#REF!,10,0),0)+IFERROR(VLOOKUP(A667,#REF!,14,0),0)+IFERROR(VLOOKUP(A667,#REF!,10,0),0)+IFERROR(VLOOKUP(A667,#REF!,10,0),0)+IFERROR(VLOOKUP(A667,#REF!,10,0),0)+IFERROR(VLOOKUP(A667,#REF!,9,0),0)+IFERROR(VLOOKUP(A667,#REF!,9,0),0)+IFERROR(VLOOKUP(A667,#REF!,9,0),0)+IFERROR(VLOOKUP(A667,#REF!,9,0),0)</f>
        <v>0</v>
      </c>
      <c r="J667" s="104">
        <f>IFERROR(VLOOKUP(A667,#REF!,16,0),0)+IFERROR(VLOOKUP(A667,#REF!,26,0),0)+IFERROR(VLOOKUP(A667,#REF!,11,0),0)+IFERROR(VLOOKUP(A667,#REF!,23,0),0)+IFERROR(VLOOKUP(A667,#REF!,11,0),0)+IFERROR(VLOOKUP(A667,#REF!,11,0),0)+IFERROR(VLOOKUP(A667,#REF!,11,0),0)</f>
        <v>0</v>
      </c>
      <c r="K667" s="96" t="str">
        <f>"07.02.24"</f>
        <v>07.02.24</v>
      </c>
    </row>
    <row r="668" spans="1:11" ht="11.25" customHeight="1" outlineLevel="1">
      <c r="A668" s="89" t="n">
        <v>13030</v>
      </c>
      <c r="B668" s="114" t="s">
        <v>601</v>
      </c>
      <c r="C668" s="89" t="s">
        <v>951</v>
      </c>
      <c r="D668" s="89" t="s">
        <v>15</v>
      </c>
      <c r="E668" s="89" t="s">
        <v>952</v>
      </c>
      <c r="F668" s="102" t="n">
        <v>3054</v>
      </c>
      <c r="G668" s="102" t="n">
        <v>4122</v>
      </c>
      <c r="H668" s="103" t="s">
        <v>17</v>
      </c>
      <c r="I668" s="103">
        <f>IFERROR(VLOOKUP(A668,#REF!,15,0),0)+IFERROR(VLOOKUP(A668,#REF!,25,0),0)+IFERROR(VLOOKUP(A668,#REF!,10,0),0)+IFERROR(VLOOKUP(A668,#REF!,14,0),0)+IFERROR(VLOOKUP(A668,#REF!,10,0),0)+IFERROR(VLOOKUP(A668,#REF!,10,0),0)+IFERROR(VLOOKUP(A668,#REF!,10,0),0)+IFERROR(VLOOKUP(A668,#REF!,9,0),0)+IFERROR(VLOOKUP(A668,#REF!,9,0),0)+IFERROR(VLOOKUP(A668,#REF!,9,0),0)+IFERROR(VLOOKUP(A668,#REF!,9,0),0)</f>
        <v>0</v>
      </c>
      <c r="J668" s="104">
        <f>IFERROR(VLOOKUP(A668,#REF!,16,0),0)+IFERROR(VLOOKUP(A668,#REF!,26,0),0)+IFERROR(VLOOKUP(A668,#REF!,11,0),0)+IFERROR(VLOOKUP(A668,#REF!,23,0),0)+IFERROR(VLOOKUP(A668,#REF!,11,0),0)+IFERROR(VLOOKUP(A668,#REF!,11,0),0)+IFERROR(VLOOKUP(A668,#REF!,11,0),0)</f>
        <v>0</v>
      </c>
      <c r="K668" s="96" t="str">
        <f>"07.02.24"</f>
        <v>07.02.24</v>
      </c>
    </row>
    <row r="669" spans="1:11" ht="11.25" customHeight="1" outlineLevel="1">
      <c r="A669" s="89" t="n">
        <v>22922</v>
      </c>
      <c r="B669" s="114" t="s">
        <v>601</v>
      </c>
      <c r="C669" s="89" t="s">
        <v>953</v>
      </c>
      <c r="D669" s="89" t="s">
        <v>15</v>
      </c>
      <c r="E669" s="89" t="s">
        <v>952</v>
      </c>
      <c r="F669" s="102" t="n">
        <v>3464</v>
      </c>
      <c r="G669" s="102" t="n">
        <v>4677</v>
      </c>
      <c r="H669" s="103" t="s">
        <v>17</v>
      </c>
      <c r="I669" s="103">
        <f>IFERROR(VLOOKUP(A669,#REF!,15,0),0)+IFERROR(VLOOKUP(A669,#REF!,25,0),0)+IFERROR(VLOOKUP(A669,#REF!,10,0),0)+IFERROR(VLOOKUP(A669,#REF!,14,0),0)+IFERROR(VLOOKUP(A669,#REF!,10,0),0)+IFERROR(VLOOKUP(A669,#REF!,10,0),0)+IFERROR(VLOOKUP(A669,#REF!,10,0),0)+IFERROR(VLOOKUP(A669,#REF!,9,0),0)+IFERROR(VLOOKUP(A669,#REF!,9,0),0)+IFERROR(VLOOKUP(A669,#REF!,9,0),0)+IFERROR(VLOOKUP(A669,#REF!,9,0),0)</f>
        <v>0</v>
      </c>
      <c r="J669" s="104">
        <f>IFERROR(VLOOKUP(A669,#REF!,16,0),0)+IFERROR(VLOOKUP(A669,#REF!,26,0),0)+IFERROR(VLOOKUP(A669,#REF!,11,0),0)+IFERROR(VLOOKUP(A669,#REF!,23,0),0)+IFERROR(VLOOKUP(A669,#REF!,11,0),0)+IFERROR(VLOOKUP(A669,#REF!,11,0),0)+IFERROR(VLOOKUP(A669,#REF!,11,0),0)</f>
        <v>0</v>
      </c>
      <c r="K669" s="96" t="str">
        <f>"07.02.24"</f>
        <v>07.02.24</v>
      </c>
    </row>
    <row r="670" spans="1:11" ht="11.25" customHeight="1" outlineLevel="1">
      <c r="A670" s="89" t="n">
        <v>19162</v>
      </c>
      <c r="B670" s="114" t="s">
        <v>601</v>
      </c>
      <c r="C670" s="89" t="s">
        <v>954</v>
      </c>
      <c r="D670" s="89" t="s">
        <v>15</v>
      </c>
      <c r="E670" s="89" t="s">
        <v>955</v>
      </c>
      <c r="F670" s="102" t="n">
        <v>2235</v>
      </c>
      <c r="G670" s="102" t="n">
        <v>3018</v>
      </c>
      <c r="H670" s="103" t="s">
        <v>17</v>
      </c>
      <c r="I670" s="103">
        <f>IFERROR(VLOOKUP(A670,#REF!,15,0),0)+IFERROR(VLOOKUP(A670,#REF!,25,0),0)+IFERROR(VLOOKUP(A670,#REF!,10,0),0)+IFERROR(VLOOKUP(A670,#REF!,14,0),0)+IFERROR(VLOOKUP(A670,#REF!,10,0),0)+IFERROR(VLOOKUP(A670,#REF!,10,0),0)+IFERROR(VLOOKUP(A670,#REF!,10,0),0)+IFERROR(VLOOKUP(A670,#REF!,9,0),0)+IFERROR(VLOOKUP(A670,#REF!,9,0),0)+IFERROR(VLOOKUP(A670,#REF!,9,0),0)+IFERROR(VLOOKUP(A670,#REF!,9,0),0)</f>
        <v>0</v>
      </c>
      <c r="J670" s="104">
        <f>IFERROR(VLOOKUP(A670,#REF!,16,0),0)+IFERROR(VLOOKUP(A670,#REF!,26,0),0)+IFERROR(VLOOKUP(A670,#REF!,11,0),0)+IFERROR(VLOOKUP(A670,#REF!,23,0),0)+IFERROR(VLOOKUP(A670,#REF!,11,0),0)+IFERROR(VLOOKUP(A670,#REF!,11,0),0)+IFERROR(VLOOKUP(A670,#REF!,11,0),0)</f>
        <v>0</v>
      </c>
      <c r="K670" s="96" t="str">
        <f>"07.02.24"</f>
        <v>07.02.24</v>
      </c>
    </row>
    <row r="671" spans="1:11" ht="11.25" customHeight="1" outlineLevel="1">
      <c r="A671" s="89" t="n">
        <v>13031</v>
      </c>
      <c r="B671" s="114" t="s">
        <v>601</v>
      </c>
      <c r="C671" s="89" t="s">
        <v>956</v>
      </c>
      <c r="D671" s="89" t="s">
        <v>15</v>
      </c>
      <c r="E671" s="89" t="s">
        <v>957</v>
      </c>
      <c r="F671" s="102" t="n">
        <v>2701</v>
      </c>
      <c r="G671" s="102" t="n">
        <v>3646</v>
      </c>
      <c r="H671" s="103" t="s">
        <v>48</v>
      </c>
      <c r="I671" s="103">
        <f>IFERROR(VLOOKUP(A671,#REF!,15,0),0)+IFERROR(VLOOKUP(A671,#REF!,25,0),0)+IFERROR(VLOOKUP(A671,#REF!,10,0),0)+IFERROR(VLOOKUP(A671,#REF!,14,0),0)+IFERROR(VLOOKUP(A671,#REF!,10,0),0)+IFERROR(VLOOKUP(A671,#REF!,10,0),0)+IFERROR(VLOOKUP(A671,#REF!,10,0),0)+IFERROR(VLOOKUP(A671,#REF!,9,0),0)+IFERROR(VLOOKUP(A671,#REF!,9,0),0)+IFERROR(VLOOKUP(A671,#REF!,9,0),0)+IFERROR(VLOOKUP(A671,#REF!,9,0),0)</f>
        <v>0</v>
      </c>
      <c r="J671" s="104">
        <f>IFERROR(VLOOKUP(A671,#REF!,16,0),0)+IFERROR(VLOOKUP(A671,#REF!,26,0),0)+IFERROR(VLOOKUP(A671,#REF!,11,0),0)+IFERROR(VLOOKUP(A671,#REF!,23,0),0)+IFERROR(VLOOKUP(A671,#REF!,11,0),0)+IFERROR(VLOOKUP(A671,#REF!,11,0),0)+IFERROR(VLOOKUP(A671,#REF!,11,0),0)</f>
        <v>0</v>
      </c>
      <c r="K671" s="96" t="str">
        <f>"07.02.24"</f>
        <v>07.02.24</v>
      </c>
    </row>
    <row r="672" spans="1:11" ht="11.25" customHeight="1" outlineLevel="1">
      <c r="A672" s="89" t="n">
        <v>22923</v>
      </c>
      <c r="B672" s="114" t="s">
        <v>601</v>
      </c>
      <c r="C672" s="89" t="s">
        <v>958</v>
      </c>
      <c r="D672" s="89" t="s">
        <v>15</v>
      </c>
      <c r="E672" s="89" t="s">
        <v>957</v>
      </c>
      <c r="F672" s="102" t="n">
        <v>5171</v>
      </c>
      <c r="G672" s="102" t="n">
        <v>6981</v>
      </c>
      <c r="H672" s="103" t="s">
        <v>17</v>
      </c>
      <c r="I672" s="103">
        <f>IFERROR(VLOOKUP(A672,#REF!,15,0),0)+IFERROR(VLOOKUP(A672,#REF!,25,0),0)+IFERROR(VLOOKUP(A672,#REF!,10,0),0)+IFERROR(VLOOKUP(A672,#REF!,14,0),0)+IFERROR(VLOOKUP(A672,#REF!,10,0),0)+IFERROR(VLOOKUP(A672,#REF!,10,0),0)+IFERROR(VLOOKUP(A672,#REF!,10,0),0)+IFERROR(VLOOKUP(A672,#REF!,9,0),0)+IFERROR(VLOOKUP(A672,#REF!,9,0),0)+IFERROR(VLOOKUP(A672,#REF!,9,0),0)+IFERROR(VLOOKUP(A672,#REF!,9,0),0)</f>
        <v>0</v>
      </c>
      <c r="J672" s="104">
        <f>IFERROR(VLOOKUP(A672,#REF!,16,0),0)+IFERROR(VLOOKUP(A672,#REF!,26,0),0)+IFERROR(VLOOKUP(A672,#REF!,11,0),0)+IFERROR(VLOOKUP(A672,#REF!,23,0),0)+IFERROR(VLOOKUP(A672,#REF!,11,0),0)+IFERROR(VLOOKUP(A672,#REF!,11,0),0)+IFERROR(VLOOKUP(A672,#REF!,11,0),0)</f>
        <v>0</v>
      </c>
      <c r="K672" s="96" t="str">
        <f>"07.02.24"</f>
        <v>07.02.24</v>
      </c>
    </row>
    <row r="673" spans="1:11" ht="11.25" customHeight="1" outlineLevel="1">
      <c r="A673" s="89" t="n">
        <v>13032</v>
      </c>
      <c r="B673" s="114" t="s">
        <v>601</v>
      </c>
      <c r="C673" s="89" t="s">
        <v>959</v>
      </c>
      <c r="D673" s="89" t="s">
        <v>15</v>
      </c>
      <c r="E673" s="89" t="s">
        <v>960</v>
      </c>
      <c r="F673" s="102" t="n">
        <v>6390</v>
      </c>
      <c r="G673" s="102" t="n">
        <v>8626</v>
      </c>
      <c r="H673" s="103" t="s">
        <v>48</v>
      </c>
      <c r="I673" s="103">
        <f>IFERROR(VLOOKUP(A673,#REF!,15,0),0)+IFERROR(VLOOKUP(A673,#REF!,25,0),0)+IFERROR(VLOOKUP(A673,#REF!,10,0),0)+IFERROR(VLOOKUP(A673,#REF!,14,0),0)+IFERROR(VLOOKUP(A673,#REF!,10,0),0)+IFERROR(VLOOKUP(A673,#REF!,10,0),0)+IFERROR(VLOOKUP(A673,#REF!,10,0),0)+IFERROR(VLOOKUP(A673,#REF!,9,0),0)+IFERROR(VLOOKUP(A673,#REF!,9,0),0)+IFERROR(VLOOKUP(A673,#REF!,9,0),0)+IFERROR(VLOOKUP(A673,#REF!,9,0),0)</f>
        <v>0</v>
      </c>
      <c r="J673" s="104">
        <f>IFERROR(VLOOKUP(A673,#REF!,16,0),0)+IFERROR(VLOOKUP(A673,#REF!,26,0),0)+IFERROR(VLOOKUP(A673,#REF!,11,0),0)+IFERROR(VLOOKUP(A673,#REF!,23,0),0)+IFERROR(VLOOKUP(A673,#REF!,11,0),0)+IFERROR(VLOOKUP(A673,#REF!,11,0),0)+IFERROR(VLOOKUP(A673,#REF!,11,0),0)</f>
        <v>0</v>
      </c>
      <c r="K673" s="96" t="str">
        <f>"07.02.24"</f>
        <v>07.02.24</v>
      </c>
    </row>
    <row r="674" spans="1:11" ht="11.25" customHeight="1" outlineLevel="1">
      <c r="A674" s="89" t="n">
        <v>22924</v>
      </c>
      <c r="B674" s="114" t="s">
        <v>601</v>
      </c>
      <c r="C674" s="89" t="s">
        <v>961</v>
      </c>
      <c r="D674" s="89" t="s">
        <v>15</v>
      </c>
      <c r="E674" s="89" t="s">
        <v>960</v>
      </c>
      <c r="F674" s="102" t="n">
        <v>7172</v>
      </c>
      <c r="G674" s="102" t="n">
        <v>9682</v>
      </c>
      <c r="H674" s="103" t="s">
        <v>17</v>
      </c>
      <c r="I674" s="103">
        <f>IFERROR(VLOOKUP(A674,#REF!,15,0),0)+IFERROR(VLOOKUP(A674,#REF!,25,0),0)+IFERROR(VLOOKUP(A674,#REF!,10,0),0)+IFERROR(VLOOKUP(A674,#REF!,14,0),0)+IFERROR(VLOOKUP(A674,#REF!,10,0),0)+IFERROR(VLOOKUP(A674,#REF!,10,0),0)+IFERROR(VLOOKUP(A674,#REF!,10,0),0)+IFERROR(VLOOKUP(A674,#REF!,9,0),0)+IFERROR(VLOOKUP(A674,#REF!,9,0),0)+IFERROR(VLOOKUP(A674,#REF!,9,0),0)+IFERROR(VLOOKUP(A674,#REF!,9,0),0)</f>
        <v>0</v>
      </c>
      <c r="J674" s="104">
        <f>IFERROR(VLOOKUP(A674,#REF!,16,0),0)+IFERROR(VLOOKUP(A674,#REF!,26,0),0)+IFERROR(VLOOKUP(A674,#REF!,11,0),0)+IFERROR(VLOOKUP(A674,#REF!,23,0),0)+IFERROR(VLOOKUP(A674,#REF!,11,0),0)+IFERROR(VLOOKUP(A674,#REF!,11,0),0)+IFERROR(VLOOKUP(A674,#REF!,11,0),0)</f>
        <v>0</v>
      </c>
      <c r="K674" s="96" t="str">
        <f>"07.02.24"</f>
        <v>07.02.24</v>
      </c>
    </row>
    <row r="675" spans="1:11" ht="11.25" customHeight="1" outlineLevel="1">
      <c r="A675" s="89" t="n">
        <v>6815</v>
      </c>
      <c r="B675" s="114" t="s">
        <v>601</v>
      </c>
      <c r="C675" s="89" t="s">
        <v>962</v>
      </c>
      <c r="D675" s="89" t="s">
        <v>15</v>
      </c>
      <c r="E675" s="89" t="s">
        <v>963</v>
      </c>
      <c r="F675" s="102" t="n">
        <v>1301</v>
      </c>
      <c r="G675" s="102" t="n">
        <v>1756</v>
      </c>
      <c r="H675" s="103" t="s">
        <v>48</v>
      </c>
      <c r="I675" s="103">
        <f>IFERROR(VLOOKUP(A675,#REF!,15,0),0)+IFERROR(VLOOKUP(A675,#REF!,25,0),0)+IFERROR(VLOOKUP(A675,#REF!,10,0),0)+IFERROR(VLOOKUP(A675,#REF!,14,0),0)+IFERROR(VLOOKUP(A675,#REF!,10,0),0)+IFERROR(VLOOKUP(A675,#REF!,10,0),0)+IFERROR(VLOOKUP(A675,#REF!,10,0),0)+IFERROR(VLOOKUP(A675,#REF!,9,0),0)+IFERROR(VLOOKUP(A675,#REF!,9,0),0)+IFERROR(VLOOKUP(A675,#REF!,9,0),0)+IFERROR(VLOOKUP(A675,#REF!,9,0),0)</f>
        <v>0</v>
      </c>
      <c r="J675" s="104">
        <f>IFERROR(VLOOKUP(A675,#REF!,16,0),0)+IFERROR(VLOOKUP(A675,#REF!,26,0),0)+IFERROR(VLOOKUP(A675,#REF!,11,0),0)+IFERROR(VLOOKUP(A675,#REF!,23,0),0)+IFERROR(VLOOKUP(A675,#REF!,11,0),0)+IFERROR(VLOOKUP(A675,#REF!,11,0),0)+IFERROR(VLOOKUP(A675,#REF!,11,0),0)</f>
        <v>0</v>
      </c>
      <c r="K675" s="96" t="str">
        <f>"07.02.24"</f>
        <v>07.02.24</v>
      </c>
    </row>
    <row r="676" spans="1:11" ht="11.25" customHeight="1" outlineLevel="1">
      <c r="A676" s="89" t="n">
        <v>6820</v>
      </c>
      <c r="B676" s="114" t="s">
        <v>601</v>
      </c>
      <c r="C676" s="89" t="s">
        <v>964</v>
      </c>
      <c r="D676" s="89" t="s">
        <v>15</v>
      </c>
      <c r="E676" s="89" t="s">
        <v>965</v>
      </c>
      <c r="F676" s="102" t="n">
        <v>1953</v>
      </c>
      <c r="G676" s="102" t="n">
        <v>2636</v>
      </c>
      <c r="H676" s="103" t="s">
        <v>17</v>
      </c>
      <c r="I676" s="103">
        <f>IFERROR(VLOOKUP(A676,#REF!,15,0),0)+IFERROR(VLOOKUP(A676,#REF!,25,0),0)+IFERROR(VLOOKUP(A676,#REF!,10,0),0)+IFERROR(VLOOKUP(A676,#REF!,14,0),0)+IFERROR(VLOOKUP(A676,#REF!,10,0),0)+IFERROR(VLOOKUP(A676,#REF!,10,0),0)+IFERROR(VLOOKUP(A676,#REF!,10,0),0)+IFERROR(VLOOKUP(A676,#REF!,9,0),0)+IFERROR(VLOOKUP(A676,#REF!,9,0),0)+IFERROR(VLOOKUP(A676,#REF!,9,0),0)+IFERROR(VLOOKUP(A676,#REF!,9,0),0)</f>
        <v>0</v>
      </c>
      <c r="J676" s="104">
        <f>IFERROR(VLOOKUP(A676,#REF!,16,0),0)+IFERROR(VLOOKUP(A676,#REF!,26,0),0)+IFERROR(VLOOKUP(A676,#REF!,11,0),0)+IFERROR(VLOOKUP(A676,#REF!,23,0),0)+IFERROR(VLOOKUP(A676,#REF!,11,0),0)+IFERROR(VLOOKUP(A676,#REF!,11,0),0)+IFERROR(VLOOKUP(A676,#REF!,11,0),0)</f>
        <v>0</v>
      </c>
      <c r="K676" s="96" t="str">
        <f>"07.02.24"</f>
        <v>07.02.24</v>
      </c>
    </row>
    <row r="677" spans="1:11" ht="11.25" customHeight="1" outlineLevel="1">
      <c r="A677" s="89" t="n">
        <v>6822</v>
      </c>
      <c r="B677" s="114" t="s">
        <v>601</v>
      </c>
      <c r="C677" s="89" t="s">
        <v>966</v>
      </c>
      <c r="D677" s="89" t="s">
        <v>15</v>
      </c>
      <c r="E677" s="89" t="s">
        <v>967</v>
      </c>
      <c r="F677" s="102" t="n">
        <v>1953</v>
      </c>
      <c r="G677" s="102" t="n">
        <v>2636</v>
      </c>
      <c r="H677" s="103" t="s">
        <v>48</v>
      </c>
      <c r="I677" s="103">
        <f>IFERROR(VLOOKUP(A677,#REF!,15,0),0)+IFERROR(VLOOKUP(A677,#REF!,25,0),0)+IFERROR(VLOOKUP(A677,#REF!,10,0),0)+IFERROR(VLOOKUP(A677,#REF!,14,0),0)+IFERROR(VLOOKUP(A677,#REF!,10,0),0)+IFERROR(VLOOKUP(A677,#REF!,10,0),0)+IFERROR(VLOOKUP(A677,#REF!,10,0),0)+IFERROR(VLOOKUP(A677,#REF!,9,0),0)+IFERROR(VLOOKUP(A677,#REF!,9,0),0)+IFERROR(VLOOKUP(A677,#REF!,9,0),0)+IFERROR(VLOOKUP(A677,#REF!,9,0),0)</f>
        <v>0</v>
      </c>
      <c r="J677" s="104">
        <f>IFERROR(VLOOKUP(A677,#REF!,16,0),0)+IFERROR(VLOOKUP(A677,#REF!,26,0),0)+IFERROR(VLOOKUP(A677,#REF!,11,0),0)+IFERROR(VLOOKUP(A677,#REF!,23,0),0)+IFERROR(VLOOKUP(A677,#REF!,11,0),0)+IFERROR(VLOOKUP(A677,#REF!,11,0),0)+IFERROR(VLOOKUP(A677,#REF!,11,0),0)</f>
        <v>0</v>
      </c>
      <c r="K677" s="96" t="str">
        <f>"07.02.24"</f>
        <v>07.02.24</v>
      </c>
    </row>
    <row r="678" spans="1:11" ht="11.25" customHeight="1" outlineLevel="1">
      <c r="A678" s="89" t="n">
        <v>6824</v>
      </c>
      <c r="B678" s="114" t="s">
        <v>601</v>
      </c>
      <c r="C678" s="89" t="s">
        <v>968</v>
      </c>
      <c r="D678" s="89" t="s">
        <v>15</v>
      </c>
      <c r="E678" s="89" t="s">
        <v>969</v>
      </c>
      <c r="F678" s="102" t="n">
        <v>1953</v>
      </c>
      <c r="G678" s="102" t="n">
        <v>2636</v>
      </c>
      <c r="H678" s="103" t="s">
        <v>48</v>
      </c>
      <c r="I678" s="103">
        <f>IFERROR(VLOOKUP(A678,#REF!,15,0),0)+IFERROR(VLOOKUP(A678,#REF!,25,0),0)+IFERROR(VLOOKUP(A678,#REF!,10,0),0)+IFERROR(VLOOKUP(A678,#REF!,14,0),0)+IFERROR(VLOOKUP(A678,#REF!,10,0),0)+IFERROR(VLOOKUP(A678,#REF!,10,0),0)+IFERROR(VLOOKUP(A678,#REF!,10,0),0)+IFERROR(VLOOKUP(A678,#REF!,9,0),0)+IFERROR(VLOOKUP(A678,#REF!,9,0),0)+IFERROR(VLOOKUP(A678,#REF!,9,0),0)+IFERROR(VLOOKUP(A678,#REF!,9,0),0)</f>
        <v>0</v>
      </c>
      <c r="J678" s="104">
        <f>IFERROR(VLOOKUP(A678,#REF!,16,0),0)+IFERROR(VLOOKUP(A678,#REF!,26,0),0)+IFERROR(VLOOKUP(A678,#REF!,11,0),0)+IFERROR(VLOOKUP(A678,#REF!,23,0),0)+IFERROR(VLOOKUP(A678,#REF!,11,0),0)+IFERROR(VLOOKUP(A678,#REF!,11,0),0)+IFERROR(VLOOKUP(A678,#REF!,11,0),0)</f>
        <v>0</v>
      </c>
      <c r="K678" s="96" t="str">
        <f>"07.02.24"</f>
        <v>07.02.24</v>
      </c>
    </row>
    <row r="679" spans="1:11" ht="11.25" customHeight="1" outlineLevel="1">
      <c r="A679" s="89" t="n">
        <v>6826</v>
      </c>
      <c r="B679" s="114" t="s">
        <v>601</v>
      </c>
      <c r="C679" s="89" t="s">
        <v>970</v>
      </c>
      <c r="D679" s="89" t="s">
        <v>15</v>
      </c>
      <c r="E679" s="89" t="s">
        <v>971</v>
      </c>
      <c r="F679" s="102" t="n">
        <v>1953</v>
      </c>
      <c r="G679" s="102" t="n">
        <v>2636</v>
      </c>
      <c r="H679" s="103" t="s">
        <v>17</v>
      </c>
      <c r="I679" s="103">
        <f>IFERROR(VLOOKUP(A679,#REF!,15,0),0)+IFERROR(VLOOKUP(A679,#REF!,25,0),0)+IFERROR(VLOOKUP(A679,#REF!,10,0),0)+IFERROR(VLOOKUP(A679,#REF!,14,0),0)+IFERROR(VLOOKUP(A679,#REF!,10,0),0)+IFERROR(VLOOKUP(A679,#REF!,10,0),0)+IFERROR(VLOOKUP(A679,#REF!,10,0),0)+IFERROR(VLOOKUP(A679,#REF!,9,0),0)+IFERROR(VLOOKUP(A679,#REF!,9,0),0)+IFERROR(VLOOKUP(A679,#REF!,9,0),0)+IFERROR(VLOOKUP(A679,#REF!,9,0),0)</f>
        <v>0</v>
      </c>
      <c r="J679" s="104">
        <f>IFERROR(VLOOKUP(A679,#REF!,16,0),0)+IFERROR(VLOOKUP(A679,#REF!,26,0),0)+IFERROR(VLOOKUP(A679,#REF!,11,0),0)+IFERROR(VLOOKUP(A679,#REF!,23,0),0)+IFERROR(VLOOKUP(A679,#REF!,11,0),0)+IFERROR(VLOOKUP(A679,#REF!,11,0),0)+IFERROR(VLOOKUP(A679,#REF!,11,0),0)</f>
        <v>0</v>
      </c>
      <c r="K679" s="96" t="str">
        <f>"07.02.24"</f>
        <v>07.02.24</v>
      </c>
    </row>
    <row r="680" spans="1:11" ht="11.25" customHeight="1" outlineLevel="1">
      <c r="A680" s="89" t="n">
        <v>6829</v>
      </c>
      <c r="B680" s="114" t="s">
        <v>601</v>
      </c>
      <c r="C680" s="89" t="s">
        <v>972</v>
      </c>
      <c r="D680" s="89" t="s">
        <v>15</v>
      </c>
      <c r="E680" s="89" t="s">
        <v>973</v>
      </c>
      <c r="F680" s="102" t="n">
        <v>7631</v>
      </c>
      <c r="G680" s="102" t="n">
        <v>10302</v>
      </c>
      <c r="H680" s="103" t="s">
        <v>17</v>
      </c>
      <c r="I680" s="103">
        <f>IFERROR(VLOOKUP(A680,#REF!,15,0),0)+IFERROR(VLOOKUP(A680,#REF!,25,0),0)+IFERROR(VLOOKUP(A680,#REF!,10,0),0)+IFERROR(VLOOKUP(A680,#REF!,14,0),0)+IFERROR(VLOOKUP(A680,#REF!,10,0),0)+IFERROR(VLOOKUP(A680,#REF!,10,0),0)+IFERROR(VLOOKUP(A680,#REF!,10,0),0)+IFERROR(VLOOKUP(A680,#REF!,9,0),0)+IFERROR(VLOOKUP(A680,#REF!,9,0),0)+IFERROR(VLOOKUP(A680,#REF!,9,0),0)+IFERROR(VLOOKUP(A680,#REF!,9,0),0)</f>
        <v>0</v>
      </c>
      <c r="J680" s="104">
        <f>IFERROR(VLOOKUP(A680,#REF!,16,0),0)+IFERROR(VLOOKUP(A680,#REF!,26,0),0)+IFERROR(VLOOKUP(A680,#REF!,11,0),0)+IFERROR(VLOOKUP(A680,#REF!,23,0),0)+IFERROR(VLOOKUP(A680,#REF!,11,0),0)+IFERROR(VLOOKUP(A680,#REF!,11,0),0)+IFERROR(VLOOKUP(A680,#REF!,11,0),0)</f>
        <v>0</v>
      </c>
      <c r="K680" s="96" t="str">
        <f>"07.02.24"</f>
        <v>07.02.24</v>
      </c>
    </row>
    <row r="681" spans="1:11" ht="11.25" customHeight="1" outlineLevel="1">
      <c r="A681" s="89" t="n">
        <v>6834</v>
      </c>
      <c r="B681" s="114" t="s">
        <v>601</v>
      </c>
      <c r="C681" s="89" t="s">
        <v>974</v>
      </c>
      <c r="D681" s="89" t="s">
        <v>15</v>
      </c>
      <c r="E681" s="89" t="s">
        <v>971</v>
      </c>
      <c r="F681" s="102" t="n">
        <v>7631</v>
      </c>
      <c r="G681" s="102" t="n">
        <v>10302</v>
      </c>
      <c r="H681" s="103" t="s">
        <v>17</v>
      </c>
      <c r="I681" s="103">
        <f>IFERROR(VLOOKUP(A681,#REF!,15,0),0)+IFERROR(VLOOKUP(A681,#REF!,25,0),0)+IFERROR(VLOOKUP(A681,#REF!,10,0),0)+IFERROR(VLOOKUP(A681,#REF!,14,0),0)+IFERROR(VLOOKUP(A681,#REF!,10,0),0)+IFERROR(VLOOKUP(A681,#REF!,10,0),0)+IFERROR(VLOOKUP(A681,#REF!,10,0),0)+IFERROR(VLOOKUP(A681,#REF!,9,0),0)+IFERROR(VLOOKUP(A681,#REF!,9,0),0)+IFERROR(VLOOKUP(A681,#REF!,9,0),0)+IFERROR(VLOOKUP(A681,#REF!,9,0),0)</f>
        <v>0</v>
      </c>
      <c r="J681" s="104">
        <f>IFERROR(VLOOKUP(A681,#REF!,16,0),0)+IFERROR(VLOOKUP(A681,#REF!,26,0),0)+IFERROR(VLOOKUP(A681,#REF!,11,0),0)+IFERROR(VLOOKUP(A681,#REF!,23,0),0)+IFERROR(VLOOKUP(A681,#REF!,11,0),0)+IFERROR(VLOOKUP(A681,#REF!,11,0),0)+IFERROR(VLOOKUP(A681,#REF!,11,0),0)</f>
        <v>0</v>
      </c>
      <c r="K681" s="96" t="str">
        <f>"07.02.24"</f>
        <v>07.02.24</v>
      </c>
    </row>
    <row r="682" spans="1:11" ht="11.25" customHeight="1" outlineLevel="1">
      <c r="A682" s="89" t="n">
        <v>4166580</v>
      </c>
      <c r="B682" s="114" t="s">
        <v>601</v>
      </c>
      <c r="C682" s="89" t="s">
        <v>975</v>
      </c>
      <c r="D682" s="89" t="s">
        <v>15</v>
      </c>
      <c r="E682" s="89"/>
      <c r="F682" s="102" t="n">
        <v>13137</v>
      </c>
      <c r="G682" s="102" t="n">
        <v>17735</v>
      </c>
      <c r="H682" s="103" t="s">
        <v>17</v>
      </c>
      <c r="I682" s="103">
        <f>IFERROR(VLOOKUP(A682,#REF!,15,0),0)+IFERROR(VLOOKUP(A682,#REF!,25,0),0)+IFERROR(VLOOKUP(A682,#REF!,10,0),0)+IFERROR(VLOOKUP(A682,#REF!,14,0),0)+IFERROR(VLOOKUP(A682,#REF!,10,0),0)+IFERROR(VLOOKUP(A682,#REF!,10,0),0)+IFERROR(VLOOKUP(A682,#REF!,10,0),0)+IFERROR(VLOOKUP(A682,#REF!,9,0),0)+IFERROR(VLOOKUP(A682,#REF!,9,0),0)+IFERROR(VLOOKUP(A682,#REF!,9,0),0)+IFERROR(VLOOKUP(A682,#REF!,9,0),0)</f>
        <v>0</v>
      </c>
      <c r="J682" s="104">
        <f>IFERROR(VLOOKUP(A682,#REF!,16,0),0)+IFERROR(VLOOKUP(A682,#REF!,26,0),0)+IFERROR(VLOOKUP(A682,#REF!,11,0),0)+IFERROR(VLOOKUP(A682,#REF!,23,0),0)+IFERROR(VLOOKUP(A682,#REF!,11,0),0)+IFERROR(VLOOKUP(A682,#REF!,11,0),0)+IFERROR(VLOOKUP(A682,#REF!,11,0),0)</f>
        <v>0</v>
      </c>
      <c r="K682" s="96" t="str">
        <f>"07.02.24"</f>
        <v>07.02.24</v>
      </c>
    </row>
    <row r="683" spans="1:11" ht="11.25" customHeight="1" outlineLevel="1">
      <c r="A683" s="89" t="n">
        <v>2233</v>
      </c>
      <c r="B683" s="114" t="s">
        <v>601</v>
      </c>
      <c r="C683" s="89" t="s">
        <v>976</v>
      </c>
      <c r="D683" s="89" t="s">
        <v>15</v>
      </c>
      <c r="E683" s="89" t="s">
        <v>977</v>
      </c>
      <c r="F683" s="102" t="n">
        <v>558</v>
      </c>
      <c r="G683" s="102" t="n">
        <v>753</v>
      </c>
      <c r="H683" s="103" t="s">
        <v>17</v>
      </c>
      <c r="I683" s="103">
        <f>IFERROR(VLOOKUP(A683,#REF!,15,0),0)+IFERROR(VLOOKUP(A683,#REF!,25,0),0)+IFERROR(VLOOKUP(A683,#REF!,10,0),0)+IFERROR(VLOOKUP(A683,#REF!,14,0),0)+IFERROR(VLOOKUP(A683,#REF!,10,0),0)+IFERROR(VLOOKUP(A683,#REF!,10,0),0)+IFERROR(VLOOKUP(A683,#REF!,10,0),0)+IFERROR(VLOOKUP(A683,#REF!,9,0),0)+IFERROR(VLOOKUP(A683,#REF!,9,0),0)+IFERROR(VLOOKUP(A683,#REF!,9,0),0)+IFERROR(VLOOKUP(A683,#REF!,9,0),0)</f>
        <v>0</v>
      </c>
      <c r="J683" s="104">
        <f>IFERROR(VLOOKUP(A683,#REF!,16,0),0)+IFERROR(VLOOKUP(A683,#REF!,26,0),0)+IFERROR(VLOOKUP(A683,#REF!,11,0),0)+IFERROR(VLOOKUP(A683,#REF!,23,0),0)+IFERROR(VLOOKUP(A683,#REF!,11,0),0)+IFERROR(VLOOKUP(A683,#REF!,11,0),0)+IFERROR(VLOOKUP(A683,#REF!,11,0),0)</f>
        <v>0</v>
      </c>
      <c r="K683" s="96" t="str">
        <f>"07.02.24"</f>
        <v>07.02.24</v>
      </c>
    </row>
    <row r="684" spans="1:11" ht="11.25" customHeight="1" outlineLevel="1">
      <c r="A684" s="89" t="n">
        <v>10081</v>
      </c>
      <c r="B684" s="114" t="s">
        <v>601</v>
      </c>
      <c r="C684" s="89" t="s">
        <v>978</v>
      </c>
      <c r="D684" s="89" t="s">
        <v>15</v>
      </c>
      <c r="E684" s="89" t="s">
        <v>979</v>
      </c>
      <c r="F684" s="102" t="n">
        <v>4947</v>
      </c>
      <c r="G684" s="102" t="n">
        <v>6679</v>
      </c>
      <c r="H684" s="103" t="s">
        <v>17</v>
      </c>
      <c r="I684" s="103">
        <f>IFERROR(VLOOKUP(A684,#REF!,15,0),0)+IFERROR(VLOOKUP(A684,#REF!,25,0),0)+IFERROR(VLOOKUP(A684,#REF!,10,0),0)+IFERROR(VLOOKUP(A684,#REF!,14,0),0)+IFERROR(VLOOKUP(A684,#REF!,10,0),0)+IFERROR(VLOOKUP(A684,#REF!,10,0),0)+IFERROR(VLOOKUP(A684,#REF!,10,0),0)+IFERROR(VLOOKUP(A684,#REF!,9,0),0)+IFERROR(VLOOKUP(A684,#REF!,9,0),0)+IFERROR(VLOOKUP(A684,#REF!,9,0),0)+IFERROR(VLOOKUP(A684,#REF!,9,0),0)</f>
        <v>0</v>
      </c>
      <c r="J684" s="104">
        <f>IFERROR(VLOOKUP(A684,#REF!,16,0),0)+IFERROR(VLOOKUP(A684,#REF!,26,0),0)+IFERROR(VLOOKUP(A684,#REF!,11,0),0)+IFERROR(VLOOKUP(A684,#REF!,23,0),0)+IFERROR(VLOOKUP(A684,#REF!,11,0),0)+IFERROR(VLOOKUP(A684,#REF!,11,0),0)+IFERROR(VLOOKUP(A684,#REF!,11,0),0)</f>
        <v>0</v>
      </c>
      <c r="K684" s="96" t="str">
        <f>"07.02.24"</f>
        <v>07.02.24</v>
      </c>
    </row>
    <row r="685" spans="1:11" ht="11.25" customHeight="1" outlineLevel="1">
      <c r="A685" s="89" t="n">
        <v>13026</v>
      </c>
      <c r="B685" s="114" t="s">
        <v>601</v>
      </c>
      <c r="C685" s="89" t="s">
        <v>980</v>
      </c>
      <c r="D685" s="89" t="s">
        <v>15</v>
      </c>
      <c r="E685" s="89" t="s">
        <v>981</v>
      </c>
      <c r="F685" s="102" t="n">
        <v>7013</v>
      </c>
      <c r="G685" s="102" t="n">
        <v>9468</v>
      </c>
      <c r="H685" s="103" t="s">
        <v>48</v>
      </c>
      <c r="I685" s="103">
        <f>IFERROR(VLOOKUP(A685,#REF!,15,0),0)+IFERROR(VLOOKUP(A685,#REF!,25,0),0)+IFERROR(VLOOKUP(A685,#REF!,10,0),0)+IFERROR(VLOOKUP(A685,#REF!,14,0),0)+IFERROR(VLOOKUP(A685,#REF!,10,0),0)+IFERROR(VLOOKUP(A685,#REF!,10,0),0)+IFERROR(VLOOKUP(A685,#REF!,10,0),0)+IFERROR(VLOOKUP(A685,#REF!,9,0),0)+IFERROR(VLOOKUP(A685,#REF!,9,0),0)+IFERROR(VLOOKUP(A685,#REF!,9,0),0)+IFERROR(VLOOKUP(A685,#REF!,9,0),0)</f>
        <v>0</v>
      </c>
      <c r="J685" s="104">
        <f>IFERROR(VLOOKUP(A685,#REF!,16,0),0)+IFERROR(VLOOKUP(A685,#REF!,26,0),0)+IFERROR(VLOOKUP(A685,#REF!,11,0),0)+IFERROR(VLOOKUP(A685,#REF!,23,0),0)+IFERROR(VLOOKUP(A685,#REF!,11,0),0)+IFERROR(VLOOKUP(A685,#REF!,11,0),0)+IFERROR(VLOOKUP(A685,#REF!,11,0),0)</f>
        <v>0</v>
      </c>
      <c r="K685" s="96" t="str">
        <f>"07.02.24"</f>
        <v>07.02.24</v>
      </c>
    </row>
    <row r="686" spans="1:11" ht="11.25" customHeight="1" outlineLevel="1">
      <c r="A686" s="89" t="n">
        <v>10085</v>
      </c>
      <c r="B686" s="114" t="s">
        <v>601</v>
      </c>
      <c r="C686" s="89" t="s">
        <v>982</v>
      </c>
      <c r="D686" s="89" t="s">
        <v>15</v>
      </c>
      <c r="E686" s="89" t="s">
        <v>983</v>
      </c>
      <c r="F686" s="102" t="n">
        <v>7013</v>
      </c>
      <c r="G686" s="102" t="n">
        <v>9468</v>
      </c>
      <c r="H686" s="103" t="s">
        <v>48</v>
      </c>
      <c r="I686" s="103">
        <f>IFERROR(VLOOKUP(A686,#REF!,15,0),0)+IFERROR(VLOOKUP(A686,#REF!,25,0),0)+IFERROR(VLOOKUP(A686,#REF!,10,0),0)+IFERROR(VLOOKUP(A686,#REF!,14,0),0)+IFERROR(VLOOKUP(A686,#REF!,10,0),0)+IFERROR(VLOOKUP(A686,#REF!,10,0),0)+IFERROR(VLOOKUP(A686,#REF!,10,0),0)+IFERROR(VLOOKUP(A686,#REF!,9,0),0)+IFERROR(VLOOKUP(A686,#REF!,9,0),0)+IFERROR(VLOOKUP(A686,#REF!,9,0),0)+IFERROR(VLOOKUP(A686,#REF!,9,0),0)</f>
        <v>0</v>
      </c>
      <c r="J686" s="104">
        <f>IFERROR(VLOOKUP(A686,#REF!,16,0),0)+IFERROR(VLOOKUP(A686,#REF!,26,0),0)+IFERROR(VLOOKUP(A686,#REF!,11,0),0)+IFERROR(VLOOKUP(A686,#REF!,23,0),0)+IFERROR(VLOOKUP(A686,#REF!,11,0),0)+IFERROR(VLOOKUP(A686,#REF!,11,0),0)+IFERROR(VLOOKUP(A686,#REF!,11,0),0)</f>
        <v>0</v>
      </c>
      <c r="K686" s="96" t="str">
        <f>"07.02.24"</f>
        <v>07.02.24</v>
      </c>
    </row>
    <row r="687" spans="1:11" ht="11.25" customHeight="1" outlineLevel="1">
      <c r="A687" s="89" t="n">
        <v>10083</v>
      </c>
      <c r="B687" s="114" t="s">
        <v>601</v>
      </c>
      <c r="C687" s="89" t="s">
        <v>984</v>
      </c>
      <c r="D687" s="89" t="s">
        <v>15</v>
      </c>
      <c r="E687" s="89" t="s">
        <v>979</v>
      </c>
      <c r="F687" s="102" t="n">
        <v>6722</v>
      </c>
      <c r="G687" s="102" t="n">
        <v>9075</v>
      </c>
      <c r="H687" s="103" t="s">
        <v>17</v>
      </c>
      <c r="I687" s="103">
        <f>IFERROR(VLOOKUP(A687,#REF!,15,0),0)+IFERROR(VLOOKUP(A687,#REF!,25,0),0)+IFERROR(VLOOKUP(A687,#REF!,10,0),0)+IFERROR(VLOOKUP(A687,#REF!,14,0),0)+IFERROR(VLOOKUP(A687,#REF!,10,0),0)+IFERROR(VLOOKUP(A687,#REF!,10,0),0)+IFERROR(VLOOKUP(A687,#REF!,10,0),0)+IFERROR(VLOOKUP(A687,#REF!,9,0),0)+IFERROR(VLOOKUP(A687,#REF!,9,0),0)+IFERROR(VLOOKUP(A687,#REF!,9,0),0)+IFERROR(VLOOKUP(A687,#REF!,9,0),0)</f>
        <v>0</v>
      </c>
      <c r="J687" s="104">
        <f>IFERROR(VLOOKUP(A687,#REF!,16,0),0)+IFERROR(VLOOKUP(A687,#REF!,26,0),0)+IFERROR(VLOOKUP(A687,#REF!,11,0),0)+IFERROR(VLOOKUP(A687,#REF!,23,0),0)+IFERROR(VLOOKUP(A687,#REF!,11,0),0)+IFERROR(VLOOKUP(A687,#REF!,11,0),0)+IFERROR(VLOOKUP(A687,#REF!,11,0),0)</f>
        <v>0</v>
      </c>
      <c r="K687" s="96" t="str">
        <f>"07.02.24"</f>
        <v>07.02.24</v>
      </c>
    </row>
    <row r="688" spans="1:11" ht="11.25" customHeight="1" outlineLevel="1">
      <c r="A688" s="89" t="n">
        <v>13027</v>
      </c>
      <c r="B688" s="114" t="s">
        <v>601</v>
      </c>
      <c r="C688" s="89" t="s">
        <v>985</v>
      </c>
      <c r="D688" s="89" t="s">
        <v>15</v>
      </c>
      <c r="E688" s="89" t="s">
        <v>981</v>
      </c>
      <c r="F688" s="102" t="n">
        <v>9126</v>
      </c>
      <c r="G688" s="102" t="n">
        <v>12321</v>
      </c>
      <c r="H688" s="103" t="s">
        <v>48</v>
      </c>
      <c r="I688" s="103">
        <f>IFERROR(VLOOKUP(A688,#REF!,15,0),0)+IFERROR(VLOOKUP(A688,#REF!,25,0),0)+IFERROR(VLOOKUP(A688,#REF!,10,0),0)+IFERROR(VLOOKUP(A688,#REF!,14,0),0)+IFERROR(VLOOKUP(A688,#REF!,10,0),0)+IFERROR(VLOOKUP(A688,#REF!,10,0),0)+IFERROR(VLOOKUP(A688,#REF!,10,0),0)+IFERROR(VLOOKUP(A688,#REF!,9,0),0)+IFERROR(VLOOKUP(A688,#REF!,9,0),0)+IFERROR(VLOOKUP(A688,#REF!,9,0),0)+IFERROR(VLOOKUP(A688,#REF!,9,0),0)</f>
        <v>0</v>
      </c>
      <c r="J688" s="104">
        <f>IFERROR(VLOOKUP(A688,#REF!,16,0),0)+IFERROR(VLOOKUP(A688,#REF!,26,0),0)+IFERROR(VLOOKUP(A688,#REF!,11,0),0)+IFERROR(VLOOKUP(A688,#REF!,23,0),0)+IFERROR(VLOOKUP(A688,#REF!,11,0),0)+IFERROR(VLOOKUP(A688,#REF!,11,0),0)+IFERROR(VLOOKUP(A688,#REF!,11,0),0)</f>
        <v>0</v>
      </c>
      <c r="K688" s="96" t="str">
        <f>"07.02.24"</f>
        <v>07.02.24</v>
      </c>
    </row>
    <row r="689" spans="1:11" ht="11.25" customHeight="1" outlineLevel="1">
      <c r="A689" s="89" t="n">
        <v>10087</v>
      </c>
      <c r="B689" s="114" t="s">
        <v>601</v>
      </c>
      <c r="C689" s="89" t="s">
        <v>986</v>
      </c>
      <c r="D689" s="89" t="s">
        <v>15</v>
      </c>
      <c r="E689" s="89" t="s">
        <v>639</v>
      </c>
      <c r="F689" s="102" t="n">
        <v>9126</v>
      </c>
      <c r="G689" s="102" t="n">
        <v>12321</v>
      </c>
      <c r="H689" s="103" t="s">
        <v>17</v>
      </c>
      <c r="I689" s="103">
        <f>IFERROR(VLOOKUP(A689,#REF!,15,0),0)+IFERROR(VLOOKUP(A689,#REF!,25,0),0)+IFERROR(VLOOKUP(A689,#REF!,10,0),0)+IFERROR(VLOOKUP(A689,#REF!,14,0),0)+IFERROR(VLOOKUP(A689,#REF!,10,0),0)+IFERROR(VLOOKUP(A689,#REF!,10,0),0)+IFERROR(VLOOKUP(A689,#REF!,10,0),0)+IFERROR(VLOOKUP(A689,#REF!,9,0),0)+IFERROR(VLOOKUP(A689,#REF!,9,0),0)+IFERROR(VLOOKUP(A689,#REF!,9,0),0)+IFERROR(VLOOKUP(A689,#REF!,9,0),0)</f>
        <v>0</v>
      </c>
      <c r="J689" s="104">
        <f>IFERROR(VLOOKUP(A689,#REF!,16,0),0)+IFERROR(VLOOKUP(A689,#REF!,26,0),0)+IFERROR(VLOOKUP(A689,#REF!,11,0),0)+IFERROR(VLOOKUP(A689,#REF!,23,0),0)+IFERROR(VLOOKUP(A689,#REF!,11,0),0)+IFERROR(VLOOKUP(A689,#REF!,11,0),0)+IFERROR(VLOOKUP(A689,#REF!,11,0),0)</f>
        <v>0</v>
      </c>
      <c r="K689" s="96" t="str">
        <f>"07.02.24"</f>
        <v>07.02.24</v>
      </c>
    </row>
    <row r="690" spans="1:11" ht="11.25" customHeight="1" outlineLevel="1">
      <c r="A690" s="89" t="n">
        <v>10084</v>
      </c>
      <c r="B690" s="114" t="s">
        <v>601</v>
      </c>
      <c r="C690" s="89" t="s">
        <v>987</v>
      </c>
      <c r="D690" s="89" t="s">
        <v>15</v>
      </c>
      <c r="E690" s="89" t="s">
        <v>979</v>
      </c>
      <c r="F690" s="102" t="n">
        <v>11765</v>
      </c>
      <c r="G690" s="102" t="n">
        <v>15883</v>
      </c>
      <c r="H690" s="103" t="s">
        <v>48</v>
      </c>
      <c r="I690" s="103">
        <f>IFERROR(VLOOKUP(A690,#REF!,15,0),0)+IFERROR(VLOOKUP(A690,#REF!,25,0),0)+IFERROR(VLOOKUP(A690,#REF!,10,0),0)+IFERROR(VLOOKUP(A690,#REF!,14,0),0)+IFERROR(VLOOKUP(A690,#REF!,10,0),0)+IFERROR(VLOOKUP(A690,#REF!,10,0),0)+IFERROR(VLOOKUP(A690,#REF!,10,0),0)+IFERROR(VLOOKUP(A690,#REF!,9,0),0)+IFERROR(VLOOKUP(A690,#REF!,9,0),0)+IFERROR(VLOOKUP(A690,#REF!,9,0),0)+IFERROR(VLOOKUP(A690,#REF!,9,0),0)</f>
        <v>0</v>
      </c>
      <c r="J690" s="104">
        <f>IFERROR(VLOOKUP(A690,#REF!,16,0),0)+IFERROR(VLOOKUP(A690,#REF!,26,0),0)+IFERROR(VLOOKUP(A690,#REF!,11,0),0)+IFERROR(VLOOKUP(A690,#REF!,23,0),0)+IFERROR(VLOOKUP(A690,#REF!,11,0),0)+IFERROR(VLOOKUP(A690,#REF!,11,0),0)+IFERROR(VLOOKUP(A690,#REF!,11,0),0)</f>
        <v>0</v>
      </c>
      <c r="K690" s="96" t="str">
        <f>"07.02.24"</f>
        <v>07.02.24</v>
      </c>
    </row>
    <row r="691" spans="1:11" ht="11.25" customHeight="1" outlineLevel="1">
      <c r="A691" s="89" t="n">
        <v>7539</v>
      </c>
      <c r="B691" s="114" t="s">
        <v>601</v>
      </c>
      <c r="C691" s="89" t="s">
        <v>988</v>
      </c>
      <c r="D691" s="89" t="s">
        <v>15</v>
      </c>
      <c r="E691" s="89" t="s">
        <v>981</v>
      </c>
      <c r="F691" s="102" t="n">
        <v>16049</v>
      </c>
      <c r="G691" s="102" t="n">
        <v>21666</v>
      </c>
      <c r="H691" s="103" t="s">
        <v>48</v>
      </c>
      <c r="I691" s="103">
        <f>IFERROR(VLOOKUP(A691,#REF!,15,0),0)+IFERROR(VLOOKUP(A691,#REF!,25,0),0)+IFERROR(VLOOKUP(A691,#REF!,10,0),0)+IFERROR(VLOOKUP(A691,#REF!,14,0),0)+IFERROR(VLOOKUP(A691,#REF!,10,0),0)+IFERROR(VLOOKUP(A691,#REF!,10,0),0)+IFERROR(VLOOKUP(A691,#REF!,10,0),0)+IFERROR(VLOOKUP(A691,#REF!,9,0),0)+IFERROR(VLOOKUP(A691,#REF!,9,0),0)+IFERROR(VLOOKUP(A691,#REF!,9,0),0)+IFERROR(VLOOKUP(A691,#REF!,9,0),0)</f>
        <v>0</v>
      </c>
      <c r="J691" s="104">
        <f>IFERROR(VLOOKUP(A691,#REF!,16,0),0)+IFERROR(VLOOKUP(A691,#REF!,26,0),0)+IFERROR(VLOOKUP(A691,#REF!,11,0),0)+IFERROR(VLOOKUP(A691,#REF!,23,0),0)+IFERROR(VLOOKUP(A691,#REF!,11,0),0)+IFERROR(VLOOKUP(A691,#REF!,11,0),0)+IFERROR(VLOOKUP(A691,#REF!,11,0),0)</f>
        <v>0</v>
      </c>
      <c r="K691" s="96" t="str">
        <f>"07.02.24"</f>
        <v>07.02.24</v>
      </c>
    </row>
    <row r="692" spans="1:11" ht="11.25" customHeight="1" outlineLevel="1">
      <c r="A692" s="89" t="n">
        <v>10088</v>
      </c>
      <c r="B692" s="114" t="s">
        <v>601</v>
      </c>
      <c r="C692" s="89" t="s">
        <v>989</v>
      </c>
      <c r="D692" s="89" t="s">
        <v>15</v>
      </c>
      <c r="E692" s="89" t="s">
        <v>639</v>
      </c>
      <c r="F692" s="102" t="n">
        <v>16049</v>
      </c>
      <c r="G692" s="102" t="n">
        <v>21666</v>
      </c>
      <c r="H692" s="103" t="s">
        <v>48</v>
      </c>
      <c r="I692" s="103">
        <f>IFERROR(VLOOKUP(A692,#REF!,15,0),0)+IFERROR(VLOOKUP(A692,#REF!,25,0),0)+IFERROR(VLOOKUP(A692,#REF!,10,0),0)+IFERROR(VLOOKUP(A692,#REF!,14,0),0)+IFERROR(VLOOKUP(A692,#REF!,10,0),0)+IFERROR(VLOOKUP(A692,#REF!,10,0),0)+IFERROR(VLOOKUP(A692,#REF!,10,0),0)+IFERROR(VLOOKUP(A692,#REF!,9,0),0)+IFERROR(VLOOKUP(A692,#REF!,9,0),0)+IFERROR(VLOOKUP(A692,#REF!,9,0),0)+IFERROR(VLOOKUP(A692,#REF!,9,0),0)</f>
        <v>0</v>
      </c>
      <c r="J692" s="104">
        <f>IFERROR(VLOOKUP(A692,#REF!,16,0),0)+IFERROR(VLOOKUP(A692,#REF!,26,0),0)+IFERROR(VLOOKUP(A692,#REF!,11,0),0)+IFERROR(VLOOKUP(A692,#REF!,23,0),0)+IFERROR(VLOOKUP(A692,#REF!,11,0),0)+IFERROR(VLOOKUP(A692,#REF!,11,0),0)+IFERROR(VLOOKUP(A692,#REF!,11,0),0)</f>
        <v>0</v>
      </c>
      <c r="K692" s="96" t="str">
        <f>"07.02.24"</f>
        <v>07.02.24</v>
      </c>
    </row>
    <row r="693" spans="1:11" ht="11.25" customHeight="1" outlineLevel="1">
      <c r="A693" s="89" t="n">
        <v>13025</v>
      </c>
      <c r="B693" s="114" t="s">
        <v>601</v>
      </c>
      <c r="C693" s="89" t="s">
        <v>990</v>
      </c>
      <c r="D693" s="89" t="s">
        <v>15</v>
      </c>
      <c r="E693" s="89" t="s">
        <v>979</v>
      </c>
      <c r="F693" s="102" t="n">
        <v>14386</v>
      </c>
      <c r="G693" s="102" t="n">
        <v>19420</v>
      </c>
      <c r="H693" s="103" t="s">
        <v>17</v>
      </c>
      <c r="I693" s="103">
        <f>IFERROR(VLOOKUP(A693,#REF!,15,0),0)+IFERROR(VLOOKUP(A693,#REF!,25,0),0)+IFERROR(VLOOKUP(A693,#REF!,10,0),0)+IFERROR(VLOOKUP(A693,#REF!,14,0),0)+IFERROR(VLOOKUP(A693,#REF!,10,0),0)+IFERROR(VLOOKUP(A693,#REF!,10,0),0)+IFERROR(VLOOKUP(A693,#REF!,10,0),0)+IFERROR(VLOOKUP(A693,#REF!,9,0),0)+IFERROR(VLOOKUP(A693,#REF!,9,0),0)+IFERROR(VLOOKUP(A693,#REF!,9,0),0)+IFERROR(VLOOKUP(A693,#REF!,9,0),0)</f>
        <v>0</v>
      </c>
      <c r="J693" s="104">
        <f>IFERROR(VLOOKUP(A693,#REF!,16,0),0)+IFERROR(VLOOKUP(A693,#REF!,26,0),0)+IFERROR(VLOOKUP(A693,#REF!,11,0),0)+IFERROR(VLOOKUP(A693,#REF!,23,0),0)+IFERROR(VLOOKUP(A693,#REF!,11,0),0)+IFERROR(VLOOKUP(A693,#REF!,11,0),0)+IFERROR(VLOOKUP(A693,#REF!,11,0),0)</f>
        <v>0</v>
      </c>
      <c r="K693" s="96" t="str">
        <f>"07.02.24"</f>
        <v>07.02.24</v>
      </c>
    </row>
    <row r="694" spans="1:11" ht="11.25" customHeight="1" outlineLevel="1">
      <c r="A694" s="89" t="n">
        <v>13028</v>
      </c>
      <c r="B694" s="114" t="s">
        <v>601</v>
      </c>
      <c r="C694" s="89" t="s">
        <v>991</v>
      </c>
      <c r="D694" s="89" t="s">
        <v>15</v>
      </c>
      <c r="E694" s="89" t="s">
        <v>981</v>
      </c>
      <c r="F694" s="102" t="n">
        <v>20388</v>
      </c>
      <c r="G694" s="102" t="n">
        <v>27524</v>
      </c>
      <c r="H694" s="103" t="s">
        <v>17</v>
      </c>
      <c r="I694" s="103">
        <f>IFERROR(VLOOKUP(A694,#REF!,15,0),0)+IFERROR(VLOOKUP(A694,#REF!,25,0),0)+IFERROR(VLOOKUP(A694,#REF!,10,0),0)+IFERROR(VLOOKUP(A694,#REF!,14,0),0)+IFERROR(VLOOKUP(A694,#REF!,10,0),0)+IFERROR(VLOOKUP(A694,#REF!,10,0),0)+IFERROR(VLOOKUP(A694,#REF!,10,0),0)+IFERROR(VLOOKUP(A694,#REF!,9,0),0)+IFERROR(VLOOKUP(A694,#REF!,9,0),0)+IFERROR(VLOOKUP(A694,#REF!,9,0),0)+IFERROR(VLOOKUP(A694,#REF!,9,0),0)</f>
        <v>0</v>
      </c>
      <c r="J694" s="104">
        <f>IFERROR(VLOOKUP(A694,#REF!,16,0),0)+IFERROR(VLOOKUP(A694,#REF!,26,0),0)+IFERROR(VLOOKUP(A694,#REF!,11,0),0)+IFERROR(VLOOKUP(A694,#REF!,23,0),0)+IFERROR(VLOOKUP(A694,#REF!,11,0),0)+IFERROR(VLOOKUP(A694,#REF!,11,0),0)+IFERROR(VLOOKUP(A694,#REF!,11,0),0)</f>
        <v>0</v>
      </c>
      <c r="K694" s="96" t="str">
        <f>"07.02.24"</f>
        <v>07.02.24</v>
      </c>
    </row>
    <row r="695" spans="1:11" ht="11.25" customHeight="1" outlineLevel="1">
      <c r="A695" s="89" t="n">
        <v>8080580</v>
      </c>
      <c r="B695" s="114" t="s">
        <v>601</v>
      </c>
      <c r="C695" s="89" t="s">
        <v>992</v>
      </c>
      <c r="D695" s="89" t="s">
        <v>15</v>
      </c>
      <c r="E695" s="89" t="s">
        <v>713</v>
      </c>
      <c r="F695" s="102" t="n">
        <v>600</v>
      </c>
      <c r="G695" s="102" t="n">
        <v>811</v>
      </c>
      <c r="H695" s="103" t="s">
        <v>17</v>
      </c>
      <c r="I695" s="103">
        <f>IFERROR(VLOOKUP(A695,#REF!,15,0),0)+IFERROR(VLOOKUP(A695,#REF!,25,0),0)+IFERROR(VLOOKUP(A695,#REF!,10,0),0)+IFERROR(VLOOKUP(A695,#REF!,14,0),0)+IFERROR(VLOOKUP(A695,#REF!,10,0),0)+IFERROR(VLOOKUP(A695,#REF!,10,0),0)+IFERROR(VLOOKUP(A695,#REF!,10,0),0)+IFERROR(VLOOKUP(A695,#REF!,9,0),0)+IFERROR(VLOOKUP(A695,#REF!,9,0),0)+IFERROR(VLOOKUP(A695,#REF!,9,0),0)+IFERROR(VLOOKUP(A695,#REF!,9,0),0)</f>
        <v>0</v>
      </c>
      <c r="J695" s="104">
        <f>IFERROR(VLOOKUP(A695,#REF!,16,0),0)+IFERROR(VLOOKUP(A695,#REF!,26,0),0)+IFERROR(VLOOKUP(A695,#REF!,11,0),0)+IFERROR(VLOOKUP(A695,#REF!,23,0),0)+IFERROR(VLOOKUP(A695,#REF!,11,0),0)+IFERROR(VLOOKUP(A695,#REF!,11,0),0)+IFERROR(VLOOKUP(A695,#REF!,11,0),0)</f>
        <v>0</v>
      </c>
      <c r="K695" s="96" t="str">
        <f>"07.02.24"</f>
        <v>07.02.24</v>
      </c>
    </row>
    <row r="696" spans="1:11" ht="11.25" customHeight="1" outlineLevel="1">
      <c r="A696" s="89" t="n">
        <v>10069</v>
      </c>
      <c r="B696" s="114" t="s">
        <v>601</v>
      </c>
      <c r="C696" s="89" t="s">
        <v>993</v>
      </c>
      <c r="D696" s="89" t="s">
        <v>15</v>
      </c>
      <c r="E696" s="89" t="s">
        <v>994</v>
      </c>
      <c r="F696" s="102" t="n">
        <v>10930</v>
      </c>
      <c r="G696" s="102" t="n">
        <v>14756</v>
      </c>
      <c r="H696" s="103" t="s">
        <v>17</v>
      </c>
      <c r="I696" s="103">
        <f>IFERROR(VLOOKUP(A696,#REF!,15,0),0)+IFERROR(VLOOKUP(A696,#REF!,25,0),0)+IFERROR(VLOOKUP(A696,#REF!,10,0),0)+IFERROR(VLOOKUP(A696,#REF!,14,0),0)+IFERROR(VLOOKUP(A696,#REF!,10,0),0)+IFERROR(VLOOKUP(A696,#REF!,10,0),0)+IFERROR(VLOOKUP(A696,#REF!,10,0),0)+IFERROR(VLOOKUP(A696,#REF!,9,0),0)+IFERROR(VLOOKUP(A696,#REF!,9,0),0)+IFERROR(VLOOKUP(A696,#REF!,9,0),0)+IFERROR(VLOOKUP(A696,#REF!,9,0),0)</f>
        <v>0</v>
      </c>
      <c r="J696" s="104">
        <f>IFERROR(VLOOKUP(A696,#REF!,16,0),0)+IFERROR(VLOOKUP(A696,#REF!,26,0),0)+IFERROR(VLOOKUP(A696,#REF!,11,0),0)+IFERROR(VLOOKUP(A696,#REF!,23,0),0)+IFERROR(VLOOKUP(A696,#REF!,11,0),0)+IFERROR(VLOOKUP(A696,#REF!,11,0),0)+IFERROR(VLOOKUP(A696,#REF!,11,0),0)</f>
        <v>0</v>
      </c>
      <c r="K696" s="96" t="str">
        <f>"07.02.24"</f>
        <v>07.02.24</v>
      </c>
    </row>
    <row r="697" spans="1:11" ht="11.25" customHeight="1" outlineLevel="1">
      <c r="A697" s="89" t="n">
        <v>10071</v>
      </c>
      <c r="B697" s="114" t="s">
        <v>601</v>
      </c>
      <c r="C697" s="89" t="s">
        <v>995</v>
      </c>
      <c r="D697" s="89" t="s">
        <v>15</v>
      </c>
      <c r="E697" s="89" t="s">
        <v>996</v>
      </c>
      <c r="F697" s="102" t="n">
        <v>18566</v>
      </c>
      <c r="G697" s="102" t="n">
        <v>25064</v>
      </c>
      <c r="H697" s="103" t="s">
        <v>17</v>
      </c>
      <c r="I697" s="103">
        <f>IFERROR(VLOOKUP(A697,#REF!,15,0),0)+IFERROR(VLOOKUP(A697,#REF!,25,0),0)+IFERROR(VLOOKUP(A697,#REF!,10,0),0)+IFERROR(VLOOKUP(A697,#REF!,14,0),0)+IFERROR(VLOOKUP(A697,#REF!,10,0),0)+IFERROR(VLOOKUP(A697,#REF!,10,0),0)+IFERROR(VLOOKUP(A697,#REF!,10,0),0)+IFERROR(VLOOKUP(A697,#REF!,9,0),0)+IFERROR(VLOOKUP(A697,#REF!,9,0),0)+IFERROR(VLOOKUP(A697,#REF!,9,0),0)+IFERROR(VLOOKUP(A697,#REF!,9,0),0)</f>
        <v>0</v>
      </c>
      <c r="J697" s="104">
        <f>IFERROR(VLOOKUP(A697,#REF!,16,0),0)+IFERROR(VLOOKUP(A697,#REF!,26,0),0)+IFERROR(VLOOKUP(A697,#REF!,11,0),0)+IFERROR(VLOOKUP(A697,#REF!,23,0),0)+IFERROR(VLOOKUP(A697,#REF!,11,0),0)+IFERROR(VLOOKUP(A697,#REF!,11,0),0)+IFERROR(VLOOKUP(A697,#REF!,11,0),0)</f>
        <v>0</v>
      </c>
      <c r="K697" s="96" t="str">
        <f>"07.02.24"</f>
        <v>07.02.24</v>
      </c>
    </row>
    <row r="698" spans="1:11" ht="11.25" customHeight="1" outlineLevel="1">
      <c r="A698" s="89" t="n">
        <v>22589</v>
      </c>
      <c r="B698" s="114" t="s">
        <v>601</v>
      </c>
      <c r="C698" s="89" t="s">
        <v>997</v>
      </c>
      <c r="D698" s="89" t="s">
        <v>15</v>
      </c>
      <c r="E698" s="89" t="s">
        <v>998</v>
      </c>
      <c r="F698" s="102" t="n">
        <v>6499</v>
      </c>
      <c r="G698" s="102" t="n">
        <v>8773</v>
      </c>
      <c r="H698" s="103" t="s">
        <v>48</v>
      </c>
      <c r="I698" s="103">
        <f>IFERROR(VLOOKUP(A698,#REF!,15,0),0)+IFERROR(VLOOKUP(A698,#REF!,25,0),0)+IFERROR(VLOOKUP(A698,#REF!,10,0),0)+IFERROR(VLOOKUP(A698,#REF!,14,0),0)+IFERROR(VLOOKUP(A698,#REF!,10,0),0)+IFERROR(VLOOKUP(A698,#REF!,10,0),0)+IFERROR(VLOOKUP(A698,#REF!,10,0),0)+IFERROR(VLOOKUP(A698,#REF!,9,0),0)+IFERROR(VLOOKUP(A698,#REF!,9,0),0)+IFERROR(VLOOKUP(A698,#REF!,9,0),0)+IFERROR(VLOOKUP(A698,#REF!,9,0),0)</f>
        <v>0</v>
      </c>
      <c r="J698" s="104">
        <f>IFERROR(VLOOKUP(A698,#REF!,16,0),0)+IFERROR(VLOOKUP(A698,#REF!,26,0),0)+IFERROR(VLOOKUP(A698,#REF!,11,0),0)+IFERROR(VLOOKUP(A698,#REF!,23,0),0)+IFERROR(VLOOKUP(A698,#REF!,11,0),0)+IFERROR(VLOOKUP(A698,#REF!,11,0),0)+IFERROR(VLOOKUP(A698,#REF!,11,0),0)</f>
        <v>0</v>
      </c>
      <c r="K698" s="96" t="str">
        <f>"07.02.24"</f>
        <v>07.02.24</v>
      </c>
    </row>
    <row r="699" spans="1:11" ht="11.25" customHeight="1" outlineLevel="1">
      <c r="A699" s="89" t="n">
        <v>22592</v>
      </c>
      <c r="B699" s="114" t="s">
        <v>601</v>
      </c>
      <c r="C699" s="89" t="s">
        <v>999</v>
      </c>
      <c r="D699" s="89" t="s">
        <v>15</v>
      </c>
      <c r="E699" s="89" t="s">
        <v>1000</v>
      </c>
      <c r="F699" s="102" t="n">
        <v>6261</v>
      </c>
      <c r="G699" s="102" t="n">
        <v>8453</v>
      </c>
      <c r="H699" s="103" t="s">
        <v>17</v>
      </c>
      <c r="I699" s="103">
        <f>IFERROR(VLOOKUP(A699,#REF!,15,0),0)+IFERROR(VLOOKUP(A699,#REF!,25,0),0)+IFERROR(VLOOKUP(A699,#REF!,10,0),0)+IFERROR(VLOOKUP(A699,#REF!,14,0),0)+IFERROR(VLOOKUP(A699,#REF!,10,0),0)+IFERROR(VLOOKUP(A699,#REF!,10,0),0)+IFERROR(VLOOKUP(A699,#REF!,10,0),0)+IFERROR(VLOOKUP(A699,#REF!,9,0),0)+IFERROR(VLOOKUP(A699,#REF!,9,0),0)+IFERROR(VLOOKUP(A699,#REF!,9,0),0)+IFERROR(VLOOKUP(A699,#REF!,9,0),0)</f>
        <v>0</v>
      </c>
      <c r="J699" s="104">
        <f>IFERROR(VLOOKUP(A699,#REF!,16,0),0)+IFERROR(VLOOKUP(A699,#REF!,26,0),0)+IFERROR(VLOOKUP(A699,#REF!,11,0),0)+IFERROR(VLOOKUP(A699,#REF!,23,0),0)+IFERROR(VLOOKUP(A699,#REF!,11,0),0)+IFERROR(VLOOKUP(A699,#REF!,11,0),0)+IFERROR(VLOOKUP(A699,#REF!,11,0),0)</f>
        <v>0</v>
      </c>
      <c r="K699" s="96" t="str">
        <f>"07.02.24"</f>
        <v>07.02.24</v>
      </c>
    </row>
    <row r="700" spans="1:11" ht="11.25" customHeight="1" outlineLevel="1">
      <c r="A700" s="89" t="n">
        <v>22593</v>
      </c>
      <c r="B700" s="114" t="s">
        <v>601</v>
      </c>
      <c r="C700" s="89" t="s">
        <v>1001</v>
      </c>
      <c r="D700" s="89" t="s">
        <v>15</v>
      </c>
      <c r="E700" s="89" t="s">
        <v>1002</v>
      </c>
      <c r="F700" s="102" t="n">
        <v>11939</v>
      </c>
      <c r="G700" s="102" t="n">
        <v>16118</v>
      </c>
      <c r="H700" s="103" t="s">
        <v>17</v>
      </c>
      <c r="I700" s="103">
        <f>IFERROR(VLOOKUP(A700,#REF!,15,0),0)+IFERROR(VLOOKUP(A700,#REF!,25,0),0)+IFERROR(VLOOKUP(A700,#REF!,10,0),0)+IFERROR(VLOOKUP(A700,#REF!,14,0),0)+IFERROR(VLOOKUP(A700,#REF!,10,0),0)+IFERROR(VLOOKUP(A700,#REF!,10,0),0)+IFERROR(VLOOKUP(A700,#REF!,10,0),0)+IFERROR(VLOOKUP(A700,#REF!,9,0),0)+IFERROR(VLOOKUP(A700,#REF!,9,0),0)+IFERROR(VLOOKUP(A700,#REF!,9,0),0)+IFERROR(VLOOKUP(A700,#REF!,9,0),0)</f>
        <v>0</v>
      </c>
      <c r="J700" s="104">
        <f>IFERROR(VLOOKUP(A700,#REF!,16,0),0)+IFERROR(VLOOKUP(A700,#REF!,26,0),0)+IFERROR(VLOOKUP(A700,#REF!,11,0),0)+IFERROR(VLOOKUP(A700,#REF!,23,0),0)+IFERROR(VLOOKUP(A700,#REF!,11,0),0)+IFERROR(VLOOKUP(A700,#REF!,11,0),0)+IFERROR(VLOOKUP(A700,#REF!,11,0),0)</f>
        <v>0</v>
      </c>
      <c r="K700" s="96" t="str">
        <f>"07.02.24"</f>
        <v>07.02.24</v>
      </c>
    </row>
    <row r="701" spans="1:11" ht="11.25" customHeight="1" outlineLevel="1">
      <c r="A701" s="89" t="n">
        <v>22591</v>
      </c>
      <c r="B701" s="114" t="s">
        <v>601</v>
      </c>
      <c r="C701" s="89" t="s">
        <v>1003</v>
      </c>
      <c r="D701" s="89" t="s">
        <v>15</v>
      </c>
      <c r="E701" s="89" t="s">
        <v>1004</v>
      </c>
      <c r="F701" s="102" t="n">
        <v>8821</v>
      </c>
      <c r="G701" s="102" t="n">
        <v>11908</v>
      </c>
      <c r="H701" s="103" t="s">
        <v>17</v>
      </c>
      <c r="I701" s="103">
        <f>IFERROR(VLOOKUP(A701,#REF!,15,0),0)+IFERROR(VLOOKUP(A701,#REF!,25,0),0)+IFERROR(VLOOKUP(A701,#REF!,10,0),0)+IFERROR(VLOOKUP(A701,#REF!,14,0),0)+IFERROR(VLOOKUP(A701,#REF!,10,0),0)+IFERROR(VLOOKUP(A701,#REF!,10,0),0)+IFERROR(VLOOKUP(A701,#REF!,10,0),0)+IFERROR(VLOOKUP(A701,#REF!,9,0),0)+IFERROR(VLOOKUP(A701,#REF!,9,0),0)+IFERROR(VLOOKUP(A701,#REF!,9,0),0)+IFERROR(VLOOKUP(A701,#REF!,9,0),0)</f>
        <v>0</v>
      </c>
      <c r="J701" s="104">
        <f>IFERROR(VLOOKUP(A701,#REF!,16,0),0)+IFERROR(VLOOKUP(A701,#REF!,26,0),0)+IFERROR(VLOOKUP(A701,#REF!,11,0),0)+IFERROR(VLOOKUP(A701,#REF!,23,0),0)+IFERROR(VLOOKUP(A701,#REF!,11,0),0)+IFERROR(VLOOKUP(A701,#REF!,11,0),0)+IFERROR(VLOOKUP(A701,#REF!,11,0),0)</f>
        <v>0</v>
      </c>
      <c r="K701" s="96" t="str">
        <f>"07.02.24"</f>
        <v>07.02.24</v>
      </c>
    </row>
    <row r="702" spans="1:11" ht="11.25" customHeight="1" outlineLevel="1">
      <c r="A702" s="89" t="n">
        <v>22594</v>
      </c>
      <c r="B702" s="114" t="s">
        <v>601</v>
      </c>
      <c r="C702" s="89" t="s">
        <v>1005</v>
      </c>
      <c r="D702" s="89" t="s">
        <v>15</v>
      </c>
      <c r="E702" s="89" t="s">
        <v>1006</v>
      </c>
      <c r="F702" s="102" t="n">
        <v>15229</v>
      </c>
      <c r="G702" s="102" t="n">
        <v>20558</v>
      </c>
      <c r="H702" s="103" t="s">
        <v>48</v>
      </c>
      <c r="I702" s="103">
        <f>IFERROR(VLOOKUP(A702,#REF!,15,0),0)+IFERROR(VLOOKUP(A702,#REF!,25,0),0)+IFERROR(VLOOKUP(A702,#REF!,10,0),0)+IFERROR(VLOOKUP(A702,#REF!,14,0),0)+IFERROR(VLOOKUP(A702,#REF!,10,0),0)+IFERROR(VLOOKUP(A702,#REF!,10,0),0)+IFERROR(VLOOKUP(A702,#REF!,10,0),0)+IFERROR(VLOOKUP(A702,#REF!,9,0),0)+IFERROR(VLOOKUP(A702,#REF!,9,0),0)+IFERROR(VLOOKUP(A702,#REF!,9,0),0)+IFERROR(VLOOKUP(A702,#REF!,9,0),0)</f>
        <v>0</v>
      </c>
      <c r="J702" s="104">
        <f>IFERROR(VLOOKUP(A702,#REF!,16,0),0)+IFERROR(VLOOKUP(A702,#REF!,26,0),0)+IFERROR(VLOOKUP(A702,#REF!,11,0),0)+IFERROR(VLOOKUP(A702,#REF!,23,0),0)+IFERROR(VLOOKUP(A702,#REF!,11,0),0)+IFERROR(VLOOKUP(A702,#REF!,11,0),0)+IFERROR(VLOOKUP(A702,#REF!,11,0),0)</f>
        <v>0</v>
      </c>
      <c r="K702" s="96" t="str">
        <f>"07.02.24"</f>
        <v>07.02.24</v>
      </c>
    </row>
    <row r="703" spans="1:11" ht="11.25" customHeight="1" outlineLevel="1">
      <c r="A703" s="89" t="n">
        <v>10066</v>
      </c>
      <c r="B703" s="114" t="s">
        <v>601</v>
      </c>
      <c r="C703" s="89" t="s">
        <v>1007</v>
      </c>
      <c r="D703" s="89" t="s">
        <v>15</v>
      </c>
      <c r="E703" s="89" t="s">
        <v>1008</v>
      </c>
      <c r="F703" s="102" t="n">
        <v>14181</v>
      </c>
      <c r="G703" s="102" t="n">
        <v>19144</v>
      </c>
      <c r="H703" s="103" t="s">
        <v>17</v>
      </c>
      <c r="I703" s="103">
        <f>IFERROR(VLOOKUP(A703,#REF!,15,0),0)+IFERROR(VLOOKUP(A703,#REF!,25,0),0)+IFERROR(VLOOKUP(A703,#REF!,10,0),0)+IFERROR(VLOOKUP(A703,#REF!,14,0),0)+IFERROR(VLOOKUP(A703,#REF!,10,0),0)+IFERROR(VLOOKUP(A703,#REF!,10,0),0)+IFERROR(VLOOKUP(A703,#REF!,10,0),0)+IFERROR(VLOOKUP(A703,#REF!,9,0),0)+IFERROR(VLOOKUP(A703,#REF!,9,0),0)+IFERROR(VLOOKUP(A703,#REF!,9,0),0)+IFERROR(VLOOKUP(A703,#REF!,9,0),0)</f>
        <v>0</v>
      </c>
      <c r="J703" s="104">
        <f>IFERROR(VLOOKUP(A703,#REF!,16,0),0)+IFERROR(VLOOKUP(A703,#REF!,26,0),0)+IFERROR(VLOOKUP(A703,#REF!,11,0),0)+IFERROR(VLOOKUP(A703,#REF!,23,0),0)+IFERROR(VLOOKUP(A703,#REF!,11,0),0)+IFERROR(VLOOKUP(A703,#REF!,11,0),0)+IFERROR(VLOOKUP(A703,#REF!,11,0),0)</f>
        <v>0</v>
      </c>
      <c r="K703" s="96" t="str">
        <f>"07.02.24"</f>
        <v>07.02.24</v>
      </c>
    </row>
    <row r="704" spans="1:11" ht="11.25" customHeight="1" outlineLevel="1">
      <c r="A704" s="89" t="n">
        <v>6680</v>
      </c>
      <c r="B704" s="114" t="s">
        <v>601</v>
      </c>
      <c r="C704" s="89" t="s">
        <v>1009</v>
      </c>
      <c r="D704" s="89" t="s">
        <v>15</v>
      </c>
      <c r="E704" s="89" t="s">
        <v>1010</v>
      </c>
      <c r="F704" s="102" t="n">
        <v>1873</v>
      </c>
      <c r="G704" s="102" t="n">
        <v>2434</v>
      </c>
      <c r="H704" s="103" t="s">
        <v>17</v>
      </c>
      <c r="I704" s="103">
        <f>IFERROR(VLOOKUP(A704,#REF!,15,0),0)+IFERROR(VLOOKUP(A704,#REF!,25,0),0)+IFERROR(VLOOKUP(A704,#REF!,10,0),0)+IFERROR(VLOOKUP(A704,#REF!,14,0),0)+IFERROR(VLOOKUP(A704,#REF!,10,0),0)+IFERROR(VLOOKUP(A704,#REF!,10,0),0)+IFERROR(VLOOKUP(A704,#REF!,10,0),0)+IFERROR(VLOOKUP(A704,#REF!,9,0),0)+IFERROR(VLOOKUP(A704,#REF!,9,0),0)+IFERROR(VLOOKUP(A704,#REF!,9,0),0)+IFERROR(VLOOKUP(A704,#REF!,9,0),0)</f>
        <v>0</v>
      </c>
      <c r="J704" s="104">
        <f>IFERROR(VLOOKUP(A704,#REF!,16,0),0)+IFERROR(VLOOKUP(A704,#REF!,26,0),0)+IFERROR(VLOOKUP(A704,#REF!,11,0),0)+IFERROR(VLOOKUP(A704,#REF!,23,0),0)+IFERROR(VLOOKUP(A704,#REF!,11,0),0)+IFERROR(VLOOKUP(A704,#REF!,11,0),0)+IFERROR(VLOOKUP(A704,#REF!,11,0),0)</f>
        <v>0</v>
      </c>
      <c r="K704" s="96" t="str">
        <f>"07.02.24"</f>
        <v>07.02.24</v>
      </c>
    </row>
    <row r="705" spans="1:11" ht="11.25" customHeight="1" outlineLevel="1">
      <c r="A705" s="89" t="n">
        <v>6683</v>
      </c>
      <c r="B705" s="114" t="s">
        <v>601</v>
      </c>
      <c r="C705" s="89" t="s">
        <v>1011</v>
      </c>
      <c r="D705" s="89" t="s">
        <v>15</v>
      </c>
      <c r="E705" s="89" t="s">
        <v>1012</v>
      </c>
      <c r="F705" s="102" t="n">
        <v>1663</v>
      </c>
      <c r="G705" s="102" t="n">
        <v>2162</v>
      </c>
      <c r="H705" s="103" t="s">
        <v>17</v>
      </c>
      <c r="I705" s="103">
        <f>IFERROR(VLOOKUP(A705,#REF!,15,0),0)+IFERROR(VLOOKUP(A705,#REF!,25,0),0)+IFERROR(VLOOKUP(A705,#REF!,10,0),0)+IFERROR(VLOOKUP(A705,#REF!,14,0),0)+IFERROR(VLOOKUP(A705,#REF!,10,0),0)+IFERROR(VLOOKUP(A705,#REF!,10,0),0)+IFERROR(VLOOKUP(A705,#REF!,10,0),0)+IFERROR(VLOOKUP(A705,#REF!,9,0),0)+IFERROR(VLOOKUP(A705,#REF!,9,0),0)+IFERROR(VLOOKUP(A705,#REF!,9,0),0)+IFERROR(VLOOKUP(A705,#REF!,9,0),0)</f>
        <v>0</v>
      </c>
      <c r="J705" s="104">
        <f>IFERROR(VLOOKUP(A705,#REF!,16,0),0)+IFERROR(VLOOKUP(A705,#REF!,26,0),0)+IFERROR(VLOOKUP(A705,#REF!,11,0),0)+IFERROR(VLOOKUP(A705,#REF!,23,0),0)+IFERROR(VLOOKUP(A705,#REF!,11,0),0)+IFERROR(VLOOKUP(A705,#REF!,11,0),0)+IFERROR(VLOOKUP(A705,#REF!,11,0),0)</f>
        <v>0</v>
      </c>
      <c r="K705" s="96" t="str">
        <f>"07.02.24"</f>
        <v>07.02.24</v>
      </c>
    </row>
    <row r="706" spans="1:11" ht="11.25" customHeight="1" outlineLevel="1">
      <c r="A706" s="89" t="n">
        <v>6684</v>
      </c>
      <c r="B706" s="114" t="s">
        <v>601</v>
      </c>
      <c r="C706" s="89" t="s">
        <v>1013</v>
      </c>
      <c r="D706" s="89" t="s">
        <v>15</v>
      </c>
      <c r="E706" s="89" t="s">
        <v>1014</v>
      </c>
      <c r="F706" s="102" t="n">
        <v>1997</v>
      </c>
      <c r="G706" s="102" t="n">
        <v>2596</v>
      </c>
      <c r="H706" s="103" t="s">
        <v>17</v>
      </c>
      <c r="I706" s="103">
        <f>IFERROR(VLOOKUP(A706,#REF!,15,0),0)+IFERROR(VLOOKUP(A706,#REF!,25,0),0)+IFERROR(VLOOKUP(A706,#REF!,10,0),0)+IFERROR(VLOOKUP(A706,#REF!,14,0),0)+IFERROR(VLOOKUP(A706,#REF!,10,0),0)+IFERROR(VLOOKUP(A706,#REF!,10,0),0)+IFERROR(VLOOKUP(A706,#REF!,10,0),0)+IFERROR(VLOOKUP(A706,#REF!,9,0),0)+IFERROR(VLOOKUP(A706,#REF!,9,0),0)+IFERROR(VLOOKUP(A706,#REF!,9,0),0)+IFERROR(VLOOKUP(A706,#REF!,9,0),0)</f>
        <v>0</v>
      </c>
      <c r="J706" s="104">
        <f>IFERROR(VLOOKUP(A706,#REF!,16,0),0)+IFERROR(VLOOKUP(A706,#REF!,26,0),0)+IFERROR(VLOOKUP(A706,#REF!,11,0),0)+IFERROR(VLOOKUP(A706,#REF!,23,0),0)+IFERROR(VLOOKUP(A706,#REF!,11,0),0)+IFERROR(VLOOKUP(A706,#REF!,11,0),0)+IFERROR(VLOOKUP(A706,#REF!,11,0),0)</f>
        <v>0</v>
      </c>
      <c r="K706" s="96" t="str">
        <f>"07.02.24"</f>
        <v>07.02.24</v>
      </c>
    </row>
    <row r="707" spans="1:11" ht="11.25" customHeight="1" outlineLevel="1">
      <c r="A707" s="89" t="n">
        <v>6685</v>
      </c>
      <c r="B707" s="114" t="s">
        <v>601</v>
      </c>
      <c r="C707" s="89" t="s">
        <v>1015</v>
      </c>
      <c r="D707" s="89" t="s">
        <v>15</v>
      </c>
      <c r="E707" s="89" t="s">
        <v>1016</v>
      </c>
      <c r="F707" s="102" t="n">
        <v>2854</v>
      </c>
      <c r="G707" s="102" t="n">
        <v>3711</v>
      </c>
      <c r="H707" s="103" t="s">
        <v>17</v>
      </c>
      <c r="I707" s="103">
        <f>IFERROR(VLOOKUP(A707,#REF!,15,0),0)+IFERROR(VLOOKUP(A707,#REF!,25,0),0)+IFERROR(VLOOKUP(A707,#REF!,10,0),0)+IFERROR(VLOOKUP(A707,#REF!,14,0),0)+IFERROR(VLOOKUP(A707,#REF!,10,0),0)+IFERROR(VLOOKUP(A707,#REF!,10,0),0)+IFERROR(VLOOKUP(A707,#REF!,10,0),0)+IFERROR(VLOOKUP(A707,#REF!,9,0),0)+IFERROR(VLOOKUP(A707,#REF!,9,0),0)+IFERROR(VLOOKUP(A707,#REF!,9,0),0)+IFERROR(VLOOKUP(A707,#REF!,9,0),0)</f>
        <v>0</v>
      </c>
      <c r="J707" s="104">
        <f>IFERROR(VLOOKUP(A707,#REF!,16,0),0)+IFERROR(VLOOKUP(A707,#REF!,26,0),0)+IFERROR(VLOOKUP(A707,#REF!,11,0),0)+IFERROR(VLOOKUP(A707,#REF!,23,0),0)+IFERROR(VLOOKUP(A707,#REF!,11,0),0)+IFERROR(VLOOKUP(A707,#REF!,11,0),0)+IFERROR(VLOOKUP(A707,#REF!,11,0),0)</f>
        <v>0</v>
      </c>
      <c r="K707" s="96" t="str">
        <f>"07.02.24"</f>
        <v>07.02.24</v>
      </c>
    </row>
    <row r="708" spans="1:11" ht="11.25" customHeight="1" outlineLevel="1">
      <c r="A708" s="89" t="n">
        <v>6686</v>
      </c>
      <c r="B708" s="114" t="s">
        <v>601</v>
      </c>
      <c r="C708" s="89" t="s">
        <v>1017</v>
      </c>
      <c r="D708" s="89" t="s">
        <v>15</v>
      </c>
      <c r="E708" s="89" t="s">
        <v>1018</v>
      </c>
      <c r="F708" s="102" t="n">
        <v>3936</v>
      </c>
      <c r="G708" s="102" t="n">
        <v>5116</v>
      </c>
      <c r="H708" s="103" t="s">
        <v>17</v>
      </c>
      <c r="I708" s="103">
        <f>IFERROR(VLOOKUP(A708,#REF!,15,0),0)+IFERROR(VLOOKUP(A708,#REF!,25,0),0)+IFERROR(VLOOKUP(A708,#REF!,10,0),0)+IFERROR(VLOOKUP(A708,#REF!,14,0),0)+IFERROR(VLOOKUP(A708,#REF!,10,0),0)+IFERROR(VLOOKUP(A708,#REF!,10,0),0)+IFERROR(VLOOKUP(A708,#REF!,10,0),0)+IFERROR(VLOOKUP(A708,#REF!,9,0),0)+IFERROR(VLOOKUP(A708,#REF!,9,0),0)+IFERROR(VLOOKUP(A708,#REF!,9,0),0)+IFERROR(VLOOKUP(A708,#REF!,9,0),0)</f>
        <v>0</v>
      </c>
      <c r="J708" s="104">
        <f>IFERROR(VLOOKUP(A708,#REF!,16,0),0)+IFERROR(VLOOKUP(A708,#REF!,26,0),0)+IFERROR(VLOOKUP(A708,#REF!,11,0),0)+IFERROR(VLOOKUP(A708,#REF!,23,0),0)+IFERROR(VLOOKUP(A708,#REF!,11,0),0)+IFERROR(VLOOKUP(A708,#REF!,11,0),0)+IFERROR(VLOOKUP(A708,#REF!,11,0),0)</f>
        <v>0</v>
      </c>
      <c r="K708" s="96" t="str">
        <f>"07.02.24"</f>
        <v>07.02.24</v>
      </c>
    </row>
    <row r="709" spans="1:11" ht="11.25" customHeight="1" outlineLevel="1">
      <c r="A709" s="89" t="n">
        <v>6689</v>
      </c>
      <c r="B709" s="114" t="s">
        <v>601</v>
      </c>
      <c r="C709" s="89" t="s">
        <v>1019</v>
      </c>
      <c r="D709" s="89" t="s">
        <v>15</v>
      </c>
      <c r="E709" s="89" t="s">
        <v>1020</v>
      </c>
      <c r="F709" s="102" t="n">
        <v>5133</v>
      </c>
      <c r="G709" s="102" t="n">
        <v>6674</v>
      </c>
      <c r="H709" s="103" t="s">
        <v>17</v>
      </c>
      <c r="I709" s="103">
        <f>IFERROR(VLOOKUP(A709,#REF!,15,0),0)+IFERROR(VLOOKUP(A709,#REF!,25,0),0)+IFERROR(VLOOKUP(A709,#REF!,10,0),0)+IFERROR(VLOOKUP(A709,#REF!,14,0),0)+IFERROR(VLOOKUP(A709,#REF!,10,0),0)+IFERROR(VLOOKUP(A709,#REF!,10,0),0)+IFERROR(VLOOKUP(A709,#REF!,10,0),0)+IFERROR(VLOOKUP(A709,#REF!,9,0),0)+IFERROR(VLOOKUP(A709,#REF!,9,0),0)+IFERROR(VLOOKUP(A709,#REF!,9,0),0)+IFERROR(VLOOKUP(A709,#REF!,9,0),0)</f>
        <v>0</v>
      </c>
      <c r="J709" s="104">
        <f>IFERROR(VLOOKUP(A709,#REF!,16,0),0)+IFERROR(VLOOKUP(A709,#REF!,26,0),0)+IFERROR(VLOOKUP(A709,#REF!,11,0),0)+IFERROR(VLOOKUP(A709,#REF!,23,0),0)+IFERROR(VLOOKUP(A709,#REF!,11,0),0)+IFERROR(VLOOKUP(A709,#REF!,11,0),0)+IFERROR(VLOOKUP(A709,#REF!,11,0),0)</f>
        <v>0</v>
      </c>
      <c r="K709" s="96" t="str">
        <f>"07.02.24"</f>
        <v>07.02.24</v>
      </c>
    </row>
    <row r="710" spans="1:11" ht="11.25" customHeight="1" outlineLevel="1">
      <c r="A710" s="89" t="n">
        <v>6690</v>
      </c>
      <c r="B710" s="114" t="s">
        <v>601</v>
      </c>
      <c r="C710" s="89" t="s">
        <v>1021</v>
      </c>
      <c r="D710" s="89" t="s">
        <v>15</v>
      </c>
      <c r="E710" s="89" t="s">
        <v>1022</v>
      </c>
      <c r="F710" s="102" t="n">
        <v>7396</v>
      </c>
      <c r="G710" s="102" t="n">
        <v>9615</v>
      </c>
      <c r="H710" s="103" t="s">
        <v>48</v>
      </c>
      <c r="I710" s="103">
        <f>IFERROR(VLOOKUP(A710,#REF!,15,0),0)+IFERROR(VLOOKUP(A710,#REF!,25,0),0)+IFERROR(VLOOKUP(A710,#REF!,10,0),0)+IFERROR(VLOOKUP(A710,#REF!,14,0),0)+IFERROR(VLOOKUP(A710,#REF!,10,0),0)+IFERROR(VLOOKUP(A710,#REF!,10,0),0)+IFERROR(VLOOKUP(A710,#REF!,10,0),0)+IFERROR(VLOOKUP(A710,#REF!,9,0),0)+IFERROR(VLOOKUP(A710,#REF!,9,0),0)+IFERROR(VLOOKUP(A710,#REF!,9,0),0)+IFERROR(VLOOKUP(A710,#REF!,9,0),0)</f>
        <v>0</v>
      </c>
      <c r="J710" s="104">
        <f>IFERROR(VLOOKUP(A710,#REF!,16,0),0)+IFERROR(VLOOKUP(A710,#REF!,26,0),0)+IFERROR(VLOOKUP(A710,#REF!,11,0),0)+IFERROR(VLOOKUP(A710,#REF!,23,0),0)+IFERROR(VLOOKUP(A710,#REF!,11,0),0)+IFERROR(VLOOKUP(A710,#REF!,11,0),0)+IFERROR(VLOOKUP(A710,#REF!,11,0),0)</f>
        <v>0</v>
      </c>
      <c r="K710" s="96" t="str">
        <f>"07.02.24"</f>
        <v>07.02.24</v>
      </c>
    </row>
    <row r="711" spans="1:11" ht="11.25" customHeight="1" outlineLevel="1">
      <c r="A711" s="89" t="n">
        <v>37309</v>
      </c>
      <c r="B711" s="114" t="s">
        <v>601</v>
      </c>
      <c r="C711" s="89" t="s">
        <v>1023</v>
      </c>
      <c r="D711" s="89" t="s">
        <v>15</v>
      </c>
      <c r="E711" s="89" t="s">
        <v>1024</v>
      </c>
      <c r="F711" s="102" t="n">
        <v>5042</v>
      </c>
      <c r="G711" s="102" t="n">
        <v>6555</v>
      </c>
      <c r="H711" s="103" t="s">
        <v>17</v>
      </c>
      <c r="I711" s="103">
        <f>IFERROR(VLOOKUP(A711,#REF!,15,0),0)+IFERROR(VLOOKUP(A711,#REF!,25,0),0)+IFERROR(VLOOKUP(A711,#REF!,10,0),0)+IFERROR(VLOOKUP(A711,#REF!,14,0),0)+IFERROR(VLOOKUP(A711,#REF!,10,0),0)+IFERROR(VLOOKUP(A711,#REF!,10,0),0)+IFERROR(VLOOKUP(A711,#REF!,10,0),0)+IFERROR(VLOOKUP(A711,#REF!,9,0),0)+IFERROR(VLOOKUP(A711,#REF!,9,0),0)+IFERROR(VLOOKUP(A711,#REF!,9,0),0)+IFERROR(VLOOKUP(A711,#REF!,9,0),0)</f>
        <v>0</v>
      </c>
      <c r="J711" s="104">
        <f>IFERROR(VLOOKUP(A711,#REF!,16,0),0)+IFERROR(VLOOKUP(A711,#REF!,26,0),0)+IFERROR(VLOOKUP(A711,#REF!,11,0),0)+IFERROR(VLOOKUP(A711,#REF!,23,0),0)+IFERROR(VLOOKUP(A711,#REF!,11,0),0)+IFERROR(VLOOKUP(A711,#REF!,11,0),0)+IFERROR(VLOOKUP(A711,#REF!,11,0),0)</f>
        <v>0</v>
      </c>
      <c r="K711" s="96" t="str">
        <f>"07.02.24"</f>
        <v>07.02.24</v>
      </c>
    </row>
    <row r="712" spans="1:11" ht="11.25" customHeight="1" outlineLevel="1">
      <c r="A712" s="89" t="n">
        <v>37313</v>
      </c>
      <c r="B712" s="114" t="s">
        <v>601</v>
      </c>
      <c r="C712" s="89" t="s">
        <v>1025</v>
      </c>
      <c r="D712" s="89" t="s">
        <v>15</v>
      </c>
      <c r="E712" s="89" t="s">
        <v>1026</v>
      </c>
      <c r="F712" s="102" t="n">
        <v>10710</v>
      </c>
      <c r="G712" s="102" t="n">
        <v>13923</v>
      </c>
      <c r="H712" s="103" t="s">
        <v>17</v>
      </c>
      <c r="I712" s="103">
        <f>IFERROR(VLOOKUP(A712,#REF!,15,0),0)+IFERROR(VLOOKUP(A712,#REF!,25,0),0)+IFERROR(VLOOKUP(A712,#REF!,10,0),0)+IFERROR(VLOOKUP(A712,#REF!,14,0),0)+IFERROR(VLOOKUP(A712,#REF!,10,0),0)+IFERROR(VLOOKUP(A712,#REF!,10,0),0)+IFERROR(VLOOKUP(A712,#REF!,10,0),0)+IFERROR(VLOOKUP(A712,#REF!,9,0),0)+IFERROR(VLOOKUP(A712,#REF!,9,0),0)+IFERROR(VLOOKUP(A712,#REF!,9,0),0)+IFERROR(VLOOKUP(A712,#REF!,9,0),0)</f>
        <v>0</v>
      </c>
      <c r="J712" s="104">
        <f>IFERROR(VLOOKUP(A712,#REF!,16,0),0)+IFERROR(VLOOKUP(A712,#REF!,26,0),0)+IFERROR(VLOOKUP(A712,#REF!,11,0),0)+IFERROR(VLOOKUP(A712,#REF!,23,0),0)+IFERROR(VLOOKUP(A712,#REF!,11,0),0)+IFERROR(VLOOKUP(A712,#REF!,11,0),0)+IFERROR(VLOOKUP(A712,#REF!,11,0),0)</f>
        <v>0</v>
      </c>
      <c r="K712" s="96" t="str">
        <f>"07.02.24"</f>
        <v>07.02.24</v>
      </c>
    </row>
    <row r="713" spans="1:11" ht="11.25" customHeight="1" outlineLevel="1">
      <c r="A713" s="89" t="n">
        <v>10944</v>
      </c>
      <c r="B713" s="114" t="s">
        <v>601</v>
      </c>
      <c r="C713" s="89" t="s">
        <v>1027</v>
      </c>
      <c r="D713" s="89" t="s">
        <v>15</v>
      </c>
      <c r="E713" s="89" t="s">
        <v>1010</v>
      </c>
      <c r="F713" s="102" t="n">
        <v>1996</v>
      </c>
      <c r="G713" s="102" t="n">
        <v>2595</v>
      </c>
      <c r="H713" s="103" t="s">
        <v>48</v>
      </c>
      <c r="I713" s="103">
        <f>IFERROR(VLOOKUP(A713,#REF!,15,0),0)+IFERROR(VLOOKUP(A713,#REF!,25,0),0)+IFERROR(VLOOKUP(A713,#REF!,10,0),0)+IFERROR(VLOOKUP(A713,#REF!,14,0),0)+IFERROR(VLOOKUP(A713,#REF!,10,0),0)+IFERROR(VLOOKUP(A713,#REF!,10,0),0)+IFERROR(VLOOKUP(A713,#REF!,10,0),0)+IFERROR(VLOOKUP(A713,#REF!,9,0),0)+IFERROR(VLOOKUP(A713,#REF!,9,0),0)+IFERROR(VLOOKUP(A713,#REF!,9,0),0)+IFERROR(VLOOKUP(A713,#REF!,9,0),0)</f>
        <v>0</v>
      </c>
      <c r="J713" s="104">
        <f>IFERROR(VLOOKUP(A713,#REF!,16,0),0)+IFERROR(VLOOKUP(A713,#REF!,26,0),0)+IFERROR(VLOOKUP(A713,#REF!,11,0),0)+IFERROR(VLOOKUP(A713,#REF!,23,0),0)+IFERROR(VLOOKUP(A713,#REF!,11,0),0)+IFERROR(VLOOKUP(A713,#REF!,11,0),0)+IFERROR(VLOOKUP(A713,#REF!,11,0),0)</f>
        <v>0</v>
      </c>
      <c r="K713" s="96" t="str">
        <f>"07.02.24"</f>
        <v>07.02.24</v>
      </c>
    </row>
    <row r="714" spans="1:11" ht="11.25" customHeight="1" outlineLevel="1">
      <c r="A714" s="89" t="n">
        <v>22587</v>
      </c>
      <c r="B714" s="114" t="s">
        <v>601</v>
      </c>
      <c r="C714" s="89" t="s">
        <v>1028</v>
      </c>
      <c r="D714" s="89" t="s">
        <v>15</v>
      </c>
      <c r="E714" s="89" t="s">
        <v>1029</v>
      </c>
      <c r="F714" s="102" t="n">
        <v>2487</v>
      </c>
      <c r="G714" s="102" t="n">
        <v>3234</v>
      </c>
      <c r="H714" s="103" t="s">
        <v>48</v>
      </c>
      <c r="I714" s="103">
        <f>IFERROR(VLOOKUP(A714,#REF!,15,0),0)+IFERROR(VLOOKUP(A714,#REF!,25,0),0)+IFERROR(VLOOKUP(A714,#REF!,10,0),0)+IFERROR(VLOOKUP(A714,#REF!,14,0),0)+IFERROR(VLOOKUP(A714,#REF!,10,0),0)+IFERROR(VLOOKUP(A714,#REF!,10,0),0)+IFERROR(VLOOKUP(A714,#REF!,10,0),0)+IFERROR(VLOOKUP(A714,#REF!,9,0),0)+IFERROR(VLOOKUP(A714,#REF!,9,0),0)+IFERROR(VLOOKUP(A714,#REF!,9,0),0)+IFERROR(VLOOKUP(A714,#REF!,9,0),0)</f>
        <v>0</v>
      </c>
      <c r="J714" s="104">
        <f>IFERROR(VLOOKUP(A714,#REF!,16,0),0)+IFERROR(VLOOKUP(A714,#REF!,26,0),0)+IFERROR(VLOOKUP(A714,#REF!,11,0),0)+IFERROR(VLOOKUP(A714,#REF!,23,0),0)+IFERROR(VLOOKUP(A714,#REF!,11,0),0)+IFERROR(VLOOKUP(A714,#REF!,11,0),0)+IFERROR(VLOOKUP(A714,#REF!,11,0),0)</f>
        <v>0</v>
      </c>
      <c r="K714" s="96" t="str">
        <f>"07.02.24"</f>
        <v>07.02.24</v>
      </c>
    </row>
    <row r="715" spans="1:11" ht="11.25" customHeight="1" outlineLevel="1">
      <c r="A715" s="89" t="n">
        <v>10821</v>
      </c>
      <c r="B715" s="114" t="s">
        <v>601</v>
      </c>
      <c r="C715" s="89" t="s">
        <v>1030</v>
      </c>
      <c r="D715" s="89" t="s">
        <v>15</v>
      </c>
      <c r="E715" s="89" t="s">
        <v>1031</v>
      </c>
      <c r="F715" s="102" t="n">
        <v>2799</v>
      </c>
      <c r="G715" s="102" t="n">
        <v>3640</v>
      </c>
      <c r="H715" s="103" t="s">
        <v>17</v>
      </c>
      <c r="I715" s="103">
        <f>IFERROR(VLOOKUP(A715,#REF!,15,0),0)+IFERROR(VLOOKUP(A715,#REF!,25,0),0)+IFERROR(VLOOKUP(A715,#REF!,10,0),0)+IFERROR(VLOOKUP(A715,#REF!,14,0),0)+IFERROR(VLOOKUP(A715,#REF!,10,0),0)+IFERROR(VLOOKUP(A715,#REF!,10,0),0)+IFERROR(VLOOKUP(A715,#REF!,10,0),0)+IFERROR(VLOOKUP(A715,#REF!,9,0),0)+IFERROR(VLOOKUP(A715,#REF!,9,0),0)+IFERROR(VLOOKUP(A715,#REF!,9,0),0)+IFERROR(VLOOKUP(A715,#REF!,9,0),0)</f>
        <v>0</v>
      </c>
      <c r="J715" s="104">
        <f>IFERROR(VLOOKUP(A715,#REF!,16,0),0)+IFERROR(VLOOKUP(A715,#REF!,26,0),0)+IFERROR(VLOOKUP(A715,#REF!,11,0),0)+IFERROR(VLOOKUP(A715,#REF!,23,0),0)+IFERROR(VLOOKUP(A715,#REF!,11,0),0)+IFERROR(VLOOKUP(A715,#REF!,11,0),0)+IFERROR(VLOOKUP(A715,#REF!,11,0),0)</f>
        <v>0</v>
      </c>
      <c r="K715" s="96" t="str">
        <f>"07.02.24"</f>
        <v>07.02.24</v>
      </c>
    </row>
    <row r="716" spans="1:11" ht="11.25" customHeight="1" outlineLevel="1">
      <c r="A716" s="89" t="n">
        <v>10067</v>
      </c>
      <c r="B716" s="114" t="s">
        <v>601</v>
      </c>
      <c r="C716" s="89" t="s">
        <v>1032</v>
      </c>
      <c r="D716" s="89" t="s">
        <v>15</v>
      </c>
      <c r="E716" s="89" t="s">
        <v>1033</v>
      </c>
      <c r="F716" s="102" t="n">
        <v>3679</v>
      </c>
      <c r="G716" s="102" t="n">
        <v>4783</v>
      </c>
      <c r="H716" s="103" t="s">
        <v>48</v>
      </c>
      <c r="I716" s="103">
        <f>IFERROR(VLOOKUP(A716,#REF!,15,0),0)+IFERROR(VLOOKUP(A716,#REF!,25,0),0)+IFERROR(VLOOKUP(A716,#REF!,10,0),0)+IFERROR(VLOOKUP(A716,#REF!,14,0),0)+IFERROR(VLOOKUP(A716,#REF!,10,0),0)+IFERROR(VLOOKUP(A716,#REF!,10,0),0)+IFERROR(VLOOKUP(A716,#REF!,10,0),0)+IFERROR(VLOOKUP(A716,#REF!,9,0),0)+IFERROR(VLOOKUP(A716,#REF!,9,0),0)+IFERROR(VLOOKUP(A716,#REF!,9,0),0)+IFERROR(VLOOKUP(A716,#REF!,9,0),0)</f>
        <v>0</v>
      </c>
      <c r="J716" s="104">
        <f>IFERROR(VLOOKUP(A716,#REF!,16,0),0)+IFERROR(VLOOKUP(A716,#REF!,26,0),0)+IFERROR(VLOOKUP(A716,#REF!,11,0),0)+IFERROR(VLOOKUP(A716,#REF!,23,0),0)+IFERROR(VLOOKUP(A716,#REF!,11,0),0)+IFERROR(VLOOKUP(A716,#REF!,11,0),0)+IFERROR(VLOOKUP(A716,#REF!,11,0),0)</f>
        <v>0</v>
      </c>
      <c r="K716" s="96" t="str">
        <f>"07.02.24"</f>
        <v>07.02.24</v>
      </c>
    </row>
    <row r="717" spans="1:11" ht="11.25" customHeight="1" outlineLevel="1">
      <c r="A717" s="89" t="n">
        <v>10822</v>
      </c>
      <c r="B717" s="114" t="s">
        <v>601</v>
      </c>
      <c r="C717" s="89" t="s">
        <v>1034</v>
      </c>
      <c r="D717" s="89" t="s">
        <v>15</v>
      </c>
      <c r="E717" s="89" t="s">
        <v>1035</v>
      </c>
      <c r="F717" s="102" t="n">
        <v>3663</v>
      </c>
      <c r="G717" s="102" t="n">
        <v>4762</v>
      </c>
      <c r="H717" s="103" t="s">
        <v>17</v>
      </c>
      <c r="I717" s="103">
        <f>IFERROR(VLOOKUP(A717,#REF!,15,0),0)+IFERROR(VLOOKUP(A717,#REF!,25,0),0)+IFERROR(VLOOKUP(A717,#REF!,10,0),0)+IFERROR(VLOOKUP(A717,#REF!,14,0),0)+IFERROR(VLOOKUP(A717,#REF!,10,0),0)+IFERROR(VLOOKUP(A717,#REF!,10,0),0)+IFERROR(VLOOKUP(A717,#REF!,10,0),0)+IFERROR(VLOOKUP(A717,#REF!,9,0),0)+IFERROR(VLOOKUP(A717,#REF!,9,0),0)+IFERROR(VLOOKUP(A717,#REF!,9,0),0)+IFERROR(VLOOKUP(A717,#REF!,9,0),0)</f>
        <v>0</v>
      </c>
      <c r="J717" s="104">
        <f>IFERROR(VLOOKUP(A717,#REF!,16,0),0)+IFERROR(VLOOKUP(A717,#REF!,26,0),0)+IFERROR(VLOOKUP(A717,#REF!,11,0),0)+IFERROR(VLOOKUP(A717,#REF!,23,0),0)+IFERROR(VLOOKUP(A717,#REF!,11,0),0)+IFERROR(VLOOKUP(A717,#REF!,11,0),0)+IFERROR(VLOOKUP(A717,#REF!,11,0),0)</f>
        <v>0</v>
      </c>
      <c r="K717" s="96" t="str">
        <f>"07.02.24"</f>
        <v>07.02.24</v>
      </c>
    </row>
    <row r="718" spans="1:11" ht="11.25" customHeight="1" outlineLevel="1">
      <c r="A718" s="89" t="n">
        <v>22588</v>
      </c>
      <c r="B718" s="114" t="s">
        <v>601</v>
      </c>
      <c r="C718" s="89" t="s">
        <v>1036</v>
      </c>
      <c r="D718" s="89" t="s">
        <v>15</v>
      </c>
      <c r="E718" s="89" t="s">
        <v>1037</v>
      </c>
      <c r="F718" s="102" t="n">
        <v>4873</v>
      </c>
      <c r="G718" s="102" t="n">
        <v>6336</v>
      </c>
      <c r="H718" s="103" t="s">
        <v>48</v>
      </c>
      <c r="I718" s="103">
        <f>IFERROR(VLOOKUP(A718,#REF!,15,0),0)+IFERROR(VLOOKUP(A718,#REF!,25,0),0)+IFERROR(VLOOKUP(A718,#REF!,10,0),0)+IFERROR(VLOOKUP(A718,#REF!,14,0),0)+IFERROR(VLOOKUP(A718,#REF!,10,0),0)+IFERROR(VLOOKUP(A718,#REF!,10,0),0)+IFERROR(VLOOKUP(A718,#REF!,10,0),0)+IFERROR(VLOOKUP(A718,#REF!,9,0),0)+IFERROR(VLOOKUP(A718,#REF!,9,0),0)+IFERROR(VLOOKUP(A718,#REF!,9,0),0)+IFERROR(VLOOKUP(A718,#REF!,9,0),0)</f>
        <v>0</v>
      </c>
      <c r="J718" s="104">
        <f>IFERROR(VLOOKUP(A718,#REF!,16,0),0)+IFERROR(VLOOKUP(A718,#REF!,26,0),0)+IFERROR(VLOOKUP(A718,#REF!,11,0),0)+IFERROR(VLOOKUP(A718,#REF!,23,0),0)+IFERROR(VLOOKUP(A718,#REF!,11,0),0)+IFERROR(VLOOKUP(A718,#REF!,11,0),0)+IFERROR(VLOOKUP(A718,#REF!,11,0),0)</f>
        <v>0</v>
      </c>
      <c r="K718" s="96" t="str">
        <f>"07.02.24"</f>
        <v>07.02.24</v>
      </c>
    </row>
    <row r="719" spans="1:11" ht="11.25" customHeight="1" outlineLevel="1">
      <c r="A719" s="89" t="n">
        <v>10945</v>
      </c>
      <c r="B719" s="114" t="s">
        <v>601</v>
      </c>
      <c r="C719" s="89" t="s">
        <v>1038</v>
      </c>
      <c r="D719" s="89" t="s">
        <v>15</v>
      </c>
      <c r="E719" s="89" t="s">
        <v>1039</v>
      </c>
      <c r="F719" s="102" t="n">
        <v>4117</v>
      </c>
      <c r="G719" s="102" t="n">
        <v>5352</v>
      </c>
      <c r="H719" s="103" t="s">
        <v>48</v>
      </c>
      <c r="I719" s="103">
        <f>IFERROR(VLOOKUP(A719,#REF!,15,0),0)+IFERROR(VLOOKUP(A719,#REF!,25,0),0)+IFERROR(VLOOKUP(A719,#REF!,10,0),0)+IFERROR(VLOOKUP(A719,#REF!,14,0),0)+IFERROR(VLOOKUP(A719,#REF!,10,0),0)+IFERROR(VLOOKUP(A719,#REF!,10,0),0)+IFERROR(VLOOKUP(A719,#REF!,10,0),0)+IFERROR(VLOOKUP(A719,#REF!,9,0),0)+IFERROR(VLOOKUP(A719,#REF!,9,0),0)+IFERROR(VLOOKUP(A719,#REF!,9,0),0)+IFERROR(VLOOKUP(A719,#REF!,9,0),0)</f>
        <v>0</v>
      </c>
      <c r="J719" s="104">
        <f>IFERROR(VLOOKUP(A719,#REF!,16,0),0)+IFERROR(VLOOKUP(A719,#REF!,26,0),0)+IFERROR(VLOOKUP(A719,#REF!,11,0),0)+IFERROR(VLOOKUP(A719,#REF!,23,0),0)+IFERROR(VLOOKUP(A719,#REF!,11,0),0)+IFERROR(VLOOKUP(A719,#REF!,11,0),0)+IFERROR(VLOOKUP(A719,#REF!,11,0),0)</f>
        <v>0</v>
      </c>
      <c r="K719" s="96" t="str">
        <f>"07.02.24"</f>
        <v>07.02.24</v>
      </c>
    </row>
    <row r="720" spans="1:11" ht="11.25" customHeight="1" outlineLevel="1">
      <c r="A720" s="89" t="n">
        <v>10068</v>
      </c>
      <c r="B720" s="114" t="s">
        <v>601</v>
      </c>
      <c r="C720" s="89" t="s">
        <v>1040</v>
      </c>
      <c r="D720" s="89" t="s">
        <v>15</v>
      </c>
      <c r="E720" s="89" t="s">
        <v>1041</v>
      </c>
      <c r="F720" s="102" t="n">
        <v>6027</v>
      </c>
      <c r="G720" s="102" t="n">
        <v>7835</v>
      </c>
      <c r="H720" s="103" t="s">
        <v>48</v>
      </c>
      <c r="I720" s="103">
        <f>IFERROR(VLOOKUP(A720,#REF!,15,0),0)+IFERROR(VLOOKUP(A720,#REF!,25,0),0)+IFERROR(VLOOKUP(A720,#REF!,10,0),0)+IFERROR(VLOOKUP(A720,#REF!,14,0),0)+IFERROR(VLOOKUP(A720,#REF!,10,0),0)+IFERROR(VLOOKUP(A720,#REF!,10,0),0)+IFERROR(VLOOKUP(A720,#REF!,10,0),0)+IFERROR(VLOOKUP(A720,#REF!,9,0),0)+IFERROR(VLOOKUP(A720,#REF!,9,0),0)+IFERROR(VLOOKUP(A720,#REF!,9,0),0)+IFERROR(VLOOKUP(A720,#REF!,9,0),0)</f>
        <v>0</v>
      </c>
      <c r="J720" s="104">
        <f>IFERROR(VLOOKUP(A720,#REF!,16,0),0)+IFERROR(VLOOKUP(A720,#REF!,26,0),0)+IFERROR(VLOOKUP(A720,#REF!,11,0),0)+IFERROR(VLOOKUP(A720,#REF!,23,0),0)+IFERROR(VLOOKUP(A720,#REF!,11,0),0)+IFERROR(VLOOKUP(A720,#REF!,11,0),0)+IFERROR(VLOOKUP(A720,#REF!,11,0),0)</f>
        <v>0</v>
      </c>
      <c r="K720" s="96" t="str">
        <f>"07.02.24"</f>
        <v>07.02.24</v>
      </c>
    </row>
    <row r="721" spans="1:11" ht="11.25" customHeight="1" outlineLevel="1">
      <c r="A721" s="89" t="n">
        <v>37315</v>
      </c>
      <c r="B721" s="114" t="s">
        <v>601</v>
      </c>
      <c r="C721" s="89" t="s">
        <v>1042</v>
      </c>
      <c r="D721" s="89" t="s">
        <v>15</v>
      </c>
      <c r="E721" s="89" t="s">
        <v>1043</v>
      </c>
      <c r="F721" s="102" t="n">
        <v>8180</v>
      </c>
      <c r="G721" s="102" t="n">
        <v>10635</v>
      </c>
      <c r="H721" s="103" t="s">
        <v>48</v>
      </c>
      <c r="I721" s="103">
        <f>IFERROR(VLOOKUP(A721,#REF!,15,0),0)+IFERROR(VLOOKUP(A721,#REF!,25,0),0)+IFERROR(VLOOKUP(A721,#REF!,10,0),0)+IFERROR(VLOOKUP(A721,#REF!,14,0),0)+IFERROR(VLOOKUP(A721,#REF!,10,0),0)+IFERROR(VLOOKUP(A721,#REF!,10,0),0)+IFERROR(VLOOKUP(A721,#REF!,10,0),0)+IFERROR(VLOOKUP(A721,#REF!,9,0),0)+IFERROR(VLOOKUP(A721,#REF!,9,0),0)+IFERROR(VLOOKUP(A721,#REF!,9,0),0)+IFERROR(VLOOKUP(A721,#REF!,9,0),0)</f>
        <v>0</v>
      </c>
      <c r="J721" s="104">
        <f>IFERROR(VLOOKUP(A721,#REF!,16,0),0)+IFERROR(VLOOKUP(A721,#REF!,26,0),0)+IFERROR(VLOOKUP(A721,#REF!,11,0),0)+IFERROR(VLOOKUP(A721,#REF!,23,0),0)+IFERROR(VLOOKUP(A721,#REF!,11,0),0)+IFERROR(VLOOKUP(A721,#REF!,11,0),0)+IFERROR(VLOOKUP(A721,#REF!,11,0),0)</f>
        <v>0</v>
      </c>
      <c r="K721" s="96" t="str">
        <f>"07.02.24"</f>
        <v>07.02.24</v>
      </c>
    </row>
    <row r="722" spans="1:11" ht="11.25" customHeight="1" outlineLevel="1">
      <c r="A722" s="89" t="n">
        <v>27831</v>
      </c>
      <c r="B722" s="114" t="s">
        <v>601</v>
      </c>
      <c r="C722" s="89" t="s">
        <v>1044</v>
      </c>
      <c r="D722" s="89"/>
      <c r="E722" s="89"/>
      <c r="F722" s="102" t="n">
        <v>568</v>
      </c>
      <c r="G722" s="102" t="n">
        <v>738</v>
      </c>
      <c r="H722" s="103" t="s">
        <v>48</v>
      </c>
      <c r="I722" s="103">
        <f>IFERROR(VLOOKUP(A722,#REF!,15,0),0)+IFERROR(VLOOKUP(A722,#REF!,25,0),0)+IFERROR(VLOOKUP(A722,#REF!,10,0),0)+IFERROR(VLOOKUP(A722,#REF!,14,0),0)+IFERROR(VLOOKUP(A722,#REF!,10,0),0)+IFERROR(VLOOKUP(A722,#REF!,10,0),0)+IFERROR(VLOOKUP(A722,#REF!,10,0),0)+IFERROR(VLOOKUP(A722,#REF!,9,0),0)+IFERROR(VLOOKUP(A722,#REF!,9,0),0)+IFERROR(VLOOKUP(A722,#REF!,9,0),0)+IFERROR(VLOOKUP(A722,#REF!,9,0),0)</f>
        <v>0</v>
      </c>
      <c r="J722" s="104">
        <f>IFERROR(VLOOKUP(A722,#REF!,16,0),0)+IFERROR(VLOOKUP(A722,#REF!,26,0),0)+IFERROR(VLOOKUP(A722,#REF!,11,0),0)+IFERROR(VLOOKUP(A722,#REF!,23,0),0)+IFERROR(VLOOKUP(A722,#REF!,11,0),0)+IFERROR(VLOOKUP(A722,#REF!,11,0),0)+IFERROR(VLOOKUP(A722,#REF!,11,0),0)</f>
        <v>0</v>
      </c>
      <c r="K722" s="96" t="str">
        <f>"07.02.24"</f>
        <v>07.02.24</v>
      </c>
    </row>
    <row r="723" spans="1:11" ht="11.25" customHeight="1" outlineLevel="1">
      <c r="A723" s="89" t="n">
        <v>13778</v>
      </c>
      <c r="B723" s="114" t="s">
        <v>601</v>
      </c>
      <c r="C723" s="89" t="s">
        <v>1045</v>
      </c>
      <c r="D723" s="89"/>
      <c r="E723" s="89"/>
      <c r="F723" s="102" t="n">
        <v>96</v>
      </c>
      <c r="G723" s="102" t="n">
        <v>124</v>
      </c>
      <c r="H723" s="103" t="s">
        <v>17</v>
      </c>
      <c r="I723" s="103">
        <f>IFERROR(VLOOKUP(A723,#REF!,15,0),0)+IFERROR(VLOOKUP(A723,#REF!,25,0),0)+IFERROR(VLOOKUP(A723,#REF!,10,0),0)+IFERROR(VLOOKUP(A723,#REF!,14,0),0)+IFERROR(VLOOKUP(A723,#REF!,10,0),0)+IFERROR(VLOOKUP(A723,#REF!,10,0),0)+IFERROR(VLOOKUP(A723,#REF!,10,0),0)+IFERROR(VLOOKUP(A723,#REF!,9,0),0)+IFERROR(VLOOKUP(A723,#REF!,9,0),0)+IFERROR(VLOOKUP(A723,#REF!,9,0),0)+IFERROR(VLOOKUP(A723,#REF!,9,0),0)</f>
        <v>0</v>
      </c>
      <c r="J723" s="104">
        <f>IFERROR(VLOOKUP(A723,#REF!,16,0),0)+IFERROR(VLOOKUP(A723,#REF!,26,0),0)+IFERROR(VLOOKUP(A723,#REF!,11,0),0)+IFERROR(VLOOKUP(A723,#REF!,23,0),0)+IFERROR(VLOOKUP(A723,#REF!,11,0),0)+IFERROR(VLOOKUP(A723,#REF!,11,0),0)+IFERROR(VLOOKUP(A723,#REF!,11,0),0)</f>
        <v>0</v>
      </c>
      <c r="K723" s="96" t="str">
        <f>"07.02.24"</f>
        <v>07.02.24</v>
      </c>
    </row>
    <row r="724" spans="1:11" ht="11.25" customHeight="1" outlineLevel="1">
      <c r="A724" s="89" t="n">
        <v>12021</v>
      </c>
      <c r="B724" s="114" t="s">
        <v>601</v>
      </c>
      <c r="C724" s="89" t="s">
        <v>1046</v>
      </c>
      <c r="D724" s="89"/>
      <c r="E724" s="89"/>
      <c r="F724" s="102" t="n">
        <v>133</v>
      </c>
      <c r="G724" s="102" t="n">
        <v>174</v>
      </c>
      <c r="H724" s="103" t="s">
        <v>17</v>
      </c>
      <c r="I724" s="103">
        <f>IFERROR(VLOOKUP(A724,#REF!,15,0),0)+IFERROR(VLOOKUP(A724,#REF!,25,0),0)+IFERROR(VLOOKUP(A724,#REF!,10,0),0)+IFERROR(VLOOKUP(A724,#REF!,14,0),0)+IFERROR(VLOOKUP(A724,#REF!,10,0),0)+IFERROR(VLOOKUP(A724,#REF!,10,0),0)+IFERROR(VLOOKUP(A724,#REF!,10,0),0)+IFERROR(VLOOKUP(A724,#REF!,9,0),0)+IFERROR(VLOOKUP(A724,#REF!,9,0),0)+IFERROR(VLOOKUP(A724,#REF!,9,0),0)+IFERROR(VLOOKUP(A724,#REF!,9,0),0)</f>
        <v>0</v>
      </c>
      <c r="J724" s="104">
        <f>IFERROR(VLOOKUP(A724,#REF!,16,0),0)+IFERROR(VLOOKUP(A724,#REF!,26,0),0)+IFERROR(VLOOKUP(A724,#REF!,11,0),0)+IFERROR(VLOOKUP(A724,#REF!,23,0),0)+IFERROR(VLOOKUP(A724,#REF!,11,0),0)+IFERROR(VLOOKUP(A724,#REF!,11,0),0)+IFERROR(VLOOKUP(A724,#REF!,11,0),0)</f>
        <v>0</v>
      </c>
      <c r="K724" s="96" t="str">
        <f>"07.02.24"</f>
        <v>07.02.24</v>
      </c>
    </row>
    <row r="725" spans="1:11" ht="11.25" customHeight="1" outlineLevel="1">
      <c r="A725" s="89" t="n">
        <v>8083790</v>
      </c>
      <c r="B725" s="114" t="s">
        <v>601</v>
      </c>
      <c r="C725" s="89" t="s">
        <v>1047</v>
      </c>
      <c r="D725" s="89"/>
      <c r="E725" s="89"/>
      <c r="F725" s="102" t="n">
        <v>131</v>
      </c>
      <c r="G725" s="102" t="n">
        <v>170</v>
      </c>
      <c r="H725" s="103" t="s">
        <v>17</v>
      </c>
      <c r="I725" s="103">
        <f>IFERROR(VLOOKUP(A725,#REF!,15,0),0)+IFERROR(VLOOKUP(A725,#REF!,25,0),0)+IFERROR(VLOOKUP(A725,#REF!,10,0),0)+IFERROR(VLOOKUP(A725,#REF!,14,0),0)+IFERROR(VLOOKUP(A725,#REF!,10,0),0)+IFERROR(VLOOKUP(A725,#REF!,10,0),0)+IFERROR(VLOOKUP(A725,#REF!,10,0),0)+IFERROR(VLOOKUP(A725,#REF!,9,0),0)+IFERROR(VLOOKUP(A725,#REF!,9,0),0)+IFERROR(VLOOKUP(A725,#REF!,9,0),0)+IFERROR(VLOOKUP(A725,#REF!,9,0),0)</f>
        <v>0</v>
      </c>
      <c r="J725" s="104">
        <f>IFERROR(VLOOKUP(A725,#REF!,16,0),0)+IFERROR(VLOOKUP(A725,#REF!,26,0),0)+IFERROR(VLOOKUP(A725,#REF!,11,0),0)+IFERROR(VLOOKUP(A725,#REF!,23,0),0)+IFERROR(VLOOKUP(A725,#REF!,11,0),0)+IFERROR(VLOOKUP(A725,#REF!,11,0),0)+IFERROR(VLOOKUP(A725,#REF!,11,0),0)</f>
        <v>0</v>
      </c>
      <c r="K725" s="96" t="str">
        <f>"07.02.24"</f>
        <v>07.02.24</v>
      </c>
    </row>
    <row r="726" spans="1:11" ht="11.25" customHeight="1" outlineLevel="1">
      <c r="A726" s="89" t="n">
        <v>12022</v>
      </c>
      <c r="B726" s="114" t="s">
        <v>601</v>
      </c>
      <c r="C726" s="89" t="s">
        <v>1048</v>
      </c>
      <c r="D726" s="89"/>
      <c r="E726" s="89"/>
      <c r="F726" s="102" t="n">
        <v>154</v>
      </c>
      <c r="G726" s="102" t="n">
        <v>200</v>
      </c>
      <c r="H726" s="103" t="s">
        <v>48</v>
      </c>
      <c r="I726" s="103">
        <f>IFERROR(VLOOKUP(A726,#REF!,15,0),0)+IFERROR(VLOOKUP(A726,#REF!,25,0),0)+IFERROR(VLOOKUP(A726,#REF!,10,0),0)+IFERROR(VLOOKUP(A726,#REF!,14,0),0)+IFERROR(VLOOKUP(A726,#REF!,10,0),0)+IFERROR(VLOOKUP(A726,#REF!,10,0),0)+IFERROR(VLOOKUP(A726,#REF!,10,0),0)+IFERROR(VLOOKUP(A726,#REF!,9,0),0)+IFERROR(VLOOKUP(A726,#REF!,9,0),0)+IFERROR(VLOOKUP(A726,#REF!,9,0),0)+IFERROR(VLOOKUP(A726,#REF!,9,0),0)</f>
        <v>0</v>
      </c>
      <c r="J726" s="104">
        <f>IFERROR(VLOOKUP(A726,#REF!,16,0),0)+IFERROR(VLOOKUP(A726,#REF!,26,0),0)+IFERROR(VLOOKUP(A726,#REF!,11,0),0)+IFERROR(VLOOKUP(A726,#REF!,23,0),0)+IFERROR(VLOOKUP(A726,#REF!,11,0),0)+IFERROR(VLOOKUP(A726,#REF!,11,0),0)+IFERROR(VLOOKUP(A726,#REF!,11,0),0)</f>
        <v>0</v>
      </c>
      <c r="K726" s="96" t="str">
        <f>"07.02.24"</f>
        <v>07.02.24</v>
      </c>
    </row>
    <row r="727" spans="1:11" ht="21.75" customHeight="1" outlineLevel="1">
      <c r="A727" s="89" t="n">
        <v>24486</v>
      </c>
      <c r="B727" s="114" t="s">
        <v>601</v>
      </c>
      <c r="C727" s="89" t="s">
        <v>1049</v>
      </c>
      <c r="D727" s="89"/>
      <c r="E727" s="89"/>
      <c r="F727" s="102" t="n">
        <v>7386</v>
      </c>
      <c r="G727" s="102" t="n">
        <v>9970</v>
      </c>
      <c r="H727" s="103" t="s">
        <v>17</v>
      </c>
      <c r="I727" s="103">
        <f>IFERROR(VLOOKUP(A727,#REF!,15,0),0)+IFERROR(VLOOKUP(A727,#REF!,25,0),0)+IFERROR(VLOOKUP(A727,#REF!,10,0),0)+IFERROR(VLOOKUP(A727,#REF!,14,0),0)+IFERROR(VLOOKUP(A727,#REF!,10,0),0)+IFERROR(VLOOKUP(A727,#REF!,10,0),0)+IFERROR(VLOOKUP(A727,#REF!,10,0),0)+IFERROR(VLOOKUP(A727,#REF!,9,0),0)+IFERROR(VLOOKUP(A727,#REF!,9,0),0)+IFERROR(VLOOKUP(A727,#REF!,9,0),0)+IFERROR(VLOOKUP(A727,#REF!,9,0),0)</f>
        <v>0</v>
      </c>
      <c r="J727" s="104">
        <f>IFERROR(VLOOKUP(A727,#REF!,16,0),0)+IFERROR(VLOOKUP(A727,#REF!,26,0),0)+IFERROR(VLOOKUP(A727,#REF!,11,0),0)+IFERROR(VLOOKUP(A727,#REF!,23,0),0)+IFERROR(VLOOKUP(A727,#REF!,11,0),0)+IFERROR(VLOOKUP(A727,#REF!,11,0),0)+IFERROR(VLOOKUP(A727,#REF!,11,0),0)</f>
        <v>0</v>
      </c>
      <c r="K727" s="96" t="str">
        <f>"07.02.24"</f>
        <v>07.02.24</v>
      </c>
    </row>
    <row r="728" spans="1:11" ht="11.25" customHeight="1" outlineLevel="1">
      <c r="A728" s="89" t="n">
        <v>24487</v>
      </c>
      <c r="B728" s="114" t="s">
        <v>601</v>
      </c>
      <c r="C728" s="89" t="s">
        <v>1050</v>
      </c>
      <c r="D728" s="89"/>
      <c r="E728" s="89"/>
      <c r="F728" s="102" t="n">
        <v>7601</v>
      </c>
      <c r="G728" s="102" t="n">
        <v>10260</v>
      </c>
      <c r="H728" s="103" t="s">
        <v>17</v>
      </c>
      <c r="I728" s="103">
        <f>IFERROR(VLOOKUP(A728,#REF!,15,0),0)+IFERROR(VLOOKUP(A728,#REF!,25,0),0)+IFERROR(VLOOKUP(A728,#REF!,10,0),0)+IFERROR(VLOOKUP(A728,#REF!,14,0),0)+IFERROR(VLOOKUP(A728,#REF!,10,0),0)+IFERROR(VLOOKUP(A728,#REF!,10,0),0)+IFERROR(VLOOKUP(A728,#REF!,10,0),0)+IFERROR(VLOOKUP(A728,#REF!,9,0),0)+IFERROR(VLOOKUP(A728,#REF!,9,0),0)+IFERROR(VLOOKUP(A728,#REF!,9,0),0)+IFERROR(VLOOKUP(A728,#REF!,9,0),0)</f>
        <v>0</v>
      </c>
      <c r="J728" s="104">
        <f>IFERROR(VLOOKUP(A728,#REF!,16,0),0)+IFERROR(VLOOKUP(A728,#REF!,26,0),0)+IFERROR(VLOOKUP(A728,#REF!,11,0),0)+IFERROR(VLOOKUP(A728,#REF!,23,0),0)+IFERROR(VLOOKUP(A728,#REF!,11,0),0)+IFERROR(VLOOKUP(A728,#REF!,11,0),0)+IFERROR(VLOOKUP(A728,#REF!,11,0),0)</f>
        <v>0</v>
      </c>
      <c r="K728" s="96" t="str">
        <f>"07.02.24"</f>
        <v>07.02.24</v>
      </c>
    </row>
    <row r="729" spans="1:11" ht="11.25" customHeight="1" outlineLevel="1">
      <c r="A729" s="89" t="n">
        <v>10065</v>
      </c>
      <c r="B729" s="114" t="s">
        <v>601</v>
      </c>
      <c r="C729" s="89" t="s">
        <v>1051</v>
      </c>
      <c r="D729" s="89"/>
      <c r="E729" s="89"/>
      <c r="F729" s="102" t="n">
        <v>6026</v>
      </c>
      <c r="G729" s="102" t="n">
        <v>8134</v>
      </c>
      <c r="H729" s="103" t="s">
        <v>17</v>
      </c>
      <c r="I729" s="103">
        <f>IFERROR(VLOOKUP(A729,#REF!,15,0),0)+IFERROR(VLOOKUP(A729,#REF!,25,0),0)+IFERROR(VLOOKUP(A729,#REF!,10,0),0)+IFERROR(VLOOKUP(A729,#REF!,14,0),0)+IFERROR(VLOOKUP(A729,#REF!,10,0),0)+IFERROR(VLOOKUP(A729,#REF!,10,0),0)+IFERROR(VLOOKUP(A729,#REF!,10,0),0)+IFERROR(VLOOKUP(A729,#REF!,9,0),0)+IFERROR(VLOOKUP(A729,#REF!,9,0),0)+IFERROR(VLOOKUP(A729,#REF!,9,0),0)+IFERROR(VLOOKUP(A729,#REF!,9,0),0)</f>
        <v>0</v>
      </c>
      <c r="J729" s="104">
        <f>IFERROR(VLOOKUP(A729,#REF!,16,0),0)+IFERROR(VLOOKUP(A729,#REF!,26,0),0)+IFERROR(VLOOKUP(A729,#REF!,11,0),0)+IFERROR(VLOOKUP(A729,#REF!,23,0),0)+IFERROR(VLOOKUP(A729,#REF!,11,0),0)+IFERROR(VLOOKUP(A729,#REF!,11,0),0)+IFERROR(VLOOKUP(A729,#REF!,11,0),0)</f>
        <v>0</v>
      </c>
      <c r="K729" s="96" t="str">
        <f>"07.02.24"</f>
        <v>07.02.24</v>
      </c>
    </row>
    <row r="730" spans="1:11" ht="11.25" customHeight="1" outlineLevel="1">
      <c r="A730" s="89" t="n">
        <v>6941</v>
      </c>
      <c r="B730" s="114" t="s">
        <v>601</v>
      </c>
      <c r="C730" s="89" t="s">
        <v>1052</v>
      </c>
      <c r="D730" s="89"/>
      <c r="E730" s="89"/>
      <c r="F730" s="102" t="n">
        <v>673</v>
      </c>
      <c r="G730" s="102" t="n">
        <v>875</v>
      </c>
      <c r="H730" s="103" t="s">
        <v>48</v>
      </c>
      <c r="I730" s="103">
        <f>IFERROR(VLOOKUP(A730,#REF!,15,0),0)+IFERROR(VLOOKUP(A730,#REF!,25,0),0)+IFERROR(VLOOKUP(A730,#REF!,10,0),0)+IFERROR(VLOOKUP(A730,#REF!,14,0),0)+IFERROR(VLOOKUP(A730,#REF!,10,0),0)+IFERROR(VLOOKUP(A730,#REF!,10,0),0)+IFERROR(VLOOKUP(A730,#REF!,10,0),0)+IFERROR(VLOOKUP(A730,#REF!,9,0),0)+IFERROR(VLOOKUP(A730,#REF!,9,0),0)+IFERROR(VLOOKUP(A730,#REF!,9,0),0)+IFERROR(VLOOKUP(A730,#REF!,9,0),0)</f>
        <v>0</v>
      </c>
      <c r="J730" s="104">
        <f>IFERROR(VLOOKUP(A730,#REF!,16,0),0)+IFERROR(VLOOKUP(A730,#REF!,26,0),0)+IFERROR(VLOOKUP(A730,#REF!,11,0),0)+IFERROR(VLOOKUP(A730,#REF!,23,0),0)+IFERROR(VLOOKUP(A730,#REF!,11,0),0)+IFERROR(VLOOKUP(A730,#REF!,11,0),0)+IFERROR(VLOOKUP(A730,#REF!,11,0),0)</f>
        <v>0</v>
      </c>
      <c r="K730" s="96" t="str">
        <f>"07.02.24"</f>
        <v>07.02.24</v>
      </c>
    </row>
    <row r="731" spans="1:11" ht="11.25" customHeight="1">
      <c r="A731" s="97" t="s">
        <v>1053</v>
      </c>
      <c r="B731" s="98"/>
      <c r="C731" s="98"/>
      <c r="D731" s="98"/>
      <c r="E731" s="98"/>
      <c r="F731" s="99"/>
      <c r="G731" s="99"/>
      <c r="H731" s="100"/>
      <c r="I731" s="100"/>
      <c r="J731" s="108"/>
      <c r="K731" s="96" t="str">
        <f>"07.02.24"</f>
        <v>07.02.24</v>
      </c>
    </row>
    <row r="732" spans="1:11" ht="11.25" customHeight="1" outlineLevel="1">
      <c r="A732" s="89" t="s">
        <v>1054</v>
      </c>
      <c r="B732" s="114" t="s">
        <v>1053</v>
      </c>
      <c r="C732" s="89" t="s">
        <v>1055</v>
      </c>
      <c r="D732" s="89" t="s">
        <v>15</v>
      </c>
      <c r="E732" s="89"/>
      <c r="F732" s="102" t="n">
        <v>223</v>
      </c>
      <c r="G732" s="102" t="n">
        <v>278</v>
      </c>
      <c r="H732" s="103" t="s">
        <v>48</v>
      </c>
      <c r="I732" s="103">
        <f>IFERROR(VLOOKUP(A732,#REF!,15,0),0)+IFERROR(VLOOKUP(A732,#REF!,25,0),0)+IFERROR(VLOOKUP(A732,#REF!,10,0),0)+IFERROR(VLOOKUP(A732,#REF!,14,0),0)+IFERROR(VLOOKUP(A732,#REF!,10,0),0)+IFERROR(VLOOKUP(A732,#REF!,10,0),0)+IFERROR(VLOOKUP(A732,#REF!,10,0),0)+IFERROR(VLOOKUP(A732,#REF!,9,0),0)+IFERROR(VLOOKUP(A732,#REF!,9,0),0)+IFERROR(VLOOKUP(A732,#REF!,9,0),0)+IFERROR(VLOOKUP(A732,#REF!,9,0),0)</f>
        <v>0</v>
      </c>
      <c r="J732" s="104">
        <f>IFERROR(VLOOKUP(A732,#REF!,16,0),0)+IFERROR(VLOOKUP(A732,#REF!,26,0),0)+IFERROR(VLOOKUP(A732,#REF!,11,0),0)+IFERROR(VLOOKUP(A732,#REF!,23,0),0)+IFERROR(VLOOKUP(A732,#REF!,11,0),0)+IFERROR(VLOOKUP(A732,#REF!,11,0),0)+IFERROR(VLOOKUP(A732,#REF!,11,0),0)</f>
        <v>0</v>
      </c>
      <c r="K732" s="96" t="str">
        <f>"07.02.24"</f>
        <v>07.02.24</v>
      </c>
    </row>
    <row r="733" spans="1:11" ht="11.25" customHeight="1" outlineLevel="1">
      <c r="A733" s="89" t="s">
        <v>1056</v>
      </c>
      <c r="B733" s="114" t="s">
        <v>1053</v>
      </c>
      <c r="C733" s="89" t="s">
        <v>1057</v>
      </c>
      <c r="D733" s="89" t="s">
        <v>15</v>
      </c>
      <c r="E733" s="89"/>
      <c r="F733" s="102" t="n">
        <v>184</v>
      </c>
      <c r="G733" s="102" t="n">
        <v>230</v>
      </c>
      <c r="H733" s="103" t="s">
        <v>48</v>
      </c>
      <c r="I733" s="103">
        <f>IFERROR(VLOOKUP(A733,#REF!,15,0),0)+IFERROR(VLOOKUP(A733,#REF!,25,0),0)+IFERROR(VLOOKUP(A733,#REF!,10,0),0)+IFERROR(VLOOKUP(A733,#REF!,14,0),0)+IFERROR(VLOOKUP(A733,#REF!,10,0),0)+IFERROR(VLOOKUP(A733,#REF!,10,0),0)+IFERROR(VLOOKUP(A733,#REF!,10,0),0)+IFERROR(VLOOKUP(A733,#REF!,9,0),0)+IFERROR(VLOOKUP(A733,#REF!,9,0),0)+IFERROR(VLOOKUP(A733,#REF!,9,0),0)+IFERROR(VLOOKUP(A733,#REF!,9,0),0)</f>
        <v>0</v>
      </c>
      <c r="J733" s="104">
        <f>IFERROR(VLOOKUP(A733,#REF!,16,0),0)+IFERROR(VLOOKUP(A733,#REF!,26,0),0)+IFERROR(VLOOKUP(A733,#REF!,11,0),0)+IFERROR(VLOOKUP(A733,#REF!,23,0),0)+IFERROR(VLOOKUP(A733,#REF!,11,0),0)+IFERROR(VLOOKUP(A733,#REF!,11,0),0)+IFERROR(VLOOKUP(A733,#REF!,11,0),0)</f>
        <v>0</v>
      </c>
      <c r="K733" s="96" t="str">
        <f>"07.02.24"</f>
        <v>07.02.24</v>
      </c>
    </row>
    <row r="734" spans="1:11" ht="11.25" customHeight="1" outlineLevel="1">
      <c r="A734" s="89" t="s">
        <v>1058</v>
      </c>
      <c r="B734" s="114" t="s">
        <v>1053</v>
      </c>
      <c r="C734" s="89" t="s">
        <v>1059</v>
      </c>
      <c r="D734" s="89" t="s">
        <v>15</v>
      </c>
      <c r="E734" s="89"/>
      <c r="F734" s="102" t="n">
        <v>214</v>
      </c>
      <c r="G734" s="102" t="n">
        <v>267</v>
      </c>
      <c r="H734" s="103" t="s">
        <v>48</v>
      </c>
      <c r="I734" s="103">
        <f>IFERROR(VLOOKUP(A734,#REF!,15,0),0)+IFERROR(VLOOKUP(A734,#REF!,25,0),0)+IFERROR(VLOOKUP(A734,#REF!,10,0),0)+IFERROR(VLOOKUP(A734,#REF!,14,0),0)+IFERROR(VLOOKUP(A734,#REF!,10,0),0)+IFERROR(VLOOKUP(A734,#REF!,10,0),0)+IFERROR(VLOOKUP(A734,#REF!,10,0),0)+IFERROR(VLOOKUP(A734,#REF!,9,0),0)+IFERROR(VLOOKUP(A734,#REF!,9,0),0)+IFERROR(VLOOKUP(A734,#REF!,9,0),0)+IFERROR(VLOOKUP(A734,#REF!,9,0),0)</f>
        <v>0</v>
      </c>
      <c r="J734" s="104">
        <f>IFERROR(VLOOKUP(A734,#REF!,16,0),0)+IFERROR(VLOOKUP(A734,#REF!,26,0),0)+IFERROR(VLOOKUP(A734,#REF!,11,0),0)+IFERROR(VLOOKUP(A734,#REF!,23,0),0)+IFERROR(VLOOKUP(A734,#REF!,11,0),0)+IFERROR(VLOOKUP(A734,#REF!,11,0),0)+IFERROR(VLOOKUP(A734,#REF!,11,0),0)</f>
        <v>0</v>
      </c>
      <c r="K734" s="96" t="str">
        <f>"07.02.24"</f>
        <v>07.02.24</v>
      </c>
    </row>
    <row r="735" spans="1:11" ht="11.25" customHeight="1" outlineLevel="1">
      <c r="A735" s="89" t="s">
        <v>1060</v>
      </c>
      <c r="B735" s="114" t="s">
        <v>1053</v>
      </c>
      <c r="C735" s="89" t="s">
        <v>1061</v>
      </c>
      <c r="D735" s="89" t="s">
        <v>15</v>
      </c>
      <c r="E735" s="89"/>
      <c r="F735" s="102" t="n">
        <v>184</v>
      </c>
      <c r="G735" s="102" t="n">
        <v>230</v>
      </c>
      <c r="H735" s="103" t="s">
        <v>48</v>
      </c>
      <c r="I735" s="103">
        <f>IFERROR(VLOOKUP(A735,#REF!,15,0),0)+IFERROR(VLOOKUP(A735,#REF!,25,0),0)+IFERROR(VLOOKUP(A735,#REF!,10,0),0)+IFERROR(VLOOKUP(A735,#REF!,14,0),0)+IFERROR(VLOOKUP(A735,#REF!,10,0),0)+IFERROR(VLOOKUP(A735,#REF!,10,0),0)+IFERROR(VLOOKUP(A735,#REF!,10,0),0)+IFERROR(VLOOKUP(A735,#REF!,9,0),0)+IFERROR(VLOOKUP(A735,#REF!,9,0),0)+IFERROR(VLOOKUP(A735,#REF!,9,0),0)+IFERROR(VLOOKUP(A735,#REF!,9,0),0)</f>
        <v>0</v>
      </c>
      <c r="J735" s="104">
        <f>IFERROR(VLOOKUP(A735,#REF!,16,0),0)+IFERROR(VLOOKUP(A735,#REF!,26,0),0)+IFERROR(VLOOKUP(A735,#REF!,11,0),0)+IFERROR(VLOOKUP(A735,#REF!,23,0),0)+IFERROR(VLOOKUP(A735,#REF!,11,0),0)+IFERROR(VLOOKUP(A735,#REF!,11,0),0)+IFERROR(VLOOKUP(A735,#REF!,11,0),0)</f>
        <v>0</v>
      </c>
      <c r="K735" s="96" t="str">
        <f>"07.02.24"</f>
        <v>07.02.24</v>
      </c>
    </row>
    <row r="736" spans="1:11" ht="11.25" customHeight="1" outlineLevel="1">
      <c r="A736" s="89" t="s">
        <v>1062</v>
      </c>
      <c r="B736" s="114" t="s">
        <v>1053</v>
      </c>
      <c r="C736" s="89" t="s">
        <v>1063</v>
      </c>
      <c r="D736" s="89" t="s">
        <v>15</v>
      </c>
      <c r="E736" s="89"/>
      <c r="F736" s="102" t="n">
        <v>229</v>
      </c>
      <c r="G736" s="102" t="n">
        <v>286</v>
      </c>
      <c r="H736" s="103" t="s">
        <v>48</v>
      </c>
      <c r="I736" s="103">
        <f>IFERROR(VLOOKUP(A736,#REF!,15,0),0)+IFERROR(VLOOKUP(A736,#REF!,25,0),0)+IFERROR(VLOOKUP(A736,#REF!,10,0),0)+IFERROR(VLOOKUP(A736,#REF!,14,0),0)+IFERROR(VLOOKUP(A736,#REF!,10,0),0)+IFERROR(VLOOKUP(A736,#REF!,10,0),0)+IFERROR(VLOOKUP(A736,#REF!,10,0),0)+IFERROR(VLOOKUP(A736,#REF!,9,0),0)+IFERROR(VLOOKUP(A736,#REF!,9,0),0)+IFERROR(VLOOKUP(A736,#REF!,9,0),0)+IFERROR(VLOOKUP(A736,#REF!,9,0),0)</f>
        <v>0</v>
      </c>
      <c r="J736" s="104">
        <f>IFERROR(VLOOKUP(A736,#REF!,16,0),0)+IFERROR(VLOOKUP(A736,#REF!,26,0),0)+IFERROR(VLOOKUP(A736,#REF!,11,0),0)+IFERROR(VLOOKUP(A736,#REF!,23,0),0)+IFERROR(VLOOKUP(A736,#REF!,11,0),0)+IFERROR(VLOOKUP(A736,#REF!,11,0),0)+IFERROR(VLOOKUP(A736,#REF!,11,0),0)</f>
        <v>0</v>
      </c>
      <c r="K736" s="96" t="str">
        <f>"07.02.24"</f>
        <v>07.02.24</v>
      </c>
    </row>
    <row r="737" spans="1:11" ht="11.25" customHeight="1" outlineLevel="1">
      <c r="A737" s="89" t="s">
        <v>1064</v>
      </c>
      <c r="B737" s="114" t="s">
        <v>1053</v>
      </c>
      <c r="C737" s="89" t="s">
        <v>1065</v>
      </c>
      <c r="D737" s="89" t="s">
        <v>15</v>
      </c>
      <c r="E737" s="89"/>
      <c r="F737" s="102" t="n">
        <v>201</v>
      </c>
      <c r="G737" s="102" t="n">
        <v>251</v>
      </c>
      <c r="H737" s="103" t="s">
        <v>48</v>
      </c>
      <c r="I737" s="103">
        <f>IFERROR(VLOOKUP(A737,#REF!,15,0),0)+IFERROR(VLOOKUP(A737,#REF!,25,0),0)+IFERROR(VLOOKUP(A737,#REF!,10,0),0)+IFERROR(VLOOKUP(A737,#REF!,14,0),0)+IFERROR(VLOOKUP(A737,#REF!,10,0),0)+IFERROR(VLOOKUP(A737,#REF!,10,0),0)+IFERROR(VLOOKUP(A737,#REF!,10,0),0)+IFERROR(VLOOKUP(A737,#REF!,9,0),0)+IFERROR(VLOOKUP(A737,#REF!,9,0),0)+IFERROR(VLOOKUP(A737,#REF!,9,0),0)+IFERROR(VLOOKUP(A737,#REF!,9,0),0)</f>
        <v>0</v>
      </c>
      <c r="J737" s="104">
        <f>IFERROR(VLOOKUP(A737,#REF!,16,0),0)+IFERROR(VLOOKUP(A737,#REF!,26,0),0)+IFERROR(VLOOKUP(A737,#REF!,11,0),0)+IFERROR(VLOOKUP(A737,#REF!,23,0),0)+IFERROR(VLOOKUP(A737,#REF!,11,0),0)+IFERROR(VLOOKUP(A737,#REF!,11,0),0)+IFERROR(VLOOKUP(A737,#REF!,11,0),0)</f>
        <v>0</v>
      </c>
      <c r="K737" s="96" t="str">
        <f>"07.02.24"</f>
        <v>07.02.24</v>
      </c>
    </row>
    <row r="738" spans="1:11" ht="11.25" customHeight="1" outlineLevel="1">
      <c r="A738" s="89" t="s">
        <v>1066</v>
      </c>
      <c r="B738" s="114" t="s">
        <v>1053</v>
      </c>
      <c r="C738" s="89" t="s">
        <v>1067</v>
      </c>
      <c r="D738" s="89" t="s">
        <v>15</v>
      </c>
      <c r="E738" s="89"/>
      <c r="F738" s="102" t="n">
        <v>226</v>
      </c>
      <c r="G738" s="102" t="n">
        <v>282</v>
      </c>
      <c r="H738" s="103" t="s">
        <v>48</v>
      </c>
      <c r="I738" s="103">
        <f>IFERROR(VLOOKUP(A738,#REF!,15,0),0)+IFERROR(VLOOKUP(A738,#REF!,25,0),0)+IFERROR(VLOOKUP(A738,#REF!,10,0),0)+IFERROR(VLOOKUP(A738,#REF!,14,0),0)+IFERROR(VLOOKUP(A738,#REF!,10,0),0)+IFERROR(VLOOKUP(A738,#REF!,10,0),0)+IFERROR(VLOOKUP(A738,#REF!,10,0),0)+IFERROR(VLOOKUP(A738,#REF!,9,0),0)+IFERROR(VLOOKUP(A738,#REF!,9,0),0)+IFERROR(VLOOKUP(A738,#REF!,9,0),0)+IFERROR(VLOOKUP(A738,#REF!,9,0),0)</f>
        <v>0</v>
      </c>
      <c r="J738" s="104">
        <f>IFERROR(VLOOKUP(A738,#REF!,16,0),0)+IFERROR(VLOOKUP(A738,#REF!,26,0),0)+IFERROR(VLOOKUP(A738,#REF!,11,0),0)+IFERROR(VLOOKUP(A738,#REF!,23,0),0)+IFERROR(VLOOKUP(A738,#REF!,11,0),0)+IFERROR(VLOOKUP(A738,#REF!,11,0),0)+IFERROR(VLOOKUP(A738,#REF!,11,0),0)</f>
        <v>0</v>
      </c>
      <c r="K738" s="96" t="str">
        <f>"07.02.24"</f>
        <v>07.02.24</v>
      </c>
    </row>
    <row r="739" spans="1:11" ht="11.25" customHeight="1" outlineLevel="1">
      <c r="A739" s="89" t="s">
        <v>1068</v>
      </c>
      <c r="B739" s="114" t="s">
        <v>1053</v>
      </c>
      <c r="C739" s="89" t="s">
        <v>1069</v>
      </c>
      <c r="D739" s="89" t="s">
        <v>15</v>
      </c>
      <c r="E739" s="89"/>
      <c r="F739" s="102" t="n">
        <v>197</v>
      </c>
      <c r="G739" s="102" t="n">
        <v>247</v>
      </c>
      <c r="H739" s="103" t="s">
        <v>48</v>
      </c>
      <c r="I739" s="103">
        <f>IFERROR(VLOOKUP(A739,#REF!,15,0),0)+IFERROR(VLOOKUP(A739,#REF!,25,0),0)+IFERROR(VLOOKUP(A739,#REF!,10,0),0)+IFERROR(VLOOKUP(A739,#REF!,14,0),0)+IFERROR(VLOOKUP(A739,#REF!,10,0),0)+IFERROR(VLOOKUP(A739,#REF!,10,0),0)+IFERROR(VLOOKUP(A739,#REF!,10,0),0)+IFERROR(VLOOKUP(A739,#REF!,9,0),0)+IFERROR(VLOOKUP(A739,#REF!,9,0),0)+IFERROR(VLOOKUP(A739,#REF!,9,0),0)+IFERROR(VLOOKUP(A739,#REF!,9,0),0)</f>
        <v>0</v>
      </c>
      <c r="J739" s="104">
        <f>IFERROR(VLOOKUP(A739,#REF!,16,0),0)+IFERROR(VLOOKUP(A739,#REF!,26,0),0)+IFERROR(VLOOKUP(A739,#REF!,11,0),0)+IFERROR(VLOOKUP(A739,#REF!,23,0),0)+IFERROR(VLOOKUP(A739,#REF!,11,0),0)+IFERROR(VLOOKUP(A739,#REF!,11,0),0)+IFERROR(VLOOKUP(A739,#REF!,11,0),0)</f>
        <v>0</v>
      </c>
      <c r="K739" s="96" t="str">
        <f>"07.02.24"</f>
        <v>07.02.24</v>
      </c>
    </row>
    <row r="740" spans="1:11" ht="11.25" customHeight="1" outlineLevel="1">
      <c r="A740" s="89" t="s">
        <v>1070</v>
      </c>
      <c r="B740" s="114" t="s">
        <v>1053</v>
      </c>
      <c r="C740" s="89" t="s">
        <v>1071</v>
      </c>
      <c r="D740" s="89" t="s">
        <v>15</v>
      </c>
      <c r="E740" s="89"/>
      <c r="F740" s="102" t="n">
        <v>227</v>
      </c>
      <c r="G740" s="102" t="n">
        <v>285</v>
      </c>
      <c r="H740" s="103" t="s">
        <v>48</v>
      </c>
      <c r="I740" s="103">
        <f>IFERROR(VLOOKUP(A740,#REF!,15,0),0)+IFERROR(VLOOKUP(A740,#REF!,25,0),0)+IFERROR(VLOOKUP(A740,#REF!,10,0),0)+IFERROR(VLOOKUP(A740,#REF!,14,0),0)+IFERROR(VLOOKUP(A740,#REF!,10,0),0)+IFERROR(VLOOKUP(A740,#REF!,10,0),0)+IFERROR(VLOOKUP(A740,#REF!,10,0),0)+IFERROR(VLOOKUP(A740,#REF!,9,0),0)+IFERROR(VLOOKUP(A740,#REF!,9,0),0)+IFERROR(VLOOKUP(A740,#REF!,9,0),0)+IFERROR(VLOOKUP(A740,#REF!,9,0),0)</f>
        <v>0</v>
      </c>
      <c r="J740" s="104">
        <f>IFERROR(VLOOKUP(A740,#REF!,16,0),0)+IFERROR(VLOOKUP(A740,#REF!,26,0),0)+IFERROR(VLOOKUP(A740,#REF!,11,0),0)+IFERROR(VLOOKUP(A740,#REF!,23,0),0)+IFERROR(VLOOKUP(A740,#REF!,11,0),0)+IFERROR(VLOOKUP(A740,#REF!,11,0),0)+IFERROR(VLOOKUP(A740,#REF!,11,0),0)</f>
        <v>0</v>
      </c>
      <c r="K740" s="96" t="str">
        <f>"07.02.24"</f>
        <v>07.02.24</v>
      </c>
    </row>
    <row r="741" spans="1:11" ht="11.25" customHeight="1" outlineLevel="1">
      <c r="A741" s="89" t="s">
        <v>1072</v>
      </c>
      <c r="B741" s="114" t="s">
        <v>1053</v>
      </c>
      <c r="C741" s="89" t="s">
        <v>1073</v>
      </c>
      <c r="D741" s="89" t="s">
        <v>15</v>
      </c>
      <c r="E741" s="89"/>
      <c r="F741" s="102" t="n">
        <v>201</v>
      </c>
      <c r="G741" s="102" t="n">
        <v>251</v>
      </c>
      <c r="H741" s="103" t="s">
        <v>48</v>
      </c>
      <c r="I741" s="103">
        <f>IFERROR(VLOOKUP(A741,#REF!,15,0),0)+IFERROR(VLOOKUP(A741,#REF!,25,0),0)+IFERROR(VLOOKUP(A741,#REF!,10,0),0)+IFERROR(VLOOKUP(A741,#REF!,14,0),0)+IFERROR(VLOOKUP(A741,#REF!,10,0),0)+IFERROR(VLOOKUP(A741,#REF!,10,0),0)+IFERROR(VLOOKUP(A741,#REF!,10,0),0)+IFERROR(VLOOKUP(A741,#REF!,9,0),0)+IFERROR(VLOOKUP(A741,#REF!,9,0),0)+IFERROR(VLOOKUP(A741,#REF!,9,0),0)+IFERROR(VLOOKUP(A741,#REF!,9,0),0)</f>
        <v>0</v>
      </c>
      <c r="J741" s="104">
        <f>IFERROR(VLOOKUP(A741,#REF!,16,0),0)+IFERROR(VLOOKUP(A741,#REF!,26,0),0)+IFERROR(VLOOKUP(A741,#REF!,11,0),0)+IFERROR(VLOOKUP(A741,#REF!,23,0),0)+IFERROR(VLOOKUP(A741,#REF!,11,0),0)+IFERROR(VLOOKUP(A741,#REF!,11,0),0)+IFERROR(VLOOKUP(A741,#REF!,11,0),0)</f>
        <v>0</v>
      </c>
      <c r="K741" s="96" t="str">
        <f>"07.02.24"</f>
        <v>07.02.24</v>
      </c>
    </row>
    <row r="742" spans="1:11" ht="11.25" customHeight="1" outlineLevel="1">
      <c r="A742" s="89" t="s">
        <v>1074</v>
      </c>
      <c r="B742" s="114" t="s">
        <v>1053</v>
      </c>
      <c r="C742" s="89" t="s">
        <v>1075</v>
      </c>
      <c r="D742" s="89" t="s">
        <v>15</v>
      </c>
      <c r="E742" s="89"/>
      <c r="F742" s="102" t="n">
        <v>233</v>
      </c>
      <c r="G742" s="102" t="n">
        <v>291</v>
      </c>
      <c r="H742" s="103" t="s">
        <v>17</v>
      </c>
      <c r="I742" s="103">
        <f>IFERROR(VLOOKUP(A742,#REF!,15,0),0)+IFERROR(VLOOKUP(A742,#REF!,25,0),0)+IFERROR(VLOOKUP(A742,#REF!,10,0),0)+IFERROR(VLOOKUP(A742,#REF!,14,0),0)+IFERROR(VLOOKUP(A742,#REF!,10,0),0)+IFERROR(VLOOKUP(A742,#REF!,10,0),0)+IFERROR(VLOOKUP(A742,#REF!,10,0),0)+IFERROR(VLOOKUP(A742,#REF!,9,0),0)+IFERROR(VLOOKUP(A742,#REF!,9,0),0)+IFERROR(VLOOKUP(A742,#REF!,9,0),0)+IFERROR(VLOOKUP(A742,#REF!,9,0),0)</f>
        <v>0</v>
      </c>
      <c r="J742" s="104">
        <f>IFERROR(VLOOKUP(A742,#REF!,16,0),0)+IFERROR(VLOOKUP(A742,#REF!,26,0),0)+IFERROR(VLOOKUP(A742,#REF!,11,0),0)+IFERROR(VLOOKUP(A742,#REF!,23,0),0)+IFERROR(VLOOKUP(A742,#REF!,11,0),0)+IFERROR(VLOOKUP(A742,#REF!,11,0),0)+IFERROR(VLOOKUP(A742,#REF!,11,0),0)</f>
        <v>0</v>
      </c>
      <c r="K742" s="96" t="str">
        <f>"07.02.24"</f>
        <v>07.02.24</v>
      </c>
    </row>
    <row r="743" spans="1:11" ht="11.25" customHeight="1" outlineLevel="1">
      <c r="A743" s="89" t="s">
        <v>1076</v>
      </c>
      <c r="B743" s="114" t="s">
        <v>1053</v>
      </c>
      <c r="C743" s="89" t="s">
        <v>1077</v>
      </c>
      <c r="D743" s="89" t="s">
        <v>15</v>
      </c>
      <c r="E743" s="89"/>
      <c r="F743" s="102" t="n">
        <v>204</v>
      </c>
      <c r="G743" s="102" t="n">
        <v>256</v>
      </c>
      <c r="H743" s="103" t="s">
        <v>48</v>
      </c>
      <c r="I743" s="103">
        <f>IFERROR(VLOOKUP(A743,#REF!,15,0),0)+IFERROR(VLOOKUP(A743,#REF!,25,0),0)+IFERROR(VLOOKUP(A743,#REF!,10,0),0)+IFERROR(VLOOKUP(A743,#REF!,14,0),0)+IFERROR(VLOOKUP(A743,#REF!,10,0),0)+IFERROR(VLOOKUP(A743,#REF!,10,0),0)+IFERROR(VLOOKUP(A743,#REF!,10,0),0)+IFERROR(VLOOKUP(A743,#REF!,9,0),0)+IFERROR(VLOOKUP(A743,#REF!,9,0),0)+IFERROR(VLOOKUP(A743,#REF!,9,0),0)+IFERROR(VLOOKUP(A743,#REF!,9,0),0)</f>
        <v>0</v>
      </c>
      <c r="J743" s="104">
        <f>IFERROR(VLOOKUP(A743,#REF!,16,0),0)+IFERROR(VLOOKUP(A743,#REF!,26,0),0)+IFERROR(VLOOKUP(A743,#REF!,11,0),0)+IFERROR(VLOOKUP(A743,#REF!,23,0),0)+IFERROR(VLOOKUP(A743,#REF!,11,0),0)+IFERROR(VLOOKUP(A743,#REF!,11,0),0)+IFERROR(VLOOKUP(A743,#REF!,11,0),0)</f>
        <v>0</v>
      </c>
      <c r="K743" s="96" t="str">
        <f>"07.02.24"</f>
        <v>07.02.24</v>
      </c>
    </row>
    <row r="744" spans="1:11" ht="11.25" customHeight="1" outlineLevel="1">
      <c r="A744" s="89" t="s">
        <v>1078</v>
      </c>
      <c r="B744" s="114" t="s">
        <v>1053</v>
      </c>
      <c r="C744" s="89" t="s">
        <v>1079</v>
      </c>
      <c r="D744" s="89" t="s">
        <v>15</v>
      </c>
      <c r="E744" s="89"/>
      <c r="F744" s="102" t="n">
        <v>59</v>
      </c>
      <c r="G744" s="102" t="n">
        <v>73</v>
      </c>
      <c r="H744" s="103" t="s">
        <v>48</v>
      </c>
      <c r="I744" s="103">
        <f>IFERROR(VLOOKUP(A744,#REF!,15,0),0)+IFERROR(VLOOKUP(A744,#REF!,25,0),0)+IFERROR(VLOOKUP(A744,#REF!,10,0),0)+IFERROR(VLOOKUP(A744,#REF!,14,0),0)+IFERROR(VLOOKUP(A744,#REF!,10,0),0)+IFERROR(VLOOKUP(A744,#REF!,10,0),0)+IFERROR(VLOOKUP(A744,#REF!,10,0),0)+IFERROR(VLOOKUP(A744,#REF!,9,0),0)+IFERROR(VLOOKUP(A744,#REF!,9,0),0)+IFERROR(VLOOKUP(A744,#REF!,9,0),0)+IFERROR(VLOOKUP(A744,#REF!,9,0),0)</f>
        <v>0</v>
      </c>
      <c r="J744" s="104">
        <f>IFERROR(VLOOKUP(A744,#REF!,16,0),0)+IFERROR(VLOOKUP(A744,#REF!,26,0),0)+IFERROR(VLOOKUP(A744,#REF!,11,0),0)+IFERROR(VLOOKUP(A744,#REF!,23,0),0)+IFERROR(VLOOKUP(A744,#REF!,11,0),0)+IFERROR(VLOOKUP(A744,#REF!,11,0),0)+IFERROR(VLOOKUP(A744,#REF!,11,0),0)</f>
        <v>0</v>
      </c>
      <c r="K744" s="96" t="str">
        <f>"07.02.24"</f>
        <v>07.02.24</v>
      </c>
    </row>
    <row r="745" spans="1:11" ht="11.25" customHeight="1" outlineLevel="1">
      <c r="A745" s="89" t="s">
        <v>1080</v>
      </c>
      <c r="B745" s="114" t="s">
        <v>1053</v>
      </c>
      <c r="C745" s="89" t="s">
        <v>1081</v>
      </c>
      <c r="D745" s="89" t="s">
        <v>15</v>
      </c>
      <c r="E745" s="89"/>
      <c r="F745" s="102" t="n">
        <v>35</v>
      </c>
      <c r="G745" s="102" t="n">
        <v>43</v>
      </c>
      <c r="H745" s="103" t="s">
        <v>48</v>
      </c>
      <c r="I745" s="103">
        <f>IFERROR(VLOOKUP(A745,#REF!,15,0),0)+IFERROR(VLOOKUP(A745,#REF!,25,0),0)+IFERROR(VLOOKUP(A745,#REF!,10,0),0)+IFERROR(VLOOKUP(A745,#REF!,14,0),0)+IFERROR(VLOOKUP(A745,#REF!,10,0),0)+IFERROR(VLOOKUP(A745,#REF!,10,0),0)+IFERROR(VLOOKUP(A745,#REF!,10,0),0)+IFERROR(VLOOKUP(A745,#REF!,9,0),0)+IFERROR(VLOOKUP(A745,#REF!,9,0),0)+IFERROR(VLOOKUP(A745,#REF!,9,0),0)+IFERROR(VLOOKUP(A745,#REF!,9,0),0)</f>
        <v>0</v>
      </c>
      <c r="J745" s="104">
        <f>IFERROR(VLOOKUP(A745,#REF!,16,0),0)+IFERROR(VLOOKUP(A745,#REF!,26,0),0)+IFERROR(VLOOKUP(A745,#REF!,11,0),0)+IFERROR(VLOOKUP(A745,#REF!,23,0),0)+IFERROR(VLOOKUP(A745,#REF!,11,0),0)+IFERROR(VLOOKUP(A745,#REF!,11,0),0)+IFERROR(VLOOKUP(A745,#REF!,11,0),0)</f>
        <v>0</v>
      </c>
      <c r="K745" s="96" t="str">
        <f>"07.02.24"</f>
        <v>07.02.24</v>
      </c>
    </row>
    <row r="746" spans="1:11" ht="11.25" customHeight="1" outlineLevel="1">
      <c r="A746" s="89" t="s">
        <v>1082</v>
      </c>
      <c r="B746" s="114" t="s">
        <v>1053</v>
      </c>
      <c r="C746" s="89" t="s">
        <v>1083</v>
      </c>
      <c r="D746" s="89" t="s">
        <v>15</v>
      </c>
      <c r="E746" s="89"/>
      <c r="F746" s="102" t="n">
        <v>59</v>
      </c>
      <c r="G746" s="102" t="n">
        <v>73</v>
      </c>
      <c r="H746" s="103" t="s">
        <v>48</v>
      </c>
      <c r="I746" s="103">
        <f>IFERROR(VLOOKUP(A746,#REF!,15,0),0)+IFERROR(VLOOKUP(A746,#REF!,25,0),0)+IFERROR(VLOOKUP(A746,#REF!,10,0),0)+IFERROR(VLOOKUP(A746,#REF!,14,0),0)+IFERROR(VLOOKUP(A746,#REF!,10,0),0)+IFERROR(VLOOKUP(A746,#REF!,10,0),0)+IFERROR(VLOOKUP(A746,#REF!,10,0),0)+IFERROR(VLOOKUP(A746,#REF!,9,0),0)+IFERROR(VLOOKUP(A746,#REF!,9,0),0)+IFERROR(VLOOKUP(A746,#REF!,9,0),0)+IFERROR(VLOOKUP(A746,#REF!,9,0),0)</f>
        <v>0</v>
      </c>
      <c r="J746" s="104">
        <f>IFERROR(VLOOKUP(A746,#REF!,16,0),0)+IFERROR(VLOOKUP(A746,#REF!,26,0),0)+IFERROR(VLOOKUP(A746,#REF!,11,0),0)+IFERROR(VLOOKUP(A746,#REF!,23,0),0)+IFERROR(VLOOKUP(A746,#REF!,11,0),0)+IFERROR(VLOOKUP(A746,#REF!,11,0),0)+IFERROR(VLOOKUP(A746,#REF!,11,0),0)</f>
        <v>0</v>
      </c>
      <c r="K746" s="96" t="str">
        <f>"07.02.24"</f>
        <v>07.02.24</v>
      </c>
    </row>
    <row r="747" spans="1:11" ht="11.25" customHeight="1" outlineLevel="1">
      <c r="A747" s="89" t="s">
        <v>1084</v>
      </c>
      <c r="B747" s="114" t="s">
        <v>1053</v>
      </c>
      <c r="C747" s="89" t="s">
        <v>1085</v>
      </c>
      <c r="D747" s="89" t="s">
        <v>15</v>
      </c>
      <c r="E747" s="89"/>
      <c r="F747" s="102" t="n">
        <v>35</v>
      </c>
      <c r="G747" s="102" t="n">
        <v>43</v>
      </c>
      <c r="H747" s="103" t="s">
        <v>48</v>
      </c>
      <c r="I747" s="103">
        <f>IFERROR(VLOOKUP(A747,#REF!,15,0),0)+IFERROR(VLOOKUP(A747,#REF!,25,0),0)+IFERROR(VLOOKUP(A747,#REF!,10,0),0)+IFERROR(VLOOKUP(A747,#REF!,14,0),0)+IFERROR(VLOOKUP(A747,#REF!,10,0),0)+IFERROR(VLOOKUP(A747,#REF!,10,0),0)+IFERROR(VLOOKUP(A747,#REF!,10,0),0)+IFERROR(VLOOKUP(A747,#REF!,9,0),0)+IFERROR(VLOOKUP(A747,#REF!,9,0),0)+IFERROR(VLOOKUP(A747,#REF!,9,0),0)+IFERROR(VLOOKUP(A747,#REF!,9,0),0)</f>
        <v>0</v>
      </c>
      <c r="J747" s="104">
        <f>IFERROR(VLOOKUP(A747,#REF!,16,0),0)+IFERROR(VLOOKUP(A747,#REF!,26,0),0)+IFERROR(VLOOKUP(A747,#REF!,11,0),0)+IFERROR(VLOOKUP(A747,#REF!,23,0),0)+IFERROR(VLOOKUP(A747,#REF!,11,0),0)+IFERROR(VLOOKUP(A747,#REF!,11,0),0)+IFERROR(VLOOKUP(A747,#REF!,11,0),0)</f>
        <v>0</v>
      </c>
      <c r="K747" s="96" t="str">
        <f>"07.02.24"</f>
        <v>07.02.24</v>
      </c>
    </row>
    <row r="748" spans="1:11" ht="11.25" customHeight="1" outlineLevel="1">
      <c r="A748" s="89" t="s">
        <v>1086</v>
      </c>
      <c r="B748" s="114" t="s">
        <v>1053</v>
      </c>
      <c r="C748" s="89" t="s">
        <v>1087</v>
      </c>
      <c r="D748" s="89" t="s">
        <v>15</v>
      </c>
      <c r="E748" s="89"/>
      <c r="F748" s="102" t="n">
        <v>95</v>
      </c>
      <c r="G748" s="102" t="n">
        <v>119</v>
      </c>
      <c r="H748" s="103" t="s">
        <v>17</v>
      </c>
      <c r="I748" s="103">
        <f>IFERROR(VLOOKUP(A748,#REF!,15,0),0)+IFERROR(VLOOKUP(A748,#REF!,25,0),0)+IFERROR(VLOOKUP(A748,#REF!,10,0),0)+IFERROR(VLOOKUP(A748,#REF!,14,0),0)+IFERROR(VLOOKUP(A748,#REF!,10,0),0)+IFERROR(VLOOKUP(A748,#REF!,10,0),0)+IFERROR(VLOOKUP(A748,#REF!,10,0),0)+IFERROR(VLOOKUP(A748,#REF!,9,0),0)+IFERROR(VLOOKUP(A748,#REF!,9,0),0)+IFERROR(VLOOKUP(A748,#REF!,9,0),0)+IFERROR(VLOOKUP(A748,#REF!,9,0),0)</f>
        <v>0</v>
      </c>
      <c r="J748" s="104">
        <f>IFERROR(VLOOKUP(A748,#REF!,16,0),0)+IFERROR(VLOOKUP(A748,#REF!,26,0),0)+IFERROR(VLOOKUP(A748,#REF!,11,0),0)+IFERROR(VLOOKUP(A748,#REF!,23,0),0)+IFERROR(VLOOKUP(A748,#REF!,11,0),0)+IFERROR(VLOOKUP(A748,#REF!,11,0),0)+IFERROR(VLOOKUP(A748,#REF!,11,0),0)</f>
        <v>0</v>
      </c>
      <c r="K748" s="96" t="str">
        <f>"07.02.24"</f>
        <v>07.02.24</v>
      </c>
    </row>
    <row r="749" spans="1:11" ht="11.25" customHeight="1" outlineLevel="1">
      <c r="A749" s="89" t="s">
        <v>1088</v>
      </c>
      <c r="B749" s="114" t="s">
        <v>1053</v>
      </c>
      <c r="C749" s="89" t="s">
        <v>1089</v>
      </c>
      <c r="D749" s="89" t="s">
        <v>15</v>
      </c>
      <c r="E749" s="89"/>
      <c r="F749" s="102" t="n">
        <v>71</v>
      </c>
      <c r="G749" s="102" t="n">
        <v>88</v>
      </c>
      <c r="H749" s="103" t="s">
        <v>48</v>
      </c>
      <c r="I749" s="103">
        <f>IFERROR(VLOOKUP(A749,#REF!,15,0),0)+IFERROR(VLOOKUP(A749,#REF!,25,0),0)+IFERROR(VLOOKUP(A749,#REF!,10,0),0)+IFERROR(VLOOKUP(A749,#REF!,14,0),0)+IFERROR(VLOOKUP(A749,#REF!,10,0),0)+IFERROR(VLOOKUP(A749,#REF!,10,0),0)+IFERROR(VLOOKUP(A749,#REF!,10,0),0)+IFERROR(VLOOKUP(A749,#REF!,9,0),0)+IFERROR(VLOOKUP(A749,#REF!,9,0),0)+IFERROR(VLOOKUP(A749,#REF!,9,0),0)+IFERROR(VLOOKUP(A749,#REF!,9,0),0)</f>
        <v>0</v>
      </c>
      <c r="J749" s="104">
        <f>IFERROR(VLOOKUP(A749,#REF!,16,0),0)+IFERROR(VLOOKUP(A749,#REF!,26,0),0)+IFERROR(VLOOKUP(A749,#REF!,11,0),0)+IFERROR(VLOOKUP(A749,#REF!,23,0),0)+IFERROR(VLOOKUP(A749,#REF!,11,0),0)+IFERROR(VLOOKUP(A749,#REF!,11,0),0)+IFERROR(VLOOKUP(A749,#REF!,11,0),0)</f>
        <v>0</v>
      </c>
      <c r="K749" s="96" t="str">
        <f>"07.02.24"</f>
        <v>07.02.24</v>
      </c>
    </row>
    <row r="750" spans="1:11" ht="11.25" customHeight="1" outlineLevel="1">
      <c r="A750" s="89" t="s">
        <v>1090</v>
      </c>
      <c r="B750" s="114" t="s">
        <v>1053</v>
      </c>
      <c r="C750" s="89" t="s">
        <v>1091</v>
      </c>
      <c r="D750" s="89" t="s">
        <v>15</v>
      </c>
      <c r="E750" s="89"/>
      <c r="F750" s="102" t="n">
        <v>81</v>
      </c>
      <c r="G750" s="102" t="n">
        <v>101</v>
      </c>
      <c r="H750" s="103" t="s">
        <v>48</v>
      </c>
      <c r="I750" s="103">
        <f>IFERROR(VLOOKUP(A750,#REF!,15,0),0)+IFERROR(VLOOKUP(A750,#REF!,25,0),0)+IFERROR(VLOOKUP(A750,#REF!,10,0),0)+IFERROR(VLOOKUP(A750,#REF!,14,0),0)+IFERROR(VLOOKUP(A750,#REF!,10,0),0)+IFERROR(VLOOKUP(A750,#REF!,10,0),0)+IFERROR(VLOOKUP(A750,#REF!,10,0),0)+IFERROR(VLOOKUP(A750,#REF!,9,0),0)+IFERROR(VLOOKUP(A750,#REF!,9,0),0)+IFERROR(VLOOKUP(A750,#REF!,9,0),0)+IFERROR(VLOOKUP(A750,#REF!,9,0),0)</f>
        <v>0</v>
      </c>
      <c r="J750" s="104">
        <f>IFERROR(VLOOKUP(A750,#REF!,16,0),0)+IFERROR(VLOOKUP(A750,#REF!,26,0),0)+IFERROR(VLOOKUP(A750,#REF!,11,0),0)+IFERROR(VLOOKUP(A750,#REF!,23,0),0)+IFERROR(VLOOKUP(A750,#REF!,11,0),0)+IFERROR(VLOOKUP(A750,#REF!,11,0),0)+IFERROR(VLOOKUP(A750,#REF!,11,0),0)</f>
        <v>0</v>
      </c>
      <c r="K750" s="96" t="str">
        <f>"07.02.24"</f>
        <v>07.02.24</v>
      </c>
    </row>
    <row r="751" spans="1:11" ht="11.25" customHeight="1" outlineLevel="1">
      <c r="A751" s="89" t="s">
        <v>1092</v>
      </c>
      <c r="B751" s="114" t="s">
        <v>1053</v>
      </c>
      <c r="C751" s="89" t="s">
        <v>1093</v>
      </c>
      <c r="D751" s="89" t="s">
        <v>15</v>
      </c>
      <c r="E751" s="89"/>
      <c r="F751" s="102" t="n">
        <v>59</v>
      </c>
      <c r="G751" s="102" t="n">
        <v>73</v>
      </c>
      <c r="H751" s="103" t="s">
        <v>48</v>
      </c>
      <c r="I751" s="103">
        <f>IFERROR(VLOOKUP(A751,#REF!,15,0),0)+IFERROR(VLOOKUP(A751,#REF!,25,0),0)+IFERROR(VLOOKUP(A751,#REF!,10,0),0)+IFERROR(VLOOKUP(A751,#REF!,14,0),0)+IFERROR(VLOOKUP(A751,#REF!,10,0),0)+IFERROR(VLOOKUP(A751,#REF!,10,0),0)+IFERROR(VLOOKUP(A751,#REF!,10,0),0)+IFERROR(VLOOKUP(A751,#REF!,9,0),0)+IFERROR(VLOOKUP(A751,#REF!,9,0),0)+IFERROR(VLOOKUP(A751,#REF!,9,0),0)+IFERROR(VLOOKUP(A751,#REF!,9,0),0)</f>
        <v>0</v>
      </c>
      <c r="J751" s="104">
        <f>IFERROR(VLOOKUP(A751,#REF!,16,0),0)+IFERROR(VLOOKUP(A751,#REF!,26,0),0)+IFERROR(VLOOKUP(A751,#REF!,11,0),0)+IFERROR(VLOOKUP(A751,#REF!,23,0),0)+IFERROR(VLOOKUP(A751,#REF!,11,0),0)+IFERROR(VLOOKUP(A751,#REF!,11,0),0)+IFERROR(VLOOKUP(A751,#REF!,11,0),0)</f>
        <v>0</v>
      </c>
      <c r="K751" s="96" t="str">
        <f>"07.02.24"</f>
        <v>07.02.24</v>
      </c>
    </row>
    <row r="752" spans="1:11" ht="11.25" customHeight="1" outlineLevel="1">
      <c r="A752" s="89" t="s">
        <v>1094</v>
      </c>
      <c r="B752" s="114" t="s">
        <v>1053</v>
      </c>
      <c r="C752" s="89" t="s">
        <v>1095</v>
      </c>
      <c r="D752" s="89" t="s">
        <v>15</v>
      </c>
      <c r="E752" s="89"/>
      <c r="F752" s="102" t="n">
        <v>97</v>
      </c>
      <c r="G752" s="102" t="n">
        <v>121</v>
      </c>
      <c r="H752" s="103" t="s">
        <v>48</v>
      </c>
      <c r="I752" s="103">
        <f>IFERROR(VLOOKUP(A752,#REF!,15,0),0)+IFERROR(VLOOKUP(A752,#REF!,25,0),0)+IFERROR(VLOOKUP(A752,#REF!,10,0),0)+IFERROR(VLOOKUP(A752,#REF!,14,0),0)+IFERROR(VLOOKUP(A752,#REF!,10,0),0)+IFERROR(VLOOKUP(A752,#REF!,10,0),0)+IFERROR(VLOOKUP(A752,#REF!,10,0),0)+IFERROR(VLOOKUP(A752,#REF!,9,0),0)+IFERROR(VLOOKUP(A752,#REF!,9,0),0)+IFERROR(VLOOKUP(A752,#REF!,9,0),0)+IFERROR(VLOOKUP(A752,#REF!,9,0),0)</f>
        <v>0</v>
      </c>
      <c r="J752" s="104">
        <f>IFERROR(VLOOKUP(A752,#REF!,16,0),0)+IFERROR(VLOOKUP(A752,#REF!,26,0),0)+IFERROR(VLOOKUP(A752,#REF!,11,0),0)+IFERROR(VLOOKUP(A752,#REF!,23,0),0)+IFERROR(VLOOKUP(A752,#REF!,11,0),0)+IFERROR(VLOOKUP(A752,#REF!,11,0),0)+IFERROR(VLOOKUP(A752,#REF!,11,0),0)</f>
        <v>0</v>
      </c>
      <c r="K752" s="96" t="str">
        <f>"07.02.24"</f>
        <v>07.02.24</v>
      </c>
    </row>
    <row r="753" spans="1:11" ht="11.25" customHeight="1" outlineLevel="1">
      <c r="A753" s="89" t="s">
        <v>1096</v>
      </c>
      <c r="B753" s="114" t="s">
        <v>1053</v>
      </c>
      <c r="C753" s="89" t="s">
        <v>1097</v>
      </c>
      <c r="D753" s="89" t="s">
        <v>15</v>
      </c>
      <c r="E753" s="89"/>
      <c r="F753" s="102" t="n">
        <v>77</v>
      </c>
      <c r="G753" s="102" t="n">
        <v>97</v>
      </c>
      <c r="H753" s="103" t="s">
        <v>48</v>
      </c>
      <c r="I753" s="103">
        <f>IFERROR(VLOOKUP(A753,#REF!,15,0),0)+IFERROR(VLOOKUP(A753,#REF!,25,0),0)+IFERROR(VLOOKUP(A753,#REF!,10,0),0)+IFERROR(VLOOKUP(A753,#REF!,14,0),0)+IFERROR(VLOOKUP(A753,#REF!,10,0),0)+IFERROR(VLOOKUP(A753,#REF!,10,0),0)+IFERROR(VLOOKUP(A753,#REF!,10,0),0)+IFERROR(VLOOKUP(A753,#REF!,9,0),0)+IFERROR(VLOOKUP(A753,#REF!,9,0),0)+IFERROR(VLOOKUP(A753,#REF!,9,0),0)+IFERROR(VLOOKUP(A753,#REF!,9,0),0)</f>
        <v>0</v>
      </c>
      <c r="J753" s="104">
        <f>IFERROR(VLOOKUP(A753,#REF!,16,0),0)+IFERROR(VLOOKUP(A753,#REF!,26,0),0)+IFERROR(VLOOKUP(A753,#REF!,11,0),0)+IFERROR(VLOOKUP(A753,#REF!,23,0),0)+IFERROR(VLOOKUP(A753,#REF!,11,0),0)+IFERROR(VLOOKUP(A753,#REF!,11,0),0)+IFERROR(VLOOKUP(A753,#REF!,11,0),0)</f>
        <v>0</v>
      </c>
      <c r="K753" s="96" t="str">
        <f>"07.02.24"</f>
        <v>07.02.24</v>
      </c>
    </row>
    <row r="754" spans="1:11" ht="11.25" customHeight="1" outlineLevel="1">
      <c r="A754" s="89" t="s">
        <v>1098</v>
      </c>
      <c r="B754" s="114" t="s">
        <v>1053</v>
      </c>
      <c r="C754" s="89" t="s">
        <v>1099</v>
      </c>
      <c r="D754" s="89" t="s">
        <v>15</v>
      </c>
      <c r="E754" s="89"/>
      <c r="F754" s="102" t="n">
        <v>101</v>
      </c>
      <c r="G754" s="102" t="n">
        <v>125</v>
      </c>
      <c r="H754" s="103" t="s">
        <v>48</v>
      </c>
      <c r="I754" s="103">
        <f>IFERROR(VLOOKUP(A754,#REF!,15,0),0)+IFERROR(VLOOKUP(A754,#REF!,25,0),0)+IFERROR(VLOOKUP(A754,#REF!,10,0),0)+IFERROR(VLOOKUP(A754,#REF!,14,0),0)+IFERROR(VLOOKUP(A754,#REF!,10,0),0)+IFERROR(VLOOKUP(A754,#REF!,10,0),0)+IFERROR(VLOOKUP(A754,#REF!,10,0),0)+IFERROR(VLOOKUP(A754,#REF!,9,0),0)+IFERROR(VLOOKUP(A754,#REF!,9,0),0)+IFERROR(VLOOKUP(A754,#REF!,9,0),0)+IFERROR(VLOOKUP(A754,#REF!,9,0),0)</f>
        <v>0</v>
      </c>
      <c r="J754" s="104">
        <f>IFERROR(VLOOKUP(A754,#REF!,16,0),0)+IFERROR(VLOOKUP(A754,#REF!,26,0),0)+IFERROR(VLOOKUP(A754,#REF!,11,0),0)+IFERROR(VLOOKUP(A754,#REF!,23,0),0)+IFERROR(VLOOKUP(A754,#REF!,11,0),0)+IFERROR(VLOOKUP(A754,#REF!,11,0),0)+IFERROR(VLOOKUP(A754,#REF!,11,0),0)</f>
        <v>0</v>
      </c>
      <c r="K754" s="96" t="str">
        <f>"07.02.24"</f>
        <v>07.02.24</v>
      </c>
    </row>
    <row r="755" spans="1:11" ht="11.25" customHeight="1" outlineLevel="1">
      <c r="A755" s="89" t="s">
        <v>1100</v>
      </c>
      <c r="B755" s="114" t="s">
        <v>1053</v>
      </c>
      <c r="C755" s="89" t="s">
        <v>1101</v>
      </c>
      <c r="D755" s="89" t="s">
        <v>15</v>
      </c>
      <c r="E755" s="89"/>
      <c r="F755" s="102" t="n">
        <v>81</v>
      </c>
      <c r="G755" s="102" t="n">
        <v>101</v>
      </c>
      <c r="H755" s="103" t="s">
        <v>48</v>
      </c>
      <c r="I755" s="103">
        <f>IFERROR(VLOOKUP(A755,#REF!,15,0),0)+IFERROR(VLOOKUP(A755,#REF!,25,0),0)+IFERROR(VLOOKUP(A755,#REF!,10,0),0)+IFERROR(VLOOKUP(A755,#REF!,14,0),0)+IFERROR(VLOOKUP(A755,#REF!,10,0),0)+IFERROR(VLOOKUP(A755,#REF!,10,0),0)+IFERROR(VLOOKUP(A755,#REF!,10,0),0)+IFERROR(VLOOKUP(A755,#REF!,9,0),0)+IFERROR(VLOOKUP(A755,#REF!,9,0),0)+IFERROR(VLOOKUP(A755,#REF!,9,0),0)+IFERROR(VLOOKUP(A755,#REF!,9,0),0)</f>
        <v>0</v>
      </c>
      <c r="J755" s="104">
        <f>IFERROR(VLOOKUP(A755,#REF!,16,0),0)+IFERROR(VLOOKUP(A755,#REF!,26,0),0)+IFERROR(VLOOKUP(A755,#REF!,11,0),0)+IFERROR(VLOOKUP(A755,#REF!,23,0),0)+IFERROR(VLOOKUP(A755,#REF!,11,0),0)+IFERROR(VLOOKUP(A755,#REF!,11,0),0)+IFERROR(VLOOKUP(A755,#REF!,11,0),0)</f>
        <v>0</v>
      </c>
      <c r="K755" s="96" t="str">
        <f>"07.02.24"</f>
        <v>07.02.24</v>
      </c>
    </row>
    <row r="756" spans="1:11" ht="11.25" customHeight="1">
      <c r="A756" s="97" t="s">
        <v>1102</v>
      </c>
      <c r="B756" s="98"/>
      <c r="C756" s="98"/>
      <c r="D756" s="98"/>
      <c r="E756" s="98"/>
      <c r="F756" s="99"/>
      <c r="G756" s="99"/>
      <c r="H756" s="100"/>
      <c r="I756" s="100"/>
      <c r="J756" s="108"/>
      <c r="K756" s="96" t="str">
        <f>"07.02.24"</f>
        <v>07.02.24</v>
      </c>
    </row>
    <row r="757" spans="1:11" ht="11.25" customHeight="1" outlineLevel="1">
      <c r="A757" s="89" t="n">
        <v>8085180</v>
      </c>
      <c r="B757" s="114" t="s">
        <v>1102</v>
      </c>
      <c r="C757" s="89" t="s">
        <v>1103</v>
      </c>
      <c r="D757" s="89" t="s">
        <v>15</v>
      </c>
      <c r="E757" s="89" t="s">
        <v>1104</v>
      </c>
      <c r="F757" s="102" t="n">
        <v>732</v>
      </c>
      <c r="G757" s="102" t="n">
        <v>935</v>
      </c>
      <c r="H757" s="103" t="s">
        <v>48</v>
      </c>
      <c r="I757" s="103" t="n">
        <v>0</v>
      </c>
      <c r="J757" s="104" t="n">
        <v>0</v>
      </c>
      <c r="K757" s="96" t="str">
        <f>"07.02.24"</f>
        <v>07.02.24</v>
      </c>
    </row>
    <row r="758" spans="1:11" ht="11.25" customHeight="1" outlineLevel="1">
      <c r="A758" s="89" t="n">
        <v>8085290</v>
      </c>
      <c r="B758" s="114" t="s">
        <v>1102</v>
      </c>
      <c r="C758" s="89" t="s">
        <v>1105</v>
      </c>
      <c r="D758" s="89" t="s">
        <v>15</v>
      </c>
      <c r="E758" s="89"/>
      <c r="F758" s="102" t="n">
        <v>249</v>
      </c>
      <c r="G758" s="102" t="n">
        <v>315</v>
      </c>
      <c r="H758" s="103" t="s">
        <v>17</v>
      </c>
      <c r="I758" s="103">
        <f>IFERROR(VLOOKUP(A758,#REF!,15,0),0)+IFERROR(VLOOKUP(A758,#REF!,25,0),0)+IFERROR(VLOOKUP(A758,#REF!,10,0),0)+IFERROR(VLOOKUP(A758,#REF!,14,0),0)+IFERROR(VLOOKUP(A758,#REF!,10,0),0)+IFERROR(VLOOKUP(A758,#REF!,10,0),0)+IFERROR(VLOOKUP(A758,#REF!,10,0),0)+IFERROR(VLOOKUP(A758,#REF!,9,0),0)+IFERROR(VLOOKUP(A758,#REF!,9,0),0)+IFERROR(VLOOKUP(A758,#REF!,9,0),0)+IFERROR(VLOOKUP(A758,#REF!,9,0),0)</f>
        <v>0</v>
      </c>
      <c r="J758" s="104">
        <f>IFERROR(VLOOKUP(A758,#REF!,16,0),0)+IFERROR(VLOOKUP(A758,#REF!,26,0),0)+IFERROR(VLOOKUP(A758,#REF!,11,0),0)+IFERROR(VLOOKUP(A758,#REF!,23,0),0)+IFERROR(VLOOKUP(A758,#REF!,11,0),0)+IFERROR(VLOOKUP(A758,#REF!,11,0),0)+IFERROR(VLOOKUP(A758,#REF!,11,0),0)</f>
        <v>0</v>
      </c>
      <c r="K758" s="96" t="str">
        <f>"07.02.24"</f>
        <v>07.02.24</v>
      </c>
    </row>
    <row r="759" spans="1:11" ht="11.25" customHeight="1" outlineLevel="1">
      <c r="A759" s="89" t="n">
        <v>8085150</v>
      </c>
      <c r="B759" s="114" t="s">
        <v>1102</v>
      </c>
      <c r="C759" s="89" t="s">
        <v>1106</v>
      </c>
      <c r="D759" s="89" t="s">
        <v>15</v>
      </c>
      <c r="E759" s="89" t="s">
        <v>1107</v>
      </c>
      <c r="F759" s="102" t="n">
        <v>319</v>
      </c>
      <c r="G759" s="102" t="n">
        <v>405</v>
      </c>
      <c r="H759" s="103" t="s">
        <v>17</v>
      </c>
      <c r="I759" s="103">
        <f>IFERROR(VLOOKUP(A759,#REF!,15,0),0)+IFERROR(VLOOKUP(A759,#REF!,25,0),0)+IFERROR(VLOOKUP(A759,#REF!,10,0),0)+IFERROR(VLOOKUP(A759,#REF!,14,0),0)+IFERROR(VLOOKUP(A759,#REF!,10,0),0)+IFERROR(VLOOKUP(A759,#REF!,10,0),0)+IFERROR(VLOOKUP(A759,#REF!,10,0),0)+IFERROR(VLOOKUP(A759,#REF!,9,0),0)+IFERROR(VLOOKUP(A759,#REF!,9,0),0)+IFERROR(VLOOKUP(A759,#REF!,9,0),0)+IFERROR(VLOOKUP(A759,#REF!,9,0),0)</f>
        <v>0</v>
      </c>
      <c r="J759" s="104">
        <f>IFERROR(VLOOKUP(A759,#REF!,16,0),0)+IFERROR(VLOOKUP(A759,#REF!,26,0),0)+IFERROR(VLOOKUP(A759,#REF!,11,0),0)+IFERROR(VLOOKUP(A759,#REF!,23,0),0)+IFERROR(VLOOKUP(A759,#REF!,11,0),0)+IFERROR(VLOOKUP(A759,#REF!,11,0),0)+IFERROR(VLOOKUP(A759,#REF!,11,0),0)</f>
        <v>0</v>
      </c>
      <c r="K759" s="96" t="str">
        <f>"07.02.24"</f>
        <v>07.02.24</v>
      </c>
    </row>
    <row r="760" spans="1:11" ht="11.25" customHeight="1" outlineLevel="1">
      <c r="A760" s="89" t="n">
        <v>8085130</v>
      </c>
      <c r="B760" s="114" t="s">
        <v>1102</v>
      </c>
      <c r="C760" s="89" t="s">
        <v>1108</v>
      </c>
      <c r="D760" s="89" t="s">
        <v>15</v>
      </c>
      <c r="E760" s="89" t="s">
        <v>1107</v>
      </c>
      <c r="F760" s="102" t="n">
        <v>275</v>
      </c>
      <c r="G760" s="102" t="n">
        <v>349</v>
      </c>
      <c r="H760" s="103" t="s">
        <v>17</v>
      </c>
      <c r="I760" s="103">
        <f>IFERROR(VLOOKUP(A760,#REF!,15,0),0)+IFERROR(VLOOKUP(A760,#REF!,25,0),0)+IFERROR(VLOOKUP(A760,#REF!,10,0),0)+IFERROR(VLOOKUP(A760,#REF!,14,0),0)+IFERROR(VLOOKUP(A760,#REF!,10,0),0)+IFERROR(VLOOKUP(A760,#REF!,10,0),0)+IFERROR(VLOOKUP(A760,#REF!,10,0),0)+IFERROR(VLOOKUP(A760,#REF!,9,0),0)+IFERROR(VLOOKUP(A760,#REF!,9,0),0)+IFERROR(VLOOKUP(A760,#REF!,9,0),0)+IFERROR(VLOOKUP(A760,#REF!,9,0),0)</f>
        <v>0</v>
      </c>
      <c r="J760" s="104">
        <f>IFERROR(VLOOKUP(A760,#REF!,16,0),0)+IFERROR(VLOOKUP(A760,#REF!,26,0),0)+IFERROR(VLOOKUP(A760,#REF!,11,0),0)+IFERROR(VLOOKUP(A760,#REF!,23,0),0)+IFERROR(VLOOKUP(A760,#REF!,11,0),0)+IFERROR(VLOOKUP(A760,#REF!,11,0),0)+IFERROR(VLOOKUP(A760,#REF!,11,0),0)</f>
        <v>0</v>
      </c>
      <c r="K760" s="96" t="str">
        <f>"07.02.24"</f>
        <v>07.02.24</v>
      </c>
    </row>
    <row r="761" spans="1:11" ht="11.25" customHeight="1" outlineLevel="1">
      <c r="A761" s="89" t="n">
        <v>8085090</v>
      </c>
      <c r="B761" s="114" t="s">
        <v>1102</v>
      </c>
      <c r="C761" s="89" t="s">
        <v>1109</v>
      </c>
      <c r="D761" s="89" t="s">
        <v>15</v>
      </c>
      <c r="E761" s="89" t="s">
        <v>1110</v>
      </c>
      <c r="F761" s="102" t="n">
        <v>1160</v>
      </c>
      <c r="G761" s="102" t="n">
        <v>1441</v>
      </c>
      <c r="H761" s="103" t="s">
        <v>48</v>
      </c>
      <c r="I761" s="103">
        <f>IFERROR(VLOOKUP(A761,#REF!,15,0),0)+IFERROR(VLOOKUP(A761,#REF!,25,0),0)+IFERROR(VLOOKUP(A761,#REF!,10,0),0)+IFERROR(VLOOKUP(A761,#REF!,14,0),0)+IFERROR(VLOOKUP(A761,#REF!,10,0),0)+IFERROR(VLOOKUP(A761,#REF!,10,0),0)+IFERROR(VLOOKUP(A761,#REF!,10,0),0)+IFERROR(VLOOKUP(A761,#REF!,9,0),0)+IFERROR(VLOOKUP(A761,#REF!,9,0),0)+IFERROR(VLOOKUP(A761,#REF!,9,0),0)+IFERROR(VLOOKUP(A761,#REF!,9,0),0)</f>
        <v>0</v>
      </c>
      <c r="J761" s="104">
        <f>IFERROR(VLOOKUP(A761,#REF!,16,0),0)+IFERROR(VLOOKUP(A761,#REF!,26,0),0)+IFERROR(VLOOKUP(A761,#REF!,11,0),0)+IFERROR(VLOOKUP(A761,#REF!,23,0),0)+IFERROR(VLOOKUP(A761,#REF!,11,0),0)+IFERROR(VLOOKUP(A761,#REF!,11,0),0)+IFERROR(VLOOKUP(A761,#REF!,11,0),0)</f>
        <v>0</v>
      </c>
      <c r="K761" s="96" t="str">
        <f>"07.02.24"</f>
        <v>07.02.24</v>
      </c>
    </row>
    <row r="762" spans="1:11" ht="11.25" customHeight="1" outlineLevel="1">
      <c r="A762" s="89" t="n">
        <v>8085250</v>
      </c>
      <c r="B762" s="114" t="s">
        <v>1102</v>
      </c>
      <c r="C762" s="89" t="s">
        <v>1111</v>
      </c>
      <c r="D762" s="89" t="s">
        <v>15</v>
      </c>
      <c r="E762" s="89"/>
      <c r="F762" s="102" t="n">
        <v>400</v>
      </c>
      <c r="G762" s="102" t="n">
        <v>510</v>
      </c>
      <c r="H762" s="103" t="s">
        <v>17</v>
      </c>
      <c r="I762" s="103">
        <f>IFERROR(VLOOKUP(A762,#REF!,15,0),0)+IFERROR(VLOOKUP(A762,#REF!,25,0),0)+IFERROR(VLOOKUP(A762,#REF!,10,0),0)+IFERROR(VLOOKUP(A762,#REF!,14,0),0)+IFERROR(VLOOKUP(A762,#REF!,10,0),0)+IFERROR(VLOOKUP(A762,#REF!,10,0),0)+IFERROR(VLOOKUP(A762,#REF!,10,0),0)+IFERROR(VLOOKUP(A762,#REF!,9,0),0)+IFERROR(VLOOKUP(A762,#REF!,9,0),0)+IFERROR(VLOOKUP(A762,#REF!,9,0),0)+IFERROR(VLOOKUP(A762,#REF!,9,0),0)</f>
        <v>0</v>
      </c>
      <c r="J762" s="104">
        <f>IFERROR(VLOOKUP(A762,#REF!,16,0),0)+IFERROR(VLOOKUP(A762,#REF!,26,0),0)+IFERROR(VLOOKUP(A762,#REF!,11,0),0)+IFERROR(VLOOKUP(A762,#REF!,23,0),0)+IFERROR(VLOOKUP(A762,#REF!,11,0),0)+IFERROR(VLOOKUP(A762,#REF!,11,0),0)+IFERROR(VLOOKUP(A762,#REF!,11,0),0)</f>
        <v>0</v>
      </c>
      <c r="K762" s="96" t="str">
        <f>"07.02.24"</f>
        <v>07.02.24</v>
      </c>
    </row>
    <row r="763" spans="1:11" ht="11.25" customHeight="1" outlineLevel="1">
      <c r="A763" s="89" t="n">
        <v>8085330</v>
      </c>
      <c r="B763" s="114" t="s">
        <v>1102</v>
      </c>
      <c r="C763" s="89" t="s">
        <v>1112</v>
      </c>
      <c r="D763" s="89" t="s">
        <v>15</v>
      </c>
      <c r="E763" s="89"/>
      <c r="F763" s="102" t="n">
        <v>2645</v>
      </c>
      <c r="G763" s="102" t="n">
        <v>3348</v>
      </c>
      <c r="H763" s="103" t="s">
        <v>48</v>
      </c>
      <c r="I763" s="103">
        <f>IFERROR(VLOOKUP(A763,#REF!,15,0),0)+IFERROR(VLOOKUP(A763,#REF!,25,0),0)+IFERROR(VLOOKUP(A763,#REF!,10,0),0)+IFERROR(VLOOKUP(A763,#REF!,14,0),0)+IFERROR(VLOOKUP(A763,#REF!,10,0),0)+IFERROR(VLOOKUP(A763,#REF!,10,0),0)+IFERROR(VLOOKUP(A763,#REF!,10,0),0)+IFERROR(VLOOKUP(A763,#REF!,9,0),0)+IFERROR(VLOOKUP(A763,#REF!,9,0),0)+IFERROR(VLOOKUP(A763,#REF!,9,0),0)+IFERROR(VLOOKUP(A763,#REF!,9,0),0)</f>
        <v>0</v>
      </c>
      <c r="J763" s="104">
        <f>IFERROR(VLOOKUP(A763,#REF!,16,0),0)+IFERROR(VLOOKUP(A763,#REF!,26,0),0)+IFERROR(VLOOKUP(A763,#REF!,11,0),0)+IFERROR(VLOOKUP(A763,#REF!,23,0),0)+IFERROR(VLOOKUP(A763,#REF!,11,0),0)+IFERROR(VLOOKUP(A763,#REF!,11,0),0)+IFERROR(VLOOKUP(A763,#REF!,11,0),0)</f>
        <v>0</v>
      </c>
      <c r="K763" s="96" t="str">
        <f>"07.02.24"</f>
        <v>07.02.24</v>
      </c>
    </row>
    <row r="764" spans="1:11" ht="11.25" customHeight="1" outlineLevel="1">
      <c r="A764" s="89" t="n">
        <v>8085310</v>
      </c>
      <c r="B764" s="114" t="s">
        <v>1102</v>
      </c>
      <c r="C764" s="89" t="s">
        <v>1113</v>
      </c>
      <c r="D764" s="89" t="s">
        <v>15</v>
      </c>
      <c r="E764" s="89"/>
      <c r="F764" s="102" t="n">
        <v>2763</v>
      </c>
      <c r="G764" s="102" t="n">
        <v>3496</v>
      </c>
      <c r="H764" s="103" t="s">
        <v>17</v>
      </c>
      <c r="I764" s="103">
        <f>IFERROR(VLOOKUP(A764,#REF!,15,0),0)+IFERROR(VLOOKUP(A764,#REF!,25,0),0)+IFERROR(VLOOKUP(A764,#REF!,10,0),0)+IFERROR(VLOOKUP(A764,#REF!,14,0),0)+IFERROR(VLOOKUP(A764,#REF!,10,0),0)+IFERROR(VLOOKUP(A764,#REF!,10,0),0)+IFERROR(VLOOKUP(A764,#REF!,10,0),0)+IFERROR(VLOOKUP(A764,#REF!,9,0),0)+IFERROR(VLOOKUP(A764,#REF!,9,0),0)+IFERROR(VLOOKUP(A764,#REF!,9,0),0)+IFERROR(VLOOKUP(A764,#REF!,9,0),0)</f>
        <v>0</v>
      </c>
      <c r="J764" s="104">
        <f>IFERROR(VLOOKUP(A764,#REF!,16,0),0)+IFERROR(VLOOKUP(A764,#REF!,26,0),0)+IFERROR(VLOOKUP(A764,#REF!,11,0),0)+IFERROR(VLOOKUP(A764,#REF!,23,0),0)+IFERROR(VLOOKUP(A764,#REF!,11,0),0)+IFERROR(VLOOKUP(A764,#REF!,11,0),0)+IFERROR(VLOOKUP(A764,#REF!,11,0),0)</f>
        <v>0</v>
      </c>
      <c r="K764" s="96" t="str">
        <f>"07.02.24"</f>
        <v>07.02.24</v>
      </c>
    </row>
    <row r="765" spans="1:11" ht="11.25" customHeight="1" outlineLevel="1">
      <c r="A765" s="89" t="n">
        <v>8085230</v>
      </c>
      <c r="B765" s="114" t="s">
        <v>1102</v>
      </c>
      <c r="C765" s="89" t="s">
        <v>1114</v>
      </c>
      <c r="D765" s="89" t="s">
        <v>15</v>
      </c>
      <c r="E765" s="89" t="s">
        <v>1115</v>
      </c>
      <c r="F765" s="102" t="n">
        <v>12362</v>
      </c>
      <c r="G765" s="102" t="n">
        <v>15381</v>
      </c>
      <c r="H765" s="103" t="s">
        <v>48</v>
      </c>
      <c r="I765" s="103">
        <f>IFERROR(VLOOKUP(A765,#REF!,15,0),0)+IFERROR(VLOOKUP(A765,#REF!,25,0),0)+IFERROR(VLOOKUP(A765,#REF!,10,0),0)+IFERROR(VLOOKUP(A765,#REF!,14,0),0)+IFERROR(VLOOKUP(A765,#REF!,10,0),0)+IFERROR(VLOOKUP(A765,#REF!,10,0),0)+IFERROR(VLOOKUP(A765,#REF!,10,0),0)+IFERROR(VLOOKUP(A765,#REF!,9,0),0)+IFERROR(VLOOKUP(A765,#REF!,9,0),0)+IFERROR(VLOOKUP(A765,#REF!,9,0),0)+IFERROR(VLOOKUP(A765,#REF!,9,0),0)</f>
        <v>0</v>
      </c>
      <c r="J765" s="104">
        <f>IFERROR(VLOOKUP(A765,#REF!,16,0),0)+IFERROR(VLOOKUP(A765,#REF!,26,0),0)+IFERROR(VLOOKUP(A765,#REF!,11,0),0)+IFERROR(VLOOKUP(A765,#REF!,23,0),0)+IFERROR(VLOOKUP(A765,#REF!,11,0),0)+IFERROR(VLOOKUP(A765,#REF!,11,0),0)+IFERROR(VLOOKUP(A765,#REF!,11,0),0)</f>
        <v>0</v>
      </c>
      <c r="K765" s="96" t="str">
        <f>"07.02.24"</f>
        <v>07.02.24</v>
      </c>
    </row>
    <row r="766" spans="1:11" ht="11.25" customHeight="1" outlineLevel="1">
      <c r="A766" s="89" t="n">
        <v>8085190</v>
      </c>
      <c r="B766" s="114" t="s">
        <v>1102</v>
      </c>
      <c r="C766" s="89" t="s">
        <v>1116</v>
      </c>
      <c r="D766" s="89" t="s">
        <v>15</v>
      </c>
      <c r="E766" s="89" t="s">
        <v>1117</v>
      </c>
      <c r="F766" s="102" t="n">
        <v>1803</v>
      </c>
      <c r="G766" s="102" t="n">
        <v>2402</v>
      </c>
      <c r="H766" s="103" t="s">
        <v>48</v>
      </c>
      <c r="I766" s="103">
        <f>IFERROR(VLOOKUP(A766,#REF!,15,0),0)+IFERROR(VLOOKUP(A766,#REF!,25,0),0)+IFERROR(VLOOKUP(A766,#REF!,10,0),0)+IFERROR(VLOOKUP(A766,#REF!,14,0),0)+IFERROR(VLOOKUP(A766,#REF!,10,0),0)+IFERROR(VLOOKUP(A766,#REF!,10,0),0)+IFERROR(VLOOKUP(A766,#REF!,10,0),0)+IFERROR(VLOOKUP(A766,#REF!,9,0),0)+IFERROR(VLOOKUP(A766,#REF!,9,0),0)+IFERROR(VLOOKUP(A766,#REF!,9,0),0)+IFERROR(VLOOKUP(A766,#REF!,9,0),0)</f>
        <v>0</v>
      </c>
      <c r="J766" s="104">
        <f>IFERROR(VLOOKUP(A766,#REF!,16,0),0)+IFERROR(VLOOKUP(A766,#REF!,26,0),0)+IFERROR(VLOOKUP(A766,#REF!,11,0),0)+IFERROR(VLOOKUP(A766,#REF!,23,0),0)+IFERROR(VLOOKUP(A766,#REF!,11,0),0)+IFERROR(VLOOKUP(A766,#REF!,11,0),0)+IFERROR(VLOOKUP(A766,#REF!,11,0),0)</f>
        <v>0</v>
      </c>
      <c r="K766" s="96" t="str">
        <f>"07.02.24"</f>
        <v>07.02.24</v>
      </c>
    </row>
    <row r="767" spans="1:11" ht="11.25" customHeight="1" outlineLevel="1">
      <c r="A767" s="89" t="n">
        <v>8085170</v>
      </c>
      <c r="B767" s="114" t="s">
        <v>1102</v>
      </c>
      <c r="C767" s="89" t="s">
        <v>1118</v>
      </c>
      <c r="D767" s="89" t="s">
        <v>15</v>
      </c>
      <c r="E767" s="89"/>
      <c r="F767" s="102" t="n">
        <v>724</v>
      </c>
      <c r="G767" s="102" t="n">
        <v>923</v>
      </c>
      <c r="H767" s="103" t="s">
        <v>17</v>
      </c>
      <c r="I767" s="103">
        <f>IFERROR(VLOOKUP(A767,#REF!,15,0),0)+IFERROR(VLOOKUP(A767,#REF!,25,0),0)+IFERROR(VLOOKUP(A767,#REF!,10,0),0)+IFERROR(VLOOKUP(A767,#REF!,14,0),0)+IFERROR(VLOOKUP(A767,#REF!,10,0),0)+IFERROR(VLOOKUP(A767,#REF!,10,0),0)+IFERROR(VLOOKUP(A767,#REF!,10,0),0)+IFERROR(VLOOKUP(A767,#REF!,9,0),0)+IFERROR(VLOOKUP(A767,#REF!,9,0),0)+IFERROR(VLOOKUP(A767,#REF!,9,0),0)+IFERROR(VLOOKUP(A767,#REF!,9,0),0)</f>
        <v>0</v>
      </c>
      <c r="J767" s="104">
        <f>IFERROR(VLOOKUP(A767,#REF!,16,0),0)+IFERROR(VLOOKUP(A767,#REF!,26,0),0)+IFERROR(VLOOKUP(A767,#REF!,11,0),0)+IFERROR(VLOOKUP(A767,#REF!,23,0),0)+IFERROR(VLOOKUP(A767,#REF!,11,0),0)+IFERROR(VLOOKUP(A767,#REF!,11,0),0)+IFERROR(VLOOKUP(A767,#REF!,11,0),0)</f>
        <v>0</v>
      </c>
      <c r="K767" s="96" t="str">
        <f>"07.02.24"</f>
        <v>07.02.24</v>
      </c>
    </row>
    <row r="768" spans="1:11" ht="11.25" customHeight="1" outlineLevel="1">
      <c r="A768" s="89" t="n">
        <v>8085080</v>
      </c>
      <c r="B768" s="114" t="s">
        <v>1102</v>
      </c>
      <c r="C768" s="89" t="s">
        <v>1119</v>
      </c>
      <c r="D768" s="89" t="s">
        <v>15</v>
      </c>
      <c r="E768" s="89" t="s">
        <v>1120</v>
      </c>
      <c r="F768" s="102" t="n">
        <v>1013</v>
      </c>
      <c r="G768" s="102" t="n">
        <v>1292</v>
      </c>
      <c r="H768" s="103" t="s">
        <v>17</v>
      </c>
      <c r="I768" s="103">
        <f>IFERROR(VLOOKUP(A768,#REF!,15,0),0)+IFERROR(VLOOKUP(A768,#REF!,25,0),0)+IFERROR(VLOOKUP(A768,#REF!,10,0),0)+IFERROR(VLOOKUP(A768,#REF!,14,0),0)+IFERROR(VLOOKUP(A768,#REF!,10,0),0)+IFERROR(VLOOKUP(A768,#REF!,10,0),0)+IFERROR(VLOOKUP(A768,#REF!,10,0),0)+IFERROR(VLOOKUP(A768,#REF!,9,0),0)+IFERROR(VLOOKUP(A768,#REF!,9,0),0)+IFERROR(VLOOKUP(A768,#REF!,9,0),0)+IFERROR(VLOOKUP(A768,#REF!,9,0),0)</f>
        <v>0</v>
      </c>
      <c r="J768" s="104">
        <f>IFERROR(VLOOKUP(A768,#REF!,16,0),0)+IFERROR(VLOOKUP(A768,#REF!,26,0),0)+IFERROR(VLOOKUP(A768,#REF!,11,0),0)+IFERROR(VLOOKUP(A768,#REF!,23,0),0)+IFERROR(VLOOKUP(A768,#REF!,11,0),0)+IFERROR(VLOOKUP(A768,#REF!,11,0),0)+IFERROR(VLOOKUP(A768,#REF!,11,0),0)</f>
        <v>0</v>
      </c>
      <c r="K768" s="96" t="str">
        <f>"07.02.24"</f>
        <v>07.02.24</v>
      </c>
    </row>
    <row r="769" spans="1:11" ht="11.25" customHeight="1" outlineLevel="1">
      <c r="A769" s="89" t="n">
        <v>8085260</v>
      </c>
      <c r="B769" s="114" t="s">
        <v>1102</v>
      </c>
      <c r="C769" s="89" t="s">
        <v>1121</v>
      </c>
      <c r="D769" s="89" t="s">
        <v>15</v>
      </c>
      <c r="E769" s="89"/>
      <c r="F769" s="102" t="n">
        <v>62</v>
      </c>
      <c r="G769" s="102" t="n">
        <v>78</v>
      </c>
      <c r="H769" s="103" t="s">
        <v>17</v>
      </c>
      <c r="I769" s="103">
        <f>IFERROR(VLOOKUP(A769,#REF!,15,0),0)+IFERROR(VLOOKUP(A769,#REF!,25,0),0)+IFERROR(VLOOKUP(A769,#REF!,10,0),0)+IFERROR(VLOOKUP(A769,#REF!,14,0),0)+IFERROR(VLOOKUP(A769,#REF!,10,0),0)+IFERROR(VLOOKUP(A769,#REF!,10,0),0)+IFERROR(VLOOKUP(A769,#REF!,10,0),0)+IFERROR(VLOOKUP(A769,#REF!,9,0),0)+IFERROR(VLOOKUP(A769,#REF!,9,0),0)+IFERROR(VLOOKUP(A769,#REF!,9,0),0)+IFERROR(VLOOKUP(A769,#REF!,9,0),0)</f>
        <v>0</v>
      </c>
      <c r="J769" s="104">
        <f>IFERROR(VLOOKUP(A769,#REF!,16,0),0)+IFERROR(VLOOKUP(A769,#REF!,26,0),0)+IFERROR(VLOOKUP(A769,#REF!,11,0),0)+IFERROR(VLOOKUP(A769,#REF!,23,0),0)+IFERROR(VLOOKUP(A769,#REF!,11,0),0)+IFERROR(VLOOKUP(A769,#REF!,11,0),0)+IFERROR(VLOOKUP(A769,#REF!,11,0),0)</f>
        <v>0</v>
      </c>
      <c r="K769" s="96" t="str">
        <f>"07.02.24"</f>
        <v>07.02.24</v>
      </c>
    </row>
    <row r="770" spans="1:11" ht="11.25" customHeight="1" outlineLevel="1">
      <c r="A770" s="89" t="n">
        <v>8085240</v>
      </c>
      <c r="B770" s="114" t="s">
        <v>1102</v>
      </c>
      <c r="C770" s="89" t="s">
        <v>1122</v>
      </c>
      <c r="D770" s="89" t="s">
        <v>15</v>
      </c>
      <c r="E770" s="89"/>
      <c r="F770" s="102" t="n">
        <v>604</v>
      </c>
      <c r="G770" s="102" t="n">
        <v>804</v>
      </c>
      <c r="H770" s="103" t="s">
        <v>48</v>
      </c>
      <c r="I770" s="103">
        <f>IFERROR(VLOOKUP(A770,#REF!,15,0),0)+IFERROR(VLOOKUP(A770,#REF!,25,0),0)+IFERROR(VLOOKUP(A770,#REF!,10,0),0)+IFERROR(VLOOKUP(A770,#REF!,14,0),0)+IFERROR(VLOOKUP(A770,#REF!,10,0),0)+IFERROR(VLOOKUP(A770,#REF!,10,0),0)+IFERROR(VLOOKUP(A770,#REF!,10,0),0)+IFERROR(VLOOKUP(A770,#REF!,9,0),0)+IFERROR(VLOOKUP(A770,#REF!,9,0),0)+IFERROR(VLOOKUP(A770,#REF!,9,0),0)+IFERROR(VLOOKUP(A770,#REF!,9,0),0)</f>
        <v>0</v>
      </c>
      <c r="J770" s="104">
        <f>IFERROR(VLOOKUP(A770,#REF!,16,0),0)+IFERROR(VLOOKUP(A770,#REF!,26,0),0)+IFERROR(VLOOKUP(A770,#REF!,11,0),0)+IFERROR(VLOOKUP(A770,#REF!,23,0),0)+IFERROR(VLOOKUP(A770,#REF!,11,0),0)+IFERROR(VLOOKUP(A770,#REF!,11,0),0)+IFERROR(VLOOKUP(A770,#REF!,11,0),0)</f>
        <v>0</v>
      </c>
      <c r="K770" s="96" t="str">
        <f>"07.02.24"</f>
        <v>07.02.24</v>
      </c>
    </row>
    <row r="771" spans="1:11" ht="11.25" customHeight="1" outlineLevel="1">
      <c r="A771" s="89" t="n">
        <v>8085200</v>
      </c>
      <c r="B771" s="114" t="s">
        <v>1102</v>
      </c>
      <c r="C771" s="89" t="s">
        <v>1123</v>
      </c>
      <c r="D771" s="89" t="s">
        <v>15</v>
      </c>
      <c r="E771" s="89"/>
      <c r="F771" s="102" t="n">
        <v>558</v>
      </c>
      <c r="G771" s="102" t="n">
        <v>727</v>
      </c>
      <c r="H771" s="103" t="s">
        <v>48</v>
      </c>
      <c r="I771" s="103">
        <f>IFERROR(VLOOKUP(A771,#REF!,15,0),0)+IFERROR(VLOOKUP(A771,#REF!,25,0),0)+IFERROR(VLOOKUP(A771,#REF!,10,0),0)+IFERROR(VLOOKUP(A771,#REF!,14,0),0)+IFERROR(VLOOKUP(A771,#REF!,10,0),0)+IFERROR(VLOOKUP(A771,#REF!,10,0),0)+IFERROR(VLOOKUP(A771,#REF!,10,0),0)+IFERROR(VLOOKUP(A771,#REF!,9,0),0)+IFERROR(VLOOKUP(A771,#REF!,9,0),0)+IFERROR(VLOOKUP(A771,#REF!,9,0),0)+IFERROR(VLOOKUP(A771,#REF!,9,0),0)</f>
        <v>0</v>
      </c>
      <c r="J771" s="104">
        <f>IFERROR(VLOOKUP(A771,#REF!,16,0),0)+IFERROR(VLOOKUP(A771,#REF!,26,0),0)+IFERROR(VLOOKUP(A771,#REF!,11,0),0)+IFERROR(VLOOKUP(A771,#REF!,23,0),0)+IFERROR(VLOOKUP(A771,#REF!,11,0),0)+IFERROR(VLOOKUP(A771,#REF!,11,0),0)+IFERROR(VLOOKUP(A771,#REF!,11,0),0)</f>
        <v>0</v>
      </c>
      <c r="K771" s="96" t="str">
        <f>"07.02.24"</f>
        <v>07.02.24</v>
      </c>
    </row>
    <row r="772" spans="1:11" ht="11.25" customHeight="1" outlineLevel="1">
      <c r="A772" s="89" t="n">
        <v>8085270</v>
      </c>
      <c r="B772" s="114" t="s">
        <v>1102</v>
      </c>
      <c r="C772" s="89" t="s">
        <v>1124</v>
      </c>
      <c r="D772" s="89" t="s">
        <v>15</v>
      </c>
      <c r="E772" s="89"/>
      <c r="F772" s="102" t="n">
        <v>42</v>
      </c>
      <c r="G772" s="102" t="n">
        <v>56</v>
      </c>
      <c r="H772" s="103" t="s">
        <v>48</v>
      </c>
      <c r="I772" s="103">
        <f>IFERROR(VLOOKUP(A772,#REF!,15,0),0)+IFERROR(VLOOKUP(A772,#REF!,25,0),0)+IFERROR(VLOOKUP(A772,#REF!,10,0),0)+IFERROR(VLOOKUP(A772,#REF!,14,0),0)+IFERROR(VLOOKUP(A772,#REF!,10,0),0)+IFERROR(VLOOKUP(A772,#REF!,10,0),0)+IFERROR(VLOOKUP(A772,#REF!,10,0),0)+IFERROR(VLOOKUP(A772,#REF!,9,0),0)+IFERROR(VLOOKUP(A772,#REF!,9,0),0)+IFERROR(VLOOKUP(A772,#REF!,9,0),0)+IFERROR(VLOOKUP(A772,#REF!,9,0),0)</f>
        <v>0</v>
      </c>
      <c r="J772" s="104">
        <f>IFERROR(VLOOKUP(A772,#REF!,16,0),0)+IFERROR(VLOOKUP(A772,#REF!,26,0),0)+IFERROR(VLOOKUP(A772,#REF!,11,0),0)+IFERROR(VLOOKUP(A772,#REF!,23,0),0)+IFERROR(VLOOKUP(A772,#REF!,11,0),0)+IFERROR(VLOOKUP(A772,#REF!,11,0),0)+IFERROR(VLOOKUP(A772,#REF!,11,0),0)</f>
        <v>0</v>
      </c>
      <c r="K772" s="96" t="str">
        <f>"07.02.24"</f>
        <v>07.02.24</v>
      </c>
    </row>
    <row r="773" spans="1:11" ht="11.25" customHeight="1" outlineLevel="1">
      <c r="A773" s="89" t="n">
        <v>8085280</v>
      </c>
      <c r="B773" s="114" t="s">
        <v>1102</v>
      </c>
      <c r="C773" s="89" t="s">
        <v>1125</v>
      </c>
      <c r="D773" s="89" t="s">
        <v>15</v>
      </c>
      <c r="E773" s="89"/>
      <c r="F773" s="102" t="n">
        <v>171</v>
      </c>
      <c r="G773" s="102" t="n">
        <v>226</v>
      </c>
      <c r="H773" s="103" t="s">
        <v>17</v>
      </c>
      <c r="I773" s="103">
        <f>IFERROR(VLOOKUP(A773,#REF!,15,0),0)+IFERROR(VLOOKUP(A773,#REF!,25,0),0)+IFERROR(VLOOKUP(A773,#REF!,10,0),0)+IFERROR(VLOOKUP(A773,#REF!,14,0),0)+IFERROR(VLOOKUP(A773,#REF!,10,0),0)+IFERROR(VLOOKUP(A773,#REF!,10,0),0)+IFERROR(VLOOKUP(A773,#REF!,10,0),0)+IFERROR(VLOOKUP(A773,#REF!,9,0),0)+IFERROR(VLOOKUP(A773,#REF!,9,0),0)+IFERROR(VLOOKUP(A773,#REF!,9,0),0)+IFERROR(VLOOKUP(A773,#REF!,9,0),0)</f>
        <v>0</v>
      </c>
      <c r="J773" s="104">
        <f>IFERROR(VLOOKUP(A773,#REF!,16,0),0)+IFERROR(VLOOKUP(A773,#REF!,26,0),0)+IFERROR(VLOOKUP(A773,#REF!,11,0),0)+IFERROR(VLOOKUP(A773,#REF!,23,0),0)+IFERROR(VLOOKUP(A773,#REF!,11,0),0)+IFERROR(VLOOKUP(A773,#REF!,11,0),0)+IFERROR(VLOOKUP(A773,#REF!,11,0),0)</f>
        <v>0</v>
      </c>
      <c r="K773" s="96" t="str">
        <f>"07.02.24"</f>
        <v>07.02.24</v>
      </c>
    </row>
    <row r="774" spans="1:11" ht="11.25" customHeight="1" outlineLevel="1">
      <c r="A774" s="89" t="s">
        <v>1126</v>
      </c>
      <c r="B774" s="114" t="s">
        <v>1102</v>
      </c>
      <c r="C774" s="89" t="s">
        <v>1127</v>
      </c>
      <c r="D774" s="89" t="s">
        <v>15</v>
      </c>
      <c r="E774" s="89"/>
      <c r="F774" s="102" t="n">
        <v>2791</v>
      </c>
      <c r="G774" s="102" t="n">
        <v>3689</v>
      </c>
      <c r="H774" s="103" t="s">
        <v>48</v>
      </c>
      <c r="I774" s="103">
        <f>IFERROR(VLOOKUP(A774,#REF!,15,0),0)+IFERROR(VLOOKUP(A774,#REF!,25,0),0)+IFERROR(VLOOKUP(A774,#REF!,10,0),0)+IFERROR(VLOOKUP(A774,#REF!,14,0),0)+IFERROR(VLOOKUP(A774,#REF!,10,0),0)+IFERROR(VLOOKUP(A774,#REF!,10,0),0)+IFERROR(VLOOKUP(A774,#REF!,10,0),0)+IFERROR(VLOOKUP(A774,#REF!,9,0),0)+IFERROR(VLOOKUP(A774,#REF!,9,0),0)+IFERROR(VLOOKUP(A774,#REF!,9,0),0)+IFERROR(VLOOKUP(A774,#REF!,9,0),0)</f>
        <v>0</v>
      </c>
      <c r="J774" s="104">
        <f>IFERROR(VLOOKUP(A774,#REF!,16,0),0)+IFERROR(VLOOKUP(A774,#REF!,26,0),0)+IFERROR(VLOOKUP(A774,#REF!,11,0),0)+IFERROR(VLOOKUP(A774,#REF!,23,0),0)+IFERROR(VLOOKUP(A774,#REF!,11,0),0)+IFERROR(VLOOKUP(A774,#REF!,11,0),0)+IFERROR(VLOOKUP(A774,#REF!,11,0),0)</f>
        <v>0</v>
      </c>
      <c r="K774" s="96" t="str">
        <f>"07.02.24"</f>
        <v>07.02.24</v>
      </c>
    </row>
    <row r="775" spans="1:11" ht="11.25" customHeight="1" outlineLevel="1">
      <c r="A775" s="89" t="s">
        <v>1128</v>
      </c>
      <c r="B775" s="114" t="s">
        <v>1102</v>
      </c>
      <c r="C775" s="89" t="s">
        <v>1129</v>
      </c>
      <c r="D775" s="89" t="s">
        <v>15</v>
      </c>
      <c r="E775" s="89"/>
      <c r="F775" s="102" t="n">
        <v>2380</v>
      </c>
      <c r="G775" s="102" t="n">
        <v>3093</v>
      </c>
      <c r="H775" s="103" t="s">
        <v>48</v>
      </c>
      <c r="I775" s="103">
        <f>IFERROR(VLOOKUP(A775,#REF!,15,0),0)+IFERROR(VLOOKUP(A775,#REF!,25,0),0)+IFERROR(VLOOKUP(A775,#REF!,10,0),0)+IFERROR(VLOOKUP(A775,#REF!,14,0),0)+IFERROR(VLOOKUP(A775,#REF!,10,0),0)+IFERROR(VLOOKUP(A775,#REF!,10,0),0)+IFERROR(VLOOKUP(A775,#REF!,10,0),0)+IFERROR(VLOOKUP(A775,#REF!,9,0),0)+IFERROR(VLOOKUP(A775,#REF!,9,0),0)+IFERROR(VLOOKUP(A775,#REF!,9,0),0)+IFERROR(VLOOKUP(A775,#REF!,9,0),0)</f>
        <v>0</v>
      </c>
      <c r="J775" s="104">
        <f>IFERROR(VLOOKUP(A775,#REF!,16,0),0)+IFERROR(VLOOKUP(A775,#REF!,26,0),0)+IFERROR(VLOOKUP(A775,#REF!,11,0),0)+IFERROR(VLOOKUP(A775,#REF!,23,0),0)+IFERROR(VLOOKUP(A775,#REF!,11,0),0)+IFERROR(VLOOKUP(A775,#REF!,11,0),0)+IFERROR(VLOOKUP(A775,#REF!,11,0),0)</f>
        <v>0</v>
      </c>
      <c r="K775" s="96" t="str">
        <f>"07.02.24"</f>
        <v>07.02.24</v>
      </c>
    </row>
    <row r="776" spans="1:11" ht="11.25" customHeight="1" outlineLevel="1">
      <c r="A776" s="89" t="n">
        <v>8085220</v>
      </c>
      <c r="B776" s="114" t="s">
        <v>1102</v>
      </c>
      <c r="C776" s="89" t="s">
        <v>1130</v>
      </c>
      <c r="D776" s="89"/>
      <c r="E776" s="89"/>
      <c r="F776" s="102" t="n">
        <v>849</v>
      </c>
      <c r="G776" s="102" t="n">
        <v>1130</v>
      </c>
      <c r="H776" s="103" t="s">
        <v>17</v>
      </c>
      <c r="I776" s="103">
        <f>IFERROR(VLOOKUP(A776,#REF!,15,0),0)+IFERROR(VLOOKUP(A776,#REF!,25,0),0)+IFERROR(VLOOKUP(A776,#REF!,10,0),0)+IFERROR(VLOOKUP(A776,#REF!,14,0),0)+IFERROR(VLOOKUP(A776,#REF!,10,0),0)+IFERROR(VLOOKUP(A776,#REF!,10,0),0)+IFERROR(VLOOKUP(A776,#REF!,10,0),0)+IFERROR(VLOOKUP(A776,#REF!,9,0),0)+IFERROR(VLOOKUP(A776,#REF!,9,0),0)+IFERROR(VLOOKUP(A776,#REF!,9,0),0)+IFERROR(VLOOKUP(A776,#REF!,9,0),0)</f>
        <v>0</v>
      </c>
      <c r="J776" s="104">
        <f>IFERROR(VLOOKUP(A776,#REF!,16,0),0)+IFERROR(VLOOKUP(A776,#REF!,26,0),0)+IFERROR(VLOOKUP(A776,#REF!,11,0),0)+IFERROR(VLOOKUP(A776,#REF!,23,0),0)+IFERROR(VLOOKUP(A776,#REF!,11,0),0)+IFERROR(VLOOKUP(A776,#REF!,11,0),0)+IFERROR(VLOOKUP(A776,#REF!,11,0),0)</f>
        <v>0</v>
      </c>
      <c r="K776" s="96" t="str">
        <f>"07.02.24"</f>
        <v>07.02.24</v>
      </c>
    </row>
    <row r="777" spans="1:11" ht="11.25" customHeight="1">
      <c r="A777" s="97" t="s">
        <v>1131</v>
      </c>
      <c r="B777" s="98"/>
      <c r="C777" s="98"/>
      <c r="D777" s="98"/>
      <c r="E777" s="98"/>
      <c r="F777" s="99"/>
      <c r="G777" s="99"/>
      <c r="H777" s="100"/>
      <c r="I777" s="100"/>
      <c r="J777" s="108"/>
      <c r="K777" s="96" t="str">
        <f>"07.02.24"</f>
        <v>07.02.24</v>
      </c>
    </row>
    <row r="778" spans="1:11" ht="11.25" customHeight="1" outlineLevel="1">
      <c r="A778" s="89" t="n">
        <v>36549</v>
      </c>
      <c r="B778" s="114" t="s">
        <v>1132</v>
      </c>
      <c r="C778" s="89" t="s">
        <v>1133</v>
      </c>
      <c r="D778" s="89" t="s">
        <v>1134</v>
      </c>
      <c r="E778" s="89" t="s">
        <v>1135</v>
      </c>
      <c r="F778" s="102" t="n">
        <v>5166</v>
      </c>
      <c r="G778" s="102" t="n">
        <v>6199</v>
      </c>
      <c r="H778" s="103" t="s">
        <v>17</v>
      </c>
      <c r="I778" s="103">
        <f>IFERROR(VLOOKUP(A778,#REF!,15,0),0)+IFERROR(VLOOKUP(A778,#REF!,25,0),0)+IFERROR(VLOOKUP(A778,#REF!,10,0),0)+IFERROR(VLOOKUP(A778,#REF!,14,0),0)+IFERROR(VLOOKUP(A778,#REF!,10,0),0)+IFERROR(VLOOKUP(A778,#REF!,10,0),0)+IFERROR(VLOOKUP(A778,#REF!,10,0),0)+IFERROR(VLOOKUP(A778,#REF!,9,0),0)+IFERROR(VLOOKUP(A778,#REF!,9,0),0)+IFERROR(VLOOKUP(A778,#REF!,9,0),0)+IFERROR(VLOOKUP(A778,#REF!,9,0),0)</f>
        <v>0</v>
      </c>
      <c r="J778" s="104">
        <f>IFERROR(VLOOKUP(A778,#REF!,16,0),0)+IFERROR(VLOOKUP(A778,#REF!,26,0),0)+IFERROR(VLOOKUP(A778,#REF!,11,0),0)+IFERROR(VLOOKUP(A778,#REF!,23,0),0)+IFERROR(VLOOKUP(A778,#REF!,11,0),0)+IFERROR(VLOOKUP(A778,#REF!,11,0),0)+IFERROR(VLOOKUP(A778,#REF!,11,0),0)</f>
        <v>0</v>
      </c>
      <c r="K778" s="96" t="str">
        <f>"07.02.24"</f>
        <v>07.02.24</v>
      </c>
    </row>
    <row r="779" spans="1:11" ht="11.25" customHeight="1" outlineLevel="1">
      <c r="A779" s="89" t="n">
        <v>36550</v>
      </c>
      <c r="B779" s="114" t="s">
        <v>1132</v>
      </c>
      <c r="C779" s="89" t="s">
        <v>1136</v>
      </c>
      <c r="D779" s="89" t="s">
        <v>1134</v>
      </c>
      <c r="E779" s="89" t="s">
        <v>1137</v>
      </c>
      <c r="F779" s="102" t="n">
        <v>6261</v>
      </c>
      <c r="G779" s="102" t="n">
        <v>7512</v>
      </c>
      <c r="H779" s="103" t="s">
        <v>17</v>
      </c>
      <c r="I779" s="103">
        <f>IFERROR(VLOOKUP(A779,#REF!,15,0),0)+IFERROR(VLOOKUP(A779,#REF!,25,0),0)+IFERROR(VLOOKUP(A779,#REF!,10,0),0)+IFERROR(VLOOKUP(A779,#REF!,14,0),0)+IFERROR(VLOOKUP(A779,#REF!,10,0),0)+IFERROR(VLOOKUP(A779,#REF!,10,0),0)+IFERROR(VLOOKUP(A779,#REF!,10,0),0)+IFERROR(VLOOKUP(A779,#REF!,9,0),0)+IFERROR(VLOOKUP(A779,#REF!,9,0),0)+IFERROR(VLOOKUP(A779,#REF!,9,0),0)+IFERROR(VLOOKUP(A779,#REF!,9,0),0)</f>
        <v>0</v>
      </c>
      <c r="J779" s="104">
        <f>IFERROR(VLOOKUP(A779,#REF!,16,0),0)+IFERROR(VLOOKUP(A779,#REF!,26,0),0)+IFERROR(VLOOKUP(A779,#REF!,11,0),0)+IFERROR(VLOOKUP(A779,#REF!,23,0),0)+IFERROR(VLOOKUP(A779,#REF!,11,0),0)+IFERROR(VLOOKUP(A779,#REF!,11,0),0)+IFERROR(VLOOKUP(A779,#REF!,11,0),0)</f>
        <v>0</v>
      </c>
      <c r="K779" s="96" t="str">
        <f>"07.02.24"</f>
        <v>07.02.24</v>
      </c>
    </row>
    <row r="780" spans="1:11" ht="11.25" customHeight="1" outlineLevel="1">
      <c r="A780" s="89" t="n">
        <v>36551</v>
      </c>
      <c r="B780" s="114" t="s">
        <v>1132</v>
      </c>
      <c r="C780" s="89" t="s">
        <v>1138</v>
      </c>
      <c r="D780" s="89" t="s">
        <v>1134</v>
      </c>
      <c r="E780" s="89" t="s">
        <v>1139</v>
      </c>
      <c r="F780" s="102" t="n">
        <v>6817</v>
      </c>
      <c r="G780" s="102" t="n">
        <v>8180</v>
      </c>
      <c r="H780" s="103" t="s">
        <v>17</v>
      </c>
      <c r="I780" s="103">
        <f>IFERROR(VLOOKUP(A780,#REF!,15,0),0)+IFERROR(VLOOKUP(A780,#REF!,25,0),0)+IFERROR(VLOOKUP(A780,#REF!,10,0),0)+IFERROR(VLOOKUP(A780,#REF!,14,0),0)+IFERROR(VLOOKUP(A780,#REF!,10,0),0)+IFERROR(VLOOKUP(A780,#REF!,10,0),0)+IFERROR(VLOOKUP(A780,#REF!,10,0),0)+IFERROR(VLOOKUP(A780,#REF!,9,0),0)+IFERROR(VLOOKUP(A780,#REF!,9,0),0)+IFERROR(VLOOKUP(A780,#REF!,9,0),0)+IFERROR(VLOOKUP(A780,#REF!,9,0),0)</f>
        <v>0</v>
      </c>
      <c r="J780" s="104">
        <f>IFERROR(VLOOKUP(A780,#REF!,16,0),0)+IFERROR(VLOOKUP(A780,#REF!,26,0),0)+IFERROR(VLOOKUP(A780,#REF!,11,0),0)+IFERROR(VLOOKUP(A780,#REF!,23,0),0)+IFERROR(VLOOKUP(A780,#REF!,11,0),0)+IFERROR(VLOOKUP(A780,#REF!,11,0),0)+IFERROR(VLOOKUP(A780,#REF!,11,0),0)</f>
        <v>0</v>
      </c>
      <c r="K780" s="96" t="str">
        <f>"07.02.24"</f>
        <v>07.02.24</v>
      </c>
    </row>
    <row r="781" spans="1:11" ht="11.25" customHeight="1" outlineLevel="1">
      <c r="A781" s="89" t="n">
        <v>8109340</v>
      </c>
      <c r="B781" s="114" t="s">
        <v>1132</v>
      </c>
      <c r="C781" s="89" t="s">
        <v>1140</v>
      </c>
      <c r="D781" s="89" t="s">
        <v>1134</v>
      </c>
      <c r="E781" s="89"/>
      <c r="F781" s="102" t="n">
        <v>7281</v>
      </c>
      <c r="G781" s="102" t="n">
        <v>8738</v>
      </c>
      <c r="H781" s="103" t="s">
        <v>17</v>
      </c>
      <c r="I781" s="103">
        <f>IFERROR(VLOOKUP(A781,#REF!,15,0),0)+IFERROR(VLOOKUP(A781,#REF!,25,0),0)+IFERROR(VLOOKUP(A781,#REF!,10,0),0)+IFERROR(VLOOKUP(A781,#REF!,14,0),0)+IFERROR(VLOOKUP(A781,#REF!,10,0),0)+IFERROR(VLOOKUP(A781,#REF!,10,0),0)+IFERROR(VLOOKUP(A781,#REF!,10,0),0)+IFERROR(VLOOKUP(A781,#REF!,9,0),0)+IFERROR(VLOOKUP(A781,#REF!,9,0),0)+IFERROR(VLOOKUP(A781,#REF!,9,0),0)+IFERROR(VLOOKUP(A781,#REF!,9,0),0)</f>
        <v>0</v>
      </c>
      <c r="J781" s="104">
        <f>IFERROR(VLOOKUP(A781,#REF!,16,0),0)+IFERROR(VLOOKUP(A781,#REF!,26,0),0)+IFERROR(VLOOKUP(A781,#REF!,11,0),0)+IFERROR(VLOOKUP(A781,#REF!,23,0),0)+IFERROR(VLOOKUP(A781,#REF!,11,0),0)+IFERROR(VLOOKUP(A781,#REF!,11,0),0)+IFERROR(VLOOKUP(A781,#REF!,11,0),0)</f>
        <v>0</v>
      </c>
      <c r="K781" s="96" t="str">
        <f>"07.02.24"</f>
        <v>07.02.24</v>
      </c>
    </row>
    <row r="782" spans="1:11" ht="11.25" customHeight="1" outlineLevel="1">
      <c r="A782" s="89" t="n">
        <v>8109360</v>
      </c>
      <c r="B782" s="114" t="s">
        <v>1132</v>
      </c>
      <c r="C782" s="89" t="s">
        <v>1141</v>
      </c>
      <c r="D782" s="89" t="s">
        <v>1134</v>
      </c>
      <c r="E782" s="89"/>
      <c r="F782" s="102" t="n">
        <v>11558</v>
      </c>
      <c r="G782" s="102" t="n">
        <v>13870</v>
      </c>
      <c r="H782" s="103" t="s">
        <v>17</v>
      </c>
      <c r="I782" s="103">
        <f>IFERROR(VLOOKUP(A782,#REF!,15,0),0)+IFERROR(VLOOKUP(A782,#REF!,25,0),0)+IFERROR(VLOOKUP(A782,#REF!,10,0),0)+IFERROR(VLOOKUP(A782,#REF!,14,0),0)+IFERROR(VLOOKUP(A782,#REF!,10,0),0)+IFERROR(VLOOKUP(A782,#REF!,10,0),0)+IFERROR(VLOOKUP(A782,#REF!,10,0),0)+IFERROR(VLOOKUP(A782,#REF!,9,0),0)+IFERROR(VLOOKUP(A782,#REF!,9,0),0)+IFERROR(VLOOKUP(A782,#REF!,9,0),0)+IFERROR(VLOOKUP(A782,#REF!,9,0),0)</f>
        <v>0</v>
      </c>
      <c r="J782" s="104">
        <f>IFERROR(VLOOKUP(A782,#REF!,16,0),0)+IFERROR(VLOOKUP(A782,#REF!,26,0),0)+IFERROR(VLOOKUP(A782,#REF!,11,0),0)+IFERROR(VLOOKUP(A782,#REF!,23,0),0)+IFERROR(VLOOKUP(A782,#REF!,11,0),0)+IFERROR(VLOOKUP(A782,#REF!,11,0),0)+IFERROR(VLOOKUP(A782,#REF!,11,0),0)</f>
        <v>0</v>
      </c>
      <c r="K782" s="96" t="str">
        <f>"07.02.24"</f>
        <v>07.02.24</v>
      </c>
    </row>
    <row r="783" spans="1:11" ht="11.25" customHeight="1" outlineLevel="1">
      <c r="A783" s="89" t="n">
        <v>8109350</v>
      </c>
      <c r="B783" s="114" t="s">
        <v>1132</v>
      </c>
      <c r="C783" s="89" t="s">
        <v>1142</v>
      </c>
      <c r="D783" s="89" t="s">
        <v>1134</v>
      </c>
      <c r="E783" s="89"/>
      <c r="F783" s="102" t="n">
        <v>8495</v>
      </c>
      <c r="G783" s="102" t="n">
        <v>10193</v>
      </c>
      <c r="H783" s="103" t="s">
        <v>17</v>
      </c>
      <c r="I783" s="103">
        <f>IFERROR(VLOOKUP(A783,#REF!,15,0),0)+IFERROR(VLOOKUP(A783,#REF!,25,0),0)+IFERROR(VLOOKUP(A783,#REF!,10,0),0)+IFERROR(VLOOKUP(A783,#REF!,14,0),0)+IFERROR(VLOOKUP(A783,#REF!,10,0),0)+IFERROR(VLOOKUP(A783,#REF!,10,0),0)+IFERROR(VLOOKUP(A783,#REF!,10,0),0)+IFERROR(VLOOKUP(A783,#REF!,9,0),0)+IFERROR(VLOOKUP(A783,#REF!,9,0),0)+IFERROR(VLOOKUP(A783,#REF!,9,0),0)+IFERROR(VLOOKUP(A783,#REF!,9,0),0)</f>
        <v>0</v>
      </c>
      <c r="J783" s="104">
        <f>IFERROR(VLOOKUP(A783,#REF!,16,0),0)+IFERROR(VLOOKUP(A783,#REF!,26,0),0)+IFERROR(VLOOKUP(A783,#REF!,11,0),0)+IFERROR(VLOOKUP(A783,#REF!,23,0),0)+IFERROR(VLOOKUP(A783,#REF!,11,0),0)+IFERROR(VLOOKUP(A783,#REF!,11,0),0)+IFERROR(VLOOKUP(A783,#REF!,11,0),0)</f>
        <v>0</v>
      </c>
      <c r="K783" s="96" t="str">
        <f>"07.02.24"</f>
        <v>07.02.24</v>
      </c>
    </row>
    <row r="784" spans="1:11" ht="11.25" customHeight="1" outlineLevel="1">
      <c r="A784" s="89" t="n">
        <v>8144920</v>
      </c>
      <c r="B784" s="114" t="s">
        <v>1143</v>
      </c>
      <c r="C784" s="89" t="s">
        <v>1144</v>
      </c>
      <c r="D784" s="89" t="s">
        <v>1134</v>
      </c>
      <c r="E784" s="89"/>
      <c r="F784" s="102" t="n">
        <v>5726</v>
      </c>
      <c r="G784" s="102" t="n">
        <v>7672</v>
      </c>
      <c r="H784" s="103" t="s">
        <v>48</v>
      </c>
      <c r="I784" s="103">
        <f>IFERROR(VLOOKUP(A784,#REF!,15,0),0)+IFERROR(VLOOKUP(A784,#REF!,25,0),0)+IFERROR(VLOOKUP(A784,#REF!,10,0),0)+IFERROR(VLOOKUP(A784,#REF!,14,0),0)+IFERROR(VLOOKUP(A784,#REF!,10,0),0)+IFERROR(VLOOKUP(A784,#REF!,10,0),0)+IFERROR(VLOOKUP(A784,#REF!,10,0),0)+IFERROR(VLOOKUP(A784,#REF!,9,0),0)+IFERROR(VLOOKUP(A784,#REF!,9,0),0)+IFERROR(VLOOKUP(A784,#REF!,9,0),0)+IFERROR(VLOOKUP(A784,#REF!,9,0),0)</f>
        <v>0</v>
      </c>
      <c r="J784" s="104">
        <f>IFERROR(VLOOKUP(A784,#REF!,16,0),0)+IFERROR(VLOOKUP(A784,#REF!,26,0),0)+IFERROR(VLOOKUP(A784,#REF!,11,0),0)+IFERROR(VLOOKUP(A784,#REF!,23,0),0)+IFERROR(VLOOKUP(A784,#REF!,11,0),0)+IFERROR(VLOOKUP(A784,#REF!,11,0),0)+IFERROR(VLOOKUP(A784,#REF!,11,0),0)</f>
        <v>0</v>
      </c>
      <c r="K784" s="96" t="str">
        <f>"07.02.24"</f>
        <v>07.02.24</v>
      </c>
    </row>
    <row r="785" spans="1:11" ht="11.25" customHeight="1" outlineLevel="1">
      <c r="A785" s="89" t="n">
        <v>8144930</v>
      </c>
      <c r="B785" s="114" t="s">
        <v>1143</v>
      </c>
      <c r="C785" s="89" t="s">
        <v>1145</v>
      </c>
      <c r="D785" s="89" t="s">
        <v>1134</v>
      </c>
      <c r="E785" s="89"/>
      <c r="F785" s="102" t="n">
        <v>6753</v>
      </c>
      <c r="G785" s="102" t="n">
        <v>9049</v>
      </c>
      <c r="H785" s="103" t="s">
        <v>48</v>
      </c>
      <c r="I785" s="103">
        <f>IFERROR(VLOOKUP(A785,#REF!,15,0),0)+IFERROR(VLOOKUP(A785,#REF!,25,0),0)+IFERROR(VLOOKUP(A785,#REF!,10,0),0)+IFERROR(VLOOKUP(A785,#REF!,14,0),0)+IFERROR(VLOOKUP(A785,#REF!,10,0),0)+IFERROR(VLOOKUP(A785,#REF!,10,0),0)+IFERROR(VLOOKUP(A785,#REF!,10,0),0)+IFERROR(VLOOKUP(A785,#REF!,9,0),0)+IFERROR(VLOOKUP(A785,#REF!,9,0),0)+IFERROR(VLOOKUP(A785,#REF!,9,0),0)+IFERROR(VLOOKUP(A785,#REF!,9,0),0)</f>
        <v>0</v>
      </c>
      <c r="J785" s="104">
        <f>IFERROR(VLOOKUP(A785,#REF!,16,0),0)+IFERROR(VLOOKUP(A785,#REF!,26,0),0)+IFERROR(VLOOKUP(A785,#REF!,11,0),0)+IFERROR(VLOOKUP(A785,#REF!,23,0),0)+IFERROR(VLOOKUP(A785,#REF!,11,0),0)+IFERROR(VLOOKUP(A785,#REF!,11,0),0)+IFERROR(VLOOKUP(A785,#REF!,11,0),0)</f>
        <v>0</v>
      </c>
      <c r="K785" s="96" t="str">
        <f>"07.02.24"</f>
        <v>07.02.24</v>
      </c>
    </row>
    <row r="786" spans="1:11" ht="11.25" customHeight="1" outlineLevel="1">
      <c r="A786" s="89" t="n">
        <v>8144940</v>
      </c>
      <c r="B786" s="114" t="s">
        <v>1143</v>
      </c>
      <c r="C786" s="89" t="s">
        <v>1146</v>
      </c>
      <c r="D786" s="89" t="s">
        <v>1134</v>
      </c>
      <c r="E786" s="89"/>
      <c r="F786" s="102" t="n">
        <v>5531</v>
      </c>
      <c r="G786" s="102" t="n">
        <v>7412</v>
      </c>
      <c r="H786" s="103" t="s">
        <v>48</v>
      </c>
      <c r="I786" s="103">
        <f>IFERROR(VLOOKUP(A786,#REF!,15,0),0)+IFERROR(VLOOKUP(A786,#REF!,25,0),0)+IFERROR(VLOOKUP(A786,#REF!,10,0),0)+IFERROR(VLOOKUP(A786,#REF!,14,0),0)+IFERROR(VLOOKUP(A786,#REF!,10,0),0)+IFERROR(VLOOKUP(A786,#REF!,10,0),0)+IFERROR(VLOOKUP(A786,#REF!,10,0),0)+IFERROR(VLOOKUP(A786,#REF!,9,0),0)+IFERROR(VLOOKUP(A786,#REF!,9,0),0)+IFERROR(VLOOKUP(A786,#REF!,9,0),0)+IFERROR(VLOOKUP(A786,#REF!,9,0),0)</f>
        <v>0</v>
      </c>
      <c r="J786" s="104">
        <f>IFERROR(VLOOKUP(A786,#REF!,16,0),0)+IFERROR(VLOOKUP(A786,#REF!,26,0),0)+IFERROR(VLOOKUP(A786,#REF!,11,0),0)+IFERROR(VLOOKUP(A786,#REF!,23,0),0)+IFERROR(VLOOKUP(A786,#REF!,11,0),0)+IFERROR(VLOOKUP(A786,#REF!,11,0),0)+IFERROR(VLOOKUP(A786,#REF!,11,0),0)</f>
        <v>0</v>
      </c>
      <c r="K786" s="96" t="str">
        <f>"07.02.24"</f>
        <v>07.02.24</v>
      </c>
    </row>
    <row r="787" spans="1:11" ht="11.25" customHeight="1" outlineLevel="1">
      <c r="A787" s="89" t="n">
        <v>8144950</v>
      </c>
      <c r="B787" s="114" t="s">
        <v>1143</v>
      </c>
      <c r="C787" s="89" t="s">
        <v>1147</v>
      </c>
      <c r="D787" s="89" t="s">
        <v>15</v>
      </c>
      <c r="E787" s="89"/>
      <c r="F787" s="102" t="n">
        <v>1810</v>
      </c>
      <c r="G787" s="102" t="n">
        <v>2425</v>
      </c>
      <c r="H787" s="103" t="s">
        <v>48</v>
      </c>
      <c r="I787" s="103">
        <f>IFERROR(VLOOKUP(A787,#REF!,15,0),0)+IFERROR(VLOOKUP(A787,#REF!,25,0),0)+IFERROR(VLOOKUP(A787,#REF!,10,0),0)+IFERROR(VLOOKUP(A787,#REF!,14,0),0)+IFERROR(VLOOKUP(A787,#REF!,10,0),0)+IFERROR(VLOOKUP(A787,#REF!,10,0),0)+IFERROR(VLOOKUP(A787,#REF!,10,0),0)+IFERROR(VLOOKUP(A787,#REF!,9,0),0)+IFERROR(VLOOKUP(A787,#REF!,9,0),0)+IFERROR(VLOOKUP(A787,#REF!,9,0),0)+IFERROR(VLOOKUP(A787,#REF!,9,0),0)</f>
        <v>0</v>
      </c>
      <c r="J787" s="104">
        <f>IFERROR(VLOOKUP(A787,#REF!,16,0),0)+IFERROR(VLOOKUP(A787,#REF!,26,0),0)+IFERROR(VLOOKUP(A787,#REF!,11,0),0)+IFERROR(VLOOKUP(A787,#REF!,23,0),0)+IFERROR(VLOOKUP(A787,#REF!,11,0),0)+IFERROR(VLOOKUP(A787,#REF!,11,0),0)+IFERROR(VLOOKUP(A787,#REF!,11,0),0)</f>
        <v>0</v>
      </c>
      <c r="K787" s="96" t="str">
        <f>"07.02.24"</f>
        <v>07.02.24</v>
      </c>
    </row>
    <row r="788" spans="1:11" ht="11.25" customHeight="1" outlineLevel="1">
      <c r="A788" s="89" t="n">
        <v>8144960</v>
      </c>
      <c r="B788" s="114" t="s">
        <v>1143</v>
      </c>
      <c r="C788" s="89" t="s">
        <v>1148</v>
      </c>
      <c r="D788" s="89" t="s">
        <v>15</v>
      </c>
      <c r="E788" s="89"/>
      <c r="F788" s="102" t="n">
        <v>2168</v>
      </c>
      <c r="G788" s="102" t="n">
        <v>2904</v>
      </c>
      <c r="H788" s="103" t="s">
        <v>17</v>
      </c>
      <c r="I788" s="103">
        <f>IFERROR(VLOOKUP(A788,#REF!,15,0),0)+IFERROR(VLOOKUP(A788,#REF!,25,0),0)+IFERROR(VLOOKUP(A788,#REF!,10,0),0)+IFERROR(VLOOKUP(A788,#REF!,14,0),0)+IFERROR(VLOOKUP(A788,#REF!,10,0),0)+IFERROR(VLOOKUP(A788,#REF!,10,0),0)+IFERROR(VLOOKUP(A788,#REF!,10,0),0)+IFERROR(VLOOKUP(A788,#REF!,9,0),0)+IFERROR(VLOOKUP(A788,#REF!,9,0),0)+IFERROR(VLOOKUP(A788,#REF!,9,0),0)+IFERROR(VLOOKUP(A788,#REF!,9,0),0)</f>
        <v>0</v>
      </c>
      <c r="J788" s="104">
        <f>IFERROR(VLOOKUP(A788,#REF!,16,0),0)+IFERROR(VLOOKUP(A788,#REF!,26,0),0)+IFERROR(VLOOKUP(A788,#REF!,11,0),0)+IFERROR(VLOOKUP(A788,#REF!,23,0),0)+IFERROR(VLOOKUP(A788,#REF!,11,0),0)+IFERROR(VLOOKUP(A788,#REF!,11,0),0)+IFERROR(VLOOKUP(A788,#REF!,11,0),0)</f>
        <v>0</v>
      </c>
      <c r="K788" s="96" t="str">
        <f>"07.02.24"</f>
        <v>07.02.24</v>
      </c>
    </row>
    <row r="789" spans="1:11" ht="11.25" customHeight="1" outlineLevel="1">
      <c r="A789" s="89" t="n">
        <v>8144970</v>
      </c>
      <c r="B789" s="114" t="s">
        <v>1143</v>
      </c>
      <c r="C789" s="89" t="s">
        <v>1149</v>
      </c>
      <c r="D789" s="89" t="s">
        <v>15</v>
      </c>
      <c r="E789" s="89"/>
      <c r="F789" s="102" t="n">
        <v>1457</v>
      </c>
      <c r="G789" s="102" t="n">
        <v>1952</v>
      </c>
      <c r="H789" s="103" t="s">
        <v>17</v>
      </c>
      <c r="I789" s="103">
        <f>IFERROR(VLOOKUP(A789,#REF!,15,0),0)+IFERROR(VLOOKUP(A789,#REF!,25,0),0)+IFERROR(VLOOKUP(A789,#REF!,10,0),0)+IFERROR(VLOOKUP(A789,#REF!,14,0),0)+IFERROR(VLOOKUP(A789,#REF!,10,0),0)+IFERROR(VLOOKUP(A789,#REF!,10,0),0)+IFERROR(VLOOKUP(A789,#REF!,10,0),0)+IFERROR(VLOOKUP(A789,#REF!,9,0),0)+IFERROR(VLOOKUP(A789,#REF!,9,0),0)+IFERROR(VLOOKUP(A789,#REF!,9,0),0)+IFERROR(VLOOKUP(A789,#REF!,9,0),0)</f>
        <v>0</v>
      </c>
      <c r="J789" s="104">
        <f>IFERROR(VLOOKUP(A789,#REF!,16,0),0)+IFERROR(VLOOKUP(A789,#REF!,26,0),0)+IFERROR(VLOOKUP(A789,#REF!,11,0),0)+IFERROR(VLOOKUP(A789,#REF!,23,0),0)+IFERROR(VLOOKUP(A789,#REF!,11,0),0)+IFERROR(VLOOKUP(A789,#REF!,11,0),0)+IFERROR(VLOOKUP(A789,#REF!,11,0),0)</f>
        <v>0</v>
      </c>
      <c r="K789" s="96" t="str">
        <f>"07.02.24"</f>
        <v>07.02.24</v>
      </c>
    </row>
    <row r="790" spans="1:11" ht="11.25" customHeight="1" outlineLevel="1">
      <c r="A790" s="89" t="n">
        <v>8144980</v>
      </c>
      <c r="B790" s="114" t="s">
        <v>1143</v>
      </c>
      <c r="C790" s="89" t="s">
        <v>1150</v>
      </c>
      <c r="D790" s="89" t="s">
        <v>15</v>
      </c>
      <c r="E790" s="89"/>
      <c r="F790" s="102" t="n">
        <v>2123</v>
      </c>
      <c r="G790" s="102" t="n">
        <v>2845</v>
      </c>
      <c r="H790" s="103" t="s">
        <v>48</v>
      </c>
      <c r="I790" s="103">
        <f>IFERROR(VLOOKUP(A790,#REF!,15,0),0)+IFERROR(VLOOKUP(A790,#REF!,25,0),0)+IFERROR(VLOOKUP(A790,#REF!,10,0),0)+IFERROR(VLOOKUP(A790,#REF!,14,0),0)+IFERROR(VLOOKUP(A790,#REF!,10,0),0)+IFERROR(VLOOKUP(A790,#REF!,10,0),0)+IFERROR(VLOOKUP(A790,#REF!,10,0),0)+IFERROR(VLOOKUP(A790,#REF!,9,0),0)+IFERROR(VLOOKUP(A790,#REF!,9,0),0)+IFERROR(VLOOKUP(A790,#REF!,9,0),0)+IFERROR(VLOOKUP(A790,#REF!,9,0),0)</f>
        <v>0</v>
      </c>
      <c r="J790" s="104">
        <f>IFERROR(VLOOKUP(A790,#REF!,16,0),0)+IFERROR(VLOOKUP(A790,#REF!,26,0),0)+IFERROR(VLOOKUP(A790,#REF!,11,0),0)+IFERROR(VLOOKUP(A790,#REF!,23,0),0)+IFERROR(VLOOKUP(A790,#REF!,11,0),0)+IFERROR(VLOOKUP(A790,#REF!,11,0),0)+IFERROR(VLOOKUP(A790,#REF!,11,0),0)</f>
        <v>0</v>
      </c>
      <c r="K790" s="96" t="str">
        <f>"07.02.24"</f>
        <v>07.02.24</v>
      </c>
    </row>
    <row r="791" spans="1:11" ht="11.25" customHeight="1" outlineLevel="1">
      <c r="A791" s="89" t="n">
        <v>8144990</v>
      </c>
      <c r="B791" s="114" t="s">
        <v>1143</v>
      </c>
      <c r="C791" s="89" t="s">
        <v>1151</v>
      </c>
      <c r="D791" s="89" t="s">
        <v>15</v>
      </c>
      <c r="E791" s="89"/>
      <c r="F791" s="102" t="n">
        <v>2631</v>
      </c>
      <c r="G791" s="102" t="n">
        <v>3525</v>
      </c>
      <c r="H791" s="103" t="s">
        <v>17</v>
      </c>
      <c r="I791" s="103">
        <f>IFERROR(VLOOKUP(A791,#REF!,15,0),0)+IFERROR(VLOOKUP(A791,#REF!,25,0),0)+IFERROR(VLOOKUP(A791,#REF!,10,0),0)+IFERROR(VLOOKUP(A791,#REF!,14,0),0)+IFERROR(VLOOKUP(A791,#REF!,10,0),0)+IFERROR(VLOOKUP(A791,#REF!,10,0),0)+IFERROR(VLOOKUP(A791,#REF!,10,0),0)+IFERROR(VLOOKUP(A791,#REF!,9,0),0)+IFERROR(VLOOKUP(A791,#REF!,9,0),0)+IFERROR(VLOOKUP(A791,#REF!,9,0),0)+IFERROR(VLOOKUP(A791,#REF!,9,0),0)</f>
        <v>0</v>
      </c>
      <c r="J791" s="104">
        <f>IFERROR(VLOOKUP(A791,#REF!,16,0),0)+IFERROR(VLOOKUP(A791,#REF!,26,0),0)+IFERROR(VLOOKUP(A791,#REF!,11,0),0)+IFERROR(VLOOKUP(A791,#REF!,23,0),0)+IFERROR(VLOOKUP(A791,#REF!,11,0),0)+IFERROR(VLOOKUP(A791,#REF!,11,0),0)+IFERROR(VLOOKUP(A791,#REF!,11,0),0)</f>
        <v>0</v>
      </c>
      <c r="K791" s="96" t="str">
        <f>"07.02.24"</f>
        <v>07.02.24</v>
      </c>
    </row>
    <row r="792" spans="1:11" ht="11.25" customHeight="1" outlineLevel="1">
      <c r="A792" s="89" t="n">
        <v>8145000</v>
      </c>
      <c r="B792" s="114" t="s">
        <v>1143</v>
      </c>
      <c r="C792" s="89" t="s">
        <v>1152</v>
      </c>
      <c r="D792" s="89" t="s">
        <v>15</v>
      </c>
      <c r="E792" s="89"/>
      <c r="F792" s="102" t="n">
        <v>1678</v>
      </c>
      <c r="G792" s="102" t="n">
        <v>2249</v>
      </c>
      <c r="H792" s="103" t="s">
        <v>17</v>
      </c>
      <c r="I792" s="103">
        <f>IFERROR(VLOOKUP(A792,#REF!,15,0),0)+IFERROR(VLOOKUP(A792,#REF!,25,0),0)+IFERROR(VLOOKUP(A792,#REF!,10,0),0)+IFERROR(VLOOKUP(A792,#REF!,14,0),0)+IFERROR(VLOOKUP(A792,#REF!,10,0),0)+IFERROR(VLOOKUP(A792,#REF!,10,0),0)+IFERROR(VLOOKUP(A792,#REF!,10,0),0)+IFERROR(VLOOKUP(A792,#REF!,9,0),0)+IFERROR(VLOOKUP(A792,#REF!,9,0),0)+IFERROR(VLOOKUP(A792,#REF!,9,0),0)+IFERROR(VLOOKUP(A792,#REF!,9,0),0)</f>
        <v>0</v>
      </c>
      <c r="J792" s="104">
        <f>IFERROR(VLOOKUP(A792,#REF!,16,0),0)+IFERROR(VLOOKUP(A792,#REF!,26,0),0)+IFERROR(VLOOKUP(A792,#REF!,11,0),0)+IFERROR(VLOOKUP(A792,#REF!,23,0),0)+IFERROR(VLOOKUP(A792,#REF!,11,0),0)+IFERROR(VLOOKUP(A792,#REF!,11,0),0)+IFERROR(VLOOKUP(A792,#REF!,11,0),0)</f>
        <v>0</v>
      </c>
      <c r="K792" s="96" t="str">
        <f>"07.02.24"</f>
        <v>07.02.24</v>
      </c>
    </row>
    <row r="793" spans="1:11" ht="11.25" customHeight="1">
      <c r="A793" s="97" t="s">
        <v>1153</v>
      </c>
      <c r="B793" s="98"/>
      <c r="C793" s="98"/>
      <c r="D793" s="98"/>
      <c r="E793" s="98"/>
      <c r="F793" s="99"/>
      <c r="G793" s="99"/>
      <c r="H793" s="100"/>
      <c r="I793" s="100"/>
      <c r="J793" s="108"/>
      <c r="K793" s="96" t="str">
        <f>"07.02.24"</f>
        <v>07.02.24</v>
      </c>
    </row>
    <row r="794" spans="1:11" ht="11.25" customHeight="1" outlineLevel="1">
      <c r="A794" s="89" t="n">
        <v>7061960</v>
      </c>
      <c r="B794" s="114" t="s">
        <v>1153</v>
      </c>
      <c r="C794" s="89" t="s">
        <v>1154</v>
      </c>
      <c r="D794" s="89" t="s">
        <v>15</v>
      </c>
      <c r="E794" s="89"/>
      <c r="F794" s="102" t="n">
        <v>773</v>
      </c>
      <c r="G794" s="102" t="n">
        <v>1005</v>
      </c>
      <c r="H794" s="103" t="s">
        <v>48</v>
      </c>
      <c r="I794" s="103">
        <f>IFERROR(VLOOKUP(A794,#REF!,15,0),0)+IFERROR(VLOOKUP(A794,#REF!,25,0),0)+IFERROR(VLOOKUP(A794,#REF!,10,0),0)+IFERROR(VLOOKUP(A794,#REF!,14,0),0)+IFERROR(VLOOKUP(A794,#REF!,10,0),0)+IFERROR(VLOOKUP(A794,#REF!,10,0),0)+IFERROR(VLOOKUP(A794,#REF!,10,0),0)+IFERROR(VLOOKUP(A794,#REF!,9,0),0)+IFERROR(VLOOKUP(A794,#REF!,9,0),0)+IFERROR(VLOOKUP(A794,#REF!,9,0),0)+IFERROR(VLOOKUP(A794,#REF!,9,0),0)</f>
        <v>0</v>
      </c>
      <c r="J794" s="104">
        <f>IFERROR(VLOOKUP(A794,#REF!,16,0),0)+IFERROR(VLOOKUP(A794,#REF!,26,0),0)+IFERROR(VLOOKUP(A794,#REF!,11,0),0)+IFERROR(VLOOKUP(A794,#REF!,23,0),0)+IFERROR(VLOOKUP(A794,#REF!,11,0),0)+IFERROR(VLOOKUP(A794,#REF!,11,0),0)+IFERROR(VLOOKUP(A794,#REF!,11,0),0)</f>
        <v>0</v>
      </c>
      <c r="K794" s="96" t="str">
        <f>"07.02.24"</f>
        <v>07.02.24</v>
      </c>
    </row>
    <row r="795" spans="1:11" ht="11.25" customHeight="1" outlineLevel="1">
      <c r="A795" s="89" t="n">
        <v>7061970</v>
      </c>
      <c r="B795" s="114" t="s">
        <v>1153</v>
      </c>
      <c r="C795" s="89" t="s">
        <v>1155</v>
      </c>
      <c r="D795" s="89" t="s">
        <v>15</v>
      </c>
      <c r="E795" s="89"/>
      <c r="F795" s="102" t="n">
        <v>828</v>
      </c>
      <c r="G795" s="102" t="n">
        <v>1077</v>
      </c>
      <c r="H795" s="103" t="s">
        <v>48</v>
      </c>
      <c r="I795" s="103">
        <f>IFERROR(VLOOKUP(A795,#REF!,15,0),0)+IFERROR(VLOOKUP(A795,#REF!,25,0),0)+IFERROR(VLOOKUP(A795,#REF!,10,0),0)+IFERROR(VLOOKUP(A795,#REF!,14,0),0)+IFERROR(VLOOKUP(A795,#REF!,10,0),0)+IFERROR(VLOOKUP(A795,#REF!,10,0),0)+IFERROR(VLOOKUP(A795,#REF!,10,0),0)+IFERROR(VLOOKUP(A795,#REF!,9,0),0)+IFERROR(VLOOKUP(A795,#REF!,9,0),0)+IFERROR(VLOOKUP(A795,#REF!,9,0),0)+IFERROR(VLOOKUP(A795,#REF!,9,0),0)</f>
        <v>0</v>
      </c>
      <c r="J795" s="104">
        <f>IFERROR(VLOOKUP(A795,#REF!,16,0),0)+IFERROR(VLOOKUP(A795,#REF!,26,0),0)+IFERROR(VLOOKUP(A795,#REF!,11,0),0)+IFERROR(VLOOKUP(A795,#REF!,23,0),0)+IFERROR(VLOOKUP(A795,#REF!,11,0),0)+IFERROR(VLOOKUP(A795,#REF!,11,0),0)+IFERROR(VLOOKUP(A795,#REF!,11,0),0)</f>
        <v>0</v>
      </c>
      <c r="K795" s="96" t="str">
        <f>"07.02.24"</f>
        <v>07.02.24</v>
      </c>
    </row>
    <row r="796" spans="1:11" ht="11.25" customHeight="1" outlineLevel="1">
      <c r="A796" s="89" t="n">
        <v>8101240</v>
      </c>
      <c r="B796" s="114" t="s">
        <v>1153</v>
      </c>
      <c r="C796" s="89" t="s">
        <v>1156</v>
      </c>
      <c r="D796" s="89" t="s">
        <v>15</v>
      </c>
      <c r="E796" s="89"/>
      <c r="F796" s="102" t="n">
        <v>556</v>
      </c>
      <c r="G796" s="102" t="n">
        <v>769</v>
      </c>
      <c r="H796" s="103" t="s">
        <v>48</v>
      </c>
      <c r="I796" s="103">
        <f>IFERROR(VLOOKUP(A796,#REF!,15,0),0)+IFERROR(VLOOKUP(A796,#REF!,25,0),0)+IFERROR(VLOOKUP(A796,#REF!,10,0),0)+IFERROR(VLOOKUP(A796,#REF!,14,0),0)+IFERROR(VLOOKUP(A796,#REF!,10,0),0)+IFERROR(VLOOKUP(A796,#REF!,10,0),0)+IFERROR(VLOOKUP(A796,#REF!,10,0),0)+IFERROR(VLOOKUP(A796,#REF!,9,0),0)+IFERROR(VLOOKUP(A796,#REF!,9,0),0)+IFERROR(VLOOKUP(A796,#REF!,9,0),0)+IFERROR(VLOOKUP(A796,#REF!,9,0),0)</f>
        <v>0</v>
      </c>
      <c r="J796" s="104">
        <f>IFERROR(VLOOKUP(A796,#REF!,16,0),0)+IFERROR(VLOOKUP(A796,#REF!,26,0),0)+IFERROR(VLOOKUP(A796,#REF!,11,0),0)+IFERROR(VLOOKUP(A796,#REF!,23,0),0)+IFERROR(VLOOKUP(A796,#REF!,11,0),0)+IFERROR(VLOOKUP(A796,#REF!,11,0),0)+IFERROR(VLOOKUP(A796,#REF!,11,0),0)</f>
        <v>0</v>
      </c>
      <c r="K796" s="96" t="str">
        <f>"07.02.24"</f>
        <v>07.02.24</v>
      </c>
    </row>
    <row r="797" spans="1:11" ht="11.25" customHeight="1" outlineLevel="1">
      <c r="A797" s="89" t="n">
        <v>8992030</v>
      </c>
      <c r="B797" s="114" t="s">
        <v>1153</v>
      </c>
      <c r="C797" s="89" t="s">
        <v>1157</v>
      </c>
      <c r="D797" s="89" t="s">
        <v>15</v>
      </c>
      <c r="E797" s="89"/>
      <c r="F797" s="102" t="n">
        <v>443</v>
      </c>
      <c r="G797" s="102" t="n">
        <v>611</v>
      </c>
      <c r="H797" s="103" t="s">
        <v>48</v>
      </c>
      <c r="I797" s="103">
        <f>IFERROR(VLOOKUP(A797,#REF!,15,0),0)+IFERROR(VLOOKUP(A797,#REF!,25,0),0)+IFERROR(VLOOKUP(A797,#REF!,10,0),0)+IFERROR(VLOOKUP(A797,#REF!,14,0),0)+IFERROR(VLOOKUP(A797,#REF!,10,0),0)+IFERROR(VLOOKUP(A797,#REF!,10,0),0)+IFERROR(VLOOKUP(A797,#REF!,10,0),0)+IFERROR(VLOOKUP(A797,#REF!,9,0),0)+IFERROR(VLOOKUP(A797,#REF!,9,0),0)+IFERROR(VLOOKUP(A797,#REF!,9,0),0)+IFERROR(VLOOKUP(A797,#REF!,9,0),0)</f>
        <v>0</v>
      </c>
      <c r="J797" s="104">
        <f>IFERROR(VLOOKUP(A797,#REF!,16,0),0)+IFERROR(VLOOKUP(A797,#REF!,26,0),0)+IFERROR(VLOOKUP(A797,#REF!,11,0),0)+IFERROR(VLOOKUP(A797,#REF!,23,0),0)+IFERROR(VLOOKUP(A797,#REF!,11,0),0)+IFERROR(VLOOKUP(A797,#REF!,11,0),0)+IFERROR(VLOOKUP(A797,#REF!,11,0),0)</f>
        <v>0</v>
      </c>
      <c r="K797" s="96" t="str">
        <f>"07.02.24"</f>
        <v>07.02.24</v>
      </c>
    </row>
    <row r="798" spans="1:11" ht="11.25" customHeight="1" outlineLevel="1">
      <c r="A798" s="89" t="n">
        <v>8992020</v>
      </c>
      <c r="B798" s="114" t="s">
        <v>1153</v>
      </c>
      <c r="C798" s="89" t="s">
        <v>1158</v>
      </c>
      <c r="D798" s="89" t="s">
        <v>15</v>
      </c>
      <c r="E798" s="89"/>
      <c r="F798" s="102" t="n">
        <v>179</v>
      </c>
      <c r="G798" s="102" t="n">
        <v>240</v>
      </c>
      <c r="H798" s="103" t="s">
        <v>48</v>
      </c>
      <c r="I798" s="103">
        <f>IFERROR(VLOOKUP(A798,#REF!,15,0),0)+IFERROR(VLOOKUP(A798,#REF!,25,0),0)+IFERROR(VLOOKUP(A798,#REF!,10,0),0)+IFERROR(VLOOKUP(A798,#REF!,14,0),0)+IFERROR(VLOOKUP(A798,#REF!,10,0),0)+IFERROR(VLOOKUP(A798,#REF!,10,0),0)+IFERROR(VLOOKUP(A798,#REF!,10,0),0)+IFERROR(VLOOKUP(A798,#REF!,9,0),0)+IFERROR(VLOOKUP(A798,#REF!,9,0),0)+IFERROR(VLOOKUP(A798,#REF!,9,0),0)+IFERROR(VLOOKUP(A798,#REF!,9,0),0)</f>
        <v>0</v>
      </c>
      <c r="J798" s="104">
        <f>IFERROR(VLOOKUP(A798,#REF!,16,0),0)+IFERROR(VLOOKUP(A798,#REF!,26,0),0)+IFERROR(VLOOKUP(A798,#REF!,11,0),0)+IFERROR(VLOOKUP(A798,#REF!,23,0),0)+IFERROR(VLOOKUP(A798,#REF!,11,0),0)+IFERROR(VLOOKUP(A798,#REF!,11,0),0)+IFERROR(VLOOKUP(A798,#REF!,11,0),0)</f>
        <v>0</v>
      </c>
      <c r="K798" s="96" t="str">
        <f>"07.02.24"</f>
        <v>07.02.24</v>
      </c>
    </row>
    <row r="799" spans="1:11" ht="11.25" customHeight="1" outlineLevel="1">
      <c r="A799" s="89" t="n">
        <v>8101241</v>
      </c>
      <c r="B799" s="114" t="s">
        <v>1153</v>
      </c>
      <c r="C799" s="89" t="s">
        <v>1159</v>
      </c>
      <c r="D799" s="89" t="s">
        <v>15</v>
      </c>
      <c r="E799" s="89"/>
      <c r="F799" s="102" t="n">
        <v>886</v>
      </c>
      <c r="G799" s="102" t="n">
        <v>1232</v>
      </c>
      <c r="H799" s="103" t="s">
        <v>48</v>
      </c>
      <c r="I799" s="103">
        <f>IFERROR(VLOOKUP(A799,#REF!,15,0),0)+IFERROR(VLOOKUP(A799,#REF!,25,0),0)+IFERROR(VLOOKUP(A799,#REF!,10,0),0)+IFERROR(VLOOKUP(A799,#REF!,14,0),0)+IFERROR(VLOOKUP(A799,#REF!,10,0),0)+IFERROR(VLOOKUP(A799,#REF!,10,0),0)+IFERROR(VLOOKUP(A799,#REF!,10,0),0)+IFERROR(VLOOKUP(A799,#REF!,9,0),0)+IFERROR(VLOOKUP(A799,#REF!,9,0),0)+IFERROR(VLOOKUP(A799,#REF!,9,0),0)+IFERROR(VLOOKUP(A799,#REF!,9,0),0)</f>
        <v>0</v>
      </c>
      <c r="J799" s="104">
        <f>IFERROR(VLOOKUP(A799,#REF!,16,0),0)+IFERROR(VLOOKUP(A799,#REF!,26,0),0)+IFERROR(VLOOKUP(A799,#REF!,11,0),0)+IFERROR(VLOOKUP(A799,#REF!,23,0),0)+IFERROR(VLOOKUP(A799,#REF!,11,0),0)+IFERROR(VLOOKUP(A799,#REF!,11,0),0)+IFERROR(VLOOKUP(A799,#REF!,11,0),0)</f>
        <v>0</v>
      </c>
      <c r="K799" s="96" t="str">
        <f>"07.02.24"</f>
        <v>07.02.24</v>
      </c>
    </row>
    <row r="800" spans="1:11" ht="11.25" customHeight="1">
      <c r="A800" s="97" t="s">
        <v>1160</v>
      </c>
      <c r="B800" s="98"/>
      <c r="C800" s="98"/>
      <c r="D800" s="98"/>
      <c r="E800" s="98"/>
      <c r="F800" s="99"/>
      <c r="G800" s="99"/>
      <c r="H800" s="100"/>
      <c r="I800" s="100"/>
      <c r="J800" s="108"/>
      <c r="K800" s="96" t="str">
        <f>"07.02.24"</f>
        <v>07.02.24</v>
      </c>
    </row>
    <row r="801" spans="1:11" ht="11.25" customHeight="1" outlineLevel="1">
      <c r="A801" s="89" t="n">
        <v>8180020</v>
      </c>
      <c r="B801" s="114" t="s">
        <v>1160</v>
      </c>
      <c r="C801" s="89" t="s">
        <v>1161</v>
      </c>
      <c r="D801" s="89" t="s">
        <v>15</v>
      </c>
      <c r="E801" s="89"/>
      <c r="F801" s="102" t="n">
        <v>156</v>
      </c>
      <c r="G801" s="102" t="n">
        <v>164</v>
      </c>
      <c r="H801" s="103" t="s">
        <v>17</v>
      </c>
      <c r="I801" s="103">
        <f>IFERROR(VLOOKUP(A801,#REF!,15,0),0)+IFERROR(VLOOKUP(A801,#REF!,25,0),0)+IFERROR(VLOOKUP(A801,#REF!,10,0),0)+IFERROR(VLOOKUP(A801,#REF!,14,0),0)+IFERROR(VLOOKUP(A801,#REF!,10,0),0)+IFERROR(VLOOKUP(A801,#REF!,10,0),0)+IFERROR(VLOOKUP(A801,#REF!,10,0),0)+IFERROR(VLOOKUP(A801,#REF!,9,0),0)+IFERROR(VLOOKUP(A801,#REF!,9,0),0)+IFERROR(VLOOKUP(A801,#REF!,9,0),0)+IFERROR(VLOOKUP(A801,#REF!,9,0),0)</f>
        <v>0</v>
      </c>
      <c r="J801" s="104">
        <f>IFERROR(VLOOKUP(A801,#REF!,16,0),0)+IFERROR(VLOOKUP(A801,#REF!,26,0),0)+IFERROR(VLOOKUP(A801,#REF!,11,0),0)+IFERROR(VLOOKUP(A801,#REF!,23,0),0)+IFERROR(VLOOKUP(A801,#REF!,11,0),0)+IFERROR(VLOOKUP(A801,#REF!,11,0),0)+IFERROR(VLOOKUP(A801,#REF!,11,0),0)</f>
        <v>0</v>
      </c>
      <c r="K801" s="96" t="str">
        <f>"07.02.24"</f>
        <v>07.02.24</v>
      </c>
    </row>
    <row r="802" spans="1:11" ht="11.25" customHeight="1" outlineLevel="1">
      <c r="A802" s="89" t="n">
        <v>8180030</v>
      </c>
      <c r="B802" s="114" t="s">
        <v>1160</v>
      </c>
      <c r="C802" s="89" t="s">
        <v>1162</v>
      </c>
      <c r="D802" s="89" t="s">
        <v>15</v>
      </c>
      <c r="E802" s="89"/>
      <c r="F802" s="102" t="n">
        <v>247</v>
      </c>
      <c r="G802" s="102" t="n">
        <v>259</v>
      </c>
      <c r="H802" s="103" t="s">
        <v>17</v>
      </c>
      <c r="I802" s="103">
        <f>IFERROR(VLOOKUP(A802,#REF!,15,0),0)+IFERROR(VLOOKUP(A802,#REF!,25,0),0)+IFERROR(VLOOKUP(A802,#REF!,10,0),0)+IFERROR(VLOOKUP(A802,#REF!,14,0),0)+IFERROR(VLOOKUP(A802,#REF!,10,0),0)+IFERROR(VLOOKUP(A802,#REF!,10,0),0)+IFERROR(VLOOKUP(A802,#REF!,10,0),0)+IFERROR(VLOOKUP(A802,#REF!,9,0),0)+IFERROR(VLOOKUP(A802,#REF!,9,0),0)+IFERROR(VLOOKUP(A802,#REF!,9,0),0)+IFERROR(VLOOKUP(A802,#REF!,9,0),0)</f>
        <v>0</v>
      </c>
      <c r="J802" s="104">
        <f>IFERROR(VLOOKUP(A802,#REF!,16,0),0)+IFERROR(VLOOKUP(A802,#REF!,26,0),0)+IFERROR(VLOOKUP(A802,#REF!,11,0),0)+IFERROR(VLOOKUP(A802,#REF!,23,0),0)+IFERROR(VLOOKUP(A802,#REF!,11,0),0)+IFERROR(VLOOKUP(A802,#REF!,11,0),0)+IFERROR(VLOOKUP(A802,#REF!,11,0),0)</f>
        <v>0</v>
      </c>
      <c r="K802" s="96" t="str">
        <f>"07.02.24"</f>
        <v>07.02.24</v>
      </c>
    </row>
    <row r="803" spans="1:11" ht="11.25" customHeight="1" outlineLevel="1">
      <c r="A803" s="89" t="n">
        <v>8180040</v>
      </c>
      <c r="B803" s="114" t="s">
        <v>1160</v>
      </c>
      <c r="C803" s="89" t="s">
        <v>1163</v>
      </c>
      <c r="D803" s="89" t="s">
        <v>15</v>
      </c>
      <c r="E803" s="89"/>
      <c r="F803" s="102" t="n">
        <v>378</v>
      </c>
      <c r="G803" s="102" t="n">
        <v>397</v>
      </c>
      <c r="H803" s="103" t="s">
        <v>48</v>
      </c>
      <c r="I803" s="103">
        <f>IFERROR(VLOOKUP(A803,#REF!,15,0),0)+IFERROR(VLOOKUP(A803,#REF!,25,0),0)+IFERROR(VLOOKUP(A803,#REF!,10,0),0)+IFERROR(VLOOKUP(A803,#REF!,14,0),0)+IFERROR(VLOOKUP(A803,#REF!,10,0),0)+IFERROR(VLOOKUP(A803,#REF!,10,0),0)+IFERROR(VLOOKUP(A803,#REF!,10,0),0)+IFERROR(VLOOKUP(A803,#REF!,9,0),0)+IFERROR(VLOOKUP(A803,#REF!,9,0),0)+IFERROR(VLOOKUP(A803,#REF!,9,0),0)+IFERROR(VLOOKUP(A803,#REF!,9,0),0)</f>
        <v>0</v>
      </c>
      <c r="J803" s="104">
        <f>IFERROR(VLOOKUP(A803,#REF!,16,0),0)+IFERROR(VLOOKUP(A803,#REF!,26,0),0)+IFERROR(VLOOKUP(A803,#REF!,11,0),0)+IFERROR(VLOOKUP(A803,#REF!,23,0),0)+IFERROR(VLOOKUP(A803,#REF!,11,0),0)+IFERROR(VLOOKUP(A803,#REF!,11,0),0)+IFERROR(VLOOKUP(A803,#REF!,11,0),0)</f>
        <v>0</v>
      </c>
      <c r="K803" s="96" t="str">
        <f>"07.02.24"</f>
        <v>07.02.24</v>
      </c>
    </row>
    <row r="804" spans="1:11" ht="11.25" customHeight="1" outlineLevel="1">
      <c r="A804" s="89" t="n">
        <v>8180000</v>
      </c>
      <c r="B804" s="114" t="s">
        <v>1160</v>
      </c>
      <c r="C804" s="89" t="s">
        <v>1164</v>
      </c>
      <c r="D804" s="89" t="s">
        <v>15</v>
      </c>
      <c r="E804" s="89"/>
      <c r="F804" s="102" t="n">
        <v>1020</v>
      </c>
      <c r="G804" s="102" t="n">
        <v>1071</v>
      </c>
      <c r="H804" s="103" t="s">
        <v>17</v>
      </c>
      <c r="I804" s="103">
        <f>IFERROR(VLOOKUP(A804,#REF!,15,0),0)+IFERROR(VLOOKUP(A804,#REF!,25,0),0)+IFERROR(VLOOKUP(A804,#REF!,10,0),0)+IFERROR(VLOOKUP(A804,#REF!,14,0),0)+IFERROR(VLOOKUP(A804,#REF!,10,0),0)+IFERROR(VLOOKUP(A804,#REF!,10,0),0)+IFERROR(VLOOKUP(A804,#REF!,10,0),0)+IFERROR(VLOOKUP(A804,#REF!,9,0),0)+IFERROR(VLOOKUP(A804,#REF!,9,0),0)+IFERROR(VLOOKUP(A804,#REF!,9,0),0)+IFERROR(VLOOKUP(A804,#REF!,9,0),0)</f>
        <v>0</v>
      </c>
      <c r="J804" s="104">
        <f>IFERROR(VLOOKUP(A804,#REF!,16,0),0)+IFERROR(VLOOKUP(A804,#REF!,26,0),0)+IFERROR(VLOOKUP(A804,#REF!,11,0),0)+IFERROR(VLOOKUP(A804,#REF!,23,0),0)+IFERROR(VLOOKUP(A804,#REF!,11,0),0)+IFERROR(VLOOKUP(A804,#REF!,11,0),0)+IFERROR(VLOOKUP(A804,#REF!,11,0),0)</f>
        <v>0</v>
      </c>
      <c r="K804" s="96" t="str">
        <f>"07.02.24"</f>
        <v>07.02.24</v>
      </c>
    </row>
    <row r="805" spans="1:11" ht="11.25" customHeight="1" outlineLevel="1">
      <c r="A805" s="89" t="n">
        <v>8180010</v>
      </c>
      <c r="B805" s="114" t="s">
        <v>1160</v>
      </c>
      <c r="C805" s="89" t="s">
        <v>1165</v>
      </c>
      <c r="D805" s="89" t="s">
        <v>15</v>
      </c>
      <c r="E805" s="89"/>
      <c r="F805" s="102" t="n">
        <v>2802</v>
      </c>
      <c r="G805" s="102" t="n">
        <v>2942</v>
      </c>
      <c r="H805" s="103" t="s">
        <v>48</v>
      </c>
      <c r="I805" s="103">
        <f>IFERROR(VLOOKUP(A805,#REF!,15,0),0)+IFERROR(VLOOKUP(A805,#REF!,25,0),0)+IFERROR(VLOOKUP(A805,#REF!,10,0),0)+IFERROR(VLOOKUP(A805,#REF!,14,0),0)+IFERROR(VLOOKUP(A805,#REF!,10,0),0)+IFERROR(VLOOKUP(A805,#REF!,10,0),0)+IFERROR(VLOOKUP(A805,#REF!,10,0),0)+IFERROR(VLOOKUP(A805,#REF!,9,0),0)+IFERROR(VLOOKUP(A805,#REF!,9,0),0)+IFERROR(VLOOKUP(A805,#REF!,9,0),0)+IFERROR(VLOOKUP(A805,#REF!,9,0),0)</f>
        <v>0</v>
      </c>
      <c r="J805" s="104">
        <f>IFERROR(VLOOKUP(A805,#REF!,16,0),0)+IFERROR(VLOOKUP(A805,#REF!,26,0),0)+IFERROR(VLOOKUP(A805,#REF!,11,0),0)+IFERROR(VLOOKUP(A805,#REF!,23,0),0)+IFERROR(VLOOKUP(A805,#REF!,11,0),0)+IFERROR(VLOOKUP(A805,#REF!,11,0),0)+IFERROR(VLOOKUP(A805,#REF!,11,0),0)</f>
        <v>0</v>
      </c>
      <c r="K805" s="96" t="str">
        <f>"07.02.24"</f>
        <v>07.02.24</v>
      </c>
    </row>
    <row r="806" spans="1:11" ht="11.25" customHeight="1" outlineLevel="1">
      <c r="A806" s="89" t="n">
        <v>8180070</v>
      </c>
      <c r="B806" s="114" t="s">
        <v>1160</v>
      </c>
      <c r="C806" s="89" t="s">
        <v>1166</v>
      </c>
      <c r="D806" s="89" t="s">
        <v>15</v>
      </c>
      <c r="E806" s="89"/>
      <c r="F806" s="102" t="n">
        <v>1665.59999999999991</v>
      </c>
      <c r="G806" s="102" t="n">
        <v>1749</v>
      </c>
      <c r="H806" s="103" t="s">
        <v>17</v>
      </c>
      <c r="I806" s="103">
        <f>IFERROR(VLOOKUP(A806,#REF!,15,0),0)+IFERROR(VLOOKUP(A806,#REF!,25,0),0)+IFERROR(VLOOKUP(A806,#REF!,10,0),0)+IFERROR(VLOOKUP(A806,#REF!,14,0),0)+IFERROR(VLOOKUP(A806,#REF!,10,0),0)+IFERROR(VLOOKUP(A806,#REF!,10,0),0)+IFERROR(VLOOKUP(A806,#REF!,10,0),0)+IFERROR(VLOOKUP(A806,#REF!,9,0),0)+IFERROR(VLOOKUP(A806,#REF!,9,0),0)+IFERROR(VLOOKUP(A806,#REF!,9,0),0)+IFERROR(VLOOKUP(A806,#REF!,9,0),0)</f>
        <v>0</v>
      </c>
      <c r="J806" s="104">
        <f>IFERROR(VLOOKUP(A806,#REF!,16,0),0)+IFERROR(VLOOKUP(A806,#REF!,26,0),0)+IFERROR(VLOOKUP(A806,#REF!,11,0),0)+IFERROR(VLOOKUP(A806,#REF!,23,0),0)+IFERROR(VLOOKUP(A806,#REF!,11,0),0)+IFERROR(VLOOKUP(A806,#REF!,11,0),0)+IFERROR(VLOOKUP(A806,#REF!,11,0),0)</f>
        <v>0</v>
      </c>
      <c r="K806" s="96" t="str">
        <f>"07.02.24"</f>
        <v>07.02.24</v>
      </c>
    </row>
    <row r="807" spans="1:11" ht="11.25" customHeight="1" outlineLevel="1">
      <c r="A807" s="89" t="n">
        <v>8180080</v>
      </c>
      <c r="B807" s="114" t="s">
        <v>1160</v>
      </c>
      <c r="C807" s="89" t="s">
        <v>1167</v>
      </c>
      <c r="D807" s="89" t="s">
        <v>15</v>
      </c>
      <c r="E807" s="89"/>
      <c r="F807" s="102" t="n">
        <v>1892.40000000000009</v>
      </c>
      <c r="G807" s="102" t="n">
        <v>1987</v>
      </c>
      <c r="H807" s="103" t="s">
        <v>48</v>
      </c>
      <c r="I807" s="103">
        <f>IFERROR(VLOOKUP(A807,#REF!,15,0),0)+IFERROR(VLOOKUP(A807,#REF!,25,0),0)+IFERROR(VLOOKUP(A807,#REF!,10,0),0)+IFERROR(VLOOKUP(A807,#REF!,14,0),0)+IFERROR(VLOOKUP(A807,#REF!,10,0),0)+IFERROR(VLOOKUP(A807,#REF!,10,0),0)+IFERROR(VLOOKUP(A807,#REF!,10,0),0)+IFERROR(VLOOKUP(A807,#REF!,9,0),0)+IFERROR(VLOOKUP(A807,#REF!,9,0),0)+IFERROR(VLOOKUP(A807,#REF!,9,0),0)+IFERROR(VLOOKUP(A807,#REF!,9,0),0)</f>
        <v>0</v>
      </c>
      <c r="J807" s="104">
        <f>IFERROR(VLOOKUP(A807,#REF!,16,0),0)+IFERROR(VLOOKUP(A807,#REF!,26,0),0)+IFERROR(VLOOKUP(A807,#REF!,11,0),0)+IFERROR(VLOOKUP(A807,#REF!,23,0),0)+IFERROR(VLOOKUP(A807,#REF!,11,0),0)+IFERROR(VLOOKUP(A807,#REF!,11,0),0)+IFERROR(VLOOKUP(A807,#REF!,11,0),0)</f>
        <v>0</v>
      </c>
      <c r="K807" s="96" t="str">
        <f>"07.02.24"</f>
        <v>07.02.24</v>
      </c>
    </row>
    <row r="808" spans="1:11" ht="11.25" customHeight="1" outlineLevel="1">
      <c r="A808" s="89" t="n">
        <v>8180090</v>
      </c>
      <c r="B808" s="114" t="s">
        <v>1160</v>
      </c>
      <c r="C808" s="89" t="s">
        <v>1168</v>
      </c>
      <c r="D808" s="89" t="s">
        <v>15</v>
      </c>
      <c r="E808" s="89"/>
      <c r="F808" s="102" t="n">
        <v>2347.19999999999982</v>
      </c>
      <c r="G808" s="102" t="n">
        <v>2465</v>
      </c>
      <c r="H808" s="103" t="s">
        <v>48</v>
      </c>
      <c r="I808" s="103">
        <f>IFERROR(VLOOKUP(A808,#REF!,15,0),0)+IFERROR(VLOOKUP(A808,#REF!,25,0),0)+IFERROR(VLOOKUP(A808,#REF!,10,0),0)+IFERROR(VLOOKUP(A808,#REF!,14,0),0)+IFERROR(VLOOKUP(A808,#REF!,10,0),0)+IFERROR(VLOOKUP(A808,#REF!,10,0),0)+IFERROR(VLOOKUP(A808,#REF!,10,0),0)+IFERROR(VLOOKUP(A808,#REF!,9,0),0)+IFERROR(VLOOKUP(A808,#REF!,9,0),0)+IFERROR(VLOOKUP(A808,#REF!,9,0),0)+IFERROR(VLOOKUP(A808,#REF!,9,0),0)</f>
        <v>0</v>
      </c>
      <c r="J808" s="104">
        <f>IFERROR(VLOOKUP(A808,#REF!,16,0),0)+IFERROR(VLOOKUP(A808,#REF!,26,0),0)+IFERROR(VLOOKUP(A808,#REF!,11,0),0)+IFERROR(VLOOKUP(A808,#REF!,23,0),0)+IFERROR(VLOOKUP(A808,#REF!,11,0),0)+IFERROR(VLOOKUP(A808,#REF!,11,0),0)+IFERROR(VLOOKUP(A808,#REF!,11,0),0)</f>
        <v>0</v>
      </c>
      <c r="K808" s="96" t="str">
        <f>"07.02.24"</f>
        <v>07.02.24</v>
      </c>
    </row>
    <row r="809" spans="1:11" ht="11.25" customHeight="1" outlineLevel="1">
      <c r="A809" s="89" t="n">
        <v>8180100</v>
      </c>
      <c r="B809" s="114" t="s">
        <v>1160</v>
      </c>
      <c r="C809" s="89" t="s">
        <v>1169</v>
      </c>
      <c r="D809" s="89" t="s">
        <v>15</v>
      </c>
      <c r="E809" s="89"/>
      <c r="F809" s="102" t="n">
        <v>2818.19999999999982</v>
      </c>
      <c r="G809" s="102" t="n">
        <v>2959</v>
      </c>
      <c r="H809" s="103" t="s">
        <v>17</v>
      </c>
      <c r="I809" s="103">
        <f>IFERROR(VLOOKUP(A809,#REF!,15,0),0)+IFERROR(VLOOKUP(A809,#REF!,25,0),0)+IFERROR(VLOOKUP(A809,#REF!,10,0),0)+IFERROR(VLOOKUP(A809,#REF!,14,0),0)+IFERROR(VLOOKUP(A809,#REF!,10,0),0)+IFERROR(VLOOKUP(A809,#REF!,10,0),0)+IFERROR(VLOOKUP(A809,#REF!,10,0),0)+IFERROR(VLOOKUP(A809,#REF!,9,0),0)+IFERROR(VLOOKUP(A809,#REF!,9,0),0)+IFERROR(VLOOKUP(A809,#REF!,9,0),0)+IFERROR(VLOOKUP(A809,#REF!,9,0),0)</f>
        <v>0</v>
      </c>
      <c r="J809" s="104">
        <f>IFERROR(VLOOKUP(A809,#REF!,16,0),0)+IFERROR(VLOOKUP(A809,#REF!,26,0),0)+IFERROR(VLOOKUP(A809,#REF!,11,0),0)+IFERROR(VLOOKUP(A809,#REF!,23,0),0)+IFERROR(VLOOKUP(A809,#REF!,11,0),0)+IFERROR(VLOOKUP(A809,#REF!,11,0),0)+IFERROR(VLOOKUP(A809,#REF!,11,0),0)</f>
        <v>0</v>
      </c>
      <c r="K809" s="96" t="str">
        <f>"07.02.24"</f>
        <v>07.02.24</v>
      </c>
    </row>
    <row r="810" spans="1:11" ht="11.25" customHeight="1" outlineLevel="1">
      <c r="A810" s="89" t="n">
        <v>8180050</v>
      </c>
      <c r="B810" s="114" t="s">
        <v>1160</v>
      </c>
      <c r="C810" s="89" t="s">
        <v>1170</v>
      </c>
      <c r="D810" s="89" t="s">
        <v>15</v>
      </c>
      <c r="E810" s="89"/>
      <c r="F810" s="102" t="n">
        <v>1084.20000000000005</v>
      </c>
      <c r="G810" s="102" t="n">
        <v>1138</v>
      </c>
      <c r="H810" s="103" t="s">
        <v>48</v>
      </c>
      <c r="I810" s="103">
        <f>IFERROR(VLOOKUP(A810,#REF!,15,0),0)+IFERROR(VLOOKUP(A810,#REF!,25,0),0)+IFERROR(VLOOKUP(A810,#REF!,10,0),0)+IFERROR(VLOOKUP(A810,#REF!,14,0),0)+IFERROR(VLOOKUP(A810,#REF!,10,0),0)+IFERROR(VLOOKUP(A810,#REF!,10,0),0)+IFERROR(VLOOKUP(A810,#REF!,10,0),0)+IFERROR(VLOOKUP(A810,#REF!,9,0),0)+IFERROR(VLOOKUP(A810,#REF!,9,0),0)+IFERROR(VLOOKUP(A810,#REF!,9,0),0)+IFERROR(VLOOKUP(A810,#REF!,9,0),0)</f>
        <v>0</v>
      </c>
      <c r="J810" s="104">
        <f>IFERROR(VLOOKUP(A810,#REF!,16,0),0)+IFERROR(VLOOKUP(A810,#REF!,26,0),0)+IFERROR(VLOOKUP(A810,#REF!,11,0),0)+IFERROR(VLOOKUP(A810,#REF!,23,0),0)+IFERROR(VLOOKUP(A810,#REF!,11,0),0)+IFERROR(VLOOKUP(A810,#REF!,11,0),0)+IFERROR(VLOOKUP(A810,#REF!,11,0),0)</f>
        <v>0</v>
      </c>
      <c r="K810" s="96" t="str">
        <f>"07.02.24"</f>
        <v>07.02.24</v>
      </c>
    </row>
    <row r="811" spans="1:11" ht="11.25" customHeight="1" outlineLevel="1">
      <c r="A811" s="89" t="n">
        <v>8180060</v>
      </c>
      <c r="B811" s="114" t="s">
        <v>1160</v>
      </c>
      <c r="C811" s="89" t="s">
        <v>1171</v>
      </c>
      <c r="D811" s="89" t="s">
        <v>15</v>
      </c>
      <c r="E811" s="89"/>
      <c r="F811" s="102" t="n">
        <v>616.200000000000045</v>
      </c>
      <c r="G811" s="102" t="n">
        <v>647</v>
      </c>
      <c r="H811" s="103" t="s">
        <v>48</v>
      </c>
      <c r="I811" s="103">
        <f>IFERROR(VLOOKUP(A811,#REF!,15,0),0)+IFERROR(VLOOKUP(A811,#REF!,25,0),0)+IFERROR(VLOOKUP(A811,#REF!,10,0),0)+IFERROR(VLOOKUP(A811,#REF!,14,0),0)+IFERROR(VLOOKUP(A811,#REF!,10,0),0)+IFERROR(VLOOKUP(A811,#REF!,10,0),0)+IFERROR(VLOOKUP(A811,#REF!,10,0),0)+IFERROR(VLOOKUP(A811,#REF!,9,0),0)+IFERROR(VLOOKUP(A811,#REF!,9,0),0)+IFERROR(VLOOKUP(A811,#REF!,9,0),0)+IFERROR(VLOOKUP(A811,#REF!,9,0),0)</f>
        <v>0</v>
      </c>
      <c r="J811" s="104">
        <f>IFERROR(VLOOKUP(A811,#REF!,16,0),0)+IFERROR(VLOOKUP(A811,#REF!,26,0),0)+IFERROR(VLOOKUP(A811,#REF!,11,0),0)+IFERROR(VLOOKUP(A811,#REF!,23,0),0)+IFERROR(VLOOKUP(A811,#REF!,11,0),0)+IFERROR(VLOOKUP(A811,#REF!,11,0),0)+IFERROR(VLOOKUP(A811,#REF!,11,0),0)</f>
        <v>0</v>
      </c>
      <c r="K811" s="96" t="str">
        <f>"07.02.24"</f>
        <v>07.02.24</v>
      </c>
    </row>
    <row r="812" spans="1:11" ht="11.25" customHeight="1">
      <c r="A812" s="97" t="s">
        <v>1172</v>
      </c>
      <c r="B812" s="98"/>
      <c r="C812" s="98"/>
      <c r="D812" s="98"/>
      <c r="E812" s="98"/>
      <c r="F812" s="99"/>
      <c r="G812" s="99"/>
      <c r="H812" s="100"/>
      <c r="I812" s="100"/>
      <c r="J812" s="108"/>
      <c r="K812" s="96" t="str">
        <f>"07.02.24"</f>
        <v>07.02.24</v>
      </c>
    </row>
    <row r="813" spans="1:11" ht="11.25" customHeight="1" outlineLevel="1">
      <c r="A813" s="88" t="s">
        <v>1173</v>
      </c>
      <c r="B813" s="115"/>
      <c r="C813" s="88"/>
      <c r="D813" s="88"/>
      <c r="E813" s="88"/>
      <c r="F813" s="105"/>
      <c r="G813" s="105"/>
      <c r="H813" s="106"/>
      <c r="I813" s="106"/>
      <c r="J813" s="107"/>
      <c r="K813" s="96" t="str">
        <f>"07.02.24"</f>
        <v>07.02.24</v>
      </c>
    </row>
    <row r="814" spans="1:11" ht="11.25" customHeight="1" outlineLevel="1">
      <c r="A814" s="89" t="n">
        <v>8144630</v>
      </c>
      <c r="B814" s="114" t="s">
        <v>1172</v>
      </c>
      <c r="C814" s="89" t="s">
        <v>1174</v>
      </c>
      <c r="D814" s="89" t="s">
        <v>15</v>
      </c>
      <c r="E814" s="89" t="s">
        <v>1174</v>
      </c>
      <c r="F814" s="102" t="n">
        <v>13327</v>
      </c>
      <c r="G814" s="102" t="n">
        <v>15327</v>
      </c>
      <c r="H814" s="103" t="s">
        <v>17</v>
      </c>
      <c r="I814" s="103">
        <f>IFERROR(VLOOKUP(A814,#REF!,15,0),0)+IFERROR(VLOOKUP(A814,#REF!,25,0),0)+IFERROR(VLOOKUP(A814,#REF!,10,0),0)+IFERROR(VLOOKUP(A814,#REF!,14,0),0)+IFERROR(VLOOKUP(A814,#REF!,10,0),0)+IFERROR(VLOOKUP(A814,#REF!,10,0),0)+IFERROR(VLOOKUP(A814,#REF!,10,0),0)+IFERROR(VLOOKUP(A814,#REF!,9,0),0)+IFERROR(VLOOKUP(A814,#REF!,9,0),0)+IFERROR(VLOOKUP(A814,#REF!,9,0),0)+IFERROR(VLOOKUP(A814,#REF!,9,0),0)</f>
        <v>0</v>
      </c>
      <c r="J814" s="104">
        <f>IFERROR(VLOOKUP(A814,#REF!,16,0),0)+IFERROR(VLOOKUP(A814,#REF!,26,0),0)+IFERROR(VLOOKUP(A814,#REF!,11,0),0)+IFERROR(VLOOKUP(A814,#REF!,23,0),0)+IFERROR(VLOOKUP(A814,#REF!,11,0),0)+IFERROR(VLOOKUP(A814,#REF!,11,0),0)+IFERROR(VLOOKUP(A814,#REF!,11,0),0)</f>
        <v>0</v>
      </c>
      <c r="K814" s="96" t="str">
        <f>"07.02.24"</f>
        <v>07.02.24</v>
      </c>
    </row>
    <row r="815" spans="1:11" ht="11.25" customHeight="1" outlineLevel="1">
      <c r="A815" s="89" t="n">
        <v>8144650</v>
      </c>
      <c r="B815" s="114" t="s">
        <v>1172</v>
      </c>
      <c r="C815" s="89" t="s">
        <v>1175</v>
      </c>
      <c r="D815" s="89" t="s">
        <v>15</v>
      </c>
      <c r="E815" s="89" t="s">
        <v>1175</v>
      </c>
      <c r="F815" s="102" t="n">
        <v>67250</v>
      </c>
      <c r="G815" s="102" t="n">
        <v>77337</v>
      </c>
      <c r="H815" s="103" t="s">
        <v>17</v>
      </c>
      <c r="I815" s="103">
        <f>IFERROR(VLOOKUP(A815,#REF!,15,0),0)+IFERROR(VLOOKUP(A815,#REF!,25,0),0)+IFERROR(VLOOKUP(A815,#REF!,10,0),0)+IFERROR(VLOOKUP(A815,#REF!,14,0),0)+IFERROR(VLOOKUP(A815,#REF!,10,0),0)+IFERROR(VLOOKUP(A815,#REF!,10,0),0)+IFERROR(VLOOKUP(A815,#REF!,10,0),0)+IFERROR(VLOOKUP(A815,#REF!,9,0),0)+IFERROR(VLOOKUP(A815,#REF!,9,0),0)+IFERROR(VLOOKUP(A815,#REF!,9,0),0)+IFERROR(VLOOKUP(A815,#REF!,9,0),0)</f>
        <v>0</v>
      </c>
      <c r="J815" s="104">
        <f>IFERROR(VLOOKUP(A815,#REF!,16,0),0)+IFERROR(VLOOKUP(A815,#REF!,26,0),0)+IFERROR(VLOOKUP(A815,#REF!,11,0),0)+IFERROR(VLOOKUP(A815,#REF!,23,0),0)+IFERROR(VLOOKUP(A815,#REF!,11,0),0)+IFERROR(VLOOKUP(A815,#REF!,11,0),0)+IFERROR(VLOOKUP(A815,#REF!,11,0),0)</f>
        <v>0</v>
      </c>
      <c r="K815" s="96" t="str">
        <f>"07.02.24"</f>
        <v>07.02.24</v>
      </c>
    </row>
    <row r="816" spans="1:11" ht="11.25" customHeight="1" outlineLevel="1">
      <c r="A816" s="89" t="n">
        <v>8144640</v>
      </c>
      <c r="B816" s="114" t="s">
        <v>1172</v>
      </c>
      <c r="C816" s="89" t="s">
        <v>1176</v>
      </c>
      <c r="D816" s="89" t="s">
        <v>15</v>
      </c>
      <c r="E816" s="89" t="s">
        <v>1176</v>
      </c>
      <c r="F816" s="102" t="n">
        <v>17901</v>
      </c>
      <c r="G816" s="102" t="n">
        <v>20586</v>
      </c>
      <c r="H816" s="103" t="s">
        <v>48</v>
      </c>
      <c r="I816" s="103">
        <f>IFERROR(VLOOKUP(A816,#REF!,15,0),0)+IFERROR(VLOOKUP(A816,#REF!,25,0),0)+IFERROR(VLOOKUP(A816,#REF!,10,0),0)+IFERROR(VLOOKUP(A816,#REF!,14,0),0)+IFERROR(VLOOKUP(A816,#REF!,10,0),0)+IFERROR(VLOOKUP(A816,#REF!,10,0),0)+IFERROR(VLOOKUP(A816,#REF!,10,0),0)+IFERROR(VLOOKUP(A816,#REF!,9,0),0)+IFERROR(VLOOKUP(A816,#REF!,9,0),0)+IFERROR(VLOOKUP(A816,#REF!,9,0),0)+IFERROR(VLOOKUP(A816,#REF!,9,0),0)</f>
        <v>0</v>
      </c>
      <c r="J816" s="104">
        <f>IFERROR(VLOOKUP(A816,#REF!,16,0),0)+IFERROR(VLOOKUP(A816,#REF!,26,0),0)+IFERROR(VLOOKUP(A816,#REF!,11,0),0)+IFERROR(VLOOKUP(A816,#REF!,23,0),0)+IFERROR(VLOOKUP(A816,#REF!,11,0),0)+IFERROR(VLOOKUP(A816,#REF!,11,0),0)+IFERROR(VLOOKUP(A816,#REF!,11,0),0)</f>
        <v>0</v>
      </c>
      <c r="K816" s="96" t="str">
        <f>"07.02.24"</f>
        <v>07.02.24</v>
      </c>
    </row>
    <row r="817" spans="1:11" ht="11.25" customHeight="1" outlineLevel="1">
      <c r="A817" s="89" t="n">
        <v>8145110</v>
      </c>
      <c r="B817" s="114" t="s">
        <v>1172</v>
      </c>
      <c r="C817" s="89" t="s">
        <v>1177</v>
      </c>
      <c r="D817" s="89" t="s">
        <v>15</v>
      </c>
      <c r="E817" s="89"/>
      <c r="F817" s="102" t="n">
        <v>15331</v>
      </c>
      <c r="G817" s="102" t="n">
        <v>16865</v>
      </c>
      <c r="H817" s="103" t="s">
        <v>48</v>
      </c>
      <c r="I817" s="103">
        <f>IFERROR(VLOOKUP(A817,#REF!,15,0),0)+IFERROR(VLOOKUP(A817,#REF!,25,0),0)+IFERROR(VLOOKUP(A817,#REF!,10,0),0)+IFERROR(VLOOKUP(A817,#REF!,14,0),0)+IFERROR(VLOOKUP(A817,#REF!,10,0),0)+IFERROR(VLOOKUP(A817,#REF!,10,0),0)+IFERROR(VLOOKUP(A817,#REF!,10,0),0)+IFERROR(VLOOKUP(A817,#REF!,9,0),0)+IFERROR(VLOOKUP(A817,#REF!,9,0),0)+IFERROR(VLOOKUP(A817,#REF!,9,0),0)+IFERROR(VLOOKUP(A817,#REF!,9,0),0)</f>
        <v>0</v>
      </c>
      <c r="J817" s="104">
        <f>IFERROR(VLOOKUP(A817,#REF!,16,0),0)+IFERROR(VLOOKUP(A817,#REF!,26,0),0)+IFERROR(VLOOKUP(A817,#REF!,11,0),0)+IFERROR(VLOOKUP(A817,#REF!,23,0),0)+IFERROR(VLOOKUP(A817,#REF!,11,0),0)+IFERROR(VLOOKUP(A817,#REF!,11,0),0)+IFERROR(VLOOKUP(A817,#REF!,11,0),0)</f>
        <v>0</v>
      </c>
      <c r="K817" s="96" t="str">
        <f>"07.02.24"</f>
        <v>07.02.24</v>
      </c>
    </row>
    <row r="818" spans="1:11" ht="11.25" customHeight="1" outlineLevel="1">
      <c r="A818" s="89" t="n">
        <v>8145100</v>
      </c>
      <c r="B818" s="114" t="s">
        <v>1172</v>
      </c>
      <c r="C818" s="89" t="s">
        <v>1178</v>
      </c>
      <c r="D818" s="89" t="s">
        <v>15</v>
      </c>
      <c r="E818" s="89"/>
      <c r="F818" s="102" t="n">
        <v>16585</v>
      </c>
      <c r="G818" s="102" t="n">
        <v>19072</v>
      </c>
      <c r="H818" s="103" t="s">
        <v>48</v>
      </c>
      <c r="I818" s="103">
        <f>IFERROR(VLOOKUP(A818,#REF!,15,0),0)+IFERROR(VLOOKUP(A818,#REF!,25,0),0)+IFERROR(VLOOKUP(A818,#REF!,10,0),0)+IFERROR(VLOOKUP(A818,#REF!,14,0),0)+IFERROR(VLOOKUP(A818,#REF!,10,0),0)+IFERROR(VLOOKUP(A818,#REF!,10,0),0)+IFERROR(VLOOKUP(A818,#REF!,10,0),0)+IFERROR(VLOOKUP(A818,#REF!,9,0),0)+IFERROR(VLOOKUP(A818,#REF!,9,0),0)+IFERROR(VLOOKUP(A818,#REF!,9,0),0)+IFERROR(VLOOKUP(A818,#REF!,9,0),0)</f>
        <v>0</v>
      </c>
      <c r="J818" s="104">
        <f>IFERROR(VLOOKUP(A818,#REF!,16,0),0)+IFERROR(VLOOKUP(A818,#REF!,26,0),0)+IFERROR(VLOOKUP(A818,#REF!,11,0),0)+IFERROR(VLOOKUP(A818,#REF!,23,0),0)+IFERROR(VLOOKUP(A818,#REF!,11,0),0)+IFERROR(VLOOKUP(A818,#REF!,11,0),0)+IFERROR(VLOOKUP(A818,#REF!,11,0),0)</f>
        <v>0</v>
      </c>
      <c r="K818" s="96" t="str">
        <f>"07.02.24"</f>
        <v>07.02.24</v>
      </c>
    </row>
    <row r="819" spans="1:11" ht="11.25" customHeight="1" outlineLevel="1">
      <c r="A819" s="89" t="n">
        <v>8144590</v>
      </c>
      <c r="B819" s="114" t="s">
        <v>1172</v>
      </c>
      <c r="C819" s="89" t="s">
        <v>1179</v>
      </c>
      <c r="D819" s="89" t="s">
        <v>15</v>
      </c>
      <c r="E819" s="89" t="s">
        <v>1180</v>
      </c>
      <c r="F819" s="102" t="n">
        <v>8807</v>
      </c>
      <c r="G819" s="102" t="n">
        <v>10128</v>
      </c>
      <c r="H819" s="103" t="s">
        <v>17</v>
      </c>
      <c r="I819" s="103">
        <f>IFERROR(VLOOKUP(A819,#REF!,15,0),0)+IFERROR(VLOOKUP(A819,#REF!,25,0),0)+IFERROR(VLOOKUP(A819,#REF!,10,0),0)+IFERROR(VLOOKUP(A819,#REF!,14,0),0)+IFERROR(VLOOKUP(A819,#REF!,10,0),0)+IFERROR(VLOOKUP(A819,#REF!,10,0),0)+IFERROR(VLOOKUP(A819,#REF!,10,0),0)+IFERROR(VLOOKUP(A819,#REF!,9,0),0)+IFERROR(VLOOKUP(A819,#REF!,9,0),0)+IFERROR(VLOOKUP(A819,#REF!,9,0),0)+IFERROR(VLOOKUP(A819,#REF!,9,0),0)</f>
        <v>0</v>
      </c>
      <c r="J819" s="104">
        <f>IFERROR(VLOOKUP(A819,#REF!,16,0),0)+IFERROR(VLOOKUP(A819,#REF!,26,0),0)+IFERROR(VLOOKUP(A819,#REF!,11,0),0)+IFERROR(VLOOKUP(A819,#REF!,23,0),0)+IFERROR(VLOOKUP(A819,#REF!,11,0),0)+IFERROR(VLOOKUP(A819,#REF!,11,0),0)+IFERROR(VLOOKUP(A819,#REF!,11,0),0)</f>
        <v>0</v>
      </c>
      <c r="K819" s="96" t="str">
        <f>"07.02.24"</f>
        <v>07.02.24</v>
      </c>
    </row>
    <row r="820" spans="1:11" ht="11.25" customHeight="1" outlineLevel="1">
      <c r="A820" s="89" t="n">
        <v>8144600</v>
      </c>
      <c r="B820" s="114" t="s">
        <v>1172</v>
      </c>
      <c r="C820" s="89" t="s">
        <v>1181</v>
      </c>
      <c r="D820" s="89" t="s">
        <v>15</v>
      </c>
      <c r="E820" s="89" t="s">
        <v>1181</v>
      </c>
      <c r="F820" s="102" t="n">
        <v>9130</v>
      </c>
      <c r="G820" s="102" t="n">
        <v>10499</v>
      </c>
      <c r="H820" s="103" t="s">
        <v>48</v>
      </c>
      <c r="I820" s="103">
        <f>IFERROR(VLOOKUP(A820,#REF!,15,0),0)+IFERROR(VLOOKUP(A820,#REF!,25,0),0)+IFERROR(VLOOKUP(A820,#REF!,10,0),0)+IFERROR(VLOOKUP(A820,#REF!,14,0),0)+IFERROR(VLOOKUP(A820,#REF!,10,0),0)+IFERROR(VLOOKUP(A820,#REF!,10,0),0)+IFERROR(VLOOKUP(A820,#REF!,10,0),0)+IFERROR(VLOOKUP(A820,#REF!,9,0),0)+IFERROR(VLOOKUP(A820,#REF!,9,0),0)+IFERROR(VLOOKUP(A820,#REF!,9,0),0)+IFERROR(VLOOKUP(A820,#REF!,9,0),0)</f>
        <v>0</v>
      </c>
      <c r="J820" s="104">
        <f>IFERROR(VLOOKUP(A820,#REF!,16,0),0)+IFERROR(VLOOKUP(A820,#REF!,26,0),0)+IFERROR(VLOOKUP(A820,#REF!,11,0),0)+IFERROR(VLOOKUP(A820,#REF!,23,0),0)+IFERROR(VLOOKUP(A820,#REF!,11,0),0)+IFERROR(VLOOKUP(A820,#REF!,11,0),0)+IFERROR(VLOOKUP(A820,#REF!,11,0),0)</f>
        <v>0</v>
      </c>
      <c r="K820" s="96" t="str">
        <f>"07.02.24"</f>
        <v>07.02.24</v>
      </c>
    </row>
    <row r="821" spans="1:11" ht="11.25" customHeight="1" outlineLevel="1">
      <c r="A821" s="89" t="n">
        <v>8144610</v>
      </c>
      <c r="B821" s="114" t="s">
        <v>1172</v>
      </c>
      <c r="C821" s="89" t="s">
        <v>1182</v>
      </c>
      <c r="D821" s="89" t="s">
        <v>15</v>
      </c>
      <c r="E821" s="89" t="s">
        <v>1182</v>
      </c>
      <c r="F821" s="102" t="n">
        <v>19980</v>
      </c>
      <c r="G821" s="102" t="n">
        <v>22977</v>
      </c>
      <c r="H821" s="103" t="s">
        <v>48</v>
      </c>
      <c r="I821" s="103">
        <f>IFERROR(VLOOKUP(A821,#REF!,15,0),0)+IFERROR(VLOOKUP(A821,#REF!,25,0),0)+IFERROR(VLOOKUP(A821,#REF!,10,0),0)+IFERROR(VLOOKUP(A821,#REF!,14,0),0)+IFERROR(VLOOKUP(A821,#REF!,10,0),0)+IFERROR(VLOOKUP(A821,#REF!,10,0),0)+IFERROR(VLOOKUP(A821,#REF!,10,0),0)+IFERROR(VLOOKUP(A821,#REF!,9,0),0)+IFERROR(VLOOKUP(A821,#REF!,9,0),0)+IFERROR(VLOOKUP(A821,#REF!,9,0),0)+IFERROR(VLOOKUP(A821,#REF!,9,0),0)</f>
        <v>0</v>
      </c>
      <c r="J821" s="104">
        <f>IFERROR(VLOOKUP(A821,#REF!,16,0),0)+IFERROR(VLOOKUP(A821,#REF!,26,0),0)+IFERROR(VLOOKUP(A821,#REF!,11,0),0)+IFERROR(VLOOKUP(A821,#REF!,23,0),0)+IFERROR(VLOOKUP(A821,#REF!,11,0),0)+IFERROR(VLOOKUP(A821,#REF!,11,0),0)+IFERROR(VLOOKUP(A821,#REF!,11,0),0)</f>
        <v>0</v>
      </c>
      <c r="K821" s="96" t="str">
        <f>"07.02.24"</f>
        <v>07.02.24</v>
      </c>
    </row>
    <row r="822" spans="1:11" ht="11.25" customHeight="1" outlineLevel="1">
      <c r="A822" s="89" t="n">
        <v>8144620</v>
      </c>
      <c r="B822" s="114" t="s">
        <v>1172</v>
      </c>
      <c r="C822" s="89" t="s">
        <v>1183</v>
      </c>
      <c r="D822" s="89" t="s">
        <v>15</v>
      </c>
      <c r="E822" s="89" t="s">
        <v>1183</v>
      </c>
      <c r="F822" s="102" t="n">
        <v>22516</v>
      </c>
      <c r="G822" s="102" t="n">
        <v>25893</v>
      </c>
      <c r="H822" s="103" t="s">
        <v>17</v>
      </c>
      <c r="I822" s="103">
        <f>IFERROR(VLOOKUP(A822,#REF!,15,0),0)+IFERROR(VLOOKUP(A822,#REF!,25,0),0)+IFERROR(VLOOKUP(A822,#REF!,10,0),0)+IFERROR(VLOOKUP(A822,#REF!,14,0),0)+IFERROR(VLOOKUP(A822,#REF!,10,0),0)+IFERROR(VLOOKUP(A822,#REF!,10,0),0)+IFERROR(VLOOKUP(A822,#REF!,10,0),0)+IFERROR(VLOOKUP(A822,#REF!,9,0),0)+IFERROR(VLOOKUP(A822,#REF!,9,0),0)+IFERROR(VLOOKUP(A822,#REF!,9,0),0)+IFERROR(VLOOKUP(A822,#REF!,9,0),0)</f>
        <v>0</v>
      </c>
      <c r="J822" s="104">
        <f>IFERROR(VLOOKUP(A822,#REF!,16,0),0)+IFERROR(VLOOKUP(A822,#REF!,26,0),0)+IFERROR(VLOOKUP(A822,#REF!,11,0),0)+IFERROR(VLOOKUP(A822,#REF!,23,0),0)+IFERROR(VLOOKUP(A822,#REF!,11,0),0)+IFERROR(VLOOKUP(A822,#REF!,11,0),0)+IFERROR(VLOOKUP(A822,#REF!,11,0),0)</f>
        <v>0</v>
      </c>
      <c r="K822" s="96" t="str">
        <f>"07.02.24"</f>
        <v>07.02.24</v>
      </c>
    </row>
    <row r="823" spans="1:11" ht="11.25" customHeight="1" outlineLevel="1">
      <c r="A823" s="89" t="n">
        <v>8144900</v>
      </c>
      <c r="B823" s="114" t="s">
        <v>1172</v>
      </c>
      <c r="C823" s="89" t="s">
        <v>1184</v>
      </c>
      <c r="D823" s="89" t="s">
        <v>15</v>
      </c>
      <c r="E823" s="89" t="s">
        <v>1185</v>
      </c>
      <c r="F823" s="102" t="n">
        <v>11329</v>
      </c>
      <c r="G823" s="102" t="n">
        <v>12462</v>
      </c>
      <c r="H823" s="103" t="s">
        <v>48</v>
      </c>
      <c r="I823" s="103">
        <f>IFERROR(VLOOKUP(A823,#REF!,15,0),0)+IFERROR(VLOOKUP(A823,#REF!,25,0),0)+IFERROR(VLOOKUP(A823,#REF!,10,0),0)+IFERROR(VLOOKUP(A823,#REF!,14,0),0)+IFERROR(VLOOKUP(A823,#REF!,10,0),0)+IFERROR(VLOOKUP(A823,#REF!,10,0),0)+IFERROR(VLOOKUP(A823,#REF!,10,0),0)+IFERROR(VLOOKUP(A823,#REF!,9,0),0)+IFERROR(VLOOKUP(A823,#REF!,9,0),0)+IFERROR(VLOOKUP(A823,#REF!,9,0),0)+IFERROR(VLOOKUP(A823,#REF!,9,0),0)</f>
        <v>0</v>
      </c>
      <c r="J823" s="104">
        <f>IFERROR(VLOOKUP(A823,#REF!,16,0),0)+IFERROR(VLOOKUP(A823,#REF!,26,0),0)+IFERROR(VLOOKUP(A823,#REF!,11,0),0)+IFERROR(VLOOKUP(A823,#REF!,23,0),0)+IFERROR(VLOOKUP(A823,#REF!,11,0),0)+IFERROR(VLOOKUP(A823,#REF!,11,0),0)+IFERROR(VLOOKUP(A823,#REF!,11,0),0)</f>
        <v>0</v>
      </c>
      <c r="K823" s="96" t="str">
        <f>"07.02.24"</f>
        <v>07.02.24</v>
      </c>
    </row>
    <row r="824" spans="1:11" ht="11.25" customHeight="1" outlineLevel="1">
      <c r="A824" s="89" t="n">
        <v>8144660</v>
      </c>
      <c r="B824" s="114" t="s">
        <v>1172</v>
      </c>
      <c r="C824" s="89" t="s">
        <v>1186</v>
      </c>
      <c r="D824" s="89" t="s">
        <v>15</v>
      </c>
      <c r="E824" s="89" t="s">
        <v>1186</v>
      </c>
      <c r="F824" s="102" t="n">
        <v>19942</v>
      </c>
      <c r="G824" s="102" t="n">
        <v>22933</v>
      </c>
      <c r="H824" s="103" t="s">
        <v>17</v>
      </c>
      <c r="I824" s="103">
        <f>IFERROR(VLOOKUP(A824,#REF!,15,0),0)+IFERROR(VLOOKUP(A824,#REF!,25,0),0)+IFERROR(VLOOKUP(A824,#REF!,10,0),0)+IFERROR(VLOOKUP(A824,#REF!,14,0),0)+IFERROR(VLOOKUP(A824,#REF!,10,0),0)+IFERROR(VLOOKUP(A824,#REF!,10,0),0)+IFERROR(VLOOKUP(A824,#REF!,10,0),0)+IFERROR(VLOOKUP(A824,#REF!,9,0),0)+IFERROR(VLOOKUP(A824,#REF!,9,0),0)+IFERROR(VLOOKUP(A824,#REF!,9,0),0)+IFERROR(VLOOKUP(A824,#REF!,9,0),0)</f>
        <v>0</v>
      </c>
      <c r="J824" s="104">
        <f>IFERROR(VLOOKUP(A824,#REF!,16,0),0)+IFERROR(VLOOKUP(A824,#REF!,26,0),0)+IFERROR(VLOOKUP(A824,#REF!,11,0),0)+IFERROR(VLOOKUP(A824,#REF!,23,0),0)+IFERROR(VLOOKUP(A824,#REF!,11,0),0)+IFERROR(VLOOKUP(A824,#REF!,11,0),0)+IFERROR(VLOOKUP(A824,#REF!,11,0),0)</f>
        <v>0</v>
      </c>
      <c r="K824" s="96" t="str">
        <f>"07.02.24"</f>
        <v>07.02.24</v>
      </c>
    </row>
    <row r="825" spans="1:11" ht="11.25" customHeight="1" outlineLevel="1">
      <c r="A825" s="88" t="s">
        <v>1187</v>
      </c>
      <c r="B825" s="115"/>
      <c r="C825" s="88"/>
      <c r="D825" s="88"/>
      <c r="E825" s="88"/>
      <c r="F825" s="105"/>
      <c r="G825" s="105"/>
      <c r="H825" s="106"/>
      <c r="I825" s="106"/>
      <c r="J825" s="107"/>
      <c r="K825" s="96" t="str">
        <f>"07.02.24"</f>
        <v>07.02.24</v>
      </c>
    </row>
    <row r="826" spans="1:11" ht="11.25" customHeight="1" outlineLevel="1">
      <c r="A826" s="89" t="n">
        <v>8144800</v>
      </c>
      <c r="B826" s="114" t="s">
        <v>1172</v>
      </c>
      <c r="C826" s="89" t="s">
        <v>1188</v>
      </c>
      <c r="D826" s="89" t="s">
        <v>15</v>
      </c>
      <c r="E826" s="89" t="s">
        <v>1188</v>
      </c>
      <c r="F826" s="102" t="n">
        <v>3045</v>
      </c>
      <c r="G826" s="102" t="n">
        <v>3349</v>
      </c>
      <c r="H826" s="103" t="s">
        <v>17</v>
      </c>
      <c r="I826" s="103">
        <f>IFERROR(VLOOKUP(A826,#REF!,15,0),0)+IFERROR(VLOOKUP(A826,#REF!,25,0),0)+IFERROR(VLOOKUP(A826,#REF!,10,0),0)+IFERROR(VLOOKUP(A826,#REF!,14,0),0)+IFERROR(VLOOKUP(A826,#REF!,10,0),0)+IFERROR(VLOOKUP(A826,#REF!,10,0),0)+IFERROR(VLOOKUP(A826,#REF!,10,0),0)+IFERROR(VLOOKUP(A826,#REF!,9,0),0)+IFERROR(VLOOKUP(A826,#REF!,9,0),0)+IFERROR(VLOOKUP(A826,#REF!,9,0),0)+IFERROR(VLOOKUP(A826,#REF!,9,0),0)</f>
        <v>0</v>
      </c>
      <c r="J826" s="104">
        <f>IFERROR(VLOOKUP(A826,#REF!,16,0),0)+IFERROR(VLOOKUP(A826,#REF!,26,0),0)+IFERROR(VLOOKUP(A826,#REF!,11,0),0)+IFERROR(VLOOKUP(A826,#REF!,23,0),0)+IFERROR(VLOOKUP(A826,#REF!,11,0),0)+IFERROR(VLOOKUP(A826,#REF!,11,0),0)+IFERROR(VLOOKUP(A826,#REF!,11,0),0)</f>
        <v>0</v>
      </c>
      <c r="K826" s="96" t="str">
        <f>"07.02.24"</f>
        <v>07.02.24</v>
      </c>
    </row>
    <row r="827" spans="1:11" ht="11.25" customHeight="1" outlineLevel="1">
      <c r="A827" s="89" t="n">
        <v>8144810</v>
      </c>
      <c r="B827" s="114" t="s">
        <v>1172</v>
      </c>
      <c r="C827" s="89" t="s">
        <v>1189</v>
      </c>
      <c r="D827" s="89" t="s">
        <v>15</v>
      </c>
      <c r="E827" s="89" t="s">
        <v>1189</v>
      </c>
      <c r="F827" s="102" t="n">
        <v>3161</v>
      </c>
      <c r="G827" s="102" t="n">
        <v>3478</v>
      </c>
      <c r="H827" s="103" t="s">
        <v>17</v>
      </c>
      <c r="I827" s="103">
        <f>IFERROR(VLOOKUP(A827,#REF!,15,0),0)+IFERROR(VLOOKUP(A827,#REF!,25,0),0)+IFERROR(VLOOKUP(A827,#REF!,10,0),0)+IFERROR(VLOOKUP(A827,#REF!,14,0),0)+IFERROR(VLOOKUP(A827,#REF!,10,0),0)+IFERROR(VLOOKUP(A827,#REF!,10,0),0)+IFERROR(VLOOKUP(A827,#REF!,10,0),0)+IFERROR(VLOOKUP(A827,#REF!,9,0),0)+IFERROR(VLOOKUP(A827,#REF!,9,0),0)+IFERROR(VLOOKUP(A827,#REF!,9,0),0)+IFERROR(VLOOKUP(A827,#REF!,9,0),0)</f>
        <v>0</v>
      </c>
      <c r="J827" s="104">
        <f>IFERROR(VLOOKUP(A827,#REF!,16,0),0)+IFERROR(VLOOKUP(A827,#REF!,26,0),0)+IFERROR(VLOOKUP(A827,#REF!,11,0),0)+IFERROR(VLOOKUP(A827,#REF!,23,0),0)+IFERROR(VLOOKUP(A827,#REF!,11,0),0)+IFERROR(VLOOKUP(A827,#REF!,11,0),0)+IFERROR(VLOOKUP(A827,#REF!,11,0),0)</f>
        <v>0</v>
      </c>
      <c r="K827" s="96" t="str">
        <f>"07.02.24"</f>
        <v>07.02.24</v>
      </c>
    </row>
    <row r="828" spans="1:11" ht="11.25" customHeight="1" outlineLevel="1">
      <c r="A828" s="89" t="n">
        <v>8144820</v>
      </c>
      <c r="B828" s="114" t="s">
        <v>1172</v>
      </c>
      <c r="C828" s="89" t="s">
        <v>1190</v>
      </c>
      <c r="D828" s="89" t="s">
        <v>15</v>
      </c>
      <c r="E828" s="89" t="s">
        <v>1190</v>
      </c>
      <c r="F828" s="102" t="n">
        <v>3110</v>
      </c>
      <c r="G828" s="102" t="n">
        <v>3421</v>
      </c>
      <c r="H828" s="103" t="s">
        <v>17</v>
      </c>
      <c r="I828" s="103">
        <f>IFERROR(VLOOKUP(A828,#REF!,15,0),0)+IFERROR(VLOOKUP(A828,#REF!,25,0),0)+IFERROR(VLOOKUP(A828,#REF!,10,0),0)+IFERROR(VLOOKUP(A828,#REF!,14,0),0)+IFERROR(VLOOKUP(A828,#REF!,10,0),0)+IFERROR(VLOOKUP(A828,#REF!,10,0),0)+IFERROR(VLOOKUP(A828,#REF!,10,0),0)+IFERROR(VLOOKUP(A828,#REF!,9,0),0)+IFERROR(VLOOKUP(A828,#REF!,9,0),0)+IFERROR(VLOOKUP(A828,#REF!,9,0),0)+IFERROR(VLOOKUP(A828,#REF!,9,0),0)</f>
        <v>0</v>
      </c>
      <c r="J828" s="104">
        <f>IFERROR(VLOOKUP(A828,#REF!,16,0),0)+IFERROR(VLOOKUP(A828,#REF!,26,0),0)+IFERROR(VLOOKUP(A828,#REF!,11,0),0)+IFERROR(VLOOKUP(A828,#REF!,23,0),0)+IFERROR(VLOOKUP(A828,#REF!,11,0),0)+IFERROR(VLOOKUP(A828,#REF!,11,0),0)+IFERROR(VLOOKUP(A828,#REF!,11,0),0)</f>
        <v>0</v>
      </c>
      <c r="K828" s="96" t="str">
        <f>"07.02.24"</f>
        <v>07.02.24</v>
      </c>
    </row>
    <row r="829" spans="1:11" ht="11.25" customHeight="1" outlineLevel="1">
      <c r="A829" s="89" t="n">
        <v>8144830</v>
      </c>
      <c r="B829" s="114" t="s">
        <v>1172</v>
      </c>
      <c r="C829" s="89" t="s">
        <v>1191</v>
      </c>
      <c r="D829" s="89" t="s">
        <v>15</v>
      </c>
      <c r="E829" s="89" t="s">
        <v>1191</v>
      </c>
      <c r="F829" s="102" t="n">
        <v>6365</v>
      </c>
      <c r="G829" s="102" t="n">
        <v>7002</v>
      </c>
      <c r="H829" s="103" t="s">
        <v>48</v>
      </c>
      <c r="I829" s="103">
        <f>IFERROR(VLOOKUP(A829,#REF!,15,0),0)+IFERROR(VLOOKUP(A829,#REF!,25,0),0)+IFERROR(VLOOKUP(A829,#REF!,10,0),0)+IFERROR(VLOOKUP(A829,#REF!,14,0),0)+IFERROR(VLOOKUP(A829,#REF!,10,0),0)+IFERROR(VLOOKUP(A829,#REF!,10,0),0)+IFERROR(VLOOKUP(A829,#REF!,10,0),0)+IFERROR(VLOOKUP(A829,#REF!,9,0),0)+IFERROR(VLOOKUP(A829,#REF!,9,0),0)+IFERROR(VLOOKUP(A829,#REF!,9,0),0)+IFERROR(VLOOKUP(A829,#REF!,9,0),0)</f>
        <v>0</v>
      </c>
      <c r="J829" s="104">
        <f>IFERROR(VLOOKUP(A829,#REF!,16,0),0)+IFERROR(VLOOKUP(A829,#REF!,26,0),0)+IFERROR(VLOOKUP(A829,#REF!,11,0),0)+IFERROR(VLOOKUP(A829,#REF!,23,0),0)+IFERROR(VLOOKUP(A829,#REF!,11,0),0)+IFERROR(VLOOKUP(A829,#REF!,11,0),0)+IFERROR(VLOOKUP(A829,#REF!,11,0),0)</f>
        <v>0</v>
      </c>
      <c r="K829" s="96" t="str">
        <f>"07.02.24"</f>
        <v>07.02.24</v>
      </c>
    </row>
    <row r="830" spans="1:11" ht="11.25" customHeight="1" outlineLevel="1">
      <c r="A830" s="88" t="s">
        <v>1192</v>
      </c>
      <c r="B830" s="115"/>
      <c r="C830" s="88"/>
      <c r="D830" s="88"/>
      <c r="E830" s="88"/>
      <c r="F830" s="105"/>
      <c r="G830" s="105"/>
      <c r="H830" s="106"/>
      <c r="I830" s="106"/>
      <c r="J830" s="107"/>
      <c r="K830" s="96" t="str">
        <f>"07.02.24"</f>
        <v>07.02.24</v>
      </c>
    </row>
    <row r="831" spans="1:11" ht="11.25" customHeight="1" outlineLevel="1">
      <c r="A831" s="89" t="n">
        <v>8144740</v>
      </c>
      <c r="B831" s="114" t="s">
        <v>1172</v>
      </c>
      <c r="C831" s="89" t="s">
        <v>1193</v>
      </c>
      <c r="D831" s="89" t="s">
        <v>15</v>
      </c>
      <c r="E831" s="89" t="s">
        <v>1193</v>
      </c>
      <c r="F831" s="102" t="n">
        <v>715</v>
      </c>
      <c r="G831" s="102" t="n">
        <v>823</v>
      </c>
      <c r="H831" s="103" t="s">
        <v>17</v>
      </c>
      <c r="I831" s="103">
        <f>IFERROR(VLOOKUP(A831,#REF!,15,0),0)+IFERROR(VLOOKUP(A831,#REF!,25,0),0)+IFERROR(VLOOKUP(A831,#REF!,10,0),0)+IFERROR(VLOOKUP(A831,#REF!,14,0),0)+IFERROR(VLOOKUP(A831,#REF!,10,0),0)+IFERROR(VLOOKUP(A831,#REF!,10,0),0)+IFERROR(VLOOKUP(A831,#REF!,10,0),0)+IFERROR(VLOOKUP(A831,#REF!,9,0),0)+IFERROR(VLOOKUP(A831,#REF!,9,0),0)+IFERROR(VLOOKUP(A831,#REF!,9,0),0)+IFERROR(VLOOKUP(A831,#REF!,9,0),0)</f>
        <v>0</v>
      </c>
      <c r="J831" s="104">
        <f>IFERROR(VLOOKUP(A831,#REF!,16,0),0)+IFERROR(VLOOKUP(A831,#REF!,26,0),0)+IFERROR(VLOOKUP(A831,#REF!,11,0),0)+IFERROR(VLOOKUP(A831,#REF!,23,0),0)+IFERROR(VLOOKUP(A831,#REF!,11,0),0)+IFERROR(VLOOKUP(A831,#REF!,11,0),0)+IFERROR(VLOOKUP(A831,#REF!,11,0),0)</f>
        <v>0</v>
      </c>
      <c r="K831" s="96" t="str">
        <f>"07.02.24"</f>
        <v>07.02.24</v>
      </c>
    </row>
    <row r="832" spans="1:11" ht="11.25" customHeight="1" outlineLevel="1">
      <c r="A832" s="89" t="n">
        <v>8144730</v>
      </c>
      <c r="B832" s="114" t="s">
        <v>1172</v>
      </c>
      <c r="C832" s="89" t="s">
        <v>1194</v>
      </c>
      <c r="D832" s="89" t="s">
        <v>15</v>
      </c>
      <c r="E832" s="89" t="s">
        <v>1194</v>
      </c>
      <c r="F832" s="102" t="n">
        <v>1017</v>
      </c>
      <c r="G832" s="102" t="n">
        <v>1170</v>
      </c>
      <c r="H832" s="103" t="s">
        <v>48</v>
      </c>
      <c r="I832" s="103">
        <f>IFERROR(VLOOKUP(A832,#REF!,15,0),0)+IFERROR(VLOOKUP(A832,#REF!,25,0),0)+IFERROR(VLOOKUP(A832,#REF!,10,0),0)+IFERROR(VLOOKUP(A832,#REF!,14,0),0)+IFERROR(VLOOKUP(A832,#REF!,10,0),0)+IFERROR(VLOOKUP(A832,#REF!,10,0),0)+IFERROR(VLOOKUP(A832,#REF!,10,0),0)+IFERROR(VLOOKUP(A832,#REF!,9,0),0)+IFERROR(VLOOKUP(A832,#REF!,9,0),0)+IFERROR(VLOOKUP(A832,#REF!,9,0),0)+IFERROR(VLOOKUP(A832,#REF!,9,0),0)</f>
        <v>0</v>
      </c>
      <c r="J832" s="104">
        <f>IFERROR(VLOOKUP(A832,#REF!,16,0),0)+IFERROR(VLOOKUP(A832,#REF!,26,0),0)+IFERROR(VLOOKUP(A832,#REF!,11,0),0)+IFERROR(VLOOKUP(A832,#REF!,23,0),0)+IFERROR(VLOOKUP(A832,#REF!,11,0),0)+IFERROR(VLOOKUP(A832,#REF!,11,0),0)+IFERROR(VLOOKUP(A832,#REF!,11,0),0)</f>
        <v>0</v>
      </c>
      <c r="K832" s="96" t="str">
        <f>"07.02.24"</f>
        <v>07.02.24</v>
      </c>
    </row>
    <row r="833" spans="1:11" ht="11.25" customHeight="1" outlineLevel="1">
      <c r="A833" s="89" t="n">
        <v>8144750</v>
      </c>
      <c r="B833" s="114" t="s">
        <v>1172</v>
      </c>
      <c r="C833" s="89" t="s">
        <v>1195</v>
      </c>
      <c r="D833" s="89" t="s">
        <v>15</v>
      </c>
      <c r="E833" s="89" t="s">
        <v>1195</v>
      </c>
      <c r="F833" s="102" t="n">
        <v>258</v>
      </c>
      <c r="G833" s="102" t="n">
        <v>296</v>
      </c>
      <c r="H833" s="103" t="s">
        <v>17</v>
      </c>
      <c r="I833" s="103">
        <f>IFERROR(VLOOKUP(A833,#REF!,15,0),0)+IFERROR(VLOOKUP(A833,#REF!,25,0),0)+IFERROR(VLOOKUP(A833,#REF!,10,0),0)+IFERROR(VLOOKUP(A833,#REF!,14,0),0)+IFERROR(VLOOKUP(A833,#REF!,10,0),0)+IFERROR(VLOOKUP(A833,#REF!,10,0),0)+IFERROR(VLOOKUP(A833,#REF!,10,0),0)+IFERROR(VLOOKUP(A833,#REF!,9,0),0)+IFERROR(VLOOKUP(A833,#REF!,9,0),0)+IFERROR(VLOOKUP(A833,#REF!,9,0),0)+IFERROR(VLOOKUP(A833,#REF!,9,0),0)</f>
        <v>0</v>
      </c>
      <c r="J833" s="104">
        <f>IFERROR(VLOOKUP(A833,#REF!,16,0),0)+IFERROR(VLOOKUP(A833,#REF!,26,0),0)+IFERROR(VLOOKUP(A833,#REF!,11,0),0)+IFERROR(VLOOKUP(A833,#REF!,23,0),0)+IFERROR(VLOOKUP(A833,#REF!,11,0),0)+IFERROR(VLOOKUP(A833,#REF!,11,0),0)+IFERROR(VLOOKUP(A833,#REF!,11,0),0)</f>
        <v>0</v>
      </c>
      <c r="K833" s="96" t="str">
        <f>"07.02.24"</f>
        <v>07.02.24</v>
      </c>
    </row>
    <row r="834" spans="1:11" ht="11.25" customHeight="1" outlineLevel="1">
      <c r="A834" s="89" t="n">
        <v>8144840</v>
      </c>
      <c r="B834" s="114" t="s">
        <v>1172</v>
      </c>
      <c r="C834" s="89" t="s">
        <v>1196</v>
      </c>
      <c r="D834" s="89" t="s">
        <v>15</v>
      </c>
      <c r="E834" s="89" t="s">
        <v>1196</v>
      </c>
      <c r="F834" s="102" t="n">
        <v>590</v>
      </c>
      <c r="G834" s="102" t="n">
        <v>678</v>
      </c>
      <c r="H834" s="103" t="s">
        <v>48</v>
      </c>
      <c r="I834" s="103">
        <f>IFERROR(VLOOKUP(A834,#REF!,15,0),0)+IFERROR(VLOOKUP(A834,#REF!,25,0),0)+IFERROR(VLOOKUP(A834,#REF!,10,0),0)+IFERROR(VLOOKUP(A834,#REF!,14,0),0)+IFERROR(VLOOKUP(A834,#REF!,10,0),0)+IFERROR(VLOOKUP(A834,#REF!,10,0),0)+IFERROR(VLOOKUP(A834,#REF!,10,0),0)+IFERROR(VLOOKUP(A834,#REF!,9,0),0)+IFERROR(VLOOKUP(A834,#REF!,9,0),0)+IFERROR(VLOOKUP(A834,#REF!,9,0),0)+IFERROR(VLOOKUP(A834,#REF!,9,0),0)</f>
        <v>0</v>
      </c>
      <c r="J834" s="104">
        <f>IFERROR(VLOOKUP(A834,#REF!,16,0),0)+IFERROR(VLOOKUP(A834,#REF!,26,0),0)+IFERROR(VLOOKUP(A834,#REF!,11,0),0)+IFERROR(VLOOKUP(A834,#REF!,23,0),0)+IFERROR(VLOOKUP(A834,#REF!,11,0),0)+IFERROR(VLOOKUP(A834,#REF!,11,0),0)+IFERROR(VLOOKUP(A834,#REF!,11,0),0)</f>
        <v>0</v>
      </c>
      <c r="K834" s="96" t="str">
        <f>"07.02.24"</f>
        <v>07.02.24</v>
      </c>
    </row>
    <row r="835" spans="1:11" ht="11.25" customHeight="1" outlineLevel="1">
      <c r="A835" s="89" t="n">
        <v>8144850</v>
      </c>
      <c r="B835" s="114" t="s">
        <v>1172</v>
      </c>
      <c r="C835" s="89" t="s">
        <v>1197</v>
      </c>
      <c r="D835" s="89" t="s">
        <v>15</v>
      </c>
      <c r="E835" s="89" t="s">
        <v>1197</v>
      </c>
      <c r="F835" s="102" t="n">
        <v>762</v>
      </c>
      <c r="G835" s="102" t="n">
        <v>876</v>
      </c>
      <c r="H835" s="103" t="s">
        <v>48</v>
      </c>
      <c r="I835" s="103">
        <f>IFERROR(VLOOKUP(A835,#REF!,15,0),0)+IFERROR(VLOOKUP(A835,#REF!,25,0),0)+IFERROR(VLOOKUP(A835,#REF!,10,0),0)+IFERROR(VLOOKUP(A835,#REF!,14,0),0)+IFERROR(VLOOKUP(A835,#REF!,10,0),0)+IFERROR(VLOOKUP(A835,#REF!,10,0),0)+IFERROR(VLOOKUP(A835,#REF!,10,0),0)+IFERROR(VLOOKUP(A835,#REF!,9,0),0)+IFERROR(VLOOKUP(A835,#REF!,9,0),0)+IFERROR(VLOOKUP(A835,#REF!,9,0),0)+IFERROR(VLOOKUP(A835,#REF!,9,0),0)</f>
        <v>0</v>
      </c>
      <c r="J835" s="104">
        <f>IFERROR(VLOOKUP(A835,#REF!,16,0),0)+IFERROR(VLOOKUP(A835,#REF!,26,0),0)+IFERROR(VLOOKUP(A835,#REF!,11,0),0)+IFERROR(VLOOKUP(A835,#REF!,23,0),0)+IFERROR(VLOOKUP(A835,#REF!,11,0),0)+IFERROR(VLOOKUP(A835,#REF!,11,0),0)+IFERROR(VLOOKUP(A835,#REF!,11,0),0)</f>
        <v>0</v>
      </c>
      <c r="K835" s="96" t="str">
        <f>"07.02.24"</f>
        <v>07.02.24</v>
      </c>
    </row>
    <row r="836" spans="1:11" ht="11.25" customHeight="1" outlineLevel="1">
      <c r="A836" s="89" t="n">
        <v>8144860</v>
      </c>
      <c r="B836" s="114" t="s">
        <v>1172</v>
      </c>
      <c r="C836" s="89" t="s">
        <v>1198</v>
      </c>
      <c r="D836" s="89" t="s">
        <v>15</v>
      </c>
      <c r="E836" s="89" t="s">
        <v>1198</v>
      </c>
      <c r="F836" s="102" t="n">
        <v>970</v>
      </c>
      <c r="G836" s="102" t="n">
        <v>1115</v>
      </c>
      <c r="H836" s="103" t="s">
        <v>48</v>
      </c>
      <c r="I836" s="103">
        <f>IFERROR(VLOOKUP(A836,#REF!,15,0),0)+IFERROR(VLOOKUP(A836,#REF!,25,0),0)+IFERROR(VLOOKUP(A836,#REF!,10,0),0)+IFERROR(VLOOKUP(A836,#REF!,14,0),0)+IFERROR(VLOOKUP(A836,#REF!,10,0),0)+IFERROR(VLOOKUP(A836,#REF!,10,0),0)+IFERROR(VLOOKUP(A836,#REF!,10,0),0)+IFERROR(VLOOKUP(A836,#REF!,9,0),0)+IFERROR(VLOOKUP(A836,#REF!,9,0),0)+IFERROR(VLOOKUP(A836,#REF!,9,0),0)+IFERROR(VLOOKUP(A836,#REF!,9,0),0)</f>
        <v>0</v>
      </c>
      <c r="J836" s="104">
        <f>IFERROR(VLOOKUP(A836,#REF!,16,0),0)+IFERROR(VLOOKUP(A836,#REF!,26,0),0)+IFERROR(VLOOKUP(A836,#REF!,11,0),0)+IFERROR(VLOOKUP(A836,#REF!,23,0),0)+IFERROR(VLOOKUP(A836,#REF!,11,0),0)+IFERROR(VLOOKUP(A836,#REF!,11,0),0)+IFERROR(VLOOKUP(A836,#REF!,11,0),0)</f>
        <v>0</v>
      </c>
      <c r="K836" s="96" t="str">
        <f>"07.02.24"</f>
        <v>07.02.24</v>
      </c>
    </row>
    <row r="837" spans="1:11" ht="11.25" customHeight="1" outlineLevel="1">
      <c r="A837" s="89" t="n">
        <v>8144870</v>
      </c>
      <c r="B837" s="114" t="s">
        <v>1172</v>
      </c>
      <c r="C837" s="89" t="s">
        <v>1199</v>
      </c>
      <c r="D837" s="89" t="s">
        <v>15</v>
      </c>
      <c r="E837" s="89" t="s">
        <v>1199</v>
      </c>
      <c r="F837" s="102" t="n">
        <v>970</v>
      </c>
      <c r="G837" s="102" t="n">
        <v>1115</v>
      </c>
      <c r="H837" s="103" t="s">
        <v>48</v>
      </c>
      <c r="I837" s="103">
        <f>IFERROR(VLOOKUP(A837,#REF!,15,0),0)+IFERROR(VLOOKUP(A837,#REF!,25,0),0)+IFERROR(VLOOKUP(A837,#REF!,10,0),0)+IFERROR(VLOOKUP(A837,#REF!,14,0),0)+IFERROR(VLOOKUP(A837,#REF!,10,0),0)+IFERROR(VLOOKUP(A837,#REF!,10,0),0)+IFERROR(VLOOKUP(A837,#REF!,10,0),0)+IFERROR(VLOOKUP(A837,#REF!,9,0),0)+IFERROR(VLOOKUP(A837,#REF!,9,0),0)+IFERROR(VLOOKUP(A837,#REF!,9,0),0)+IFERROR(VLOOKUP(A837,#REF!,9,0),0)</f>
        <v>0</v>
      </c>
      <c r="J837" s="104">
        <f>IFERROR(VLOOKUP(A837,#REF!,16,0),0)+IFERROR(VLOOKUP(A837,#REF!,26,0),0)+IFERROR(VLOOKUP(A837,#REF!,11,0),0)+IFERROR(VLOOKUP(A837,#REF!,23,0),0)+IFERROR(VLOOKUP(A837,#REF!,11,0),0)+IFERROR(VLOOKUP(A837,#REF!,11,0),0)+IFERROR(VLOOKUP(A837,#REF!,11,0),0)</f>
        <v>0</v>
      </c>
      <c r="K837" s="96" t="str">
        <f>"07.02.24"</f>
        <v>07.02.24</v>
      </c>
    </row>
    <row r="838" spans="1:11" ht="11.25" customHeight="1" outlineLevel="1">
      <c r="A838" s="88"/>
      <c r="B838" s="115"/>
      <c r="C838" s="88"/>
      <c r="D838" s="88"/>
      <c r="E838" s="88"/>
      <c r="F838" s="105"/>
      <c r="G838" s="105"/>
      <c r="H838" s="106"/>
      <c r="I838" s="106"/>
      <c r="J838" s="107"/>
      <c r="K838" s="96" t="str">
        <f>"07.02.24"</f>
        <v>07.02.24</v>
      </c>
    </row>
    <row r="839" spans="1:11" ht="11.25" customHeight="1" outlineLevel="1">
      <c r="A839" s="89" t="n">
        <v>8145120</v>
      </c>
      <c r="B839" s="114" t="s">
        <v>1172</v>
      </c>
      <c r="C839" s="89" t="s">
        <v>1200</v>
      </c>
      <c r="D839" s="89" t="s">
        <v>15</v>
      </c>
      <c r="E839" s="89"/>
      <c r="F839" s="102" t="n">
        <v>1285</v>
      </c>
      <c r="G839" s="102" t="n">
        <v>1413</v>
      </c>
      <c r="H839" s="103" t="s">
        <v>48</v>
      </c>
      <c r="I839" s="103">
        <f>IFERROR(VLOOKUP(A839,#REF!,15,0),0)+IFERROR(VLOOKUP(A839,#REF!,25,0),0)+IFERROR(VLOOKUP(A839,#REF!,10,0),0)+IFERROR(VLOOKUP(A839,#REF!,14,0),0)+IFERROR(VLOOKUP(A839,#REF!,10,0),0)+IFERROR(VLOOKUP(A839,#REF!,10,0),0)+IFERROR(VLOOKUP(A839,#REF!,10,0),0)+IFERROR(VLOOKUP(A839,#REF!,9,0),0)+IFERROR(VLOOKUP(A839,#REF!,9,0),0)+IFERROR(VLOOKUP(A839,#REF!,9,0),0)+IFERROR(VLOOKUP(A839,#REF!,9,0),0)</f>
        <v>0</v>
      </c>
      <c r="J839" s="104">
        <f>IFERROR(VLOOKUP(A839,#REF!,16,0),0)+IFERROR(VLOOKUP(A839,#REF!,26,0),0)+IFERROR(VLOOKUP(A839,#REF!,11,0),0)+IFERROR(VLOOKUP(A839,#REF!,23,0),0)+IFERROR(VLOOKUP(A839,#REF!,11,0),0)+IFERROR(VLOOKUP(A839,#REF!,11,0),0)+IFERROR(VLOOKUP(A839,#REF!,11,0),0)</f>
        <v>0</v>
      </c>
      <c r="K839" s="96" t="str">
        <f>"07.02.24"</f>
        <v>07.02.24</v>
      </c>
    </row>
    <row r="840" spans="1:11" ht="11.25" customHeight="1">
      <c r="A840" s="97" t="s">
        <v>1201</v>
      </c>
      <c r="B840" s="98"/>
      <c r="C840" s="98"/>
      <c r="D840" s="98"/>
      <c r="E840" s="98"/>
      <c r="F840" s="99"/>
      <c r="G840" s="99"/>
      <c r="H840" s="100"/>
      <c r="I840" s="100"/>
      <c r="J840" s="108"/>
      <c r="K840" s="96" t="str">
        <f>"07.02.24"</f>
        <v>07.02.24</v>
      </c>
    </row>
    <row r="841" spans="1:11" ht="11.25" customHeight="1">
      <c r="A841" s="88" t="s">
        <v>1202</v>
      </c>
      <c r="B841" s="115"/>
      <c r="C841" s="88"/>
      <c r="D841" s="88"/>
      <c r="E841" s="88"/>
      <c r="F841" s="105"/>
      <c r="G841" s="105"/>
      <c r="H841" s="106"/>
      <c r="I841" s="106"/>
      <c r="J841" s="107"/>
      <c r="K841" s="96" t="str">
        <f>"07.02.24"</f>
        <v>07.02.24</v>
      </c>
    </row>
    <row r="842" spans="1:11" ht="11.25" customHeight="1" outlineLevel="1">
      <c r="A842" s="89" t="n">
        <v>613810</v>
      </c>
      <c r="B842" s="114" t="s">
        <v>1201</v>
      </c>
      <c r="C842" s="89" t="s">
        <v>1203</v>
      </c>
      <c r="D842" s="89" t="s">
        <v>407</v>
      </c>
      <c r="E842" s="89" t="s">
        <v>1204</v>
      </c>
      <c r="F842" s="102" t="n">
        <v>194</v>
      </c>
      <c r="G842" s="102" t="n">
        <v>258</v>
      </c>
      <c r="H842" s="103" t="s">
        <v>48</v>
      </c>
      <c r="I842" s="103">
        <f>IFERROR(VLOOKUP(A842,#REF!,15,0),0)+IFERROR(VLOOKUP(A842,#REF!,25,0),0)+IFERROR(VLOOKUP(A842,#REF!,10,0),0)+IFERROR(VLOOKUP(A842,#REF!,14,0),0)+IFERROR(VLOOKUP(A842,#REF!,11,0),0)+IFERROR(VLOOKUP(A842,#REF!,10,0),0)+IFERROR(VLOOKUP(A842,#REF!,10,0),0)+IFERROR(VLOOKUP(A842,#REF!,9,0),0)+IFERROR(VLOOKUP(A842,#REF!,9,0),0)+IFERROR(VLOOKUP(A842,#REF!,9,0),0)+IFERROR(VLOOKUP(A842,#REF!,9,0),0)</f>
        <v>0</v>
      </c>
      <c r="J842" s="104">
        <f>IFERROR(VLOOKUP(A842,#REF!,16,0),0)+IFERROR(VLOOKUP(A842,#REF!,26,0),0)+IFERROR(VLOOKUP(A842,#REF!,11,0),0)+IFERROR(VLOOKUP(A842,#REF!,23,0),0)+IFERROR(VLOOKUP(A842,#REF!,11,0),0)+IFERROR(VLOOKUP(A842,#REF!,11,0),0)+IFERROR(VLOOKUP(A842,#REF!,11,0),0)</f>
        <v>0</v>
      </c>
      <c r="K842" s="96" t="str">
        <f>"07.02.24"</f>
        <v>07.02.24</v>
      </c>
    </row>
    <row r="843" spans="1:11" ht="11.25" customHeight="1" outlineLevel="1">
      <c r="A843" s="89" t="n">
        <v>677350</v>
      </c>
      <c r="B843" s="114" t="s">
        <v>1201</v>
      </c>
      <c r="C843" s="89" t="s">
        <v>1205</v>
      </c>
      <c r="D843" s="89" t="s">
        <v>407</v>
      </c>
      <c r="E843" s="89" t="s">
        <v>1206</v>
      </c>
      <c r="F843" s="102" t="n">
        <v>202</v>
      </c>
      <c r="G843" s="102" t="n">
        <v>268</v>
      </c>
      <c r="H843" s="103" t="s">
        <v>48</v>
      </c>
      <c r="I843" s="103">
        <f>IFERROR(VLOOKUP(A843,#REF!,15,0),0)+IFERROR(VLOOKUP(A843,#REF!,25,0),0)+IFERROR(VLOOKUP(A843,#REF!,10,0),0)+IFERROR(VLOOKUP(A843,#REF!,14,0),0)+IFERROR(VLOOKUP(A843,#REF!,11,0),0)+IFERROR(VLOOKUP(A843,#REF!,10,0),0)+IFERROR(VLOOKUP(A843,#REF!,10,0),0)+IFERROR(VLOOKUP(A843,#REF!,9,0),0)+IFERROR(VLOOKUP(A843,#REF!,9,0),0)+IFERROR(VLOOKUP(A843,#REF!,9,0),0)+IFERROR(VLOOKUP(A843,#REF!,9,0),0)</f>
        <v>0</v>
      </c>
      <c r="J843" s="104">
        <f>IFERROR(VLOOKUP(A843,#REF!,16,0),0)+IFERROR(VLOOKUP(A843,#REF!,26,0),0)+IFERROR(VLOOKUP(A843,#REF!,11,0),0)+IFERROR(VLOOKUP(A843,#REF!,23,0),0)+IFERROR(VLOOKUP(A843,#REF!,11,0),0)+IFERROR(VLOOKUP(A843,#REF!,11,0),0)+IFERROR(VLOOKUP(A843,#REF!,11,0),0)</f>
        <v>0</v>
      </c>
      <c r="K843" s="96" t="str">
        <f>"07.02.24"</f>
        <v>07.02.24</v>
      </c>
    </row>
    <row r="844" spans="1:11" ht="11.25" customHeight="1" outlineLevel="1">
      <c r="A844" s="89" t="n">
        <v>677410</v>
      </c>
      <c r="B844" s="114" t="s">
        <v>1201</v>
      </c>
      <c r="C844" s="89" t="s">
        <v>1207</v>
      </c>
      <c r="D844" s="89" t="s">
        <v>407</v>
      </c>
      <c r="E844" s="89" t="s">
        <v>1208</v>
      </c>
      <c r="F844" s="102" t="n">
        <v>188</v>
      </c>
      <c r="G844" s="102" t="n">
        <v>249</v>
      </c>
      <c r="H844" s="103" t="s">
        <v>48</v>
      </c>
      <c r="I844" s="103">
        <f>IFERROR(VLOOKUP(A844,#REF!,15,0),0)+IFERROR(VLOOKUP(A844,#REF!,25,0),0)+IFERROR(VLOOKUP(A844,#REF!,10,0),0)+IFERROR(VLOOKUP(A844,#REF!,14,0),0)+IFERROR(VLOOKUP(A844,#REF!,11,0),0)+IFERROR(VLOOKUP(A844,#REF!,10,0),0)+IFERROR(VLOOKUP(A844,#REF!,10,0),0)+IFERROR(VLOOKUP(A844,#REF!,9,0),0)+IFERROR(VLOOKUP(A844,#REF!,9,0),0)+IFERROR(VLOOKUP(A844,#REF!,9,0),0)+IFERROR(VLOOKUP(A844,#REF!,9,0),0)</f>
        <v>0</v>
      </c>
      <c r="J844" s="104">
        <f>IFERROR(VLOOKUP(A844,#REF!,16,0),0)+IFERROR(VLOOKUP(A844,#REF!,26,0),0)+IFERROR(VLOOKUP(A844,#REF!,11,0),0)+IFERROR(VLOOKUP(A844,#REF!,23,0),0)+IFERROR(VLOOKUP(A844,#REF!,11,0),0)+IFERROR(VLOOKUP(A844,#REF!,11,0),0)+IFERROR(VLOOKUP(A844,#REF!,11,0),0)</f>
        <v>0</v>
      </c>
      <c r="K844" s="96" t="str">
        <f>"07.02.24"</f>
        <v>07.02.24</v>
      </c>
    </row>
    <row r="845" spans="1:11" ht="11.25" customHeight="1" outlineLevel="1">
      <c r="A845" s="89" t="n">
        <v>677430</v>
      </c>
      <c r="B845" s="114" t="s">
        <v>1201</v>
      </c>
      <c r="C845" s="89" t="s">
        <v>1209</v>
      </c>
      <c r="D845" s="89" t="s">
        <v>407</v>
      </c>
      <c r="E845" s="89" t="s">
        <v>1210</v>
      </c>
      <c r="F845" s="102" t="n">
        <v>204</v>
      </c>
      <c r="G845" s="102" t="n">
        <v>272</v>
      </c>
      <c r="H845" s="103" t="s">
        <v>48</v>
      </c>
      <c r="I845" s="103">
        <f>IFERROR(VLOOKUP(A845,#REF!,15,0),0)+IFERROR(VLOOKUP(A845,#REF!,25,0),0)+IFERROR(VLOOKUP(A845,#REF!,10,0),0)+IFERROR(VLOOKUP(A845,#REF!,14,0),0)+IFERROR(VLOOKUP(A845,#REF!,11,0),0)+IFERROR(VLOOKUP(A845,#REF!,10,0),0)+IFERROR(VLOOKUP(A845,#REF!,10,0),0)+IFERROR(VLOOKUP(A845,#REF!,9,0),0)+IFERROR(VLOOKUP(A845,#REF!,9,0),0)+IFERROR(VLOOKUP(A845,#REF!,9,0),0)+IFERROR(VLOOKUP(A845,#REF!,9,0),0)</f>
        <v>0</v>
      </c>
      <c r="J845" s="104">
        <f>IFERROR(VLOOKUP(A845,#REF!,16,0),0)+IFERROR(VLOOKUP(A845,#REF!,26,0),0)+IFERROR(VLOOKUP(A845,#REF!,11,0),0)+IFERROR(VLOOKUP(A845,#REF!,23,0),0)+IFERROR(VLOOKUP(A845,#REF!,11,0),0)+IFERROR(VLOOKUP(A845,#REF!,11,0),0)+IFERROR(VLOOKUP(A845,#REF!,11,0),0)</f>
        <v>0</v>
      </c>
      <c r="K845" s="96" t="str">
        <f>"07.02.24"</f>
        <v>07.02.24</v>
      </c>
    </row>
    <row r="846" spans="1:11" ht="11.25" customHeight="1" outlineLevel="1">
      <c r="A846" s="89" t="n">
        <v>677470</v>
      </c>
      <c r="B846" s="114" t="s">
        <v>1201</v>
      </c>
      <c r="C846" s="89" t="s">
        <v>1211</v>
      </c>
      <c r="D846" s="89" t="s">
        <v>407</v>
      </c>
      <c r="E846" s="89" t="s">
        <v>1212</v>
      </c>
      <c r="F846" s="102" t="n">
        <v>223</v>
      </c>
      <c r="G846" s="102" t="n">
        <v>293</v>
      </c>
      <c r="H846" s="103" t="s">
        <v>48</v>
      </c>
      <c r="I846" s="103">
        <f>IFERROR(VLOOKUP(A846,#REF!,15,0),0)+IFERROR(VLOOKUP(A846,#REF!,25,0),0)+IFERROR(VLOOKUP(A846,#REF!,10,0),0)+IFERROR(VLOOKUP(A846,#REF!,14,0),0)+IFERROR(VLOOKUP(A846,#REF!,11,0),0)+IFERROR(VLOOKUP(A846,#REF!,10,0),0)+IFERROR(VLOOKUP(A846,#REF!,10,0),0)+IFERROR(VLOOKUP(A846,#REF!,9,0),0)+IFERROR(VLOOKUP(A846,#REF!,9,0),0)+IFERROR(VLOOKUP(A846,#REF!,9,0),0)+IFERROR(VLOOKUP(A846,#REF!,9,0),0)</f>
        <v>0</v>
      </c>
      <c r="J846" s="104">
        <f>IFERROR(VLOOKUP(A846,#REF!,16,0),0)+IFERROR(VLOOKUP(A846,#REF!,26,0),0)+IFERROR(VLOOKUP(A846,#REF!,11,0),0)+IFERROR(VLOOKUP(A846,#REF!,23,0),0)+IFERROR(VLOOKUP(A846,#REF!,11,0),0)+IFERROR(VLOOKUP(A846,#REF!,11,0),0)+IFERROR(VLOOKUP(A846,#REF!,11,0),0)</f>
        <v>0</v>
      </c>
      <c r="K846" s="96" t="str">
        <f>"07.02.24"</f>
        <v>07.02.24</v>
      </c>
    </row>
    <row r="847" spans="1:11" ht="11.25" customHeight="1" outlineLevel="1">
      <c r="A847" s="89" t="n">
        <v>677490</v>
      </c>
      <c r="B847" s="114" t="s">
        <v>1201</v>
      </c>
      <c r="C847" s="89" t="s">
        <v>1213</v>
      </c>
      <c r="D847" s="89" t="s">
        <v>407</v>
      </c>
      <c r="E847" s="89" t="s">
        <v>1214</v>
      </c>
      <c r="F847" s="102" t="n">
        <v>204</v>
      </c>
      <c r="G847" s="102" t="n">
        <v>272</v>
      </c>
      <c r="H847" s="103" t="s">
        <v>48</v>
      </c>
      <c r="I847" s="103">
        <f>IFERROR(VLOOKUP(A847,#REF!,15,0),0)+IFERROR(VLOOKUP(A847,#REF!,25,0),0)+IFERROR(VLOOKUP(A847,#REF!,10,0),0)+IFERROR(VLOOKUP(A847,#REF!,14,0),0)+IFERROR(VLOOKUP(A847,#REF!,11,0),0)+IFERROR(VLOOKUP(A847,#REF!,10,0),0)+IFERROR(VLOOKUP(A847,#REF!,10,0),0)+IFERROR(VLOOKUP(A847,#REF!,9,0),0)+IFERROR(VLOOKUP(A847,#REF!,9,0),0)+IFERROR(VLOOKUP(A847,#REF!,9,0),0)+IFERROR(VLOOKUP(A847,#REF!,9,0),0)</f>
        <v>0</v>
      </c>
      <c r="J847" s="104">
        <f>IFERROR(VLOOKUP(A847,#REF!,16,0),0)+IFERROR(VLOOKUP(A847,#REF!,26,0),0)+IFERROR(VLOOKUP(A847,#REF!,11,0),0)+IFERROR(VLOOKUP(A847,#REF!,23,0),0)+IFERROR(VLOOKUP(A847,#REF!,11,0),0)+IFERROR(VLOOKUP(A847,#REF!,11,0),0)+IFERROR(VLOOKUP(A847,#REF!,11,0),0)</f>
        <v>0</v>
      </c>
      <c r="K847" s="96" t="str">
        <f>"07.02.24"</f>
        <v>07.02.24</v>
      </c>
    </row>
    <row r="848" spans="1:11" ht="11.25" customHeight="1" outlineLevel="1">
      <c r="A848" s="89" t="n">
        <v>677540</v>
      </c>
      <c r="B848" s="114" t="s">
        <v>1201</v>
      </c>
      <c r="C848" s="89" t="s">
        <v>1215</v>
      </c>
      <c r="D848" s="89" t="s">
        <v>407</v>
      </c>
      <c r="E848" s="89" t="s">
        <v>1216</v>
      </c>
      <c r="F848" s="102" t="n">
        <v>204</v>
      </c>
      <c r="G848" s="102" t="n">
        <v>272</v>
      </c>
      <c r="H848" s="103" t="s">
        <v>17</v>
      </c>
      <c r="I848" s="103">
        <f>IFERROR(VLOOKUP(A848,#REF!,15,0),0)+IFERROR(VLOOKUP(A848,#REF!,25,0),0)+IFERROR(VLOOKUP(A848,#REF!,10,0),0)+IFERROR(VLOOKUP(A848,#REF!,14,0),0)+IFERROR(VLOOKUP(A848,#REF!,11,0),0)+IFERROR(VLOOKUP(A848,#REF!,10,0),0)+IFERROR(VLOOKUP(A848,#REF!,10,0),0)+IFERROR(VLOOKUP(A848,#REF!,9,0),0)+IFERROR(VLOOKUP(A848,#REF!,9,0),0)+IFERROR(VLOOKUP(A848,#REF!,9,0),0)+IFERROR(VLOOKUP(A848,#REF!,9,0),0)</f>
        <v>0</v>
      </c>
      <c r="J848" s="104">
        <f>IFERROR(VLOOKUP(A848,#REF!,16,0),0)+IFERROR(VLOOKUP(A848,#REF!,26,0),0)+IFERROR(VLOOKUP(A848,#REF!,11,0),0)+IFERROR(VLOOKUP(A848,#REF!,23,0),0)+IFERROR(VLOOKUP(A848,#REF!,11,0),0)+IFERROR(VLOOKUP(A848,#REF!,11,0),0)+IFERROR(VLOOKUP(A848,#REF!,11,0),0)</f>
        <v>0</v>
      </c>
      <c r="K848" s="96" t="str">
        <f>"07.02.24"</f>
        <v>07.02.24</v>
      </c>
    </row>
    <row r="849" spans="1:11" ht="11.25" customHeight="1" outlineLevel="1">
      <c r="A849" s="89" t="n">
        <v>677560</v>
      </c>
      <c r="B849" s="114" t="s">
        <v>1201</v>
      </c>
      <c r="C849" s="89" t="s">
        <v>1217</v>
      </c>
      <c r="D849" s="89" t="s">
        <v>407</v>
      </c>
      <c r="E849" s="89" t="s">
        <v>1218</v>
      </c>
      <c r="F849" s="102" t="n">
        <v>204</v>
      </c>
      <c r="G849" s="102" t="n">
        <v>272</v>
      </c>
      <c r="H849" s="103" t="s">
        <v>17</v>
      </c>
      <c r="I849" s="103">
        <f>IFERROR(VLOOKUP(A849,#REF!,15,0),0)+IFERROR(VLOOKUP(A849,#REF!,25,0),0)+IFERROR(VLOOKUP(A849,#REF!,10,0),0)+IFERROR(VLOOKUP(A849,#REF!,14,0),0)+IFERROR(VLOOKUP(A849,#REF!,11,0),0)+IFERROR(VLOOKUP(A849,#REF!,10,0),0)+IFERROR(VLOOKUP(A849,#REF!,10,0),0)+IFERROR(VLOOKUP(A849,#REF!,9,0),0)+IFERROR(VLOOKUP(A849,#REF!,9,0),0)+IFERROR(VLOOKUP(A849,#REF!,9,0),0)+IFERROR(VLOOKUP(A849,#REF!,9,0),0)</f>
        <v>0</v>
      </c>
      <c r="J849" s="104">
        <f>IFERROR(VLOOKUP(A849,#REF!,16,0),0)+IFERROR(VLOOKUP(A849,#REF!,26,0),0)+IFERROR(VLOOKUP(A849,#REF!,11,0),0)+IFERROR(VLOOKUP(A849,#REF!,23,0),0)+IFERROR(VLOOKUP(A849,#REF!,11,0),0)+IFERROR(VLOOKUP(A849,#REF!,11,0),0)+IFERROR(VLOOKUP(A849,#REF!,11,0),0)</f>
        <v>0</v>
      </c>
      <c r="K849" s="96" t="str">
        <f>"07.02.24"</f>
        <v>07.02.24</v>
      </c>
    </row>
    <row r="850" spans="1:11" ht="11.25" customHeight="1" outlineLevel="1">
      <c r="A850" s="89" t="n">
        <v>678550</v>
      </c>
      <c r="B850" s="114" t="s">
        <v>1201</v>
      </c>
      <c r="C850" s="89" t="s">
        <v>1219</v>
      </c>
      <c r="D850" s="89" t="s">
        <v>407</v>
      </c>
      <c r="E850" s="89" t="s">
        <v>1220</v>
      </c>
      <c r="F850" s="102" t="n">
        <v>342</v>
      </c>
      <c r="G850" s="102" t="n">
        <v>453</v>
      </c>
      <c r="H850" s="103" t="s">
        <v>48</v>
      </c>
      <c r="I850" s="103">
        <f>IFERROR(VLOOKUP(A850,#REF!,15,0),0)+IFERROR(VLOOKUP(A850,#REF!,25,0),0)+IFERROR(VLOOKUP(A850,#REF!,10,0),0)+IFERROR(VLOOKUP(A850,#REF!,14,0),0)+IFERROR(VLOOKUP(A850,#REF!,11,0),0)+IFERROR(VLOOKUP(A850,#REF!,10,0),0)+IFERROR(VLOOKUP(A850,#REF!,10,0),0)+IFERROR(VLOOKUP(A850,#REF!,9,0),0)+IFERROR(VLOOKUP(A850,#REF!,9,0),0)+IFERROR(VLOOKUP(A850,#REF!,9,0),0)+IFERROR(VLOOKUP(A850,#REF!,9,0),0)</f>
        <v>0</v>
      </c>
      <c r="J850" s="104">
        <f>IFERROR(VLOOKUP(A850,#REF!,16,0),0)+IFERROR(VLOOKUP(A850,#REF!,26,0),0)+IFERROR(VLOOKUP(A850,#REF!,11,0),0)+IFERROR(VLOOKUP(A850,#REF!,23,0),0)+IFERROR(VLOOKUP(A850,#REF!,11,0),0)+IFERROR(VLOOKUP(A850,#REF!,11,0),0)+IFERROR(VLOOKUP(A850,#REF!,11,0),0)</f>
        <v>0</v>
      </c>
      <c r="K850" s="96" t="str">
        <f>"07.02.24"</f>
        <v>07.02.24</v>
      </c>
    </row>
    <row r="851" spans="1:11" ht="11.25" customHeight="1" outlineLevel="1">
      <c r="A851" s="89" t="n">
        <v>678570</v>
      </c>
      <c r="B851" s="114" t="s">
        <v>1201</v>
      </c>
      <c r="C851" s="89" t="s">
        <v>1221</v>
      </c>
      <c r="D851" s="89" t="s">
        <v>407</v>
      </c>
      <c r="E851" s="89" t="s">
        <v>1222</v>
      </c>
      <c r="F851" s="102" t="n">
        <v>369</v>
      </c>
      <c r="G851" s="102" t="n">
        <v>490</v>
      </c>
      <c r="H851" s="103" t="s">
        <v>48</v>
      </c>
      <c r="I851" s="103">
        <f>IFERROR(VLOOKUP(A851,#REF!,15,0),0)+IFERROR(VLOOKUP(A851,#REF!,25,0),0)+IFERROR(VLOOKUP(A851,#REF!,10,0),0)+IFERROR(VLOOKUP(A851,#REF!,14,0),0)+IFERROR(VLOOKUP(A851,#REF!,11,0),0)+IFERROR(VLOOKUP(A851,#REF!,10,0),0)+IFERROR(VLOOKUP(A851,#REF!,10,0),0)+IFERROR(VLOOKUP(A851,#REF!,9,0),0)+IFERROR(VLOOKUP(A851,#REF!,9,0),0)+IFERROR(VLOOKUP(A851,#REF!,9,0),0)+IFERROR(VLOOKUP(A851,#REF!,9,0),0)</f>
        <v>0</v>
      </c>
      <c r="J851" s="104">
        <f>IFERROR(VLOOKUP(A851,#REF!,16,0),0)+IFERROR(VLOOKUP(A851,#REF!,26,0),0)+IFERROR(VLOOKUP(A851,#REF!,11,0),0)+IFERROR(VLOOKUP(A851,#REF!,23,0),0)+IFERROR(VLOOKUP(A851,#REF!,11,0),0)+IFERROR(VLOOKUP(A851,#REF!,11,0),0)+IFERROR(VLOOKUP(A851,#REF!,11,0),0)</f>
        <v>0</v>
      </c>
      <c r="K851" s="96" t="str">
        <f>"07.02.24"</f>
        <v>07.02.24</v>
      </c>
    </row>
    <row r="852" spans="1:11" ht="11.25" customHeight="1" outlineLevel="1">
      <c r="A852" s="89" t="n">
        <v>678590</v>
      </c>
      <c r="B852" s="114" t="s">
        <v>1201</v>
      </c>
      <c r="C852" s="89" t="s">
        <v>1223</v>
      </c>
      <c r="D852" s="89" t="s">
        <v>407</v>
      </c>
      <c r="E852" s="89" t="s">
        <v>1224</v>
      </c>
      <c r="F852" s="102" t="n">
        <v>317</v>
      </c>
      <c r="G852" s="102" t="n">
        <v>420</v>
      </c>
      <c r="H852" s="103" t="s">
        <v>17</v>
      </c>
      <c r="I852" s="103">
        <f>IFERROR(VLOOKUP(A852,#REF!,15,0),0)+IFERROR(VLOOKUP(A852,#REF!,25,0),0)+IFERROR(VLOOKUP(A852,#REF!,10,0),0)+IFERROR(VLOOKUP(A852,#REF!,14,0),0)+IFERROR(VLOOKUP(A852,#REF!,11,0),0)+IFERROR(VLOOKUP(A852,#REF!,10,0),0)+IFERROR(VLOOKUP(A852,#REF!,10,0),0)+IFERROR(VLOOKUP(A852,#REF!,9,0),0)+IFERROR(VLOOKUP(A852,#REF!,9,0),0)+IFERROR(VLOOKUP(A852,#REF!,9,0),0)+IFERROR(VLOOKUP(A852,#REF!,9,0),0)</f>
        <v>0</v>
      </c>
      <c r="J852" s="104">
        <f>IFERROR(VLOOKUP(A852,#REF!,16,0),0)+IFERROR(VLOOKUP(A852,#REF!,26,0),0)+IFERROR(VLOOKUP(A852,#REF!,11,0),0)+IFERROR(VLOOKUP(A852,#REF!,23,0),0)+IFERROR(VLOOKUP(A852,#REF!,11,0),0)+IFERROR(VLOOKUP(A852,#REF!,11,0),0)+IFERROR(VLOOKUP(A852,#REF!,11,0),0)</f>
        <v>0</v>
      </c>
      <c r="K852" s="96" t="str">
        <f>"07.02.24"</f>
        <v>07.02.24</v>
      </c>
    </row>
    <row r="853" spans="1:11" ht="11.25" customHeight="1" outlineLevel="1">
      <c r="A853" s="89" t="n">
        <v>678610</v>
      </c>
      <c r="B853" s="114" t="s">
        <v>1201</v>
      </c>
      <c r="C853" s="89" t="s">
        <v>1225</v>
      </c>
      <c r="D853" s="89" t="s">
        <v>407</v>
      </c>
      <c r="E853" s="89" t="s">
        <v>1226</v>
      </c>
      <c r="F853" s="102" t="n">
        <v>317</v>
      </c>
      <c r="G853" s="102" t="n">
        <v>420</v>
      </c>
      <c r="H853" s="103" t="s">
        <v>17</v>
      </c>
      <c r="I853" s="103">
        <f>IFERROR(VLOOKUP(A853,#REF!,15,0),0)+IFERROR(VLOOKUP(A853,#REF!,25,0),0)+IFERROR(VLOOKUP(A853,#REF!,10,0),0)+IFERROR(VLOOKUP(A853,#REF!,14,0),0)+IFERROR(VLOOKUP(A853,#REF!,11,0),0)+IFERROR(VLOOKUP(A853,#REF!,10,0),0)+IFERROR(VLOOKUP(A853,#REF!,10,0),0)+IFERROR(VLOOKUP(A853,#REF!,9,0),0)+IFERROR(VLOOKUP(A853,#REF!,9,0),0)+IFERROR(VLOOKUP(A853,#REF!,9,0),0)+IFERROR(VLOOKUP(A853,#REF!,9,0),0)</f>
        <v>0</v>
      </c>
      <c r="J853" s="104">
        <f>IFERROR(VLOOKUP(A853,#REF!,16,0),0)+IFERROR(VLOOKUP(A853,#REF!,26,0),0)+IFERROR(VLOOKUP(A853,#REF!,11,0),0)+IFERROR(VLOOKUP(A853,#REF!,23,0),0)+IFERROR(VLOOKUP(A853,#REF!,11,0),0)+IFERROR(VLOOKUP(A853,#REF!,11,0),0)+IFERROR(VLOOKUP(A853,#REF!,11,0),0)</f>
        <v>0</v>
      </c>
      <c r="K853" s="96" t="str">
        <f>"07.02.24"</f>
        <v>07.02.24</v>
      </c>
    </row>
    <row r="854" spans="1:11" ht="11.25" customHeight="1" outlineLevel="1">
      <c r="A854" s="89" t="n">
        <v>680750</v>
      </c>
      <c r="B854" s="114" t="s">
        <v>1201</v>
      </c>
      <c r="C854" s="89" t="s">
        <v>1227</v>
      </c>
      <c r="D854" s="89" t="s">
        <v>15</v>
      </c>
      <c r="E854" s="89" t="s">
        <v>1228</v>
      </c>
      <c r="F854" s="102" t="n">
        <v>160</v>
      </c>
      <c r="G854" s="102" t="n">
        <v>214</v>
      </c>
      <c r="H854" s="103" t="s">
        <v>17</v>
      </c>
      <c r="I854" s="103">
        <f>IFERROR(VLOOKUP(A854,#REF!,15,0),0)+IFERROR(VLOOKUP(A854,#REF!,25,0),0)+IFERROR(VLOOKUP(A854,#REF!,10,0),0)+IFERROR(VLOOKUP(A854,#REF!,14,0),0)+IFERROR(VLOOKUP(A854,#REF!,11,0),0)+IFERROR(VLOOKUP(A854,#REF!,10,0),0)+IFERROR(VLOOKUP(A854,#REF!,10,0),0)+IFERROR(VLOOKUP(A854,#REF!,9,0),0)+IFERROR(VLOOKUP(A854,#REF!,9,0),0)+IFERROR(VLOOKUP(A854,#REF!,9,0),0)+IFERROR(VLOOKUP(A854,#REF!,9,0),0)</f>
        <v>0</v>
      </c>
      <c r="J854" s="104">
        <f>IFERROR(VLOOKUP(A854,#REF!,16,0),0)+IFERROR(VLOOKUP(A854,#REF!,26,0),0)+IFERROR(VLOOKUP(A854,#REF!,11,0),0)+IFERROR(VLOOKUP(A854,#REF!,23,0),0)+IFERROR(VLOOKUP(A854,#REF!,11,0),0)+IFERROR(VLOOKUP(A854,#REF!,11,0),0)+IFERROR(VLOOKUP(A854,#REF!,11,0),0)</f>
        <v>0</v>
      </c>
      <c r="K854" s="96" t="str">
        <f>"07.02.24"</f>
        <v>07.02.24</v>
      </c>
    </row>
    <row r="855" spans="1:11" ht="11.25" customHeight="1" outlineLevel="1">
      <c r="A855" s="89" t="n">
        <v>680780</v>
      </c>
      <c r="B855" s="114" t="s">
        <v>1201</v>
      </c>
      <c r="C855" s="89" t="s">
        <v>1229</v>
      </c>
      <c r="D855" s="89" t="s">
        <v>15</v>
      </c>
      <c r="E855" s="89" t="s">
        <v>1230</v>
      </c>
      <c r="F855" s="102" t="n">
        <v>160</v>
      </c>
      <c r="G855" s="102" t="n">
        <v>214</v>
      </c>
      <c r="H855" s="103" t="s">
        <v>17</v>
      </c>
      <c r="I855" s="103">
        <f>IFERROR(VLOOKUP(A855,#REF!,15,0),0)+IFERROR(VLOOKUP(A855,#REF!,25,0),0)+IFERROR(VLOOKUP(A855,#REF!,10,0),0)+IFERROR(VLOOKUP(A855,#REF!,14,0),0)+IFERROR(VLOOKUP(A855,#REF!,11,0),0)+IFERROR(VLOOKUP(A855,#REF!,10,0),0)+IFERROR(VLOOKUP(A855,#REF!,10,0),0)+IFERROR(VLOOKUP(A855,#REF!,9,0),0)+IFERROR(VLOOKUP(A855,#REF!,9,0),0)+IFERROR(VLOOKUP(A855,#REF!,9,0),0)+IFERROR(VLOOKUP(A855,#REF!,9,0),0)</f>
        <v>0</v>
      </c>
      <c r="J855" s="104">
        <f>IFERROR(VLOOKUP(A855,#REF!,16,0),0)+IFERROR(VLOOKUP(A855,#REF!,26,0),0)+IFERROR(VLOOKUP(A855,#REF!,11,0),0)+IFERROR(VLOOKUP(A855,#REF!,23,0),0)+IFERROR(VLOOKUP(A855,#REF!,11,0),0)+IFERROR(VLOOKUP(A855,#REF!,11,0),0)+IFERROR(VLOOKUP(A855,#REF!,11,0),0)</f>
        <v>0</v>
      </c>
      <c r="K855" s="96" t="str">
        <f>"07.02.24"</f>
        <v>07.02.24</v>
      </c>
    </row>
    <row r="856" spans="1:11" ht="11.25" customHeight="1" outlineLevel="1">
      <c r="A856" s="89" t="n">
        <v>680790</v>
      </c>
      <c r="B856" s="114" t="s">
        <v>1201</v>
      </c>
      <c r="C856" s="89" t="s">
        <v>1231</v>
      </c>
      <c r="D856" s="89" t="s">
        <v>15</v>
      </c>
      <c r="E856" s="89" t="s">
        <v>1232</v>
      </c>
      <c r="F856" s="102" t="n">
        <v>160</v>
      </c>
      <c r="G856" s="102" t="n">
        <v>214</v>
      </c>
      <c r="H856" s="103" t="s">
        <v>17</v>
      </c>
      <c r="I856" s="103">
        <f>IFERROR(VLOOKUP(A856,#REF!,15,0),0)+IFERROR(VLOOKUP(A856,#REF!,25,0),0)+IFERROR(VLOOKUP(A856,#REF!,10,0),0)+IFERROR(VLOOKUP(A856,#REF!,14,0),0)+IFERROR(VLOOKUP(A856,#REF!,11,0),0)+IFERROR(VLOOKUP(A856,#REF!,10,0),0)+IFERROR(VLOOKUP(A856,#REF!,10,0),0)+IFERROR(VLOOKUP(A856,#REF!,9,0),0)+IFERROR(VLOOKUP(A856,#REF!,9,0),0)+IFERROR(VLOOKUP(A856,#REF!,9,0),0)+IFERROR(VLOOKUP(A856,#REF!,9,0),0)</f>
        <v>0</v>
      </c>
      <c r="J856" s="104">
        <f>IFERROR(VLOOKUP(A856,#REF!,16,0),0)+IFERROR(VLOOKUP(A856,#REF!,26,0),0)+IFERROR(VLOOKUP(A856,#REF!,11,0),0)+IFERROR(VLOOKUP(A856,#REF!,23,0),0)+IFERROR(VLOOKUP(A856,#REF!,11,0),0)+IFERROR(VLOOKUP(A856,#REF!,11,0),0)+IFERROR(VLOOKUP(A856,#REF!,11,0),0)</f>
        <v>0</v>
      </c>
      <c r="K856" s="96" t="str">
        <f>"07.02.24"</f>
        <v>07.02.24</v>
      </c>
    </row>
    <row r="857" spans="1:11" ht="11.25" customHeight="1" outlineLevel="1">
      <c r="A857" s="89" t="n">
        <v>680800</v>
      </c>
      <c r="B857" s="114" t="s">
        <v>1201</v>
      </c>
      <c r="C857" s="89" t="s">
        <v>1233</v>
      </c>
      <c r="D857" s="89" t="s">
        <v>15</v>
      </c>
      <c r="E857" s="89" t="s">
        <v>1234</v>
      </c>
      <c r="F857" s="102" t="n">
        <v>160</v>
      </c>
      <c r="G857" s="102" t="n">
        <v>214</v>
      </c>
      <c r="H857" s="103" t="s">
        <v>48</v>
      </c>
      <c r="I857" s="103">
        <f>IFERROR(VLOOKUP(A857,#REF!,15,0),0)+IFERROR(VLOOKUP(A857,#REF!,25,0),0)+IFERROR(VLOOKUP(A857,#REF!,10,0),0)+IFERROR(VLOOKUP(A857,#REF!,14,0),0)+IFERROR(VLOOKUP(A857,#REF!,11,0),0)+IFERROR(VLOOKUP(A857,#REF!,10,0),0)+IFERROR(VLOOKUP(A857,#REF!,10,0),0)+IFERROR(VLOOKUP(A857,#REF!,9,0),0)+IFERROR(VLOOKUP(A857,#REF!,9,0),0)+IFERROR(VLOOKUP(A857,#REF!,9,0),0)+IFERROR(VLOOKUP(A857,#REF!,9,0),0)</f>
        <v>0</v>
      </c>
      <c r="J857" s="104">
        <f>IFERROR(VLOOKUP(A857,#REF!,16,0),0)+IFERROR(VLOOKUP(A857,#REF!,26,0),0)+IFERROR(VLOOKUP(A857,#REF!,11,0),0)+IFERROR(VLOOKUP(A857,#REF!,23,0),0)+IFERROR(VLOOKUP(A857,#REF!,11,0),0)+IFERROR(VLOOKUP(A857,#REF!,11,0),0)+IFERROR(VLOOKUP(A857,#REF!,11,0),0)</f>
        <v>0</v>
      </c>
      <c r="K857" s="96" t="str">
        <f>"07.02.24"</f>
        <v>07.02.24</v>
      </c>
    </row>
    <row r="858" spans="1:11" ht="11.25" customHeight="1" outlineLevel="1">
      <c r="A858" s="89" t="n">
        <v>680840</v>
      </c>
      <c r="B858" s="114" t="s">
        <v>1201</v>
      </c>
      <c r="C858" s="89" t="s">
        <v>1235</v>
      </c>
      <c r="D858" s="89" t="s">
        <v>15</v>
      </c>
      <c r="E858" s="89" t="s">
        <v>1236</v>
      </c>
      <c r="F858" s="102" t="n">
        <v>376</v>
      </c>
      <c r="G858" s="102" t="n">
        <v>502</v>
      </c>
      <c r="H858" s="103" t="s">
        <v>17</v>
      </c>
      <c r="I858" s="103">
        <f>IFERROR(VLOOKUP(A858,#REF!,15,0),0)+IFERROR(VLOOKUP(A858,#REF!,25,0),0)+IFERROR(VLOOKUP(A858,#REF!,10,0),0)+IFERROR(VLOOKUP(A858,#REF!,14,0),0)+IFERROR(VLOOKUP(A858,#REF!,11,0),0)+IFERROR(VLOOKUP(A858,#REF!,10,0),0)+IFERROR(VLOOKUP(A858,#REF!,10,0),0)+IFERROR(VLOOKUP(A858,#REF!,9,0),0)+IFERROR(VLOOKUP(A858,#REF!,9,0),0)+IFERROR(VLOOKUP(A858,#REF!,9,0),0)+IFERROR(VLOOKUP(A858,#REF!,9,0),0)</f>
        <v>0</v>
      </c>
      <c r="J858" s="104">
        <f>IFERROR(VLOOKUP(A858,#REF!,16,0),0)+IFERROR(VLOOKUP(A858,#REF!,26,0),0)+IFERROR(VLOOKUP(A858,#REF!,11,0),0)+IFERROR(VLOOKUP(A858,#REF!,23,0),0)+IFERROR(VLOOKUP(A858,#REF!,11,0),0)+IFERROR(VLOOKUP(A858,#REF!,11,0),0)+IFERROR(VLOOKUP(A858,#REF!,11,0),0)</f>
        <v>0</v>
      </c>
      <c r="K858" s="96" t="str">
        <f>"07.02.24"</f>
        <v>07.02.24</v>
      </c>
    </row>
    <row r="859" spans="1:11" ht="11.25" customHeight="1" outlineLevel="1">
      <c r="A859" s="89" t="n">
        <v>680870</v>
      </c>
      <c r="B859" s="114" t="s">
        <v>1201</v>
      </c>
      <c r="C859" s="89" t="s">
        <v>1237</v>
      </c>
      <c r="D859" s="89" t="s">
        <v>15</v>
      </c>
      <c r="E859" s="89" t="s">
        <v>1238</v>
      </c>
      <c r="F859" s="102" t="n">
        <v>376</v>
      </c>
      <c r="G859" s="102" t="n">
        <v>502</v>
      </c>
      <c r="H859" s="103" t="s">
        <v>48</v>
      </c>
      <c r="I859" s="103">
        <f>IFERROR(VLOOKUP(A859,#REF!,15,0),0)+IFERROR(VLOOKUP(A859,#REF!,25,0),0)+IFERROR(VLOOKUP(A859,#REF!,10,0),0)+IFERROR(VLOOKUP(A859,#REF!,14,0),0)+IFERROR(VLOOKUP(A859,#REF!,11,0),0)+IFERROR(VLOOKUP(A859,#REF!,10,0),0)+IFERROR(VLOOKUP(A859,#REF!,10,0),0)+IFERROR(VLOOKUP(A859,#REF!,9,0),0)+IFERROR(VLOOKUP(A859,#REF!,9,0),0)+IFERROR(VLOOKUP(A859,#REF!,9,0),0)+IFERROR(VLOOKUP(A859,#REF!,9,0),0)</f>
        <v>0</v>
      </c>
      <c r="J859" s="104">
        <f>IFERROR(VLOOKUP(A859,#REF!,16,0),0)+IFERROR(VLOOKUP(A859,#REF!,26,0),0)+IFERROR(VLOOKUP(A859,#REF!,11,0),0)+IFERROR(VLOOKUP(A859,#REF!,23,0),0)+IFERROR(VLOOKUP(A859,#REF!,11,0),0)+IFERROR(VLOOKUP(A859,#REF!,11,0),0)+IFERROR(VLOOKUP(A859,#REF!,11,0),0)</f>
        <v>0</v>
      </c>
      <c r="K859" s="96" t="str">
        <f>"07.02.24"</f>
        <v>07.02.24</v>
      </c>
    </row>
    <row r="860" spans="1:11" ht="11.25" customHeight="1" outlineLevel="1">
      <c r="A860" s="89" t="n">
        <v>680880</v>
      </c>
      <c r="B860" s="114" t="s">
        <v>1201</v>
      </c>
      <c r="C860" s="89" t="s">
        <v>1239</v>
      </c>
      <c r="D860" s="89" t="s">
        <v>15</v>
      </c>
      <c r="E860" s="89" t="s">
        <v>1240</v>
      </c>
      <c r="F860" s="102" t="n">
        <v>376</v>
      </c>
      <c r="G860" s="102" t="n">
        <v>502</v>
      </c>
      <c r="H860" s="103" t="s">
        <v>17</v>
      </c>
      <c r="I860" s="103">
        <f>IFERROR(VLOOKUP(A860,#REF!,15,0),0)+IFERROR(VLOOKUP(A860,#REF!,25,0),0)+IFERROR(VLOOKUP(A860,#REF!,10,0),0)+IFERROR(VLOOKUP(A860,#REF!,14,0),0)+IFERROR(VLOOKUP(A860,#REF!,11,0),0)+IFERROR(VLOOKUP(A860,#REF!,10,0),0)+IFERROR(VLOOKUP(A860,#REF!,10,0),0)+IFERROR(VLOOKUP(A860,#REF!,9,0),0)+IFERROR(VLOOKUP(A860,#REF!,9,0),0)+IFERROR(VLOOKUP(A860,#REF!,9,0),0)+IFERROR(VLOOKUP(A860,#REF!,9,0),0)</f>
        <v>0</v>
      </c>
      <c r="J860" s="104">
        <f>IFERROR(VLOOKUP(A860,#REF!,16,0),0)+IFERROR(VLOOKUP(A860,#REF!,26,0),0)+IFERROR(VLOOKUP(A860,#REF!,11,0),0)+IFERROR(VLOOKUP(A860,#REF!,23,0),0)+IFERROR(VLOOKUP(A860,#REF!,11,0),0)+IFERROR(VLOOKUP(A860,#REF!,11,0),0)+IFERROR(VLOOKUP(A860,#REF!,11,0),0)</f>
        <v>0</v>
      </c>
      <c r="K860" s="96" t="str">
        <f>"07.02.24"</f>
        <v>07.02.24</v>
      </c>
    </row>
    <row r="861" spans="1:11" ht="11.25" customHeight="1" outlineLevel="1">
      <c r="A861" s="89" t="n">
        <v>680890</v>
      </c>
      <c r="B861" s="114" t="s">
        <v>1201</v>
      </c>
      <c r="C861" s="89" t="s">
        <v>1241</v>
      </c>
      <c r="D861" s="89" t="s">
        <v>15</v>
      </c>
      <c r="E861" s="89" t="s">
        <v>1242</v>
      </c>
      <c r="F861" s="102" t="n">
        <v>376</v>
      </c>
      <c r="G861" s="102" t="n">
        <v>502</v>
      </c>
      <c r="H861" s="103" t="s">
        <v>17</v>
      </c>
      <c r="I861" s="103">
        <f>IFERROR(VLOOKUP(A861,#REF!,15,0),0)+IFERROR(VLOOKUP(A861,#REF!,25,0),0)+IFERROR(VLOOKUP(A861,#REF!,10,0),0)+IFERROR(VLOOKUP(A861,#REF!,14,0),0)+IFERROR(VLOOKUP(A861,#REF!,11,0),0)+IFERROR(VLOOKUP(A861,#REF!,10,0),0)+IFERROR(VLOOKUP(A861,#REF!,10,0),0)+IFERROR(VLOOKUP(A861,#REF!,9,0),0)+IFERROR(VLOOKUP(A861,#REF!,9,0),0)+IFERROR(VLOOKUP(A861,#REF!,9,0),0)+IFERROR(VLOOKUP(A861,#REF!,9,0),0)</f>
        <v>0</v>
      </c>
      <c r="J861" s="104">
        <f>IFERROR(VLOOKUP(A861,#REF!,16,0),0)+IFERROR(VLOOKUP(A861,#REF!,26,0),0)+IFERROR(VLOOKUP(A861,#REF!,11,0),0)+IFERROR(VLOOKUP(A861,#REF!,23,0),0)+IFERROR(VLOOKUP(A861,#REF!,11,0),0)+IFERROR(VLOOKUP(A861,#REF!,11,0),0)+IFERROR(VLOOKUP(A861,#REF!,11,0),0)</f>
        <v>0</v>
      </c>
      <c r="K861" s="96" t="str">
        <f>"07.02.24"</f>
        <v>07.02.24</v>
      </c>
    </row>
    <row r="862" spans="1:11" ht="11.25" customHeight="1" outlineLevel="1">
      <c r="A862" s="89" t="n">
        <v>993420</v>
      </c>
      <c r="B862" s="114" t="s">
        <v>1201</v>
      </c>
      <c r="C862" s="89" t="s">
        <v>1243</v>
      </c>
      <c r="D862" s="89" t="s">
        <v>15</v>
      </c>
      <c r="E862" s="89" t="s">
        <v>1244</v>
      </c>
      <c r="F862" s="102" t="n">
        <v>182</v>
      </c>
      <c r="G862" s="102" t="n">
        <v>242</v>
      </c>
      <c r="H862" s="103" t="s">
        <v>17</v>
      </c>
      <c r="I862" s="103">
        <f>IFERROR(VLOOKUP(A862,#REF!,15,0),0)+IFERROR(VLOOKUP(A862,#REF!,25,0),0)+IFERROR(VLOOKUP(A862,#REF!,10,0),0)+IFERROR(VLOOKUP(A862,#REF!,14,0),0)+IFERROR(VLOOKUP(A862,#REF!,11,0),0)+IFERROR(VLOOKUP(A862,#REF!,10,0),0)+IFERROR(VLOOKUP(A862,#REF!,10,0),0)+IFERROR(VLOOKUP(A862,#REF!,9,0),0)+IFERROR(VLOOKUP(A862,#REF!,9,0),0)+IFERROR(VLOOKUP(A862,#REF!,9,0),0)+IFERROR(VLOOKUP(A862,#REF!,9,0),0)</f>
        <v>0</v>
      </c>
      <c r="J862" s="104">
        <f>IFERROR(VLOOKUP(A862,#REF!,16,0),0)+IFERROR(VLOOKUP(A862,#REF!,26,0),0)+IFERROR(VLOOKUP(A862,#REF!,11,0),0)+IFERROR(VLOOKUP(A862,#REF!,23,0),0)+IFERROR(VLOOKUP(A862,#REF!,11,0),0)+IFERROR(VLOOKUP(A862,#REF!,11,0),0)+IFERROR(VLOOKUP(A862,#REF!,11,0),0)</f>
        <v>0</v>
      </c>
      <c r="K862" s="96" t="str">
        <f>"07.02.24"</f>
        <v>07.02.24</v>
      </c>
    </row>
    <row r="863" spans="1:11" ht="11.25" customHeight="1" outlineLevel="1">
      <c r="A863" s="89" t="n">
        <v>993450</v>
      </c>
      <c r="B863" s="114" t="s">
        <v>1201</v>
      </c>
      <c r="C863" s="89" t="s">
        <v>1245</v>
      </c>
      <c r="D863" s="89" t="s">
        <v>15</v>
      </c>
      <c r="E863" s="89" t="s">
        <v>1246</v>
      </c>
      <c r="F863" s="102" t="n">
        <v>131</v>
      </c>
      <c r="G863" s="102" t="n">
        <v>173</v>
      </c>
      <c r="H863" s="103" t="s">
        <v>17</v>
      </c>
      <c r="I863" s="103">
        <f>IFERROR(VLOOKUP(A863,#REF!,15,0),0)+IFERROR(VLOOKUP(A863,#REF!,25,0),0)+IFERROR(VLOOKUP(A863,#REF!,10,0),0)+IFERROR(VLOOKUP(A863,#REF!,14,0),0)+IFERROR(VLOOKUP(A863,#REF!,11,0),0)+IFERROR(VLOOKUP(A863,#REF!,10,0),0)+IFERROR(VLOOKUP(A863,#REF!,10,0),0)+IFERROR(VLOOKUP(A863,#REF!,9,0),0)+IFERROR(VLOOKUP(A863,#REF!,9,0),0)+IFERROR(VLOOKUP(A863,#REF!,9,0),0)+IFERROR(VLOOKUP(A863,#REF!,9,0),0)</f>
        <v>0</v>
      </c>
      <c r="J863" s="104">
        <f>IFERROR(VLOOKUP(A863,#REF!,16,0),0)+IFERROR(VLOOKUP(A863,#REF!,26,0),0)+IFERROR(VLOOKUP(A863,#REF!,11,0),0)+IFERROR(VLOOKUP(A863,#REF!,23,0),0)+IFERROR(VLOOKUP(A863,#REF!,11,0),0)+IFERROR(VLOOKUP(A863,#REF!,11,0),0)+IFERROR(VLOOKUP(A863,#REF!,11,0),0)</f>
        <v>0</v>
      </c>
      <c r="K863" s="96" t="str">
        <f>"07.02.24"</f>
        <v>07.02.24</v>
      </c>
    </row>
    <row r="864" spans="1:11" ht="11.25" customHeight="1" outlineLevel="1">
      <c r="A864" s="89" t="n">
        <v>993480</v>
      </c>
      <c r="B864" s="114" t="s">
        <v>1201</v>
      </c>
      <c r="C864" s="89" t="s">
        <v>1247</v>
      </c>
      <c r="D864" s="89" t="s">
        <v>15</v>
      </c>
      <c r="E864" s="89" t="s">
        <v>1248</v>
      </c>
      <c r="F864" s="102" t="n">
        <v>122</v>
      </c>
      <c r="G864" s="102" t="n">
        <v>162</v>
      </c>
      <c r="H864" s="103" t="s">
        <v>48</v>
      </c>
      <c r="I864" s="103">
        <f>IFERROR(VLOOKUP(A864,#REF!,15,0),0)+IFERROR(VLOOKUP(A864,#REF!,25,0),0)+IFERROR(VLOOKUP(A864,#REF!,10,0),0)+IFERROR(VLOOKUP(A864,#REF!,14,0),0)+IFERROR(VLOOKUP(A864,#REF!,11,0),0)+IFERROR(VLOOKUP(A864,#REF!,10,0),0)+IFERROR(VLOOKUP(A864,#REF!,10,0),0)+IFERROR(VLOOKUP(A864,#REF!,9,0),0)+IFERROR(VLOOKUP(A864,#REF!,9,0),0)+IFERROR(VLOOKUP(A864,#REF!,9,0),0)+IFERROR(VLOOKUP(A864,#REF!,9,0),0)</f>
        <v>0</v>
      </c>
      <c r="J864" s="104">
        <f>IFERROR(VLOOKUP(A864,#REF!,16,0),0)+IFERROR(VLOOKUP(A864,#REF!,26,0),0)+IFERROR(VLOOKUP(A864,#REF!,11,0),0)+IFERROR(VLOOKUP(A864,#REF!,23,0),0)+IFERROR(VLOOKUP(A864,#REF!,11,0),0)+IFERROR(VLOOKUP(A864,#REF!,11,0),0)+IFERROR(VLOOKUP(A864,#REF!,11,0),0)</f>
        <v>0</v>
      </c>
      <c r="K864" s="96" t="str">
        <f>"07.02.24"</f>
        <v>07.02.24</v>
      </c>
    </row>
    <row r="865" spans="1:11" ht="11.25" customHeight="1" outlineLevel="1">
      <c r="A865" s="89" t="n">
        <v>993490</v>
      </c>
      <c r="B865" s="114" t="s">
        <v>1201</v>
      </c>
      <c r="C865" s="89" t="s">
        <v>1249</v>
      </c>
      <c r="D865" s="89" t="s">
        <v>15</v>
      </c>
      <c r="E865" s="89" t="s">
        <v>1250</v>
      </c>
      <c r="F865" s="102" t="n">
        <v>133</v>
      </c>
      <c r="G865" s="102" t="n">
        <v>176</v>
      </c>
      <c r="H865" s="103" t="s">
        <v>48</v>
      </c>
      <c r="I865" s="103">
        <f>IFERROR(VLOOKUP(A865,#REF!,15,0),0)+IFERROR(VLOOKUP(A865,#REF!,25,0),0)+IFERROR(VLOOKUP(A865,#REF!,10,0),0)+IFERROR(VLOOKUP(A865,#REF!,14,0),0)+IFERROR(VLOOKUP(A865,#REF!,11,0),0)+IFERROR(VLOOKUP(A865,#REF!,10,0),0)+IFERROR(VLOOKUP(A865,#REF!,10,0),0)+IFERROR(VLOOKUP(A865,#REF!,9,0),0)+IFERROR(VLOOKUP(A865,#REF!,9,0),0)+IFERROR(VLOOKUP(A865,#REF!,9,0),0)+IFERROR(VLOOKUP(A865,#REF!,9,0),0)</f>
        <v>0</v>
      </c>
      <c r="J865" s="104">
        <f>IFERROR(VLOOKUP(A865,#REF!,16,0),0)+IFERROR(VLOOKUP(A865,#REF!,26,0),0)+IFERROR(VLOOKUP(A865,#REF!,11,0),0)+IFERROR(VLOOKUP(A865,#REF!,23,0),0)+IFERROR(VLOOKUP(A865,#REF!,11,0),0)+IFERROR(VLOOKUP(A865,#REF!,11,0),0)+IFERROR(VLOOKUP(A865,#REF!,11,0),0)</f>
        <v>0</v>
      </c>
      <c r="K865" s="96" t="str">
        <f>"07.02.24"</f>
        <v>07.02.24</v>
      </c>
    </row>
    <row r="866" spans="1:11" ht="11.25" customHeight="1" outlineLevel="1">
      <c r="A866" s="89" t="n">
        <v>993500</v>
      </c>
      <c r="B866" s="114" t="s">
        <v>1201</v>
      </c>
      <c r="C866" s="89" t="s">
        <v>1251</v>
      </c>
      <c r="D866" s="89" t="s">
        <v>15</v>
      </c>
      <c r="E866" s="89" t="s">
        <v>1252</v>
      </c>
      <c r="F866" s="102" t="n">
        <v>296</v>
      </c>
      <c r="G866" s="102" t="n">
        <v>393</v>
      </c>
      <c r="H866" s="103" t="s">
        <v>17</v>
      </c>
      <c r="I866" s="103">
        <f>IFERROR(VLOOKUP(A866,#REF!,15,0),0)+IFERROR(VLOOKUP(A866,#REF!,25,0),0)+IFERROR(VLOOKUP(A866,#REF!,10,0),0)+IFERROR(VLOOKUP(A866,#REF!,14,0),0)+IFERROR(VLOOKUP(A866,#REF!,11,0),0)+IFERROR(VLOOKUP(A866,#REF!,10,0),0)+IFERROR(VLOOKUP(A866,#REF!,10,0),0)+IFERROR(VLOOKUP(A866,#REF!,9,0),0)+IFERROR(VLOOKUP(A866,#REF!,9,0),0)+IFERROR(VLOOKUP(A866,#REF!,9,0),0)+IFERROR(VLOOKUP(A866,#REF!,9,0),0)</f>
        <v>0</v>
      </c>
      <c r="J866" s="104">
        <f>IFERROR(VLOOKUP(A866,#REF!,16,0),0)+IFERROR(VLOOKUP(A866,#REF!,26,0),0)+IFERROR(VLOOKUP(A866,#REF!,11,0),0)+IFERROR(VLOOKUP(A866,#REF!,23,0),0)+IFERROR(VLOOKUP(A866,#REF!,11,0),0)+IFERROR(VLOOKUP(A866,#REF!,11,0),0)+IFERROR(VLOOKUP(A866,#REF!,11,0),0)</f>
        <v>0</v>
      </c>
      <c r="K866" s="96" t="str">
        <f>"07.02.24"</f>
        <v>07.02.24</v>
      </c>
    </row>
    <row r="867" spans="1:11" ht="11.25" customHeight="1" outlineLevel="1">
      <c r="A867" s="89" t="n">
        <v>993530</v>
      </c>
      <c r="B867" s="114" t="s">
        <v>1201</v>
      </c>
      <c r="C867" s="89" t="s">
        <v>1253</v>
      </c>
      <c r="D867" s="89" t="s">
        <v>15</v>
      </c>
      <c r="E867" s="89" t="s">
        <v>1254</v>
      </c>
      <c r="F867" s="102" t="n">
        <v>281</v>
      </c>
      <c r="G867" s="102" t="n">
        <v>374</v>
      </c>
      <c r="H867" s="103" t="s">
        <v>17</v>
      </c>
      <c r="I867" s="103">
        <f>IFERROR(VLOOKUP(A867,#REF!,15,0),0)+IFERROR(VLOOKUP(A867,#REF!,25,0),0)+IFERROR(VLOOKUP(A867,#REF!,10,0),0)+IFERROR(VLOOKUP(A867,#REF!,14,0),0)+IFERROR(VLOOKUP(A867,#REF!,11,0),0)+IFERROR(VLOOKUP(A867,#REF!,10,0),0)+IFERROR(VLOOKUP(A867,#REF!,10,0),0)+IFERROR(VLOOKUP(A867,#REF!,9,0),0)+IFERROR(VLOOKUP(A867,#REF!,9,0),0)+IFERROR(VLOOKUP(A867,#REF!,9,0),0)+IFERROR(VLOOKUP(A867,#REF!,9,0),0)</f>
        <v>0</v>
      </c>
      <c r="J867" s="104">
        <f>IFERROR(VLOOKUP(A867,#REF!,16,0),0)+IFERROR(VLOOKUP(A867,#REF!,26,0),0)+IFERROR(VLOOKUP(A867,#REF!,11,0),0)+IFERROR(VLOOKUP(A867,#REF!,23,0),0)+IFERROR(VLOOKUP(A867,#REF!,11,0),0)+IFERROR(VLOOKUP(A867,#REF!,11,0),0)+IFERROR(VLOOKUP(A867,#REF!,11,0),0)</f>
        <v>0</v>
      </c>
      <c r="K867" s="96" t="str">
        <f>"07.02.24"</f>
        <v>07.02.24</v>
      </c>
    </row>
    <row r="868" spans="1:11" ht="11.25" customHeight="1" outlineLevel="1">
      <c r="A868" s="89" t="n">
        <v>993560</v>
      </c>
      <c r="B868" s="114" t="s">
        <v>1201</v>
      </c>
      <c r="C868" s="89" t="s">
        <v>1255</v>
      </c>
      <c r="D868" s="89" t="s">
        <v>15</v>
      </c>
      <c r="E868" s="89" t="s">
        <v>1256</v>
      </c>
      <c r="F868" s="102" t="n">
        <v>281</v>
      </c>
      <c r="G868" s="102" t="n">
        <v>374</v>
      </c>
      <c r="H868" s="103" t="s">
        <v>48</v>
      </c>
      <c r="I868" s="103">
        <f>IFERROR(VLOOKUP(A868,#REF!,15,0),0)+IFERROR(VLOOKUP(A868,#REF!,25,0),0)+IFERROR(VLOOKUP(A868,#REF!,10,0),0)+IFERROR(VLOOKUP(A868,#REF!,14,0),0)+IFERROR(VLOOKUP(A868,#REF!,11,0),0)+IFERROR(VLOOKUP(A868,#REF!,10,0),0)+IFERROR(VLOOKUP(A868,#REF!,10,0),0)+IFERROR(VLOOKUP(A868,#REF!,9,0),0)+IFERROR(VLOOKUP(A868,#REF!,9,0),0)+IFERROR(VLOOKUP(A868,#REF!,9,0),0)+IFERROR(VLOOKUP(A868,#REF!,9,0),0)</f>
        <v>0</v>
      </c>
      <c r="J868" s="104">
        <f>IFERROR(VLOOKUP(A868,#REF!,16,0),0)+IFERROR(VLOOKUP(A868,#REF!,26,0),0)+IFERROR(VLOOKUP(A868,#REF!,11,0),0)+IFERROR(VLOOKUP(A868,#REF!,23,0),0)+IFERROR(VLOOKUP(A868,#REF!,11,0),0)+IFERROR(VLOOKUP(A868,#REF!,11,0),0)+IFERROR(VLOOKUP(A868,#REF!,11,0),0)</f>
        <v>0</v>
      </c>
      <c r="K868" s="96" t="str">
        <f>"07.02.24"</f>
        <v>07.02.24</v>
      </c>
    </row>
    <row r="869" spans="1:11" ht="11.25" customHeight="1" outlineLevel="1">
      <c r="A869" s="89" t="n">
        <v>993570</v>
      </c>
      <c r="B869" s="114" t="s">
        <v>1201</v>
      </c>
      <c r="C869" s="89" t="s">
        <v>1257</v>
      </c>
      <c r="D869" s="89" t="s">
        <v>15</v>
      </c>
      <c r="E869" s="89" t="s">
        <v>1258</v>
      </c>
      <c r="F869" s="102" t="n">
        <v>281</v>
      </c>
      <c r="G869" s="102" t="n">
        <v>374</v>
      </c>
      <c r="H869" s="103" t="s">
        <v>48</v>
      </c>
      <c r="I869" s="103">
        <f>IFERROR(VLOOKUP(A869,#REF!,15,0),0)+IFERROR(VLOOKUP(A869,#REF!,25,0),0)+IFERROR(VLOOKUP(A869,#REF!,10,0),0)+IFERROR(VLOOKUP(A869,#REF!,14,0),0)+IFERROR(VLOOKUP(A869,#REF!,11,0),0)+IFERROR(VLOOKUP(A869,#REF!,10,0),0)+IFERROR(VLOOKUP(A869,#REF!,10,0),0)+IFERROR(VLOOKUP(A869,#REF!,9,0),0)+IFERROR(VLOOKUP(A869,#REF!,9,0),0)+IFERROR(VLOOKUP(A869,#REF!,9,0),0)+IFERROR(VLOOKUP(A869,#REF!,9,0),0)</f>
        <v>0</v>
      </c>
      <c r="J869" s="104">
        <f>IFERROR(VLOOKUP(A869,#REF!,16,0),0)+IFERROR(VLOOKUP(A869,#REF!,26,0),0)+IFERROR(VLOOKUP(A869,#REF!,11,0),0)+IFERROR(VLOOKUP(A869,#REF!,23,0),0)+IFERROR(VLOOKUP(A869,#REF!,11,0),0)+IFERROR(VLOOKUP(A869,#REF!,11,0),0)+IFERROR(VLOOKUP(A869,#REF!,11,0),0)</f>
        <v>0</v>
      </c>
      <c r="K869" s="96" t="str">
        <f>"07.02.24"</f>
        <v>07.02.24</v>
      </c>
    </row>
    <row r="870" spans="1:11" ht="11.25" customHeight="1" outlineLevel="1">
      <c r="A870" s="89" t="n">
        <v>1109090</v>
      </c>
      <c r="B870" s="114" t="s">
        <v>1201</v>
      </c>
      <c r="C870" s="89" t="s">
        <v>1259</v>
      </c>
      <c r="D870" s="89" t="s">
        <v>15</v>
      </c>
      <c r="E870" s="89" t="s">
        <v>1260</v>
      </c>
      <c r="F870" s="102" t="n">
        <v>339</v>
      </c>
      <c r="G870" s="102" t="n">
        <v>449</v>
      </c>
      <c r="H870" s="103" t="s">
        <v>48</v>
      </c>
      <c r="I870" s="103">
        <f>IFERROR(VLOOKUP(A870,#REF!,15,0),0)+IFERROR(VLOOKUP(A870,#REF!,25,0),0)+IFERROR(VLOOKUP(A870,#REF!,10,0),0)+IFERROR(VLOOKUP(A870,#REF!,14,0),0)+IFERROR(VLOOKUP(A870,#REF!,11,0),0)+IFERROR(VLOOKUP(A870,#REF!,10,0),0)+IFERROR(VLOOKUP(A870,#REF!,10,0),0)+IFERROR(VLOOKUP(A870,#REF!,9,0),0)+IFERROR(VLOOKUP(A870,#REF!,9,0),0)+IFERROR(VLOOKUP(A870,#REF!,9,0),0)+IFERROR(VLOOKUP(A870,#REF!,9,0),0)</f>
        <v>0</v>
      </c>
      <c r="J870" s="104">
        <f>IFERROR(VLOOKUP(A870,#REF!,16,0),0)+IFERROR(VLOOKUP(A870,#REF!,26,0),0)+IFERROR(VLOOKUP(A870,#REF!,11,0),0)+IFERROR(VLOOKUP(A870,#REF!,23,0),0)+IFERROR(VLOOKUP(A870,#REF!,11,0),0)+IFERROR(VLOOKUP(A870,#REF!,11,0),0)+IFERROR(VLOOKUP(A870,#REF!,11,0),0)</f>
        <v>0</v>
      </c>
      <c r="K870" s="96" t="str">
        <f>"07.02.24"</f>
        <v>07.02.24</v>
      </c>
    </row>
    <row r="871" spans="1:11" ht="11.25" customHeight="1" outlineLevel="1">
      <c r="A871" s="89" t="n">
        <v>1109110</v>
      </c>
      <c r="B871" s="114" t="s">
        <v>1201</v>
      </c>
      <c r="C871" s="89" t="s">
        <v>1261</v>
      </c>
      <c r="D871" s="89" t="s">
        <v>15</v>
      </c>
      <c r="E871" s="89" t="s">
        <v>1262</v>
      </c>
      <c r="F871" s="102" t="n">
        <v>339</v>
      </c>
      <c r="G871" s="102" t="n">
        <v>449</v>
      </c>
      <c r="H871" s="103" t="s">
        <v>48</v>
      </c>
      <c r="I871" s="103">
        <f>IFERROR(VLOOKUP(A871,#REF!,15,0),0)+IFERROR(VLOOKUP(A871,#REF!,25,0),0)+IFERROR(VLOOKUP(A871,#REF!,10,0),0)+IFERROR(VLOOKUP(A871,#REF!,14,0),0)+IFERROR(VLOOKUP(A871,#REF!,11,0),0)+IFERROR(VLOOKUP(A871,#REF!,10,0),0)+IFERROR(VLOOKUP(A871,#REF!,10,0),0)+IFERROR(VLOOKUP(A871,#REF!,9,0),0)+IFERROR(VLOOKUP(A871,#REF!,9,0),0)+IFERROR(VLOOKUP(A871,#REF!,9,0),0)+IFERROR(VLOOKUP(A871,#REF!,9,0),0)</f>
        <v>0</v>
      </c>
      <c r="J871" s="104">
        <f>IFERROR(VLOOKUP(A871,#REF!,16,0),0)+IFERROR(VLOOKUP(A871,#REF!,26,0),0)+IFERROR(VLOOKUP(A871,#REF!,11,0),0)+IFERROR(VLOOKUP(A871,#REF!,23,0),0)+IFERROR(VLOOKUP(A871,#REF!,11,0),0)+IFERROR(VLOOKUP(A871,#REF!,11,0),0)+IFERROR(VLOOKUP(A871,#REF!,11,0),0)</f>
        <v>0</v>
      </c>
      <c r="K871" s="96" t="str">
        <f>"07.02.24"</f>
        <v>07.02.24</v>
      </c>
    </row>
    <row r="872" spans="1:11" ht="11.25" customHeight="1" outlineLevel="1">
      <c r="A872" s="89" t="n">
        <v>1109120</v>
      </c>
      <c r="B872" s="114" t="s">
        <v>1201</v>
      </c>
      <c r="C872" s="89" t="s">
        <v>1263</v>
      </c>
      <c r="D872" s="89" t="s">
        <v>15</v>
      </c>
      <c r="E872" s="89" t="s">
        <v>1264</v>
      </c>
      <c r="F872" s="102" t="n">
        <v>339</v>
      </c>
      <c r="G872" s="102" t="n">
        <v>449</v>
      </c>
      <c r="H872" s="103" t="s">
        <v>48</v>
      </c>
      <c r="I872" s="103">
        <f>IFERROR(VLOOKUP(A872,#REF!,15,0),0)+IFERROR(VLOOKUP(A872,#REF!,25,0),0)+IFERROR(VLOOKUP(A872,#REF!,10,0),0)+IFERROR(VLOOKUP(A872,#REF!,14,0),0)+IFERROR(VLOOKUP(A872,#REF!,11,0),0)+IFERROR(VLOOKUP(A872,#REF!,10,0),0)+IFERROR(VLOOKUP(A872,#REF!,10,0),0)+IFERROR(VLOOKUP(A872,#REF!,9,0),0)+IFERROR(VLOOKUP(A872,#REF!,9,0),0)+IFERROR(VLOOKUP(A872,#REF!,9,0),0)+IFERROR(VLOOKUP(A872,#REF!,9,0),0)</f>
        <v>0</v>
      </c>
      <c r="J872" s="104">
        <f>IFERROR(VLOOKUP(A872,#REF!,16,0),0)+IFERROR(VLOOKUP(A872,#REF!,26,0),0)+IFERROR(VLOOKUP(A872,#REF!,11,0),0)+IFERROR(VLOOKUP(A872,#REF!,23,0),0)+IFERROR(VLOOKUP(A872,#REF!,11,0),0)+IFERROR(VLOOKUP(A872,#REF!,11,0),0)+IFERROR(VLOOKUP(A872,#REF!,11,0),0)</f>
        <v>0</v>
      </c>
      <c r="K872" s="96" t="str">
        <f>"07.02.24"</f>
        <v>07.02.24</v>
      </c>
    </row>
    <row r="873" spans="1:11" ht="11.25" customHeight="1" outlineLevel="1">
      <c r="A873" s="89" t="n">
        <v>1109130</v>
      </c>
      <c r="B873" s="114" t="s">
        <v>1201</v>
      </c>
      <c r="C873" s="89" t="s">
        <v>1265</v>
      </c>
      <c r="D873" s="89" t="s">
        <v>15</v>
      </c>
      <c r="E873" s="89" t="s">
        <v>1266</v>
      </c>
      <c r="F873" s="102" t="n">
        <v>339</v>
      </c>
      <c r="G873" s="102" t="n">
        <v>449</v>
      </c>
      <c r="H873" s="103" t="s">
        <v>48</v>
      </c>
      <c r="I873" s="103">
        <f>IFERROR(VLOOKUP(A873,#REF!,15,0),0)+IFERROR(VLOOKUP(A873,#REF!,25,0),0)+IFERROR(VLOOKUP(A873,#REF!,10,0),0)+IFERROR(VLOOKUP(A873,#REF!,14,0),0)+IFERROR(VLOOKUP(A873,#REF!,11,0),0)+IFERROR(VLOOKUP(A873,#REF!,10,0),0)+IFERROR(VLOOKUP(A873,#REF!,10,0),0)+IFERROR(VLOOKUP(A873,#REF!,9,0),0)+IFERROR(VLOOKUP(A873,#REF!,9,0),0)+IFERROR(VLOOKUP(A873,#REF!,9,0),0)+IFERROR(VLOOKUP(A873,#REF!,9,0),0)</f>
        <v>0</v>
      </c>
      <c r="J873" s="104">
        <f>IFERROR(VLOOKUP(A873,#REF!,16,0),0)+IFERROR(VLOOKUP(A873,#REF!,26,0),0)+IFERROR(VLOOKUP(A873,#REF!,11,0),0)+IFERROR(VLOOKUP(A873,#REF!,23,0),0)+IFERROR(VLOOKUP(A873,#REF!,11,0),0)+IFERROR(VLOOKUP(A873,#REF!,11,0),0)+IFERROR(VLOOKUP(A873,#REF!,11,0),0)</f>
        <v>0</v>
      </c>
      <c r="K873" s="96" t="str">
        <f>"07.02.24"</f>
        <v>07.02.24</v>
      </c>
    </row>
    <row r="874" spans="1:11" ht="11.25" customHeight="1" outlineLevel="1">
      <c r="A874" s="89" t="n">
        <v>1109160</v>
      </c>
      <c r="B874" s="114" t="s">
        <v>1201</v>
      </c>
      <c r="C874" s="89" t="s">
        <v>1267</v>
      </c>
      <c r="D874" s="89" t="s">
        <v>15</v>
      </c>
      <c r="E874" s="89" t="s">
        <v>1268</v>
      </c>
      <c r="F874" s="102" t="n">
        <v>224</v>
      </c>
      <c r="G874" s="102" t="n">
        <v>297</v>
      </c>
      <c r="H874" s="103" t="s">
        <v>17</v>
      </c>
      <c r="I874" s="103">
        <f>IFERROR(VLOOKUP(A874,#REF!,15,0),0)+IFERROR(VLOOKUP(A874,#REF!,25,0),0)+IFERROR(VLOOKUP(A874,#REF!,10,0),0)+IFERROR(VLOOKUP(A874,#REF!,14,0),0)+IFERROR(VLOOKUP(A874,#REF!,11,0),0)+IFERROR(VLOOKUP(A874,#REF!,10,0),0)+IFERROR(VLOOKUP(A874,#REF!,10,0),0)+IFERROR(VLOOKUP(A874,#REF!,9,0),0)+IFERROR(VLOOKUP(A874,#REF!,9,0),0)+IFERROR(VLOOKUP(A874,#REF!,9,0),0)+IFERROR(VLOOKUP(A874,#REF!,9,0),0)</f>
        <v>0</v>
      </c>
      <c r="J874" s="104">
        <f>IFERROR(VLOOKUP(A874,#REF!,16,0),0)+IFERROR(VLOOKUP(A874,#REF!,26,0),0)+IFERROR(VLOOKUP(A874,#REF!,11,0),0)+IFERROR(VLOOKUP(A874,#REF!,23,0),0)+IFERROR(VLOOKUP(A874,#REF!,11,0),0)+IFERROR(VLOOKUP(A874,#REF!,11,0),0)+IFERROR(VLOOKUP(A874,#REF!,11,0),0)</f>
        <v>0</v>
      </c>
      <c r="K874" s="96" t="str">
        <f>"07.02.24"</f>
        <v>07.02.24</v>
      </c>
    </row>
    <row r="875" spans="1:11" ht="11.25" customHeight="1" outlineLevel="1">
      <c r="A875" s="89" t="n">
        <v>1109190</v>
      </c>
      <c r="B875" s="114" t="s">
        <v>1201</v>
      </c>
      <c r="C875" s="89" t="s">
        <v>1269</v>
      </c>
      <c r="D875" s="89" t="s">
        <v>15</v>
      </c>
      <c r="E875" s="89" t="s">
        <v>1270</v>
      </c>
      <c r="F875" s="102" t="n">
        <v>224</v>
      </c>
      <c r="G875" s="102" t="n">
        <v>297</v>
      </c>
      <c r="H875" s="103" t="s">
        <v>17</v>
      </c>
      <c r="I875" s="103">
        <f>IFERROR(VLOOKUP(A875,#REF!,15,0),0)+IFERROR(VLOOKUP(A875,#REF!,25,0),0)+IFERROR(VLOOKUP(A875,#REF!,10,0),0)+IFERROR(VLOOKUP(A875,#REF!,14,0),0)+IFERROR(VLOOKUP(A875,#REF!,11,0),0)+IFERROR(VLOOKUP(A875,#REF!,10,0),0)+IFERROR(VLOOKUP(A875,#REF!,10,0),0)+IFERROR(VLOOKUP(A875,#REF!,9,0),0)+IFERROR(VLOOKUP(A875,#REF!,9,0),0)+IFERROR(VLOOKUP(A875,#REF!,9,0),0)+IFERROR(VLOOKUP(A875,#REF!,9,0),0)</f>
        <v>0</v>
      </c>
      <c r="J875" s="104">
        <f>IFERROR(VLOOKUP(A875,#REF!,16,0),0)+IFERROR(VLOOKUP(A875,#REF!,26,0),0)+IFERROR(VLOOKUP(A875,#REF!,11,0),0)+IFERROR(VLOOKUP(A875,#REF!,23,0),0)+IFERROR(VLOOKUP(A875,#REF!,11,0),0)+IFERROR(VLOOKUP(A875,#REF!,11,0),0)+IFERROR(VLOOKUP(A875,#REF!,11,0),0)</f>
        <v>0</v>
      </c>
      <c r="K875" s="96" t="str">
        <f>"07.02.24"</f>
        <v>07.02.24</v>
      </c>
    </row>
    <row r="876" spans="1:11" ht="11.25" customHeight="1" outlineLevel="1">
      <c r="A876" s="89" t="n">
        <v>1109200</v>
      </c>
      <c r="B876" s="114" t="s">
        <v>1201</v>
      </c>
      <c r="C876" s="89" t="s">
        <v>1271</v>
      </c>
      <c r="D876" s="89" t="s">
        <v>15</v>
      </c>
      <c r="E876" s="89" t="s">
        <v>1272</v>
      </c>
      <c r="F876" s="102" t="n">
        <v>224</v>
      </c>
      <c r="G876" s="102" t="n">
        <v>297</v>
      </c>
      <c r="H876" s="103" t="s">
        <v>17</v>
      </c>
      <c r="I876" s="103">
        <f>IFERROR(VLOOKUP(A876,#REF!,15,0),0)+IFERROR(VLOOKUP(A876,#REF!,25,0),0)+IFERROR(VLOOKUP(A876,#REF!,10,0),0)+IFERROR(VLOOKUP(A876,#REF!,14,0),0)+IFERROR(VLOOKUP(A876,#REF!,11,0),0)+IFERROR(VLOOKUP(A876,#REF!,10,0),0)+IFERROR(VLOOKUP(A876,#REF!,10,0),0)+IFERROR(VLOOKUP(A876,#REF!,9,0),0)+IFERROR(VLOOKUP(A876,#REF!,9,0),0)+IFERROR(VLOOKUP(A876,#REF!,9,0),0)+IFERROR(VLOOKUP(A876,#REF!,9,0),0)</f>
        <v>0</v>
      </c>
      <c r="J876" s="104">
        <f>IFERROR(VLOOKUP(A876,#REF!,16,0),0)+IFERROR(VLOOKUP(A876,#REF!,26,0),0)+IFERROR(VLOOKUP(A876,#REF!,11,0),0)+IFERROR(VLOOKUP(A876,#REF!,23,0),0)+IFERROR(VLOOKUP(A876,#REF!,11,0),0)+IFERROR(VLOOKUP(A876,#REF!,11,0),0)+IFERROR(VLOOKUP(A876,#REF!,11,0),0)</f>
        <v>0</v>
      </c>
      <c r="K876" s="96" t="str">
        <f>"07.02.24"</f>
        <v>07.02.24</v>
      </c>
    </row>
    <row r="877" spans="1:11" ht="11.25" customHeight="1" outlineLevel="1">
      <c r="A877" s="89" t="n">
        <v>1109210</v>
      </c>
      <c r="B877" s="114" t="s">
        <v>1201</v>
      </c>
      <c r="C877" s="89" t="s">
        <v>1273</v>
      </c>
      <c r="D877" s="89" t="s">
        <v>15</v>
      </c>
      <c r="E877" s="89" t="s">
        <v>1274</v>
      </c>
      <c r="F877" s="102" t="n">
        <v>237</v>
      </c>
      <c r="G877" s="102" t="n">
        <v>312</v>
      </c>
      <c r="H877" s="103" t="s">
        <v>17</v>
      </c>
      <c r="I877" s="103">
        <f>IFERROR(VLOOKUP(A877,#REF!,15,0),0)+IFERROR(VLOOKUP(A877,#REF!,25,0),0)+IFERROR(VLOOKUP(A877,#REF!,10,0),0)+IFERROR(VLOOKUP(A877,#REF!,14,0),0)+IFERROR(VLOOKUP(A877,#REF!,11,0),0)+IFERROR(VLOOKUP(A877,#REF!,10,0),0)+IFERROR(VLOOKUP(A877,#REF!,10,0),0)+IFERROR(VLOOKUP(A877,#REF!,9,0),0)+IFERROR(VLOOKUP(A877,#REF!,9,0),0)+IFERROR(VLOOKUP(A877,#REF!,9,0),0)+IFERROR(VLOOKUP(A877,#REF!,9,0),0)</f>
        <v>0</v>
      </c>
      <c r="J877" s="104">
        <f>IFERROR(VLOOKUP(A877,#REF!,16,0),0)+IFERROR(VLOOKUP(A877,#REF!,26,0),0)+IFERROR(VLOOKUP(A877,#REF!,11,0),0)+IFERROR(VLOOKUP(A877,#REF!,23,0),0)+IFERROR(VLOOKUP(A877,#REF!,11,0),0)+IFERROR(VLOOKUP(A877,#REF!,11,0),0)+IFERROR(VLOOKUP(A877,#REF!,11,0),0)</f>
        <v>0</v>
      </c>
      <c r="K877" s="96" t="str">
        <f>"07.02.24"</f>
        <v>07.02.24</v>
      </c>
    </row>
    <row r="878" spans="1:11" ht="11.25" customHeight="1">
      <c r="A878" s="88" t="s">
        <v>1275</v>
      </c>
      <c r="B878" s="115"/>
      <c r="C878" s="88"/>
      <c r="D878" s="88"/>
      <c r="E878" s="88"/>
      <c r="F878" s="105"/>
      <c r="G878" s="105"/>
      <c r="H878" s="106"/>
      <c r="I878" s="106"/>
      <c r="J878" s="107"/>
      <c r="K878" s="96" t="str">
        <f>"07.02.24"</f>
        <v>07.02.24</v>
      </c>
    </row>
    <row r="879" spans="1:11" ht="11.25" customHeight="1" outlineLevel="1">
      <c r="A879" s="89" t="n">
        <v>1458860</v>
      </c>
      <c r="B879" s="114" t="s">
        <v>1201</v>
      </c>
      <c r="C879" s="89" t="s">
        <v>1276</v>
      </c>
      <c r="D879" s="89" t="s">
        <v>15</v>
      </c>
      <c r="E879" s="89" t="s">
        <v>1277</v>
      </c>
      <c r="F879" s="102" t="n">
        <v>49</v>
      </c>
      <c r="G879" s="102" t="n">
        <v>67</v>
      </c>
      <c r="H879" s="103" t="s">
        <v>17</v>
      </c>
      <c r="I879" s="103">
        <f>IFERROR(VLOOKUP(A879,#REF!,15,0),0)+IFERROR(VLOOKUP(A879,#REF!,25,0),0)+IFERROR(VLOOKUP(A879,#REF!,10,0),0)+IFERROR(VLOOKUP(A879,#REF!,14,0),0)+IFERROR(VLOOKUP(A879,#REF!,11,0),0)+IFERROR(VLOOKUP(A879,#REF!,10,0),0)+IFERROR(VLOOKUP(A879,#REF!,10,0),0)+IFERROR(VLOOKUP(A879,#REF!,9,0),0)+IFERROR(VLOOKUP(A879,#REF!,9,0),0)+IFERROR(VLOOKUP(A879,#REF!,9,0),0)+IFERROR(VLOOKUP(A879,#REF!,9,0),0)</f>
        <v>0</v>
      </c>
      <c r="J879" s="104">
        <f>IFERROR(VLOOKUP(A879,#REF!,16,0),0)+IFERROR(VLOOKUP(A879,#REF!,26,0),0)+IFERROR(VLOOKUP(A879,#REF!,11,0),0)+IFERROR(VLOOKUP(A879,#REF!,23,0),0)+IFERROR(VLOOKUP(A879,#REF!,11,0),0)+IFERROR(VLOOKUP(A879,#REF!,11,0),0)+IFERROR(VLOOKUP(A879,#REF!,11,0),0)</f>
        <v>0</v>
      </c>
      <c r="K879" s="96" t="str">
        <f>"07.02.24"</f>
        <v>07.02.24</v>
      </c>
    </row>
    <row r="880" spans="1:11" ht="11.25" customHeight="1" outlineLevel="1">
      <c r="A880" s="89" t="n">
        <v>1458880</v>
      </c>
      <c r="B880" s="114" t="s">
        <v>1201</v>
      </c>
      <c r="C880" s="89" t="s">
        <v>1278</v>
      </c>
      <c r="D880" s="89" t="s">
        <v>15</v>
      </c>
      <c r="E880" s="89" t="s">
        <v>1279</v>
      </c>
      <c r="F880" s="102" t="n">
        <v>52</v>
      </c>
      <c r="G880" s="102" t="n">
        <v>68</v>
      </c>
      <c r="H880" s="103" t="s">
        <v>48</v>
      </c>
      <c r="I880" s="103">
        <f>IFERROR(VLOOKUP(A880,#REF!,15,0),0)+IFERROR(VLOOKUP(A880,#REF!,25,0),0)+IFERROR(VLOOKUP(A880,#REF!,10,0),0)+IFERROR(VLOOKUP(A880,#REF!,14,0),0)+IFERROR(VLOOKUP(A880,#REF!,11,0),0)+IFERROR(VLOOKUP(A880,#REF!,10,0),0)+IFERROR(VLOOKUP(A880,#REF!,10,0),0)+IFERROR(VLOOKUP(A880,#REF!,9,0),0)+IFERROR(VLOOKUP(A880,#REF!,9,0),0)+IFERROR(VLOOKUP(A880,#REF!,9,0),0)+IFERROR(VLOOKUP(A880,#REF!,9,0),0)</f>
        <v>0</v>
      </c>
      <c r="J880" s="104">
        <f>IFERROR(VLOOKUP(A880,#REF!,16,0),0)+IFERROR(VLOOKUP(A880,#REF!,26,0),0)+IFERROR(VLOOKUP(A880,#REF!,11,0),0)+IFERROR(VLOOKUP(A880,#REF!,23,0),0)+IFERROR(VLOOKUP(A880,#REF!,11,0),0)+IFERROR(VLOOKUP(A880,#REF!,11,0),0)+IFERROR(VLOOKUP(A880,#REF!,11,0),0)</f>
        <v>0</v>
      </c>
      <c r="K880" s="96" t="str">
        <f>"07.02.24"</f>
        <v>07.02.24</v>
      </c>
    </row>
    <row r="881" spans="1:11" ht="11.25" customHeight="1" outlineLevel="1">
      <c r="A881" s="89" t="n">
        <v>1458890</v>
      </c>
      <c r="B881" s="114" t="s">
        <v>1201</v>
      </c>
      <c r="C881" s="89" t="s">
        <v>1280</v>
      </c>
      <c r="D881" s="89" t="s">
        <v>15</v>
      </c>
      <c r="E881" s="89" t="s">
        <v>1281</v>
      </c>
      <c r="F881" s="102" t="n">
        <v>50</v>
      </c>
      <c r="G881" s="102" t="n">
        <v>67</v>
      </c>
      <c r="H881" s="103" t="s">
        <v>48</v>
      </c>
      <c r="I881" s="103">
        <f>IFERROR(VLOOKUP(A881,#REF!,15,0),0)+IFERROR(VLOOKUP(A881,#REF!,25,0),0)+IFERROR(VLOOKUP(A881,#REF!,10,0),0)+IFERROR(VLOOKUP(A881,#REF!,14,0),0)+IFERROR(VLOOKUP(A881,#REF!,11,0),0)+IFERROR(VLOOKUP(A881,#REF!,10,0),0)+IFERROR(VLOOKUP(A881,#REF!,10,0),0)+IFERROR(VLOOKUP(A881,#REF!,9,0),0)+IFERROR(VLOOKUP(A881,#REF!,9,0),0)+IFERROR(VLOOKUP(A881,#REF!,9,0),0)+IFERROR(VLOOKUP(A881,#REF!,9,0),0)</f>
        <v>0</v>
      </c>
      <c r="J881" s="104">
        <f>IFERROR(VLOOKUP(A881,#REF!,16,0),0)+IFERROR(VLOOKUP(A881,#REF!,26,0),0)+IFERROR(VLOOKUP(A881,#REF!,11,0),0)+IFERROR(VLOOKUP(A881,#REF!,23,0),0)+IFERROR(VLOOKUP(A881,#REF!,11,0),0)+IFERROR(VLOOKUP(A881,#REF!,11,0),0)+IFERROR(VLOOKUP(A881,#REF!,11,0),0)</f>
        <v>0</v>
      </c>
      <c r="K881" s="96" t="str">
        <f>"07.02.24"</f>
        <v>07.02.24</v>
      </c>
    </row>
    <row r="882" spans="1:11" ht="11.25" customHeight="1" outlineLevel="1">
      <c r="A882" s="89" t="n">
        <v>1458910</v>
      </c>
      <c r="B882" s="114" t="s">
        <v>1201</v>
      </c>
      <c r="C882" s="89" t="s">
        <v>1282</v>
      </c>
      <c r="D882" s="89" t="s">
        <v>15</v>
      </c>
      <c r="E882" s="89" t="s">
        <v>1283</v>
      </c>
      <c r="F882" s="102" t="n">
        <v>54</v>
      </c>
      <c r="G882" s="102" t="n">
        <v>69</v>
      </c>
      <c r="H882" s="103" t="s">
        <v>17</v>
      </c>
      <c r="I882" s="103">
        <f>IFERROR(VLOOKUP(A882,#REF!,15,0),0)+IFERROR(VLOOKUP(A882,#REF!,25,0),0)+IFERROR(VLOOKUP(A882,#REF!,10,0),0)+IFERROR(VLOOKUP(A882,#REF!,14,0),0)+IFERROR(VLOOKUP(A882,#REF!,11,0),0)+IFERROR(VLOOKUP(A882,#REF!,10,0),0)+IFERROR(VLOOKUP(A882,#REF!,10,0),0)+IFERROR(VLOOKUP(A882,#REF!,9,0),0)+IFERROR(VLOOKUP(A882,#REF!,9,0),0)+IFERROR(VLOOKUP(A882,#REF!,9,0),0)+IFERROR(VLOOKUP(A882,#REF!,9,0),0)</f>
        <v>0</v>
      </c>
      <c r="J882" s="104">
        <f>IFERROR(VLOOKUP(A882,#REF!,16,0),0)+IFERROR(VLOOKUP(A882,#REF!,26,0),0)+IFERROR(VLOOKUP(A882,#REF!,11,0),0)+IFERROR(VLOOKUP(A882,#REF!,23,0),0)+IFERROR(VLOOKUP(A882,#REF!,11,0),0)+IFERROR(VLOOKUP(A882,#REF!,11,0),0)+IFERROR(VLOOKUP(A882,#REF!,11,0),0)</f>
        <v>0</v>
      </c>
      <c r="K882" s="96" t="str">
        <f>"07.02.24"</f>
        <v>07.02.24</v>
      </c>
    </row>
    <row r="883" spans="1:11" ht="11.25" customHeight="1" outlineLevel="1">
      <c r="A883" s="89" t="n">
        <v>1458920</v>
      </c>
      <c r="B883" s="114" t="s">
        <v>1201</v>
      </c>
      <c r="C883" s="89" t="s">
        <v>1284</v>
      </c>
      <c r="D883" s="89" t="s">
        <v>15</v>
      </c>
      <c r="E883" s="89" t="s">
        <v>1285</v>
      </c>
      <c r="F883" s="102" t="n">
        <v>58</v>
      </c>
      <c r="G883" s="102" t="n">
        <v>76</v>
      </c>
      <c r="H883" s="103" t="s">
        <v>17</v>
      </c>
      <c r="I883" s="103">
        <f>IFERROR(VLOOKUP(A883,#REF!,15,0),0)+IFERROR(VLOOKUP(A883,#REF!,25,0),0)+IFERROR(VLOOKUP(A883,#REF!,10,0),0)+IFERROR(VLOOKUP(A883,#REF!,14,0),0)+IFERROR(VLOOKUP(A883,#REF!,11,0),0)+IFERROR(VLOOKUP(A883,#REF!,10,0),0)+IFERROR(VLOOKUP(A883,#REF!,10,0),0)+IFERROR(VLOOKUP(A883,#REF!,9,0),0)+IFERROR(VLOOKUP(A883,#REF!,9,0),0)+IFERROR(VLOOKUP(A883,#REF!,9,0),0)+IFERROR(VLOOKUP(A883,#REF!,9,0),0)</f>
        <v>0</v>
      </c>
      <c r="J883" s="104">
        <f>IFERROR(VLOOKUP(A883,#REF!,16,0),0)+IFERROR(VLOOKUP(A883,#REF!,26,0),0)+IFERROR(VLOOKUP(A883,#REF!,11,0),0)+IFERROR(VLOOKUP(A883,#REF!,23,0),0)+IFERROR(VLOOKUP(A883,#REF!,11,0),0)+IFERROR(VLOOKUP(A883,#REF!,11,0),0)+IFERROR(VLOOKUP(A883,#REF!,11,0),0)</f>
        <v>0</v>
      </c>
      <c r="K883" s="96" t="str">
        <f>"07.02.24"</f>
        <v>07.02.24</v>
      </c>
    </row>
    <row r="884" spans="1:11" ht="11.25" customHeight="1" outlineLevel="1">
      <c r="A884" s="89" t="n">
        <v>1458930</v>
      </c>
      <c r="B884" s="114" t="s">
        <v>1201</v>
      </c>
      <c r="C884" s="89" t="s">
        <v>1286</v>
      </c>
      <c r="D884" s="89" t="s">
        <v>15</v>
      </c>
      <c r="E884" s="89" t="s">
        <v>1287</v>
      </c>
      <c r="F884" s="102" t="n">
        <v>55</v>
      </c>
      <c r="G884" s="102" t="n">
        <v>73</v>
      </c>
      <c r="H884" s="103" t="s">
        <v>17</v>
      </c>
      <c r="I884" s="103">
        <f>IFERROR(VLOOKUP(A884,#REF!,15,0),0)+IFERROR(VLOOKUP(A884,#REF!,25,0),0)+IFERROR(VLOOKUP(A884,#REF!,10,0),0)+IFERROR(VLOOKUP(A884,#REF!,14,0),0)+IFERROR(VLOOKUP(A884,#REF!,11,0),0)+IFERROR(VLOOKUP(A884,#REF!,10,0),0)+IFERROR(VLOOKUP(A884,#REF!,10,0),0)+IFERROR(VLOOKUP(A884,#REF!,9,0),0)+IFERROR(VLOOKUP(A884,#REF!,9,0),0)+IFERROR(VLOOKUP(A884,#REF!,9,0),0)+IFERROR(VLOOKUP(A884,#REF!,9,0),0)</f>
        <v>0</v>
      </c>
      <c r="J884" s="104">
        <f>IFERROR(VLOOKUP(A884,#REF!,16,0),0)+IFERROR(VLOOKUP(A884,#REF!,26,0),0)+IFERROR(VLOOKUP(A884,#REF!,11,0),0)+IFERROR(VLOOKUP(A884,#REF!,23,0),0)+IFERROR(VLOOKUP(A884,#REF!,11,0),0)+IFERROR(VLOOKUP(A884,#REF!,11,0),0)+IFERROR(VLOOKUP(A884,#REF!,11,0),0)</f>
        <v>0</v>
      </c>
      <c r="K884" s="96" t="str">
        <f>"07.02.24"</f>
        <v>07.02.24</v>
      </c>
    </row>
    <row r="885" spans="1:11" ht="11.25" customHeight="1" outlineLevel="1">
      <c r="A885" s="89" t="n">
        <v>1458940</v>
      </c>
      <c r="B885" s="114" t="s">
        <v>1201</v>
      </c>
      <c r="C885" s="89" t="s">
        <v>1288</v>
      </c>
      <c r="D885" s="89" t="s">
        <v>15</v>
      </c>
      <c r="E885" s="89" t="s">
        <v>1289</v>
      </c>
      <c r="F885" s="102" t="n">
        <v>75</v>
      </c>
      <c r="G885" s="102" t="n">
        <v>99</v>
      </c>
      <c r="H885" s="103" t="s">
        <v>48</v>
      </c>
      <c r="I885" s="103">
        <f>IFERROR(VLOOKUP(A885,#REF!,15,0),0)+IFERROR(VLOOKUP(A885,#REF!,25,0),0)+IFERROR(VLOOKUP(A885,#REF!,10,0),0)+IFERROR(VLOOKUP(A885,#REF!,14,0),0)+IFERROR(VLOOKUP(A885,#REF!,11,0),0)+IFERROR(VLOOKUP(A885,#REF!,10,0),0)+IFERROR(VLOOKUP(A885,#REF!,10,0),0)+IFERROR(VLOOKUP(A885,#REF!,9,0),0)+IFERROR(VLOOKUP(A885,#REF!,9,0),0)+IFERROR(VLOOKUP(A885,#REF!,9,0),0)+IFERROR(VLOOKUP(A885,#REF!,9,0),0)</f>
        <v>0</v>
      </c>
      <c r="J885" s="104">
        <f>IFERROR(VLOOKUP(A885,#REF!,16,0),0)+IFERROR(VLOOKUP(A885,#REF!,26,0),0)+IFERROR(VLOOKUP(A885,#REF!,11,0),0)+IFERROR(VLOOKUP(A885,#REF!,23,0),0)+IFERROR(VLOOKUP(A885,#REF!,11,0),0)+IFERROR(VLOOKUP(A885,#REF!,11,0),0)+IFERROR(VLOOKUP(A885,#REF!,11,0),0)</f>
        <v>0</v>
      </c>
      <c r="K885" s="96" t="str">
        <f>"07.02.24"</f>
        <v>07.02.24</v>
      </c>
    </row>
    <row r="886" spans="1:11" ht="11.25" customHeight="1" outlineLevel="1">
      <c r="A886" s="89" t="n">
        <v>1458950</v>
      </c>
      <c r="B886" s="114" t="s">
        <v>1201</v>
      </c>
      <c r="C886" s="89" t="s">
        <v>1290</v>
      </c>
      <c r="D886" s="89" t="s">
        <v>15</v>
      </c>
      <c r="E886" s="89" t="s">
        <v>1291</v>
      </c>
      <c r="F886" s="102" t="n">
        <v>96</v>
      </c>
      <c r="G886" s="102" t="n">
        <v>126</v>
      </c>
      <c r="H886" s="103" t="s">
        <v>48</v>
      </c>
      <c r="I886" s="103">
        <f>IFERROR(VLOOKUP(A886,#REF!,15,0),0)+IFERROR(VLOOKUP(A886,#REF!,25,0),0)+IFERROR(VLOOKUP(A886,#REF!,10,0),0)+IFERROR(VLOOKUP(A886,#REF!,14,0),0)+IFERROR(VLOOKUP(A886,#REF!,11,0),0)+IFERROR(VLOOKUP(A886,#REF!,10,0),0)+IFERROR(VLOOKUP(A886,#REF!,10,0),0)+IFERROR(VLOOKUP(A886,#REF!,9,0),0)+IFERROR(VLOOKUP(A886,#REF!,9,0),0)+IFERROR(VLOOKUP(A886,#REF!,9,0),0)+IFERROR(VLOOKUP(A886,#REF!,9,0),0)</f>
        <v>0</v>
      </c>
      <c r="J886" s="104">
        <f>IFERROR(VLOOKUP(A886,#REF!,16,0),0)+IFERROR(VLOOKUP(A886,#REF!,26,0),0)+IFERROR(VLOOKUP(A886,#REF!,11,0),0)+IFERROR(VLOOKUP(A886,#REF!,23,0),0)+IFERROR(VLOOKUP(A886,#REF!,11,0),0)+IFERROR(VLOOKUP(A886,#REF!,11,0),0)+IFERROR(VLOOKUP(A886,#REF!,11,0),0)</f>
        <v>0</v>
      </c>
      <c r="K886" s="96" t="str">
        <f>"07.02.24"</f>
        <v>07.02.24</v>
      </c>
    </row>
    <row r="887" spans="1:11" ht="11.25" customHeight="1" outlineLevel="1">
      <c r="A887" s="89" t="n">
        <v>1458980</v>
      </c>
      <c r="B887" s="114" t="s">
        <v>1201</v>
      </c>
      <c r="C887" s="89" t="s">
        <v>1292</v>
      </c>
      <c r="D887" s="89" t="s">
        <v>15</v>
      </c>
      <c r="E887" s="89" t="s">
        <v>1293</v>
      </c>
      <c r="F887" s="102" t="n">
        <v>128</v>
      </c>
      <c r="G887" s="102" t="n">
        <v>171</v>
      </c>
      <c r="H887" s="103" t="s">
        <v>17</v>
      </c>
      <c r="I887" s="103">
        <f>IFERROR(VLOOKUP(A887,#REF!,15,0),0)+IFERROR(VLOOKUP(A887,#REF!,25,0),0)+IFERROR(VLOOKUP(A887,#REF!,10,0),0)+IFERROR(VLOOKUP(A887,#REF!,14,0),0)+IFERROR(VLOOKUP(A887,#REF!,11,0),0)+IFERROR(VLOOKUP(A887,#REF!,10,0),0)+IFERROR(VLOOKUP(A887,#REF!,10,0),0)+IFERROR(VLOOKUP(A887,#REF!,9,0),0)+IFERROR(VLOOKUP(A887,#REF!,9,0),0)+IFERROR(VLOOKUP(A887,#REF!,9,0),0)+IFERROR(VLOOKUP(A887,#REF!,9,0),0)</f>
        <v>0</v>
      </c>
      <c r="J887" s="104">
        <f>IFERROR(VLOOKUP(A887,#REF!,16,0),0)+IFERROR(VLOOKUP(A887,#REF!,26,0),0)+IFERROR(VLOOKUP(A887,#REF!,11,0),0)+IFERROR(VLOOKUP(A887,#REF!,23,0),0)+IFERROR(VLOOKUP(A887,#REF!,11,0),0)+IFERROR(VLOOKUP(A887,#REF!,11,0),0)+IFERROR(VLOOKUP(A887,#REF!,11,0),0)</f>
        <v>0</v>
      </c>
      <c r="K887" s="96" t="str">
        <f>"07.02.24"</f>
        <v>07.02.24</v>
      </c>
    </row>
    <row r="888" spans="1:11" ht="11.25" customHeight="1" outlineLevel="1">
      <c r="A888" s="89" t="n">
        <v>1458990</v>
      </c>
      <c r="B888" s="114" t="s">
        <v>1201</v>
      </c>
      <c r="C888" s="89" t="s">
        <v>1294</v>
      </c>
      <c r="D888" s="89" t="s">
        <v>15</v>
      </c>
      <c r="E888" s="89" t="s">
        <v>1295</v>
      </c>
      <c r="F888" s="102" t="n">
        <v>128</v>
      </c>
      <c r="G888" s="102" t="n">
        <v>171</v>
      </c>
      <c r="H888" s="103" t="s">
        <v>17</v>
      </c>
      <c r="I888" s="103">
        <f>IFERROR(VLOOKUP(A888,#REF!,15,0),0)+IFERROR(VLOOKUP(A888,#REF!,25,0),0)+IFERROR(VLOOKUP(A888,#REF!,10,0),0)+IFERROR(VLOOKUP(A888,#REF!,14,0),0)+IFERROR(VLOOKUP(A888,#REF!,11,0),0)+IFERROR(VLOOKUP(A888,#REF!,10,0),0)+IFERROR(VLOOKUP(A888,#REF!,10,0),0)+IFERROR(VLOOKUP(A888,#REF!,9,0),0)+IFERROR(VLOOKUP(A888,#REF!,9,0),0)+IFERROR(VLOOKUP(A888,#REF!,9,0),0)+IFERROR(VLOOKUP(A888,#REF!,9,0),0)</f>
        <v>0</v>
      </c>
      <c r="J888" s="104">
        <f>IFERROR(VLOOKUP(A888,#REF!,16,0),0)+IFERROR(VLOOKUP(A888,#REF!,26,0),0)+IFERROR(VLOOKUP(A888,#REF!,11,0),0)+IFERROR(VLOOKUP(A888,#REF!,23,0),0)+IFERROR(VLOOKUP(A888,#REF!,11,0),0)+IFERROR(VLOOKUP(A888,#REF!,11,0),0)+IFERROR(VLOOKUP(A888,#REF!,11,0),0)</f>
        <v>0</v>
      </c>
      <c r="K888" s="96" t="str">
        <f>"07.02.24"</f>
        <v>07.02.24</v>
      </c>
    </row>
    <row r="889" spans="1:11" ht="11.25" customHeight="1" outlineLevel="1">
      <c r="A889" s="89" t="n">
        <v>1459000</v>
      </c>
      <c r="B889" s="114" t="s">
        <v>1201</v>
      </c>
      <c r="C889" s="89" t="s">
        <v>1296</v>
      </c>
      <c r="D889" s="89" t="s">
        <v>15</v>
      </c>
      <c r="E889" s="89" t="s">
        <v>1297</v>
      </c>
      <c r="F889" s="102" t="n">
        <v>320</v>
      </c>
      <c r="G889" s="102" t="n">
        <v>425</v>
      </c>
      <c r="H889" s="103" t="s">
        <v>17</v>
      </c>
      <c r="I889" s="103">
        <f>IFERROR(VLOOKUP(A889,#REF!,15,0),0)+IFERROR(VLOOKUP(A889,#REF!,25,0),0)+IFERROR(VLOOKUP(A889,#REF!,10,0),0)+IFERROR(VLOOKUP(A889,#REF!,14,0),0)+IFERROR(VLOOKUP(A889,#REF!,11,0),0)+IFERROR(VLOOKUP(A889,#REF!,10,0),0)+IFERROR(VLOOKUP(A889,#REF!,10,0),0)+IFERROR(VLOOKUP(A889,#REF!,9,0),0)+IFERROR(VLOOKUP(A889,#REF!,9,0),0)+IFERROR(VLOOKUP(A889,#REF!,9,0),0)+IFERROR(VLOOKUP(A889,#REF!,9,0),0)</f>
        <v>0</v>
      </c>
      <c r="J889" s="104">
        <f>IFERROR(VLOOKUP(A889,#REF!,16,0),0)+IFERROR(VLOOKUP(A889,#REF!,26,0),0)+IFERROR(VLOOKUP(A889,#REF!,11,0),0)+IFERROR(VLOOKUP(A889,#REF!,23,0),0)+IFERROR(VLOOKUP(A889,#REF!,11,0),0)+IFERROR(VLOOKUP(A889,#REF!,11,0),0)+IFERROR(VLOOKUP(A889,#REF!,11,0),0)</f>
        <v>0</v>
      </c>
      <c r="K889" s="96" t="str">
        <f>"07.02.24"</f>
        <v>07.02.24</v>
      </c>
    </row>
    <row r="890" spans="1:11" ht="11.25" customHeight="1" outlineLevel="1">
      <c r="A890" s="89" t="n">
        <v>1459010</v>
      </c>
      <c r="B890" s="114" t="s">
        <v>1201</v>
      </c>
      <c r="C890" s="89" t="s">
        <v>1298</v>
      </c>
      <c r="D890" s="89" t="s">
        <v>15</v>
      </c>
      <c r="E890" s="89" t="s">
        <v>1299</v>
      </c>
      <c r="F890" s="102" t="n">
        <v>55</v>
      </c>
      <c r="G890" s="102" t="n">
        <v>73</v>
      </c>
      <c r="H890" s="103" t="s">
        <v>17</v>
      </c>
      <c r="I890" s="103">
        <f>IFERROR(VLOOKUP(A890,#REF!,15,0),0)+IFERROR(VLOOKUP(A890,#REF!,25,0),0)+IFERROR(VLOOKUP(A890,#REF!,10,0),0)+IFERROR(VLOOKUP(A890,#REF!,14,0),0)+IFERROR(VLOOKUP(A890,#REF!,11,0),0)+IFERROR(VLOOKUP(A890,#REF!,10,0),0)+IFERROR(VLOOKUP(A890,#REF!,10,0),0)+IFERROR(VLOOKUP(A890,#REF!,9,0),0)+IFERROR(VLOOKUP(A890,#REF!,9,0),0)+IFERROR(VLOOKUP(A890,#REF!,9,0),0)+IFERROR(VLOOKUP(A890,#REF!,9,0),0)</f>
        <v>0</v>
      </c>
      <c r="J890" s="104">
        <f>IFERROR(VLOOKUP(A890,#REF!,16,0),0)+IFERROR(VLOOKUP(A890,#REF!,26,0),0)+IFERROR(VLOOKUP(A890,#REF!,11,0),0)+IFERROR(VLOOKUP(A890,#REF!,23,0),0)+IFERROR(VLOOKUP(A890,#REF!,11,0),0)+IFERROR(VLOOKUP(A890,#REF!,11,0),0)+IFERROR(VLOOKUP(A890,#REF!,11,0),0)</f>
        <v>0</v>
      </c>
      <c r="K890" s="96" t="str">
        <f>"07.02.24"</f>
        <v>07.02.24</v>
      </c>
    </row>
    <row r="891" spans="1:11" ht="11.25" customHeight="1" outlineLevel="1">
      <c r="A891" s="89" t="n">
        <v>1459020</v>
      </c>
      <c r="B891" s="114" t="s">
        <v>1201</v>
      </c>
      <c r="C891" s="89" t="s">
        <v>1300</v>
      </c>
      <c r="D891" s="89" t="s">
        <v>15</v>
      </c>
      <c r="E891" s="89" t="s">
        <v>1301</v>
      </c>
      <c r="F891" s="102" t="n">
        <v>246</v>
      </c>
      <c r="G891" s="102" t="n">
        <v>323</v>
      </c>
      <c r="H891" s="103" t="s">
        <v>48</v>
      </c>
      <c r="I891" s="103">
        <f>IFERROR(VLOOKUP(A891,#REF!,15,0),0)+IFERROR(VLOOKUP(A891,#REF!,25,0),0)+IFERROR(VLOOKUP(A891,#REF!,10,0),0)+IFERROR(VLOOKUP(A891,#REF!,14,0),0)+IFERROR(VLOOKUP(A891,#REF!,11,0),0)+IFERROR(VLOOKUP(A891,#REF!,10,0),0)+IFERROR(VLOOKUP(A891,#REF!,10,0),0)+IFERROR(VLOOKUP(A891,#REF!,9,0),0)+IFERROR(VLOOKUP(A891,#REF!,9,0),0)+IFERROR(VLOOKUP(A891,#REF!,9,0),0)+IFERROR(VLOOKUP(A891,#REF!,9,0),0)</f>
        <v>0</v>
      </c>
      <c r="J891" s="104">
        <f>IFERROR(VLOOKUP(A891,#REF!,16,0),0)+IFERROR(VLOOKUP(A891,#REF!,26,0),0)+IFERROR(VLOOKUP(A891,#REF!,11,0),0)+IFERROR(VLOOKUP(A891,#REF!,23,0),0)+IFERROR(VLOOKUP(A891,#REF!,11,0),0)+IFERROR(VLOOKUP(A891,#REF!,11,0),0)+IFERROR(VLOOKUP(A891,#REF!,11,0),0)</f>
        <v>0</v>
      </c>
      <c r="K891" s="96" t="str">
        <f>"07.02.24"</f>
        <v>07.02.24</v>
      </c>
    </row>
    <row r="892" spans="1:11" ht="11.25" customHeight="1" outlineLevel="1">
      <c r="A892" s="89" t="n">
        <v>1459030</v>
      </c>
      <c r="B892" s="114" t="s">
        <v>1201</v>
      </c>
      <c r="C892" s="89" t="s">
        <v>1302</v>
      </c>
      <c r="D892" s="89" t="s">
        <v>15</v>
      </c>
      <c r="E892" s="89" t="s">
        <v>1303</v>
      </c>
      <c r="F892" s="102" t="n">
        <v>423</v>
      </c>
      <c r="G892" s="102" t="n">
        <v>561</v>
      </c>
      <c r="H892" s="103" t="s">
        <v>17</v>
      </c>
      <c r="I892" s="103">
        <f>IFERROR(VLOOKUP(A892,#REF!,15,0),0)+IFERROR(VLOOKUP(A892,#REF!,25,0),0)+IFERROR(VLOOKUP(A892,#REF!,10,0),0)+IFERROR(VLOOKUP(A892,#REF!,14,0),0)+IFERROR(VLOOKUP(A892,#REF!,11,0),0)+IFERROR(VLOOKUP(A892,#REF!,10,0),0)+IFERROR(VLOOKUP(A892,#REF!,10,0),0)+IFERROR(VLOOKUP(A892,#REF!,9,0),0)+IFERROR(VLOOKUP(A892,#REF!,9,0),0)+IFERROR(VLOOKUP(A892,#REF!,9,0),0)+IFERROR(VLOOKUP(A892,#REF!,9,0),0)</f>
        <v>0</v>
      </c>
      <c r="J892" s="104">
        <f>IFERROR(VLOOKUP(A892,#REF!,16,0),0)+IFERROR(VLOOKUP(A892,#REF!,26,0),0)+IFERROR(VLOOKUP(A892,#REF!,11,0),0)+IFERROR(VLOOKUP(A892,#REF!,23,0),0)+IFERROR(VLOOKUP(A892,#REF!,11,0),0)+IFERROR(VLOOKUP(A892,#REF!,11,0),0)+IFERROR(VLOOKUP(A892,#REF!,11,0),0)</f>
        <v>0</v>
      </c>
      <c r="K892" s="96" t="str">
        <f>"07.02.24"</f>
        <v>07.02.24</v>
      </c>
    </row>
    <row r="893" spans="1:11" ht="11.25" customHeight="1" outlineLevel="1">
      <c r="A893" s="89" t="n">
        <v>2901370</v>
      </c>
      <c r="B893" s="114" t="s">
        <v>1201</v>
      </c>
      <c r="C893" s="89" t="s">
        <v>1304</v>
      </c>
      <c r="D893" s="89" t="s">
        <v>15</v>
      </c>
      <c r="E893" s="89" t="s">
        <v>1305</v>
      </c>
      <c r="F893" s="102" t="n">
        <v>87</v>
      </c>
      <c r="G893" s="102" t="n">
        <v>111</v>
      </c>
      <c r="H893" s="103" t="s">
        <v>17</v>
      </c>
      <c r="I893" s="103">
        <f>IFERROR(VLOOKUP(A893,#REF!,15,0),0)+IFERROR(VLOOKUP(A893,#REF!,25,0),0)+IFERROR(VLOOKUP(A893,#REF!,10,0),0)+IFERROR(VLOOKUP(A893,#REF!,14,0),0)+IFERROR(VLOOKUP(A893,#REF!,11,0),0)+IFERROR(VLOOKUP(A893,#REF!,10,0),0)+IFERROR(VLOOKUP(A893,#REF!,10,0),0)+IFERROR(VLOOKUP(A893,#REF!,9,0),0)+IFERROR(VLOOKUP(A893,#REF!,9,0),0)+IFERROR(VLOOKUP(A893,#REF!,9,0),0)+IFERROR(VLOOKUP(A893,#REF!,9,0),0)</f>
        <v>0</v>
      </c>
      <c r="J893" s="104">
        <f>IFERROR(VLOOKUP(A893,#REF!,16,0),0)+IFERROR(VLOOKUP(A893,#REF!,26,0),0)+IFERROR(VLOOKUP(A893,#REF!,11,0),0)+IFERROR(VLOOKUP(A893,#REF!,23,0),0)+IFERROR(VLOOKUP(A893,#REF!,11,0),0)+IFERROR(VLOOKUP(A893,#REF!,11,0),0)+IFERROR(VLOOKUP(A893,#REF!,11,0),0)</f>
        <v>0</v>
      </c>
      <c r="K893" s="96" t="str">
        <f>"07.02.24"</f>
        <v>07.02.24</v>
      </c>
    </row>
    <row r="894" spans="1:11" ht="11.25" customHeight="1" outlineLevel="1">
      <c r="A894" s="89" t="n">
        <v>2901460</v>
      </c>
      <c r="B894" s="114" t="s">
        <v>1201</v>
      </c>
      <c r="C894" s="89" t="s">
        <v>1306</v>
      </c>
      <c r="D894" s="89" t="s">
        <v>15</v>
      </c>
      <c r="E894" s="89" t="s">
        <v>1307</v>
      </c>
      <c r="F894" s="102" t="n">
        <v>301</v>
      </c>
      <c r="G894" s="102" t="n">
        <v>398</v>
      </c>
      <c r="H894" s="103" t="s">
        <v>17</v>
      </c>
      <c r="I894" s="103">
        <f>IFERROR(VLOOKUP(A894,#REF!,15,0),0)+IFERROR(VLOOKUP(A894,#REF!,25,0),0)+IFERROR(VLOOKUP(A894,#REF!,10,0),0)+IFERROR(VLOOKUP(A894,#REF!,14,0),0)+IFERROR(VLOOKUP(A894,#REF!,11,0),0)+IFERROR(VLOOKUP(A894,#REF!,10,0),0)+IFERROR(VLOOKUP(A894,#REF!,10,0),0)+IFERROR(VLOOKUP(A894,#REF!,9,0),0)+IFERROR(VLOOKUP(A894,#REF!,9,0),0)+IFERROR(VLOOKUP(A894,#REF!,9,0),0)+IFERROR(VLOOKUP(A894,#REF!,9,0),0)</f>
        <v>0</v>
      </c>
      <c r="J894" s="104">
        <f>IFERROR(VLOOKUP(A894,#REF!,16,0),0)+IFERROR(VLOOKUP(A894,#REF!,26,0),0)+IFERROR(VLOOKUP(A894,#REF!,11,0),0)+IFERROR(VLOOKUP(A894,#REF!,23,0),0)+IFERROR(VLOOKUP(A894,#REF!,11,0),0)+IFERROR(VLOOKUP(A894,#REF!,11,0),0)+IFERROR(VLOOKUP(A894,#REF!,11,0),0)</f>
        <v>0</v>
      </c>
      <c r="K894" s="96" t="str">
        <f>"07.02.24"</f>
        <v>07.02.24</v>
      </c>
    </row>
    <row r="895" spans="1:11" ht="11.25" customHeight="1" outlineLevel="1">
      <c r="A895" s="89" t="n">
        <v>2901470</v>
      </c>
      <c r="B895" s="114" t="s">
        <v>1201</v>
      </c>
      <c r="C895" s="89" t="s">
        <v>1308</v>
      </c>
      <c r="D895" s="89" t="s">
        <v>15</v>
      </c>
      <c r="E895" s="89" t="s">
        <v>1309</v>
      </c>
      <c r="F895" s="102" t="n">
        <v>339</v>
      </c>
      <c r="G895" s="102" t="n">
        <v>448</v>
      </c>
      <c r="H895" s="103" t="s">
        <v>48</v>
      </c>
      <c r="I895" s="103">
        <f>IFERROR(VLOOKUP(A895,#REF!,15,0),0)+IFERROR(VLOOKUP(A895,#REF!,25,0),0)+IFERROR(VLOOKUP(A895,#REF!,10,0),0)+IFERROR(VLOOKUP(A895,#REF!,14,0),0)+IFERROR(VLOOKUP(A895,#REF!,11,0),0)+IFERROR(VLOOKUP(A895,#REF!,10,0),0)+IFERROR(VLOOKUP(A895,#REF!,10,0),0)+IFERROR(VLOOKUP(A895,#REF!,9,0),0)+IFERROR(VLOOKUP(A895,#REF!,9,0),0)+IFERROR(VLOOKUP(A895,#REF!,9,0),0)+IFERROR(VLOOKUP(A895,#REF!,9,0),0)</f>
        <v>0</v>
      </c>
      <c r="J895" s="104">
        <f>IFERROR(VLOOKUP(A895,#REF!,16,0),0)+IFERROR(VLOOKUP(A895,#REF!,26,0),0)+IFERROR(VLOOKUP(A895,#REF!,11,0),0)+IFERROR(VLOOKUP(A895,#REF!,23,0),0)+IFERROR(VLOOKUP(A895,#REF!,11,0),0)+IFERROR(VLOOKUP(A895,#REF!,11,0),0)+IFERROR(VLOOKUP(A895,#REF!,11,0),0)</f>
        <v>0</v>
      </c>
      <c r="K895" s="96" t="str">
        <f>"07.02.24"</f>
        <v>07.02.24</v>
      </c>
    </row>
    <row r="896" spans="1:11" ht="11.25" customHeight="1" outlineLevel="1">
      <c r="A896" s="88" t="s">
        <v>1310</v>
      </c>
      <c r="B896" s="115"/>
      <c r="C896" s="88"/>
      <c r="D896" s="88"/>
      <c r="E896" s="88"/>
      <c r="F896" s="105"/>
      <c r="G896" s="105"/>
      <c r="H896" s="106"/>
      <c r="I896" s="106"/>
      <c r="J896" s="107"/>
      <c r="K896" s="96" t="str">
        <f>"07.02.24"</f>
        <v>07.02.24</v>
      </c>
    </row>
    <row r="897" spans="1:11" ht="11.25" customHeight="1" outlineLevel="1">
      <c r="A897" s="89" t="n">
        <v>8094160</v>
      </c>
      <c r="B897" s="114" t="s">
        <v>1201</v>
      </c>
      <c r="C897" s="89" t="s">
        <v>1311</v>
      </c>
      <c r="D897" s="89" t="s">
        <v>15</v>
      </c>
      <c r="E897" s="89" t="s">
        <v>1312</v>
      </c>
      <c r="F897" s="102" t="n">
        <v>100</v>
      </c>
      <c r="G897" s="102" t="n">
        <v>121</v>
      </c>
      <c r="H897" s="103" t="s">
        <v>48</v>
      </c>
      <c r="I897" s="103">
        <f>IFERROR(VLOOKUP(A897,#REF!,15,0),0)+IFERROR(VLOOKUP(A897,#REF!,25,0),0)+IFERROR(VLOOKUP(A897,#REF!,10,0),0)+IFERROR(VLOOKUP(A897,#REF!,14,0),0)+IFERROR(VLOOKUP(A897,#REF!,11,0),0)+IFERROR(VLOOKUP(A897,#REF!,10,0),0)+IFERROR(VLOOKUP(A897,#REF!,10,0),0)+IFERROR(VLOOKUP(A897,#REF!,9,0),0)+IFERROR(VLOOKUP(A897,#REF!,9,0),0)+IFERROR(VLOOKUP(A897,#REF!,9,0),0)+IFERROR(VLOOKUP(A897,#REF!,9,0),0)</f>
        <v>0</v>
      </c>
      <c r="J897" s="104">
        <f>IFERROR(VLOOKUP(A897,#REF!,16,0),0)+IFERROR(VLOOKUP(A897,#REF!,26,0),0)+IFERROR(VLOOKUP(A897,#REF!,11,0),0)+IFERROR(VLOOKUP(A897,#REF!,23,0),0)+IFERROR(VLOOKUP(A897,#REF!,11,0),0)+IFERROR(VLOOKUP(A897,#REF!,11,0),0)+IFERROR(VLOOKUP(A897,#REF!,11,0),0)</f>
        <v>0</v>
      </c>
      <c r="K897" s="96" t="str">
        <f>"07.02.24"</f>
        <v>07.02.24</v>
      </c>
    </row>
    <row r="898" spans="1:11" ht="11.25" customHeight="1">
      <c r="A898" s="88" t="s">
        <v>1313</v>
      </c>
      <c r="B898" s="115"/>
      <c r="C898" s="88"/>
      <c r="D898" s="88"/>
      <c r="E898" s="88"/>
      <c r="F898" s="105"/>
      <c r="G898" s="105"/>
      <c r="H898" s="106"/>
      <c r="I898" s="106"/>
      <c r="J898" s="107"/>
      <c r="K898" s="96" t="str">
        <f>"07.02.24"</f>
        <v>07.02.24</v>
      </c>
    </row>
    <row r="899" spans="1:11" ht="11.25" customHeight="1" outlineLevel="1">
      <c r="A899" s="89" t="n">
        <v>8087410</v>
      </c>
      <c r="B899" s="114" t="s">
        <v>1201</v>
      </c>
      <c r="C899" s="89" t="s">
        <v>1314</v>
      </c>
      <c r="D899" s="89" t="s">
        <v>15</v>
      </c>
      <c r="E899" s="89"/>
      <c r="F899" s="102" t="n">
        <v>73</v>
      </c>
      <c r="G899" s="102" t="n">
        <v>95</v>
      </c>
      <c r="H899" s="103" t="s">
        <v>48</v>
      </c>
      <c r="I899" s="103">
        <f>IFERROR(VLOOKUP(A899,#REF!,15,0),0)+IFERROR(VLOOKUP(A899,#REF!,25,0),0)+IFERROR(VLOOKUP(A899,#REF!,10,0),0)+IFERROR(VLOOKUP(A899,#REF!,14,0),0)+IFERROR(VLOOKUP(A899,#REF!,11,0),0)+IFERROR(VLOOKUP(A899,#REF!,10,0),0)+IFERROR(VLOOKUP(A899,#REF!,10,0),0)+IFERROR(VLOOKUP(A899,#REF!,9,0),0)+IFERROR(VLOOKUP(A899,#REF!,9,0),0)+IFERROR(VLOOKUP(A899,#REF!,9,0),0)+IFERROR(VLOOKUP(A899,#REF!,9,0),0)</f>
        <v>0</v>
      </c>
      <c r="J899" s="104">
        <f>IFERROR(VLOOKUP(A899,#REF!,16,0),0)+IFERROR(VLOOKUP(A899,#REF!,26,0),0)+IFERROR(VLOOKUP(A899,#REF!,11,0),0)+IFERROR(VLOOKUP(A899,#REF!,23,0),0)+IFERROR(VLOOKUP(A899,#REF!,11,0),0)+IFERROR(VLOOKUP(A899,#REF!,11,0),0)+IFERROR(VLOOKUP(A899,#REF!,11,0),0)</f>
        <v>0</v>
      </c>
      <c r="K899" s="96" t="str">
        <f>"07.02.24"</f>
        <v>07.02.24</v>
      </c>
    </row>
    <row r="900" spans="1:11" ht="11.25" customHeight="1" outlineLevel="1">
      <c r="A900" s="89" t="n">
        <v>8087420</v>
      </c>
      <c r="B900" s="114" t="s">
        <v>1201</v>
      </c>
      <c r="C900" s="89" t="s">
        <v>1315</v>
      </c>
      <c r="D900" s="89" t="s">
        <v>15</v>
      </c>
      <c r="E900" s="89"/>
      <c r="F900" s="102" t="n">
        <v>73</v>
      </c>
      <c r="G900" s="102" t="n">
        <v>95</v>
      </c>
      <c r="H900" s="103" t="s">
        <v>48</v>
      </c>
      <c r="I900" s="103">
        <f>IFERROR(VLOOKUP(A900,#REF!,15,0),0)+IFERROR(VLOOKUP(A900,#REF!,25,0),0)+IFERROR(VLOOKUP(A900,#REF!,10,0),0)+IFERROR(VLOOKUP(A900,#REF!,14,0),0)+IFERROR(VLOOKUP(A900,#REF!,11,0),0)+IFERROR(VLOOKUP(A900,#REF!,10,0),0)+IFERROR(VLOOKUP(A900,#REF!,10,0),0)+IFERROR(VLOOKUP(A900,#REF!,9,0),0)+IFERROR(VLOOKUP(A900,#REF!,9,0),0)+IFERROR(VLOOKUP(A900,#REF!,9,0),0)+IFERROR(VLOOKUP(A900,#REF!,9,0),0)</f>
        <v>0</v>
      </c>
      <c r="J900" s="104">
        <f>IFERROR(VLOOKUP(A900,#REF!,16,0),0)+IFERROR(VLOOKUP(A900,#REF!,26,0),0)+IFERROR(VLOOKUP(A900,#REF!,11,0),0)+IFERROR(VLOOKUP(A900,#REF!,23,0),0)+IFERROR(VLOOKUP(A900,#REF!,11,0),0)+IFERROR(VLOOKUP(A900,#REF!,11,0),0)+IFERROR(VLOOKUP(A900,#REF!,11,0),0)</f>
        <v>0</v>
      </c>
      <c r="K900" s="96" t="str">
        <f>"07.02.24"</f>
        <v>07.02.24</v>
      </c>
    </row>
    <row r="901" spans="1:11" ht="11.25" customHeight="1">
      <c r="A901" s="88" t="s">
        <v>1316</v>
      </c>
      <c r="B901" s="115"/>
      <c r="C901" s="88"/>
      <c r="D901" s="88"/>
      <c r="E901" s="88"/>
      <c r="F901" s="105"/>
      <c r="G901" s="105"/>
      <c r="H901" s="106"/>
      <c r="I901" s="106"/>
      <c r="J901" s="107"/>
      <c r="K901" s="96" t="str">
        <f>"07.02.24"</f>
        <v>07.02.24</v>
      </c>
    </row>
    <row r="902" spans="1:11" ht="11.25" customHeight="1" outlineLevel="1">
      <c r="A902" s="89" t="n">
        <v>8079940</v>
      </c>
      <c r="B902" s="114" t="s">
        <v>1201</v>
      </c>
      <c r="C902" s="89" t="s">
        <v>1317</v>
      </c>
      <c r="D902" s="89" t="s">
        <v>15</v>
      </c>
      <c r="E902" s="89" t="s">
        <v>1318</v>
      </c>
      <c r="F902" s="102" t="n">
        <v>86</v>
      </c>
      <c r="G902" s="102" t="n">
        <v>110</v>
      </c>
      <c r="H902" s="103" t="s">
        <v>17</v>
      </c>
      <c r="I902" s="103">
        <f>IFERROR(VLOOKUP(A902,#REF!,15,0),0)+IFERROR(VLOOKUP(A902,#REF!,25,0),0)+IFERROR(VLOOKUP(A902,#REF!,10,0),0)+IFERROR(VLOOKUP(A902,#REF!,14,0),0)+IFERROR(VLOOKUP(A902,#REF!,11,0),0)+IFERROR(VLOOKUP(A902,#REF!,10,0),0)+IFERROR(VLOOKUP(A902,#REF!,10,0),0)+IFERROR(VLOOKUP(A902,#REF!,9,0),0)+IFERROR(VLOOKUP(A902,#REF!,9,0),0)+IFERROR(VLOOKUP(A902,#REF!,9,0),0)+IFERROR(VLOOKUP(A902,#REF!,9,0),0)</f>
        <v>0</v>
      </c>
      <c r="J902" s="104">
        <f>IFERROR(VLOOKUP(A902,#REF!,16,0),0)+IFERROR(VLOOKUP(A902,#REF!,26,0),0)+IFERROR(VLOOKUP(A902,#REF!,11,0),0)+IFERROR(VLOOKUP(A902,#REF!,23,0),0)+IFERROR(VLOOKUP(A902,#REF!,11,0),0)+IFERROR(VLOOKUP(A902,#REF!,11,0),0)+IFERROR(VLOOKUP(A902,#REF!,11,0),0)</f>
        <v>0</v>
      </c>
      <c r="K902" s="96" t="str">
        <f>"07.02.24"</f>
        <v>07.02.24</v>
      </c>
    </row>
    <row r="903" spans="1:11" ht="11.25" customHeight="1" outlineLevel="1">
      <c r="A903" s="89" t="n">
        <v>8079950</v>
      </c>
      <c r="B903" s="114" t="s">
        <v>1201</v>
      </c>
      <c r="C903" s="89" t="s">
        <v>1319</v>
      </c>
      <c r="D903" s="89" t="s">
        <v>15</v>
      </c>
      <c r="E903" s="89" t="s">
        <v>1320</v>
      </c>
      <c r="F903" s="102" t="n">
        <v>453</v>
      </c>
      <c r="G903" s="102" t="n">
        <v>597</v>
      </c>
      <c r="H903" s="103" t="s">
        <v>48</v>
      </c>
      <c r="I903" s="103">
        <f>IFERROR(VLOOKUP(A903,#REF!,15,0),0)+IFERROR(VLOOKUP(A903,#REF!,25,0),0)+IFERROR(VLOOKUP(A903,#REF!,10,0),0)+IFERROR(VLOOKUP(A903,#REF!,14,0),0)+IFERROR(VLOOKUP(A903,#REF!,11,0),0)+IFERROR(VLOOKUP(A903,#REF!,10,0),0)+IFERROR(VLOOKUP(A903,#REF!,10,0),0)+IFERROR(VLOOKUP(A903,#REF!,9,0),0)+IFERROR(VLOOKUP(A903,#REF!,9,0),0)+IFERROR(VLOOKUP(A903,#REF!,9,0),0)+IFERROR(VLOOKUP(A903,#REF!,9,0),0)</f>
        <v>0</v>
      </c>
      <c r="J903" s="104">
        <f>IFERROR(VLOOKUP(A903,#REF!,16,0),0)+IFERROR(VLOOKUP(A903,#REF!,26,0),0)+IFERROR(VLOOKUP(A903,#REF!,11,0),0)+IFERROR(VLOOKUP(A903,#REF!,23,0),0)+IFERROR(VLOOKUP(A903,#REF!,11,0),0)+IFERROR(VLOOKUP(A903,#REF!,11,0),0)+IFERROR(VLOOKUP(A903,#REF!,11,0),0)</f>
        <v>0</v>
      </c>
      <c r="K903" s="96" t="str">
        <f>"07.02.24"</f>
        <v>07.02.24</v>
      </c>
    </row>
    <row r="904" spans="1:11" ht="11.25" customHeight="1" outlineLevel="1">
      <c r="A904" s="89" t="n">
        <v>8079960</v>
      </c>
      <c r="B904" s="114" t="s">
        <v>1201</v>
      </c>
      <c r="C904" s="89" t="s">
        <v>1321</v>
      </c>
      <c r="D904" s="89" t="s">
        <v>15</v>
      </c>
      <c r="E904" s="89" t="s">
        <v>1322</v>
      </c>
      <c r="F904" s="102" t="n">
        <v>340</v>
      </c>
      <c r="G904" s="102" t="n">
        <v>448</v>
      </c>
      <c r="H904" s="103" t="s">
        <v>17</v>
      </c>
      <c r="I904" s="103">
        <f>IFERROR(VLOOKUP(A904,#REF!,15,0),0)+IFERROR(VLOOKUP(A904,#REF!,25,0),0)+IFERROR(VLOOKUP(A904,#REF!,10,0),0)+IFERROR(VLOOKUP(A904,#REF!,14,0),0)+IFERROR(VLOOKUP(A904,#REF!,11,0),0)+IFERROR(VLOOKUP(A904,#REF!,10,0),0)+IFERROR(VLOOKUP(A904,#REF!,10,0),0)+IFERROR(VLOOKUP(A904,#REF!,9,0),0)+IFERROR(VLOOKUP(A904,#REF!,9,0),0)+IFERROR(VLOOKUP(A904,#REF!,9,0),0)+IFERROR(VLOOKUP(A904,#REF!,9,0),0)</f>
        <v>0</v>
      </c>
      <c r="J904" s="104">
        <f>IFERROR(VLOOKUP(A904,#REF!,16,0),0)+IFERROR(VLOOKUP(A904,#REF!,26,0),0)+IFERROR(VLOOKUP(A904,#REF!,11,0),0)+IFERROR(VLOOKUP(A904,#REF!,23,0),0)+IFERROR(VLOOKUP(A904,#REF!,11,0),0)+IFERROR(VLOOKUP(A904,#REF!,11,0),0)+IFERROR(VLOOKUP(A904,#REF!,11,0),0)</f>
        <v>0</v>
      </c>
      <c r="K904" s="96" t="str">
        <f>"07.02.24"</f>
        <v>07.02.24</v>
      </c>
    </row>
    <row r="905" spans="1:11" ht="11.25" customHeight="1" outlineLevel="1">
      <c r="A905" s="89" t="n">
        <v>8079970</v>
      </c>
      <c r="B905" s="114" t="s">
        <v>1201</v>
      </c>
      <c r="C905" s="89" t="s">
        <v>1323</v>
      </c>
      <c r="D905" s="89" t="s">
        <v>15</v>
      </c>
      <c r="E905" s="89" t="s">
        <v>1324</v>
      </c>
      <c r="F905" s="102" t="n">
        <v>286</v>
      </c>
      <c r="G905" s="102" t="n">
        <v>380</v>
      </c>
      <c r="H905" s="103" t="s">
        <v>48</v>
      </c>
      <c r="I905" s="103">
        <f>IFERROR(VLOOKUP(A905,#REF!,15,0),0)+IFERROR(VLOOKUP(A905,#REF!,25,0),0)+IFERROR(VLOOKUP(A905,#REF!,10,0),0)+IFERROR(VLOOKUP(A905,#REF!,14,0),0)+IFERROR(VLOOKUP(A905,#REF!,11,0),0)+IFERROR(VLOOKUP(A905,#REF!,10,0),0)+IFERROR(VLOOKUP(A905,#REF!,10,0),0)+IFERROR(VLOOKUP(A905,#REF!,9,0),0)+IFERROR(VLOOKUP(A905,#REF!,9,0),0)+IFERROR(VLOOKUP(A905,#REF!,9,0),0)+IFERROR(VLOOKUP(A905,#REF!,9,0),0)</f>
        <v>0</v>
      </c>
      <c r="J905" s="104">
        <f>IFERROR(VLOOKUP(A905,#REF!,16,0),0)+IFERROR(VLOOKUP(A905,#REF!,26,0),0)+IFERROR(VLOOKUP(A905,#REF!,11,0),0)+IFERROR(VLOOKUP(A905,#REF!,23,0),0)+IFERROR(VLOOKUP(A905,#REF!,11,0),0)+IFERROR(VLOOKUP(A905,#REF!,11,0),0)+IFERROR(VLOOKUP(A905,#REF!,11,0),0)</f>
        <v>0</v>
      </c>
      <c r="K905" s="96" t="str">
        <f>"07.02.24"</f>
        <v>07.02.24</v>
      </c>
    </row>
    <row r="906" spans="1:11" ht="11.25" customHeight="1" outlineLevel="1">
      <c r="A906" s="89" t="n">
        <v>8079980</v>
      </c>
      <c r="B906" s="114" t="s">
        <v>1201</v>
      </c>
      <c r="C906" s="89" t="s">
        <v>1325</v>
      </c>
      <c r="D906" s="89" t="s">
        <v>15</v>
      </c>
      <c r="E906" s="89" t="s">
        <v>1326</v>
      </c>
      <c r="F906" s="102" t="n">
        <v>251</v>
      </c>
      <c r="G906" s="102" t="n">
        <v>335</v>
      </c>
      <c r="H906" s="103" t="s">
        <v>17</v>
      </c>
      <c r="I906" s="103">
        <f>IFERROR(VLOOKUP(A906,#REF!,15,0),0)+IFERROR(VLOOKUP(A906,#REF!,25,0),0)+IFERROR(VLOOKUP(A906,#REF!,10,0),0)+IFERROR(VLOOKUP(A906,#REF!,14,0),0)+IFERROR(VLOOKUP(A906,#REF!,11,0),0)+IFERROR(VLOOKUP(A906,#REF!,10,0),0)+IFERROR(VLOOKUP(A906,#REF!,10,0),0)+IFERROR(VLOOKUP(A906,#REF!,9,0),0)+IFERROR(VLOOKUP(A906,#REF!,9,0),0)+IFERROR(VLOOKUP(A906,#REF!,9,0),0)+IFERROR(VLOOKUP(A906,#REF!,9,0),0)</f>
        <v>0</v>
      </c>
      <c r="J906" s="104">
        <f>IFERROR(VLOOKUP(A906,#REF!,16,0),0)+IFERROR(VLOOKUP(A906,#REF!,26,0),0)+IFERROR(VLOOKUP(A906,#REF!,11,0),0)+IFERROR(VLOOKUP(A906,#REF!,23,0),0)+IFERROR(VLOOKUP(A906,#REF!,11,0),0)+IFERROR(VLOOKUP(A906,#REF!,11,0),0)+IFERROR(VLOOKUP(A906,#REF!,11,0),0)</f>
        <v>0</v>
      </c>
      <c r="K906" s="96" t="str">
        <f>"07.02.24"</f>
        <v>07.02.24</v>
      </c>
    </row>
    <row r="907" spans="1:11" ht="11.25" customHeight="1" outlineLevel="1">
      <c r="A907" s="89" t="n">
        <v>8079990</v>
      </c>
      <c r="B907" s="114" t="s">
        <v>1201</v>
      </c>
      <c r="C907" s="89" t="s">
        <v>1327</v>
      </c>
      <c r="D907" s="89" t="s">
        <v>15</v>
      </c>
      <c r="E907" s="89" t="s">
        <v>1328</v>
      </c>
      <c r="F907" s="102" t="n">
        <v>363</v>
      </c>
      <c r="G907" s="102" t="n">
        <v>480</v>
      </c>
      <c r="H907" s="103" t="s">
        <v>48</v>
      </c>
      <c r="I907" s="103">
        <f>IFERROR(VLOOKUP(A907,#REF!,15,0),0)+IFERROR(VLOOKUP(A907,#REF!,25,0),0)+IFERROR(VLOOKUP(A907,#REF!,10,0),0)+IFERROR(VLOOKUP(A907,#REF!,14,0),0)+IFERROR(VLOOKUP(A907,#REF!,11,0),0)+IFERROR(VLOOKUP(A907,#REF!,10,0),0)+IFERROR(VLOOKUP(A907,#REF!,10,0),0)+IFERROR(VLOOKUP(A907,#REF!,9,0),0)+IFERROR(VLOOKUP(A907,#REF!,9,0),0)+IFERROR(VLOOKUP(A907,#REF!,9,0),0)+IFERROR(VLOOKUP(A907,#REF!,9,0),0)</f>
        <v>0</v>
      </c>
      <c r="J907" s="104">
        <f>IFERROR(VLOOKUP(A907,#REF!,16,0),0)+IFERROR(VLOOKUP(A907,#REF!,26,0),0)+IFERROR(VLOOKUP(A907,#REF!,11,0),0)+IFERROR(VLOOKUP(A907,#REF!,23,0),0)+IFERROR(VLOOKUP(A907,#REF!,11,0),0)+IFERROR(VLOOKUP(A907,#REF!,11,0),0)+IFERROR(VLOOKUP(A907,#REF!,11,0),0)</f>
        <v>0</v>
      </c>
      <c r="K907" s="96" t="str">
        <f>"07.02.24"</f>
        <v>07.02.24</v>
      </c>
    </row>
    <row r="908" spans="1:11" ht="11.25" customHeight="1" outlineLevel="1">
      <c r="A908" s="89" t="n">
        <v>8080000</v>
      </c>
      <c r="B908" s="114" t="s">
        <v>1201</v>
      </c>
      <c r="C908" s="89" t="s">
        <v>1329</v>
      </c>
      <c r="D908" s="89" t="s">
        <v>15</v>
      </c>
      <c r="E908" s="89" t="s">
        <v>1330</v>
      </c>
      <c r="F908" s="102" t="n">
        <v>270</v>
      </c>
      <c r="G908" s="102" t="n">
        <v>355</v>
      </c>
      <c r="H908" s="103" t="s">
        <v>17</v>
      </c>
      <c r="I908" s="103">
        <f>IFERROR(VLOOKUP(A908,#REF!,15,0),0)+IFERROR(VLOOKUP(A908,#REF!,25,0),0)+IFERROR(VLOOKUP(A908,#REF!,10,0),0)+IFERROR(VLOOKUP(A908,#REF!,14,0),0)+IFERROR(VLOOKUP(A908,#REF!,11,0),0)+IFERROR(VLOOKUP(A908,#REF!,10,0),0)+IFERROR(VLOOKUP(A908,#REF!,10,0),0)+IFERROR(VLOOKUP(A908,#REF!,9,0),0)+IFERROR(VLOOKUP(A908,#REF!,9,0),0)+IFERROR(VLOOKUP(A908,#REF!,9,0),0)+IFERROR(VLOOKUP(A908,#REF!,9,0),0)</f>
        <v>0</v>
      </c>
      <c r="J908" s="104">
        <f>IFERROR(VLOOKUP(A908,#REF!,16,0),0)+IFERROR(VLOOKUP(A908,#REF!,26,0),0)+IFERROR(VLOOKUP(A908,#REF!,11,0),0)+IFERROR(VLOOKUP(A908,#REF!,23,0),0)+IFERROR(VLOOKUP(A908,#REF!,11,0),0)+IFERROR(VLOOKUP(A908,#REF!,11,0),0)+IFERROR(VLOOKUP(A908,#REF!,11,0),0)</f>
        <v>0</v>
      </c>
      <c r="K908" s="96" t="str">
        <f>"07.02.24"</f>
        <v>07.02.24</v>
      </c>
    </row>
    <row r="909" spans="1:11" ht="11.25" customHeight="1" outlineLevel="1">
      <c r="A909" s="89" t="n">
        <v>8080010</v>
      </c>
      <c r="B909" s="114" t="s">
        <v>1201</v>
      </c>
      <c r="C909" s="89" t="s">
        <v>1331</v>
      </c>
      <c r="D909" s="89" t="s">
        <v>15</v>
      </c>
      <c r="E909" s="89" t="s">
        <v>1332</v>
      </c>
      <c r="F909" s="102" t="n">
        <v>224</v>
      </c>
      <c r="G909" s="102" t="n">
        <v>296</v>
      </c>
      <c r="H909" s="103" t="s">
        <v>48</v>
      </c>
      <c r="I909" s="103">
        <f>IFERROR(VLOOKUP(A909,#REF!,15,0),0)+IFERROR(VLOOKUP(A909,#REF!,25,0),0)+IFERROR(VLOOKUP(A909,#REF!,10,0),0)+IFERROR(VLOOKUP(A909,#REF!,14,0),0)+IFERROR(VLOOKUP(A909,#REF!,11,0),0)+IFERROR(VLOOKUP(A909,#REF!,10,0),0)+IFERROR(VLOOKUP(A909,#REF!,10,0),0)+IFERROR(VLOOKUP(A909,#REF!,9,0),0)+IFERROR(VLOOKUP(A909,#REF!,9,0),0)+IFERROR(VLOOKUP(A909,#REF!,9,0),0)+IFERROR(VLOOKUP(A909,#REF!,9,0),0)</f>
        <v>0</v>
      </c>
      <c r="J909" s="104">
        <f>IFERROR(VLOOKUP(A909,#REF!,16,0),0)+IFERROR(VLOOKUP(A909,#REF!,26,0),0)+IFERROR(VLOOKUP(A909,#REF!,11,0),0)+IFERROR(VLOOKUP(A909,#REF!,23,0),0)+IFERROR(VLOOKUP(A909,#REF!,11,0),0)+IFERROR(VLOOKUP(A909,#REF!,11,0),0)+IFERROR(VLOOKUP(A909,#REF!,11,0),0)</f>
        <v>0</v>
      </c>
      <c r="K909" s="96" t="str">
        <f>"07.02.24"</f>
        <v>07.02.24</v>
      </c>
    </row>
    <row r="910" spans="1:11" ht="11.25" customHeight="1" outlineLevel="1">
      <c r="A910" s="89" t="n">
        <v>8080020</v>
      </c>
      <c r="B910" s="114" t="s">
        <v>1201</v>
      </c>
      <c r="C910" s="89" t="s">
        <v>1333</v>
      </c>
      <c r="D910" s="89" t="s">
        <v>15</v>
      </c>
      <c r="E910" s="89" t="s">
        <v>1334</v>
      </c>
      <c r="F910" s="102" t="n">
        <v>200</v>
      </c>
      <c r="G910" s="102" t="n">
        <v>263</v>
      </c>
      <c r="H910" s="103" t="s">
        <v>48</v>
      </c>
      <c r="I910" s="103">
        <f>IFERROR(VLOOKUP(A910,#REF!,15,0),0)+IFERROR(VLOOKUP(A910,#REF!,25,0),0)+IFERROR(VLOOKUP(A910,#REF!,10,0),0)+IFERROR(VLOOKUP(A910,#REF!,14,0),0)+IFERROR(VLOOKUP(A910,#REF!,11,0),0)+IFERROR(VLOOKUP(A910,#REF!,10,0),0)+IFERROR(VLOOKUP(A910,#REF!,10,0),0)+IFERROR(VLOOKUP(A910,#REF!,9,0),0)+IFERROR(VLOOKUP(A910,#REF!,9,0),0)+IFERROR(VLOOKUP(A910,#REF!,9,0),0)+IFERROR(VLOOKUP(A910,#REF!,9,0),0)</f>
        <v>0</v>
      </c>
      <c r="J910" s="104">
        <f>IFERROR(VLOOKUP(A910,#REF!,16,0),0)+IFERROR(VLOOKUP(A910,#REF!,26,0),0)+IFERROR(VLOOKUP(A910,#REF!,11,0),0)+IFERROR(VLOOKUP(A910,#REF!,23,0),0)+IFERROR(VLOOKUP(A910,#REF!,11,0),0)+IFERROR(VLOOKUP(A910,#REF!,11,0),0)+IFERROR(VLOOKUP(A910,#REF!,11,0),0)</f>
        <v>0</v>
      </c>
      <c r="K910" s="96" t="str">
        <f>"07.02.24"</f>
        <v>07.02.24</v>
      </c>
    </row>
    <row r="911" spans="1:11" ht="11.25" customHeight="1" outlineLevel="1">
      <c r="A911" s="89" t="n">
        <v>8080030</v>
      </c>
      <c r="B911" s="114" t="s">
        <v>1201</v>
      </c>
      <c r="C911" s="89" t="s">
        <v>1335</v>
      </c>
      <c r="D911" s="89" t="s">
        <v>15</v>
      </c>
      <c r="E911" s="89" t="s">
        <v>1336</v>
      </c>
      <c r="F911" s="102" t="n">
        <v>157</v>
      </c>
      <c r="G911" s="102" t="n">
        <v>214</v>
      </c>
      <c r="H911" s="103" t="s">
        <v>48</v>
      </c>
      <c r="I911" s="103">
        <f>IFERROR(VLOOKUP(A911,#REF!,15,0),0)+IFERROR(VLOOKUP(A911,#REF!,25,0),0)+IFERROR(VLOOKUP(A911,#REF!,10,0),0)+IFERROR(VLOOKUP(A911,#REF!,14,0),0)+IFERROR(VLOOKUP(A911,#REF!,11,0),0)+IFERROR(VLOOKUP(A911,#REF!,10,0),0)+IFERROR(VLOOKUP(A911,#REF!,10,0),0)+IFERROR(VLOOKUP(A911,#REF!,9,0),0)+IFERROR(VLOOKUP(A911,#REF!,9,0),0)+IFERROR(VLOOKUP(A911,#REF!,9,0),0)+IFERROR(VLOOKUP(A911,#REF!,9,0),0)</f>
        <v>0</v>
      </c>
      <c r="J911" s="104">
        <f>IFERROR(VLOOKUP(A911,#REF!,16,0),0)+IFERROR(VLOOKUP(A911,#REF!,26,0),0)+IFERROR(VLOOKUP(A911,#REF!,11,0),0)+IFERROR(VLOOKUP(A911,#REF!,23,0),0)+IFERROR(VLOOKUP(A911,#REF!,11,0),0)+IFERROR(VLOOKUP(A911,#REF!,11,0),0)+IFERROR(VLOOKUP(A911,#REF!,11,0),0)</f>
        <v>0</v>
      </c>
      <c r="K911" s="96" t="str">
        <f>"07.02.24"</f>
        <v>07.02.24</v>
      </c>
    </row>
    <row r="912" spans="1:11" ht="11.25" customHeight="1" outlineLevel="1">
      <c r="A912" s="89" t="n">
        <v>8080040</v>
      </c>
      <c r="B912" s="114" t="s">
        <v>1201</v>
      </c>
      <c r="C912" s="89" t="s">
        <v>1337</v>
      </c>
      <c r="D912" s="89" t="s">
        <v>15</v>
      </c>
      <c r="E912" s="89" t="s">
        <v>1338</v>
      </c>
      <c r="F912" s="102" t="n">
        <v>323</v>
      </c>
      <c r="G912" s="102" t="n">
        <v>427</v>
      </c>
      <c r="H912" s="103" t="s">
        <v>17</v>
      </c>
      <c r="I912" s="103">
        <f>IFERROR(VLOOKUP(A912,#REF!,15,0),0)+IFERROR(VLOOKUP(A912,#REF!,25,0),0)+IFERROR(VLOOKUP(A912,#REF!,10,0),0)+IFERROR(VLOOKUP(A912,#REF!,14,0),0)+IFERROR(VLOOKUP(A912,#REF!,11,0),0)+IFERROR(VLOOKUP(A912,#REF!,10,0),0)+IFERROR(VLOOKUP(A912,#REF!,10,0),0)+IFERROR(VLOOKUP(A912,#REF!,9,0),0)+IFERROR(VLOOKUP(A912,#REF!,9,0),0)+IFERROR(VLOOKUP(A912,#REF!,9,0),0)+IFERROR(VLOOKUP(A912,#REF!,9,0),0)</f>
        <v>0</v>
      </c>
      <c r="J912" s="104">
        <f>IFERROR(VLOOKUP(A912,#REF!,16,0),0)+IFERROR(VLOOKUP(A912,#REF!,26,0),0)+IFERROR(VLOOKUP(A912,#REF!,11,0),0)+IFERROR(VLOOKUP(A912,#REF!,23,0),0)+IFERROR(VLOOKUP(A912,#REF!,11,0),0)+IFERROR(VLOOKUP(A912,#REF!,11,0),0)+IFERROR(VLOOKUP(A912,#REF!,11,0),0)</f>
        <v>0</v>
      </c>
      <c r="K912" s="96" t="str">
        <f>"07.02.24"</f>
        <v>07.02.24</v>
      </c>
    </row>
    <row r="913" spans="1:11" ht="11.25" customHeight="1" outlineLevel="1">
      <c r="A913" s="89" t="n">
        <v>8080050</v>
      </c>
      <c r="B913" s="114" t="s">
        <v>1201</v>
      </c>
      <c r="C913" s="89" t="s">
        <v>1339</v>
      </c>
      <c r="D913" s="89" t="s">
        <v>15</v>
      </c>
      <c r="E913" s="89" t="s">
        <v>1340</v>
      </c>
      <c r="F913" s="102" t="n">
        <v>237</v>
      </c>
      <c r="G913" s="102" t="n">
        <v>311</v>
      </c>
      <c r="H913" s="103" t="s">
        <v>17</v>
      </c>
      <c r="I913" s="103">
        <f>IFERROR(VLOOKUP(A913,#REF!,15,0),0)+IFERROR(VLOOKUP(A913,#REF!,25,0),0)+IFERROR(VLOOKUP(A913,#REF!,10,0),0)+IFERROR(VLOOKUP(A913,#REF!,14,0),0)+IFERROR(VLOOKUP(A913,#REF!,11,0),0)+IFERROR(VLOOKUP(A913,#REF!,10,0),0)+IFERROR(VLOOKUP(A913,#REF!,10,0),0)+IFERROR(VLOOKUP(A913,#REF!,9,0),0)+IFERROR(VLOOKUP(A913,#REF!,9,0),0)+IFERROR(VLOOKUP(A913,#REF!,9,0),0)+IFERROR(VLOOKUP(A913,#REF!,9,0),0)</f>
        <v>0</v>
      </c>
      <c r="J913" s="104">
        <f>IFERROR(VLOOKUP(A913,#REF!,16,0),0)+IFERROR(VLOOKUP(A913,#REF!,26,0),0)+IFERROR(VLOOKUP(A913,#REF!,11,0),0)+IFERROR(VLOOKUP(A913,#REF!,23,0),0)+IFERROR(VLOOKUP(A913,#REF!,11,0),0)+IFERROR(VLOOKUP(A913,#REF!,11,0),0)+IFERROR(VLOOKUP(A913,#REF!,11,0),0)</f>
        <v>0</v>
      </c>
      <c r="K913" s="96" t="str">
        <f>"07.02.24"</f>
        <v>07.02.24</v>
      </c>
    </row>
    <row r="914" spans="1:11" ht="11.25" customHeight="1" outlineLevel="1">
      <c r="A914" s="89" t="n">
        <v>8080060</v>
      </c>
      <c r="B914" s="114" t="s">
        <v>1201</v>
      </c>
      <c r="C914" s="89" t="s">
        <v>1341</v>
      </c>
      <c r="D914" s="89" t="s">
        <v>15</v>
      </c>
      <c r="E914" s="89" t="s">
        <v>1342</v>
      </c>
      <c r="F914" s="102" t="n">
        <v>210</v>
      </c>
      <c r="G914" s="102" t="n">
        <v>277</v>
      </c>
      <c r="H914" s="103" t="s">
        <v>17</v>
      </c>
      <c r="I914" s="103">
        <f>IFERROR(VLOOKUP(A914,#REF!,15,0),0)+IFERROR(VLOOKUP(A914,#REF!,25,0),0)+IFERROR(VLOOKUP(A914,#REF!,10,0),0)+IFERROR(VLOOKUP(A914,#REF!,14,0),0)+IFERROR(VLOOKUP(A914,#REF!,11,0),0)+IFERROR(VLOOKUP(A914,#REF!,10,0),0)+IFERROR(VLOOKUP(A914,#REF!,10,0),0)+IFERROR(VLOOKUP(A914,#REF!,9,0),0)+IFERROR(VLOOKUP(A914,#REF!,9,0),0)+IFERROR(VLOOKUP(A914,#REF!,9,0),0)+IFERROR(VLOOKUP(A914,#REF!,9,0),0)</f>
        <v>0</v>
      </c>
      <c r="J914" s="104">
        <f>IFERROR(VLOOKUP(A914,#REF!,16,0),0)+IFERROR(VLOOKUP(A914,#REF!,26,0),0)+IFERROR(VLOOKUP(A914,#REF!,11,0),0)+IFERROR(VLOOKUP(A914,#REF!,23,0),0)+IFERROR(VLOOKUP(A914,#REF!,11,0),0)+IFERROR(VLOOKUP(A914,#REF!,11,0),0)+IFERROR(VLOOKUP(A914,#REF!,11,0),0)</f>
        <v>0</v>
      </c>
      <c r="K914" s="96" t="str">
        <f>"07.02.24"</f>
        <v>07.02.24</v>
      </c>
    </row>
    <row r="915" spans="1:11" ht="11.25" customHeight="1" outlineLevel="1">
      <c r="A915" s="89" t="n">
        <v>8080070</v>
      </c>
      <c r="B915" s="114" t="s">
        <v>1201</v>
      </c>
      <c r="C915" s="89" t="s">
        <v>1343</v>
      </c>
      <c r="D915" s="89" t="s">
        <v>15</v>
      </c>
      <c r="E915" s="89" t="s">
        <v>1344</v>
      </c>
      <c r="F915" s="102" t="n">
        <v>165</v>
      </c>
      <c r="G915" s="102" t="n">
        <v>215</v>
      </c>
      <c r="H915" s="103" t="s">
        <v>17</v>
      </c>
      <c r="I915" s="103">
        <f>IFERROR(VLOOKUP(A915,#REF!,15,0),0)+IFERROR(VLOOKUP(A915,#REF!,25,0),0)+IFERROR(VLOOKUP(A915,#REF!,10,0),0)+IFERROR(VLOOKUP(A915,#REF!,14,0),0)+IFERROR(VLOOKUP(A915,#REF!,11,0),0)+IFERROR(VLOOKUP(A915,#REF!,10,0),0)+IFERROR(VLOOKUP(A915,#REF!,10,0),0)+IFERROR(VLOOKUP(A915,#REF!,9,0),0)+IFERROR(VLOOKUP(A915,#REF!,9,0),0)+IFERROR(VLOOKUP(A915,#REF!,9,0),0)+IFERROR(VLOOKUP(A915,#REF!,9,0),0)</f>
        <v>0</v>
      </c>
      <c r="J915" s="104">
        <f>IFERROR(VLOOKUP(A915,#REF!,16,0),0)+IFERROR(VLOOKUP(A915,#REF!,26,0),0)+IFERROR(VLOOKUP(A915,#REF!,11,0),0)+IFERROR(VLOOKUP(A915,#REF!,23,0),0)+IFERROR(VLOOKUP(A915,#REF!,11,0),0)+IFERROR(VLOOKUP(A915,#REF!,11,0),0)+IFERROR(VLOOKUP(A915,#REF!,11,0),0)</f>
        <v>0</v>
      </c>
      <c r="K915" s="96" t="str">
        <f>"07.02.24"</f>
        <v>07.02.24</v>
      </c>
    </row>
    <row r="916" spans="1:11" ht="11.25" customHeight="1" outlineLevel="1">
      <c r="A916" s="89" t="n">
        <v>8080080</v>
      </c>
      <c r="B916" s="114" t="s">
        <v>1201</v>
      </c>
      <c r="C916" s="89" t="s">
        <v>1345</v>
      </c>
      <c r="D916" s="89" t="s">
        <v>15</v>
      </c>
      <c r="E916" s="89" t="s">
        <v>1346</v>
      </c>
      <c r="F916" s="102" t="n">
        <v>138</v>
      </c>
      <c r="G916" s="102" t="n">
        <v>177</v>
      </c>
      <c r="H916" s="103" t="s">
        <v>17</v>
      </c>
      <c r="I916" s="103">
        <f>IFERROR(VLOOKUP(A916,#REF!,15,0),0)+IFERROR(VLOOKUP(A916,#REF!,25,0),0)+IFERROR(VLOOKUP(A916,#REF!,10,0),0)+IFERROR(VLOOKUP(A916,#REF!,14,0),0)+IFERROR(VLOOKUP(A916,#REF!,11,0),0)+IFERROR(VLOOKUP(A916,#REF!,10,0),0)+IFERROR(VLOOKUP(A916,#REF!,10,0),0)+IFERROR(VLOOKUP(A916,#REF!,9,0),0)+IFERROR(VLOOKUP(A916,#REF!,9,0),0)+IFERROR(VLOOKUP(A916,#REF!,9,0),0)+IFERROR(VLOOKUP(A916,#REF!,9,0),0)</f>
        <v>0</v>
      </c>
      <c r="J916" s="104">
        <f>IFERROR(VLOOKUP(A916,#REF!,16,0),0)+IFERROR(VLOOKUP(A916,#REF!,26,0),0)+IFERROR(VLOOKUP(A916,#REF!,11,0),0)+IFERROR(VLOOKUP(A916,#REF!,23,0),0)+IFERROR(VLOOKUP(A916,#REF!,11,0),0)+IFERROR(VLOOKUP(A916,#REF!,11,0),0)+IFERROR(VLOOKUP(A916,#REF!,11,0),0)</f>
        <v>0</v>
      </c>
      <c r="K916" s="96" t="str">
        <f>"07.02.24"</f>
        <v>07.02.24</v>
      </c>
    </row>
    <row r="917" spans="1:11" ht="11.25" customHeight="1" outlineLevel="1">
      <c r="A917" s="89" t="n">
        <v>8080090</v>
      </c>
      <c r="B917" s="114" t="s">
        <v>1201</v>
      </c>
      <c r="C917" s="89" t="s">
        <v>1347</v>
      </c>
      <c r="D917" s="89" t="s">
        <v>15</v>
      </c>
      <c r="E917" s="89" t="s">
        <v>1348</v>
      </c>
      <c r="F917" s="102" t="n">
        <v>113</v>
      </c>
      <c r="G917" s="102" t="n">
        <v>141</v>
      </c>
      <c r="H917" s="103" t="s">
        <v>17</v>
      </c>
      <c r="I917" s="103">
        <f>IFERROR(VLOOKUP(A917,#REF!,15,0),0)+IFERROR(VLOOKUP(A917,#REF!,25,0),0)+IFERROR(VLOOKUP(A917,#REF!,10,0),0)+IFERROR(VLOOKUP(A917,#REF!,14,0),0)+IFERROR(VLOOKUP(A917,#REF!,11,0),0)+IFERROR(VLOOKUP(A917,#REF!,10,0),0)+IFERROR(VLOOKUP(A917,#REF!,10,0),0)+IFERROR(VLOOKUP(A917,#REF!,9,0),0)+IFERROR(VLOOKUP(A917,#REF!,9,0),0)+IFERROR(VLOOKUP(A917,#REF!,9,0),0)+IFERROR(VLOOKUP(A917,#REF!,9,0),0)</f>
        <v>0</v>
      </c>
      <c r="J917" s="104">
        <f>IFERROR(VLOOKUP(A917,#REF!,16,0),0)+IFERROR(VLOOKUP(A917,#REF!,26,0),0)+IFERROR(VLOOKUP(A917,#REF!,11,0),0)+IFERROR(VLOOKUP(A917,#REF!,23,0),0)+IFERROR(VLOOKUP(A917,#REF!,11,0),0)+IFERROR(VLOOKUP(A917,#REF!,11,0),0)+IFERROR(VLOOKUP(A917,#REF!,11,0),0)</f>
        <v>0</v>
      </c>
      <c r="K917" s="96" t="str">
        <f>"07.02.24"</f>
        <v>07.02.24</v>
      </c>
    </row>
    <row r="918" spans="1:11" ht="11.25" customHeight="1" outlineLevel="1">
      <c r="A918" s="89" t="n">
        <v>8080100</v>
      </c>
      <c r="B918" s="114" t="s">
        <v>1201</v>
      </c>
      <c r="C918" s="89" t="s">
        <v>1349</v>
      </c>
      <c r="D918" s="89" t="s">
        <v>15</v>
      </c>
      <c r="E918" s="89" t="s">
        <v>1350</v>
      </c>
      <c r="F918" s="102" t="n">
        <v>397</v>
      </c>
      <c r="G918" s="102" t="n">
        <v>524</v>
      </c>
      <c r="H918" s="103" t="s">
        <v>17</v>
      </c>
      <c r="I918" s="103">
        <f>IFERROR(VLOOKUP(A918,#REF!,15,0),0)+IFERROR(VLOOKUP(A918,#REF!,25,0),0)+IFERROR(VLOOKUP(A918,#REF!,10,0),0)+IFERROR(VLOOKUP(A918,#REF!,14,0),0)+IFERROR(VLOOKUP(A918,#REF!,11,0),0)+IFERROR(VLOOKUP(A918,#REF!,10,0),0)+IFERROR(VLOOKUP(A918,#REF!,10,0),0)+IFERROR(VLOOKUP(A918,#REF!,9,0),0)+IFERROR(VLOOKUP(A918,#REF!,9,0),0)+IFERROR(VLOOKUP(A918,#REF!,9,0),0)+IFERROR(VLOOKUP(A918,#REF!,9,0),0)</f>
        <v>0</v>
      </c>
      <c r="J918" s="104">
        <f>IFERROR(VLOOKUP(A918,#REF!,16,0),0)+IFERROR(VLOOKUP(A918,#REF!,26,0),0)+IFERROR(VLOOKUP(A918,#REF!,11,0),0)+IFERROR(VLOOKUP(A918,#REF!,23,0),0)+IFERROR(VLOOKUP(A918,#REF!,11,0),0)+IFERROR(VLOOKUP(A918,#REF!,11,0),0)+IFERROR(VLOOKUP(A918,#REF!,11,0),0)</f>
        <v>0</v>
      </c>
      <c r="K918" s="96" t="str">
        <f>"07.02.24"</f>
        <v>07.02.24</v>
      </c>
    </row>
    <row r="919" spans="1:11" ht="11.25" customHeight="1" outlineLevel="1">
      <c r="A919" s="89" t="n">
        <v>8080110</v>
      </c>
      <c r="B919" s="114" t="s">
        <v>1201</v>
      </c>
      <c r="C919" s="89" t="s">
        <v>1351</v>
      </c>
      <c r="D919" s="89" t="s">
        <v>15</v>
      </c>
      <c r="E919" s="89" t="s">
        <v>1352</v>
      </c>
      <c r="F919" s="102" t="n">
        <v>300</v>
      </c>
      <c r="G919" s="102" t="n">
        <v>399</v>
      </c>
      <c r="H919" s="103" t="s">
        <v>17</v>
      </c>
      <c r="I919" s="103">
        <f>IFERROR(VLOOKUP(A919,#REF!,15,0),0)+IFERROR(VLOOKUP(A919,#REF!,25,0),0)+IFERROR(VLOOKUP(A919,#REF!,10,0),0)+IFERROR(VLOOKUP(A919,#REF!,14,0),0)+IFERROR(VLOOKUP(A919,#REF!,11,0),0)+IFERROR(VLOOKUP(A919,#REF!,10,0),0)+IFERROR(VLOOKUP(A919,#REF!,10,0),0)+IFERROR(VLOOKUP(A919,#REF!,9,0),0)+IFERROR(VLOOKUP(A919,#REF!,9,0),0)+IFERROR(VLOOKUP(A919,#REF!,9,0),0)+IFERROR(VLOOKUP(A919,#REF!,9,0),0)</f>
        <v>0</v>
      </c>
      <c r="J919" s="104">
        <f>IFERROR(VLOOKUP(A919,#REF!,16,0),0)+IFERROR(VLOOKUP(A919,#REF!,26,0),0)+IFERROR(VLOOKUP(A919,#REF!,11,0),0)+IFERROR(VLOOKUP(A919,#REF!,23,0),0)+IFERROR(VLOOKUP(A919,#REF!,11,0),0)+IFERROR(VLOOKUP(A919,#REF!,11,0),0)+IFERROR(VLOOKUP(A919,#REF!,11,0),0)</f>
        <v>0</v>
      </c>
      <c r="K919" s="96" t="str">
        <f>"07.02.24"</f>
        <v>07.02.24</v>
      </c>
    </row>
    <row r="920" spans="1:11" ht="11.25" customHeight="1" outlineLevel="1">
      <c r="A920" s="89" t="n">
        <v>8080120</v>
      </c>
      <c r="B920" s="114" t="s">
        <v>1201</v>
      </c>
      <c r="C920" s="89" t="s">
        <v>1353</v>
      </c>
      <c r="D920" s="89" t="s">
        <v>15</v>
      </c>
      <c r="E920" s="89" t="s">
        <v>1354</v>
      </c>
      <c r="F920" s="102" t="n">
        <v>227</v>
      </c>
      <c r="G920" s="102" t="n">
        <v>301</v>
      </c>
      <c r="H920" s="103" t="s">
        <v>48</v>
      </c>
      <c r="I920" s="103">
        <f>IFERROR(VLOOKUP(A920,#REF!,15,0),0)+IFERROR(VLOOKUP(A920,#REF!,25,0),0)+IFERROR(VLOOKUP(A920,#REF!,10,0),0)+IFERROR(VLOOKUP(A920,#REF!,14,0),0)+IFERROR(VLOOKUP(A920,#REF!,11,0),0)+IFERROR(VLOOKUP(A920,#REF!,10,0),0)+IFERROR(VLOOKUP(A920,#REF!,10,0),0)+IFERROR(VLOOKUP(A920,#REF!,9,0),0)+IFERROR(VLOOKUP(A920,#REF!,9,0),0)+IFERROR(VLOOKUP(A920,#REF!,9,0),0)+IFERROR(VLOOKUP(A920,#REF!,9,0),0)</f>
        <v>0</v>
      </c>
      <c r="J920" s="104">
        <f>IFERROR(VLOOKUP(A920,#REF!,16,0),0)+IFERROR(VLOOKUP(A920,#REF!,26,0),0)+IFERROR(VLOOKUP(A920,#REF!,11,0),0)+IFERROR(VLOOKUP(A920,#REF!,23,0),0)+IFERROR(VLOOKUP(A920,#REF!,11,0),0)+IFERROR(VLOOKUP(A920,#REF!,11,0),0)+IFERROR(VLOOKUP(A920,#REF!,11,0),0)</f>
        <v>0</v>
      </c>
      <c r="K920" s="96" t="str">
        <f>"07.02.24"</f>
        <v>07.02.24</v>
      </c>
    </row>
    <row r="921" spans="1:11" ht="11.25" customHeight="1" outlineLevel="1">
      <c r="A921" s="89" t="n">
        <v>8080130</v>
      </c>
      <c r="B921" s="114" t="s">
        <v>1201</v>
      </c>
      <c r="C921" s="89" t="s">
        <v>1355</v>
      </c>
      <c r="D921" s="89" t="s">
        <v>15</v>
      </c>
      <c r="E921" s="89" t="s">
        <v>1356</v>
      </c>
      <c r="F921" s="102" t="n">
        <v>182</v>
      </c>
      <c r="G921" s="102" t="n">
        <v>226</v>
      </c>
      <c r="H921" s="103" t="s">
        <v>48</v>
      </c>
      <c r="I921" s="103">
        <f>IFERROR(VLOOKUP(A921,#REF!,15,0),0)+IFERROR(VLOOKUP(A921,#REF!,25,0),0)+IFERROR(VLOOKUP(A921,#REF!,10,0),0)+IFERROR(VLOOKUP(A921,#REF!,14,0),0)+IFERROR(VLOOKUP(A921,#REF!,11,0),0)+IFERROR(VLOOKUP(A921,#REF!,10,0),0)+IFERROR(VLOOKUP(A921,#REF!,10,0),0)+IFERROR(VLOOKUP(A921,#REF!,9,0),0)+IFERROR(VLOOKUP(A921,#REF!,9,0),0)+IFERROR(VLOOKUP(A921,#REF!,9,0),0)+IFERROR(VLOOKUP(A921,#REF!,9,0),0)</f>
        <v>0</v>
      </c>
      <c r="J921" s="104">
        <f>IFERROR(VLOOKUP(A921,#REF!,16,0),0)+IFERROR(VLOOKUP(A921,#REF!,26,0),0)+IFERROR(VLOOKUP(A921,#REF!,11,0),0)+IFERROR(VLOOKUP(A921,#REF!,23,0),0)+IFERROR(VLOOKUP(A921,#REF!,11,0),0)+IFERROR(VLOOKUP(A921,#REF!,11,0),0)+IFERROR(VLOOKUP(A921,#REF!,11,0),0)</f>
        <v>0</v>
      </c>
      <c r="K921" s="96" t="str">
        <f>"07.02.24"</f>
        <v>07.02.24</v>
      </c>
    </row>
    <row r="922" spans="1:11" ht="11.25" customHeight="1" outlineLevel="1">
      <c r="A922" s="89" t="n">
        <v>8080140</v>
      </c>
      <c r="B922" s="114" t="s">
        <v>1201</v>
      </c>
      <c r="C922" s="89" t="s">
        <v>1357</v>
      </c>
      <c r="D922" s="89" t="s">
        <v>15</v>
      </c>
      <c r="E922" s="89" t="s">
        <v>1358</v>
      </c>
      <c r="F922" s="102" t="n">
        <v>141</v>
      </c>
      <c r="G922" s="102" t="n">
        <v>183</v>
      </c>
      <c r="H922" s="103" t="s">
        <v>48</v>
      </c>
      <c r="I922" s="103">
        <f>IFERROR(VLOOKUP(A922,#REF!,15,0),0)+IFERROR(VLOOKUP(A922,#REF!,25,0),0)+IFERROR(VLOOKUP(A922,#REF!,10,0),0)+IFERROR(VLOOKUP(A922,#REF!,14,0),0)+IFERROR(VLOOKUP(A922,#REF!,11,0),0)+IFERROR(VLOOKUP(A922,#REF!,10,0),0)+IFERROR(VLOOKUP(A922,#REF!,10,0),0)+IFERROR(VLOOKUP(A922,#REF!,9,0),0)+IFERROR(VLOOKUP(A922,#REF!,9,0),0)+IFERROR(VLOOKUP(A922,#REF!,9,0),0)+IFERROR(VLOOKUP(A922,#REF!,9,0),0)</f>
        <v>0</v>
      </c>
      <c r="J922" s="104">
        <f>IFERROR(VLOOKUP(A922,#REF!,16,0),0)+IFERROR(VLOOKUP(A922,#REF!,26,0),0)+IFERROR(VLOOKUP(A922,#REF!,11,0),0)+IFERROR(VLOOKUP(A922,#REF!,23,0),0)+IFERROR(VLOOKUP(A922,#REF!,11,0),0)+IFERROR(VLOOKUP(A922,#REF!,11,0),0)+IFERROR(VLOOKUP(A922,#REF!,11,0),0)</f>
        <v>0</v>
      </c>
      <c r="K922" s="96" t="str">
        <f>"07.02.24"</f>
        <v>07.02.24</v>
      </c>
    </row>
    <row r="923" spans="1:11" ht="11.25" customHeight="1" outlineLevel="1">
      <c r="A923" s="89" t="n">
        <v>8080150</v>
      </c>
      <c r="B923" s="114" t="s">
        <v>1201</v>
      </c>
      <c r="C923" s="89" t="s">
        <v>1359</v>
      </c>
      <c r="D923" s="89" t="s">
        <v>15</v>
      </c>
      <c r="E923" s="89" t="s">
        <v>1360</v>
      </c>
      <c r="F923" s="102" t="n">
        <v>124</v>
      </c>
      <c r="G923" s="102" t="n">
        <v>157</v>
      </c>
      <c r="H923" s="103" t="s">
        <v>17</v>
      </c>
      <c r="I923" s="103">
        <f>IFERROR(VLOOKUP(A923,#REF!,15,0),0)+IFERROR(VLOOKUP(A923,#REF!,25,0),0)+IFERROR(VLOOKUP(A923,#REF!,10,0),0)+IFERROR(VLOOKUP(A923,#REF!,14,0),0)+IFERROR(VLOOKUP(A923,#REF!,11,0),0)+IFERROR(VLOOKUP(A923,#REF!,10,0),0)+IFERROR(VLOOKUP(A923,#REF!,10,0),0)+IFERROR(VLOOKUP(A923,#REF!,9,0),0)+IFERROR(VLOOKUP(A923,#REF!,9,0),0)+IFERROR(VLOOKUP(A923,#REF!,9,0),0)+IFERROR(VLOOKUP(A923,#REF!,9,0),0)</f>
        <v>0</v>
      </c>
      <c r="J923" s="104">
        <f>IFERROR(VLOOKUP(A923,#REF!,16,0),0)+IFERROR(VLOOKUP(A923,#REF!,26,0),0)+IFERROR(VLOOKUP(A923,#REF!,11,0),0)+IFERROR(VLOOKUP(A923,#REF!,23,0),0)+IFERROR(VLOOKUP(A923,#REF!,11,0),0)+IFERROR(VLOOKUP(A923,#REF!,11,0),0)+IFERROR(VLOOKUP(A923,#REF!,11,0),0)</f>
        <v>0</v>
      </c>
      <c r="K923" s="96" t="str">
        <f>"07.02.24"</f>
        <v>07.02.24</v>
      </c>
    </row>
    <row r="924" spans="1:11" ht="11.25" customHeight="1" outlineLevel="1">
      <c r="A924" s="89" t="n">
        <v>8080160</v>
      </c>
      <c r="B924" s="114" t="s">
        <v>1201</v>
      </c>
      <c r="C924" s="89" t="s">
        <v>1361</v>
      </c>
      <c r="D924" s="89" t="s">
        <v>15</v>
      </c>
      <c r="E924" s="89" t="s">
        <v>1362</v>
      </c>
      <c r="F924" s="102" t="n">
        <v>108</v>
      </c>
      <c r="G924" s="102" t="n">
        <v>141</v>
      </c>
      <c r="H924" s="103" t="s">
        <v>17</v>
      </c>
      <c r="I924" s="103">
        <f>IFERROR(VLOOKUP(A924,#REF!,15,0),0)+IFERROR(VLOOKUP(A924,#REF!,25,0),0)+IFERROR(VLOOKUP(A924,#REF!,10,0),0)+IFERROR(VLOOKUP(A924,#REF!,14,0),0)+IFERROR(VLOOKUP(A924,#REF!,11,0),0)+IFERROR(VLOOKUP(A924,#REF!,10,0),0)+IFERROR(VLOOKUP(A924,#REF!,10,0),0)+IFERROR(VLOOKUP(A924,#REF!,9,0),0)+IFERROR(VLOOKUP(A924,#REF!,9,0),0)+IFERROR(VLOOKUP(A924,#REF!,9,0),0)+IFERROR(VLOOKUP(A924,#REF!,9,0),0)</f>
        <v>0</v>
      </c>
      <c r="J924" s="104">
        <f>IFERROR(VLOOKUP(A924,#REF!,16,0),0)+IFERROR(VLOOKUP(A924,#REF!,26,0),0)+IFERROR(VLOOKUP(A924,#REF!,11,0),0)+IFERROR(VLOOKUP(A924,#REF!,23,0),0)+IFERROR(VLOOKUP(A924,#REF!,11,0),0)+IFERROR(VLOOKUP(A924,#REF!,11,0),0)+IFERROR(VLOOKUP(A924,#REF!,11,0),0)</f>
        <v>0</v>
      </c>
      <c r="K924" s="96" t="str">
        <f>"07.02.24"</f>
        <v>07.02.24</v>
      </c>
    </row>
    <row r="925" spans="1:11" ht="11.25" customHeight="1" outlineLevel="1">
      <c r="A925" s="89" t="n">
        <v>8080170</v>
      </c>
      <c r="B925" s="114" t="s">
        <v>1201</v>
      </c>
      <c r="C925" s="89" t="s">
        <v>1363</v>
      </c>
      <c r="D925" s="89" t="s">
        <v>15</v>
      </c>
      <c r="E925" s="89" t="s">
        <v>1364</v>
      </c>
      <c r="F925" s="102" t="n">
        <v>182</v>
      </c>
      <c r="G925" s="102" t="n">
        <v>240</v>
      </c>
      <c r="H925" s="103" t="s">
        <v>48</v>
      </c>
      <c r="I925" s="103">
        <f>IFERROR(VLOOKUP(A925,#REF!,15,0),0)+IFERROR(VLOOKUP(A925,#REF!,25,0),0)+IFERROR(VLOOKUP(A925,#REF!,10,0),0)+IFERROR(VLOOKUP(A925,#REF!,14,0),0)+IFERROR(VLOOKUP(A925,#REF!,11,0),0)+IFERROR(VLOOKUP(A925,#REF!,10,0),0)+IFERROR(VLOOKUP(A925,#REF!,10,0),0)+IFERROR(VLOOKUP(A925,#REF!,9,0),0)+IFERROR(VLOOKUP(A925,#REF!,9,0),0)+IFERROR(VLOOKUP(A925,#REF!,9,0),0)+IFERROR(VLOOKUP(A925,#REF!,9,0),0)</f>
        <v>0</v>
      </c>
      <c r="J925" s="104">
        <f>IFERROR(VLOOKUP(A925,#REF!,16,0),0)+IFERROR(VLOOKUP(A925,#REF!,26,0),0)+IFERROR(VLOOKUP(A925,#REF!,11,0),0)+IFERROR(VLOOKUP(A925,#REF!,23,0),0)+IFERROR(VLOOKUP(A925,#REF!,11,0),0)+IFERROR(VLOOKUP(A925,#REF!,11,0),0)+IFERROR(VLOOKUP(A925,#REF!,11,0),0)</f>
        <v>0</v>
      </c>
      <c r="K925" s="96" t="str">
        <f>"07.02.24"</f>
        <v>07.02.24</v>
      </c>
    </row>
    <row r="926" spans="1:11" ht="11.25" customHeight="1" outlineLevel="1">
      <c r="A926" s="89" t="n">
        <v>8080180</v>
      </c>
      <c r="B926" s="114" t="s">
        <v>1201</v>
      </c>
      <c r="C926" s="89" t="s">
        <v>1365</v>
      </c>
      <c r="D926" s="89" t="s">
        <v>15</v>
      </c>
      <c r="E926" s="89" t="s">
        <v>1366</v>
      </c>
      <c r="F926" s="102" t="n">
        <v>147</v>
      </c>
      <c r="G926" s="102" t="n">
        <v>196</v>
      </c>
      <c r="H926" s="103" t="s">
        <v>48</v>
      </c>
      <c r="I926" s="103">
        <f>IFERROR(VLOOKUP(A926,#REF!,15,0),0)+IFERROR(VLOOKUP(A926,#REF!,25,0),0)+IFERROR(VLOOKUP(A926,#REF!,10,0),0)+IFERROR(VLOOKUP(A926,#REF!,14,0),0)+IFERROR(VLOOKUP(A926,#REF!,11,0),0)+IFERROR(VLOOKUP(A926,#REF!,10,0),0)+IFERROR(VLOOKUP(A926,#REF!,10,0),0)+IFERROR(VLOOKUP(A926,#REF!,9,0),0)+IFERROR(VLOOKUP(A926,#REF!,9,0),0)+IFERROR(VLOOKUP(A926,#REF!,9,0),0)+IFERROR(VLOOKUP(A926,#REF!,9,0),0)</f>
        <v>0</v>
      </c>
      <c r="J926" s="104">
        <f>IFERROR(VLOOKUP(A926,#REF!,16,0),0)+IFERROR(VLOOKUP(A926,#REF!,26,0),0)+IFERROR(VLOOKUP(A926,#REF!,11,0),0)+IFERROR(VLOOKUP(A926,#REF!,23,0),0)+IFERROR(VLOOKUP(A926,#REF!,11,0),0)+IFERROR(VLOOKUP(A926,#REF!,11,0),0)+IFERROR(VLOOKUP(A926,#REF!,11,0),0)</f>
        <v>0</v>
      </c>
      <c r="K926" s="96" t="str">
        <f>"07.02.24"</f>
        <v>07.02.24</v>
      </c>
    </row>
    <row r="927" spans="1:11" ht="11.25" customHeight="1" outlineLevel="1">
      <c r="A927" s="89" t="n">
        <v>8080190</v>
      </c>
      <c r="B927" s="114" t="s">
        <v>1201</v>
      </c>
      <c r="C927" s="89" t="s">
        <v>1367</v>
      </c>
      <c r="D927" s="89" t="s">
        <v>15</v>
      </c>
      <c r="E927" s="89" t="s">
        <v>1368</v>
      </c>
      <c r="F927" s="102" t="n">
        <v>120</v>
      </c>
      <c r="G927" s="102" t="n">
        <v>160</v>
      </c>
      <c r="H927" s="103" t="s">
        <v>48</v>
      </c>
      <c r="I927" s="103">
        <f>IFERROR(VLOOKUP(A927,#REF!,15,0),0)+IFERROR(VLOOKUP(A927,#REF!,25,0),0)+IFERROR(VLOOKUP(A927,#REF!,10,0),0)+IFERROR(VLOOKUP(A927,#REF!,14,0),0)+IFERROR(VLOOKUP(A927,#REF!,11,0),0)+IFERROR(VLOOKUP(A927,#REF!,10,0),0)+IFERROR(VLOOKUP(A927,#REF!,10,0),0)+IFERROR(VLOOKUP(A927,#REF!,9,0),0)+IFERROR(VLOOKUP(A927,#REF!,9,0),0)+IFERROR(VLOOKUP(A927,#REF!,9,0),0)+IFERROR(VLOOKUP(A927,#REF!,9,0),0)</f>
        <v>0</v>
      </c>
      <c r="J927" s="104">
        <f>IFERROR(VLOOKUP(A927,#REF!,16,0),0)+IFERROR(VLOOKUP(A927,#REF!,26,0),0)+IFERROR(VLOOKUP(A927,#REF!,11,0),0)+IFERROR(VLOOKUP(A927,#REF!,23,0),0)+IFERROR(VLOOKUP(A927,#REF!,11,0),0)+IFERROR(VLOOKUP(A927,#REF!,11,0),0)+IFERROR(VLOOKUP(A927,#REF!,11,0),0)</f>
        <v>0</v>
      </c>
      <c r="K927" s="96" t="str">
        <f>"07.02.24"</f>
        <v>07.02.24</v>
      </c>
    </row>
    <row r="928" spans="1:11" ht="11.25" customHeight="1" outlineLevel="1">
      <c r="A928" s="89" t="n">
        <v>8080200</v>
      </c>
      <c r="B928" s="114" t="s">
        <v>1201</v>
      </c>
      <c r="C928" s="89" t="s">
        <v>1369</v>
      </c>
      <c r="D928" s="89" t="s">
        <v>15</v>
      </c>
      <c r="E928" s="89" t="s">
        <v>1370</v>
      </c>
      <c r="F928" s="102" t="n">
        <v>115</v>
      </c>
      <c r="G928" s="102" t="n">
        <v>150</v>
      </c>
      <c r="H928" s="103" t="s">
        <v>48</v>
      </c>
      <c r="I928" s="103">
        <f>IFERROR(VLOOKUP(A928,#REF!,15,0),0)+IFERROR(VLOOKUP(A928,#REF!,25,0),0)+IFERROR(VLOOKUP(A928,#REF!,10,0),0)+IFERROR(VLOOKUP(A928,#REF!,14,0),0)+IFERROR(VLOOKUP(A928,#REF!,11,0),0)+IFERROR(VLOOKUP(A928,#REF!,10,0),0)+IFERROR(VLOOKUP(A928,#REF!,10,0),0)+IFERROR(VLOOKUP(A928,#REF!,9,0),0)+IFERROR(VLOOKUP(A928,#REF!,9,0),0)+IFERROR(VLOOKUP(A928,#REF!,9,0),0)+IFERROR(VLOOKUP(A928,#REF!,9,0),0)</f>
        <v>0</v>
      </c>
      <c r="J928" s="104">
        <f>IFERROR(VLOOKUP(A928,#REF!,16,0),0)+IFERROR(VLOOKUP(A928,#REF!,26,0),0)+IFERROR(VLOOKUP(A928,#REF!,11,0),0)+IFERROR(VLOOKUP(A928,#REF!,23,0),0)+IFERROR(VLOOKUP(A928,#REF!,11,0),0)+IFERROR(VLOOKUP(A928,#REF!,11,0),0)+IFERROR(VLOOKUP(A928,#REF!,11,0),0)</f>
        <v>0</v>
      </c>
      <c r="K928" s="96" t="str">
        <f>"07.02.24"</f>
        <v>07.02.24</v>
      </c>
    </row>
    <row r="929" spans="1:11" ht="11.25" customHeight="1" outlineLevel="1">
      <c r="A929" s="89" t="n">
        <v>8080210</v>
      </c>
      <c r="B929" s="114" t="s">
        <v>1201</v>
      </c>
      <c r="C929" s="89" t="s">
        <v>1371</v>
      </c>
      <c r="D929" s="89" t="s">
        <v>15</v>
      </c>
      <c r="E929" s="89" t="s">
        <v>1372</v>
      </c>
      <c r="F929" s="102" t="n">
        <v>95</v>
      </c>
      <c r="G929" s="102" t="n">
        <v>120</v>
      </c>
      <c r="H929" s="103" t="s">
        <v>17</v>
      </c>
      <c r="I929" s="103">
        <f>IFERROR(VLOOKUP(A929,#REF!,15,0),0)+IFERROR(VLOOKUP(A929,#REF!,25,0),0)+IFERROR(VLOOKUP(A929,#REF!,10,0),0)+IFERROR(VLOOKUP(A929,#REF!,14,0),0)+IFERROR(VLOOKUP(A929,#REF!,11,0),0)+IFERROR(VLOOKUP(A929,#REF!,10,0),0)+IFERROR(VLOOKUP(A929,#REF!,10,0),0)+IFERROR(VLOOKUP(A929,#REF!,9,0),0)+IFERROR(VLOOKUP(A929,#REF!,9,0),0)+IFERROR(VLOOKUP(A929,#REF!,9,0),0)+IFERROR(VLOOKUP(A929,#REF!,9,0),0)</f>
        <v>0</v>
      </c>
      <c r="J929" s="104">
        <f>IFERROR(VLOOKUP(A929,#REF!,16,0),0)+IFERROR(VLOOKUP(A929,#REF!,26,0),0)+IFERROR(VLOOKUP(A929,#REF!,11,0),0)+IFERROR(VLOOKUP(A929,#REF!,23,0),0)+IFERROR(VLOOKUP(A929,#REF!,11,0),0)+IFERROR(VLOOKUP(A929,#REF!,11,0),0)+IFERROR(VLOOKUP(A929,#REF!,11,0),0)</f>
        <v>0</v>
      </c>
      <c r="K929" s="96" t="str">
        <f>"07.02.24"</f>
        <v>07.02.24</v>
      </c>
    </row>
    <row r="930" spans="1:11" ht="11.25" customHeight="1" outlineLevel="1">
      <c r="A930" s="89" t="n">
        <v>8080220</v>
      </c>
      <c r="B930" s="114" t="s">
        <v>1201</v>
      </c>
      <c r="C930" s="89" t="s">
        <v>1373</v>
      </c>
      <c r="D930" s="89" t="s">
        <v>15</v>
      </c>
      <c r="E930" s="89" t="s">
        <v>1374</v>
      </c>
      <c r="F930" s="102" t="n">
        <v>84</v>
      </c>
      <c r="G930" s="102" t="n">
        <v>108</v>
      </c>
      <c r="H930" s="103" t="s">
        <v>48</v>
      </c>
      <c r="I930" s="103">
        <f>IFERROR(VLOOKUP(A930,#REF!,15,0),0)+IFERROR(VLOOKUP(A930,#REF!,25,0),0)+IFERROR(VLOOKUP(A930,#REF!,10,0),0)+IFERROR(VLOOKUP(A930,#REF!,14,0),0)+IFERROR(VLOOKUP(A930,#REF!,11,0),0)+IFERROR(VLOOKUP(A930,#REF!,10,0),0)+IFERROR(VLOOKUP(A930,#REF!,10,0),0)+IFERROR(VLOOKUP(A930,#REF!,9,0),0)+IFERROR(VLOOKUP(A930,#REF!,9,0),0)+IFERROR(VLOOKUP(A930,#REF!,9,0),0)+IFERROR(VLOOKUP(A930,#REF!,9,0),0)</f>
        <v>0</v>
      </c>
      <c r="J930" s="104">
        <f>IFERROR(VLOOKUP(A930,#REF!,16,0),0)+IFERROR(VLOOKUP(A930,#REF!,26,0),0)+IFERROR(VLOOKUP(A930,#REF!,11,0),0)+IFERROR(VLOOKUP(A930,#REF!,23,0),0)+IFERROR(VLOOKUP(A930,#REF!,11,0),0)+IFERROR(VLOOKUP(A930,#REF!,11,0),0)+IFERROR(VLOOKUP(A930,#REF!,11,0),0)</f>
        <v>0</v>
      </c>
      <c r="K930" s="96" t="str">
        <f>"07.02.24"</f>
        <v>07.02.24</v>
      </c>
    </row>
    <row r="931" spans="1:11" ht="11.25" customHeight="1" outlineLevel="1">
      <c r="A931" s="89" t="n">
        <v>8080230</v>
      </c>
      <c r="B931" s="114" t="s">
        <v>1201</v>
      </c>
      <c r="C931" s="89" t="s">
        <v>1375</v>
      </c>
      <c r="D931" s="89" t="s">
        <v>15</v>
      </c>
      <c r="E931" s="89" t="s">
        <v>1376</v>
      </c>
      <c r="F931" s="102" t="n">
        <v>102</v>
      </c>
      <c r="G931" s="102" t="n">
        <v>138</v>
      </c>
      <c r="H931" s="103" t="s">
        <v>48</v>
      </c>
      <c r="I931" s="103">
        <f>IFERROR(VLOOKUP(A931,#REF!,15,0),0)+IFERROR(VLOOKUP(A931,#REF!,25,0),0)+IFERROR(VLOOKUP(A931,#REF!,10,0),0)+IFERROR(VLOOKUP(A931,#REF!,14,0),0)+IFERROR(VLOOKUP(A931,#REF!,11,0),0)+IFERROR(VLOOKUP(A931,#REF!,10,0),0)+IFERROR(VLOOKUP(A931,#REF!,10,0),0)+IFERROR(VLOOKUP(A931,#REF!,9,0),0)+IFERROR(VLOOKUP(A931,#REF!,9,0),0)+IFERROR(VLOOKUP(A931,#REF!,9,0),0)+IFERROR(VLOOKUP(A931,#REF!,9,0),0)</f>
        <v>0</v>
      </c>
      <c r="J931" s="104">
        <f>IFERROR(VLOOKUP(A931,#REF!,16,0),0)+IFERROR(VLOOKUP(A931,#REF!,26,0),0)+IFERROR(VLOOKUP(A931,#REF!,11,0),0)+IFERROR(VLOOKUP(A931,#REF!,23,0),0)+IFERROR(VLOOKUP(A931,#REF!,11,0),0)+IFERROR(VLOOKUP(A931,#REF!,11,0),0)+IFERROR(VLOOKUP(A931,#REF!,11,0),0)</f>
        <v>0</v>
      </c>
      <c r="K931" s="96" t="str">
        <f>"07.02.24"</f>
        <v>07.02.24</v>
      </c>
    </row>
    <row r="932" spans="1:11" ht="11.25" customHeight="1" outlineLevel="1">
      <c r="A932" s="89" t="n">
        <v>8080240</v>
      </c>
      <c r="B932" s="114" t="s">
        <v>1201</v>
      </c>
      <c r="C932" s="89" t="s">
        <v>1377</v>
      </c>
      <c r="D932" s="89" t="s">
        <v>15</v>
      </c>
      <c r="E932" s="89" t="s">
        <v>1378</v>
      </c>
      <c r="F932" s="102" t="n">
        <v>111</v>
      </c>
      <c r="G932" s="102" t="n">
        <v>146</v>
      </c>
      <c r="H932" s="103" t="s">
        <v>48</v>
      </c>
      <c r="I932" s="103">
        <f>IFERROR(VLOOKUP(A932,#REF!,15,0),0)+IFERROR(VLOOKUP(A932,#REF!,25,0),0)+IFERROR(VLOOKUP(A932,#REF!,10,0),0)+IFERROR(VLOOKUP(A932,#REF!,14,0),0)+IFERROR(VLOOKUP(A932,#REF!,11,0),0)+IFERROR(VLOOKUP(A932,#REF!,10,0),0)+IFERROR(VLOOKUP(A932,#REF!,10,0),0)+IFERROR(VLOOKUP(A932,#REF!,9,0),0)+IFERROR(VLOOKUP(A932,#REF!,9,0),0)+IFERROR(VLOOKUP(A932,#REF!,9,0),0)+IFERROR(VLOOKUP(A932,#REF!,9,0),0)</f>
        <v>0</v>
      </c>
      <c r="J932" s="104">
        <f>IFERROR(VLOOKUP(A932,#REF!,16,0),0)+IFERROR(VLOOKUP(A932,#REF!,26,0),0)+IFERROR(VLOOKUP(A932,#REF!,11,0),0)+IFERROR(VLOOKUP(A932,#REF!,23,0),0)+IFERROR(VLOOKUP(A932,#REF!,11,0),0)+IFERROR(VLOOKUP(A932,#REF!,11,0),0)+IFERROR(VLOOKUP(A932,#REF!,11,0),0)</f>
        <v>0</v>
      </c>
      <c r="K932" s="96" t="str">
        <f>"07.02.24"</f>
        <v>07.02.24</v>
      </c>
    </row>
    <row r="933" spans="1:11" ht="11.25" customHeight="1" outlineLevel="1">
      <c r="A933" s="89" t="n">
        <v>8080250</v>
      </c>
      <c r="B933" s="114" t="s">
        <v>1201</v>
      </c>
      <c r="C933" s="89" t="s">
        <v>1379</v>
      </c>
      <c r="D933" s="89" t="s">
        <v>15</v>
      </c>
      <c r="E933" s="89" t="s">
        <v>1380</v>
      </c>
      <c r="F933" s="102" t="n">
        <v>80</v>
      </c>
      <c r="G933" s="102" t="n">
        <v>104</v>
      </c>
      <c r="H933" s="103" t="s">
        <v>17</v>
      </c>
      <c r="I933" s="103">
        <f>IFERROR(VLOOKUP(A933,#REF!,15,0),0)+IFERROR(VLOOKUP(A933,#REF!,25,0),0)+IFERROR(VLOOKUP(A933,#REF!,10,0),0)+IFERROR(VLOOKUP(A933,#REF!,14,0),0)+IFERROR(VLOOKUP(A933,#REF!,11,0),0)+IFERROR(VLOOKUP(A933,#REF!,10,0),0)+IFERROR(VLOOKUP(A933,#REF!,10,0),0)+IFERROR(VLOOKUP(A933,#REF!,9,0),0)+IFERROR(VLOOKUP(A933,#REF!,9,0),0)+IFERROR(VLOOKUP(A933,#REF!,9,0),0)+IFERROR(VLOOKUP(A933,#REF!,9,0),0)</f>
        <v>0</v>
      </c>
      <c r="J933" s="104">
        <f>IFERROR(VLOOKUP(A933,#REF!,16,0),0)+IFERROR(VLOOKUP(A933,#REF!,26,0),0)+IFERROR(VLOOKUP(A933,#REF!,11,0),0)+IFERROR(VLOOKUP(A933,#REF!,23,0),0)+IFERROR(VLOOKUP(A933,#REF!,11,0),0)+IFERROR(VLOOKUP(A933,#REF!,11,0),0)+IFERROR(VLOOKUP(A933,#REF!,11,0),0)</f>
        <v>0</v>
      </c>
      <c r="K933" s="96" t="str">
        <f>"07.02.24"</f>
        <v>07.02.24</v>
      </c>
    </row>
    <row r="934" spans="1:11" ht="11.25" customHeight="1" outlineLevel="1">
      <c r="A934" s="89" t="n">
        <v>8080260</v>
      </c>
      <c r="B934" s="114" t="s">
        <v>1201</v>
      </c>
      <c r="C934" s="89" t="s">
        <v>1381</v>
      </c>
      <c r="D934" s="89" t="s">
        <v>15</v>
      </c>
      <c r="E934" s="89" t="s">
        <v>1382</v>
      </c>
      <c r="F934" s="102" t="n">
        <v>89</v>
      </c>
      <c r="G934" s="102" t="n">
        <v>114</v>
      </c>
      <c r="H934" s="103" t="s">
        <v>48</v>
      </c>
      <c r="I934" s="103">
        <f>IFERROR(VLOOKUP(A934,#REF!,15,0),0)+IFERROR(VLOOKUP(A934,#REF!,25,0),0)+IFERROR(VLOOKUP(A934,#REF!,10,0),0)+IFERROR(VLOOKUP(A934,#REF!,14,0),0)+IFERROR(VLOOKUP(A934,#REF!,11,0),0)+IFERROR(VLOOKUP(A934,#REF!,10,0),0)+IFERROR(VLOOKUP(A934,#REF!,10,0),0)+IFERROR(VLOOKUP(A934,#REF!,9,0),0)+IFERROR(VLOOKUP(A934,#REF!,9,0),0)+IFERROR(VLOOKUP(A934,#REF!,9,0),0)+IFERROR(VLOOKUP(A934,#REF!,9,0),0)</f>
        <v>0</v>
      </c>
      <c r="J934" s="104">
        <f>IFERROR(VLOOKUP(A934,#REF!,16,0),0)+IFERROR(VLOOKUP(A934,#REF!,26,0),0)+IFERROR(VLOOKUP(A934,#REF!,11,0),0)+IFERROR(VLOOKUP(A934,#REF!,23,0),0)+IFERROR(VLOOKUP(A934,#REF!,11,0),0)+IFERROR(VLOOKUP(A934,#REF!,11,0),0)+IFERROR(VLOOKUP(A934,#REF!,11,0),0)</f>
        <v>0</v>
      </c>
      <c r="K934" s="96" t="str">
        <f>"07.02.24"</f>
        <v>07.02.24</v>
      </c>
    </row>
    <row r="935" spans="1:11" ht="11.25" customHeight="1" outlineLevel="1">
      <c r="A935" s="89" t="n">
        <v>8080270</v>
      </c>
      <c r="B935" s="114" t="s">
        <v>1201</v>
      </c>
      <c r="C935" s="89" t="s">
        <v>1383</v>
      </c>
      <c r="D935" s="89" t="s">
        <v>15</v>
      </c>
      <c r="E935" s="89" t="s">
        <v>1384</v>
      </c>
      <c r="F935" s="102" t="n">
        <v>83</v>
      </c>
      <c r="G935" s="102" t="n">
        <v>107</v>
      </c>
      <c r="H935" s="103" t="s">
        <v>48</v>
      </c>
      <c r="I935" s="103">
        <f>IFERROR(VLOOKUP(A935,#REF!,15,0),0)+IFERROR(VLOOKUP(A935,#REF!,25,0),0)+IFERROR(VLOOKUP(A935,#REF!,10,0),0)+IFERROR(VLOOKUP(A935,#REF!,14,0),0)+IFERROR(VLOOKUP(A935,#REF!,11,0),0)+IFERROR(VLOOKUP(A935,#REF!,10,0),0)+IFERROR(VLOOKUP(A935,#REF!,10,0),0)+IFERROR(VLOOKUP(A935,#REF!,9,0),0)+IFERROR(VLOOKUP(A935,#REF!,9,0),0)+IFERROR(VLOOKUP(A935,#REF!,9,0),0)+IFERROR(VLOOKUP(A935,#REF!,9,0),0)</f>
        <v>0</v>
      </c>
      <c r="J935" s="104">
        <f>IFERROR(VLOOKUP(A935,#REF!,16,0),0)+IFERROR(VLOOKUP(A935,#REF!,26,0),0)+IFERROR(VLOOKUP(A935,#REF!,11,0),0)+IFERROR(VLOOKUP(A935,#REF!,23,0),0)+IFERROR(VLOOKUP(A935,#REF!,11,0),0)+IFERROR(VLOOKUP(A935,#REF!,11,0),0)+IFERROR(VLOOKUP(A935,#REF!,11,0),0)</f>
        <v>0</v>
      </c>
      <c r="K935" s="96" t="str">
        <f>"07.02.24"</f>
        <v>07.02.24</v>
      </c>
    </row>
    <row r="936" spans="1:11" ht="11.25" customHeight="1" outlineLevel="1">
      <c r="A936" s="89" t="n">
        <v>8080280</v>
      </c>
      <c r="B936" s="114" t="s">
        <v>1201</v>
      </c>
      <c r="C936" s="89" t="s">
        <v>1385</v>
      </c>
      <c r="D936" s="89" t="s">
        <v>15</v>
      </c>
      <c r="E936" s="89" t="s">
        <v>1386</v>
      </c>
      <c r="F936" s="102" t="n">
        <v>99</v>
      </c>
      <c r="G936" s="102" t="n">
        <v>128</v>
      </c>
      <c r="H936" s="103" t="s">
        <v>17</v>
      </c>
      <c r="I936" s="103">
        <f>IFERROR(VLOOKUP(A936,#REF!,15,0),0)+IFERROR(VLOOKUP(A936,#REF!,25,0),0)+IFERROR(VLOOKUP(A936,#REF!,10,0),0)+IFERROR(VLOOKUP(A936,#REF!,14,0),0)+IFERROR(VLOOKUP(A936,#REF!,11,0),0)+IFERROR(VLOOKUP(A936,#REF!,10,0),0)+IFERROR(VLOOKUP(A936,#REF!,10,0),0)+IFERROR(VLOOKUP(A936,#REF!,9,0),0)+IFERROR(VLOOKUP(A936,#REF!,9,0),0)+IFERROR(VLOOKUP(A936,#REF!,9,0),0)+IFERROR(VLOOKUP(A936,#REF!,9,0),0)</f>
        <v>0</v>
      </c>
      <c r="J936" s="104">
        <f>IFERROR(VLOOKUP(A936,#REF!,16,0),0)+IFERROR(VLOOKUP(A936,#REF!,26,0),0)+IFERROR(VLOOKUP(A936,#REF!,11,0),0)+IFERROR(VLOOKUP(A936,#REF!,23,0),0)+IFERROR(VLOOKUP(A936,#REF!,11,0),0)+IFERROR(VLOOKUP(A936,#REF!,11,0),0)+IFERROR(VLOOKUP(A936,#REF!,11,0),0)</f>
        <v>0</v>
      </c>
      <c r="K936" s="96" t="str">
        <f>"07.02.24"</f>
        <v>07.02.24</v>
      </c>
    </row>
    <row r="937" spans="1:11" ht="11.25" customHeight="1" outlineLevel="1">
      <c r="A937" s="89" t="n">
        <v>8080290</v>
      </c>
      <c r="B937" s="114" t="s">
        <v>1201</v>
      </c>
      <c r="C937" s="89" t="s">
        <v>1387</v>
      </c>
      <c r="D937" s="89" t="s">
        <v>15</v>
      </c>
      <c r="E937" s="89" t="s">
        <v>1388</v>
      </c>
      <c r="F937" s="102" t="n">
        <v>120</v>
      </c>
      <c r="G937" s="102" t="n">
        <v>158</v>
      </c>
      <c r="H937" s="103" t="s">
        <v>48</v>
      </c>
      <c r="I937" s="103">
        <f>IFERROR(VLOOKUP(A937,#REF!,15,0),0)+IFERROR(VLOOKUP(A937,#REF!,25,0),0)+IFERROR(VLOOKUP(A937,#REF!,10,0),0)+IFERROR(VLOOKUP(A937,#REF!,14,0),0)+IFERROR(VLOOKUP(A937,#REF!,11,0),0)+IFERROR(VLOOKUP(A937,#REF!,10,0),0)+IFERROR(VLOOKUP(A937,#REF!,10,0),0)+IFERROR(VLOOKUP(A937,#REF!,9,0),0)+IFERROR(VLOOKUP(A937,#REF!,9,0),0)+IFERROR(VLOOKUP(A937,#REF!,9,0),0)+IFERROR(VLOOKUP(A937,#REF!,9,0),0)</f>
        <v>0</v>
      </c>
      <c r="J937" s="104">
        <f>IFERROR(VLOOKUP(A937,#REF!,16,0),0)+IFERROR(VLOOKUP(A937,#REF!,26,0),0)+IFERROR(VLOOKUP(A937,#REF!,11,0),0)+IFERROR(VLOOKUP(A937,#REF!,23,0),0)+IFERROR(VLOOKUP(A937,#REF!,11,0),0)+IFERROR(VLOOKUP(A937,#REF!,11,0),0)+IFERROR(VLOOKUP(A937,#REF!,11,0),0)</f>
        <v>0</v>
      </c>
      <c r="K937" s="96" t="str">
        <f>"07.02.24"</f>
        <v>07.02.24</v>
      </c>
    </row>
    <row r="938" spans="1:11" ht="11.25" customHeight="1" outlineLevel="1">
      <c r="A938" s="89" t="n">
        <v>8080300</v>
      </c>
      <c r="B938" s="114" t="s">
        <v>1201</v>
      </c>
      <c r="C938" s="89" t="s">
        <v>1389</v>
      </c>
      <c r="D938" s="89" t="s">
        <v>15</v>
      </c>
      <c r="E938" s="89" t="s">
        <v>1390</v>
      </c>
      <c r="F938" s="102" t="n">
        <v>151</v>
      </c>
      <c r="G938" s="102" t="n">
        <v>201</v>
      </c>
      <c r="H938" s="103" t="s">
        <v>48</v>
      </c>
      <c r="I938" s="103">
        <f>IFERROR(VLOOKUP(A938,#REF!,15,0),0)+IFERROR(VLOOKUP(A938,#REF!,25,0),0)+IFERROR(VLOOKUP(A938,#REF!,10,0),0)+IFERROR(VLOOKUP(A938,#REF!,14,0),0)+IFERROR(VLOOKUP(A938,#REF!,11,0),0)+IFERROR(VLOOKUP(A938,#REF!,10,0),0)+IFERROR(VLOOKUP(A938,#REF!,10,0),0)+IFERROR(VLOOKUP(A938,#REF!,9,0),0)+IFERROR(VLOOKUP(A938,#REF!,9,0),0)+IFERROR(VLOOKUP(A938,#REF!,9,0),0)+IFERROR(VLOOKUP(A938,#REF!,9,0),0)</f>
        <v>0</v>
      </c>
      <c r="J938" s="104">
        <f>IFERROR(VLOOKUP(A938,#REF!,16,0),0)+IFERROR(VLOOKUP(A938,#REF!,26,0),0)+IFERROR(VLOOKUP(A938,#REF!,11,0),0)+IFERROR(VLOOKUP(A938,#REF!,23,0),0)+IFERROR(VLOOKUP(A938,#REF!,11,0),0)+IFERROR(VLOOKUP(A938,#REF!,11,0),0)+IFERROR(VLOOKUP(A938,#REF!,11,0),0)</f>
        <v>0</v>
      </c>
      <c r="K938" s="96" t="str">
        <f>"07.02.24"</f>
        <v>07.02.24</v>
      </c>
    </row>
    <row r="939" spans="1:11" ht="11.25" customHeight="1" outlineLevel="1">
      <c r="A939" s="89" t="n">
        <v>8080310</v>
      </c>
      <c r="B939" s="114" t="s">
        <v>1201</v>
      </c>
      <c r="C939" s="89" t="s">
        <v>1391</v>
      </c>
      <c r="D939" s="89" t="s">
        <v>15</v>
      </c>
      <c r="E939" s="89" t="s">
        <v>1392</v>
      </c>
      <c r="F939" s="102" t="n">
        <v>162</v>
      </c>
      <c r="G939" s="102" t="n">
        <v>214</v>
      </c>
      <c r="H939" s="103" t="s">
        <v>17</v>
      </c>
      <c r="I939" s="103">
        <f>IFERROR(VLOOKUP(A939,#REF!,15,0),0)+IFERROR(VLOOKUP(A939,#REF!,25,0),0)+IFERROR(VLOOKUP(A939,#REF!,10,0),0)+IFERROR(VLOOKUP(A939,#REF!,14,0),0)+IFERROR(VLOOKUP(A939,#REF!,11,0),0)+IFERROR(VLOOKUP(A939,#REF!,10,0),0)+IFERROR(VLOOKUP(A939,#REF!,10,0),0)+IFERROR(VLOOKUP(A939,#REF!,9,0),0)+IFERROR(VLOOKUP(A939,#REF!,9,0),0)+IFERROR(VLOOKUP(A939,#REF!,9,0),0)+IFERROR(VLOOKUP(A939,#REF!,9,0),0)</f>
        <v>0</v>
      </c>
      <c r="J939" s="104">
        <f>IFERROR(VLOOKUP(A939,#REF!,16,0),0)+IFERROR(VLOOKUP(A939,#REF!,26,0),0)+IFERROR(VLOOKUP(A939,#REF!,11,0),0)+IFERROR(VLOOKUP(A939,#REF!,23,0),0)+IFERROR(VLOOKUP(A939,#REF!,11,0),0)+IFERROR(VLOOKUP(A939,#REF!,11,0),0)+IFERROR(VLOOKUP(A939,#REF!,11,0),0)</f>
        <v>0</v>
      </c>
      <c r="K939" s="96" t="str">
        <f>"07.02.24"</f>
        <v>07.02.24</v>
      </c>
    </row>
    <row r="940" spans="1:11" ht="11.25" customHeight="1" outlineLevel="1">
      <c r="A940" s="89" t="n">
        <v>8080320</v>
      </c>
      <c r="B940" s="114" t="s">
        <v>1201</v>
      </c>
      <c r="C940" s="89" t="s">
        <v>1393</v>
      </c>
      <c r="D940" s="89" t="s">
        <v>15</v>
      </c>
      <c r="E940" s="89" t="s">
        <v>1394</v>
      </c>
      <c r="F940" s="102" t="n">
        <v>179</v>
      </c>
      <c r="G940" s="102" t="n">
        <v>235</v>
      </c>
      <c r="H940" s="103" t="s">
        <v>48</v>
      </c>
      <c r="I940" s="103">
        <f>IFERROR(VLOOKUP(A940,#REF!,15,0),0)+IFERROR(VLOOKUP(A940,#REF!,25,0),0)+IFERROR(VLOOKUP(A940,#REF!,10,0),0)+IFERROR(VLOOKUP(A940,#REF!,14,0),0)+IFERROR(VLOOKUP(A940,#REF!,11,0),0)+IFERROR(VLOOKUP(A940,#REF!,10,0),0)+IFERROR(VLOOKUP(A940,#REF!,10,0),0)+IFERROR(VLOOKUP(A940,#REF!,9,0),0)+IFERROR(VLOOKUP(A940,#REF!,9,0),0)+IFERROR(VLOOKUP(A940,#REF!,9,0),0)+IFERROR(VLOOKUP(A940,#REF!,9,0),0)</f>
        <v>0</v>
      </c>
      <c r="J940" s="104">
        <f>IFERROR(VLOOKUP(A940,#REF!,16,0),0)+IFERROR(VLOOKUP(A940,#REF!,26,0),0)+IFERROR(VLOOKUP(A940,#REF!,11,0),0)+IFERROR(VLOOKUP(A940,#REF!,23,0),0)+IFERROR(VLOOKUP(A940,#REF!,11,0),0)+IFERROR(VLOOKUP(A940,#REF!,11,0),0)+IFERROR(VLOOKUP(A940,#REF!,11,0),0)</f>
        <v>0</v>
      </c>
      <c r="K940" s="96" t="str">
        <f>"07.02.24"</f>
        <v>07.02.24</v>
      </c>
    </row>
    <row r="941" spans="1:11" ht="11.25" customHeight="1" outlineLevel="1">
      <c r="A941" s="89" t="n">
        <v>8080330</v>
      </c>
      <c r="B941" s="114" t="s">
        <v>1201</v>
      </c>
      <c r="C941" s="89" t="s">
        <v>1395</v>
      </c>
      <c r="D941" s="89" t="s">
        <v>15</v>
      </c>
      <c r="E941" s="89" t="s">
        <v>1396</v>
      </c>
      <c r="F941" s="102" t="n">
        <v>194</v>
      </c>
      <c r="G941" s="102" t="n">
        <v>255</v>
      </c>
      <c r="H941" s="103" t="s">
        <v>48</v>
      </c>
      <c r="I941" s="103">
        <f>IFERROR(VLOOKUP(A941,#REF!,15,0),0)+IFERROR(VLOOKUP(A941,#REF!,25,0),0)+IFERROR(VLOOKUP(A941,#REF!,10,0),0)+IFERROR(VLOOKUP(A941,#REF!,14,0),0)+IFERROR(VLOOKUP(A941,#REF!,11,0),0)+IFERROR(VLOOKUP(A941,#REF!,10,0),0)+IFERROR(VLOOKUP(A941,#REF!,10,0),0)+IFERROR(VLOOKUP(A941,#REF!,9,0),0)+IFERROR(VLOOKUP(A941,#REF!,9,0),0)+IFERROR(VLOOKUP(A941,#REF!,9,0),0)+IFERROR(VLOOKUP(A941,#REF!,9,0),0)</f>
        <v>0</v>
      </c>
      <c r="J941" s="104">
        <f>IFERROR(VLOOKUP(A941,#REF!,16,0),0)+IFERROR(VLOOKUP(A941,#REF!,26,0),0)+IFERROR(VLOOKUP(A941,#REF!,11,0),0)+IFERROR(VLOOKUP(A941,#REF!,23,0),0)+IFERROR(VLOOKUP(A941,#REF!,11,0),0)+IFERROR(VLOOKUP(A941,#REF!,11,0),0)+IFERROR(VLOOKUP(A941,#REF!,11,0),0)</f>
        <v>0</v>
      </c>
      <c r="K941" s="96" t="str">
        <f>"07.02.24"</f>
        <v>07.02.24</v>
      </c>
    </row>
    <row r="942" spans="1:11" ht="11.25" customHeight="1" outlineLevel="1">
      <c r="A942" s="89" t="n">
        <v>8084340</v>
      </c>
      <c r="B942" s="114" t="s">
        <v>1201</v>
      </c>
      <c r="C942" s="89" t="s">
        <v>1397</v>
      </c>
      <c r="D942" s="89" t="s">
        <v>15</v>
      </c>
      <c r="E942" s="89" t="s">
        <v>1398</v>
      </c>
      <c r="F942" s="102" t="n">
        <v>2052</v>
      </c>
      <c r="G942" s="102" t="n">
        <v>2728</v>
      </c>
      <c r="H942" s="103" t="s">
        <v>17</v>
      </c>
      <c r="I942" s="103">
        <f>IFERROR(VLOOKUP(A942,#REF!,15,0),0)+IFERROR(VLOOKUP(A942,#REF!,25,0),0)+IFERROR(VLOOKUP(A942,#REF!,10,0),0)+IFERROR(VLOOKUP(A942,#REF!,14,0),0)+IFERROR(VLOOKUP(A942,#REF!,11,0),0)+IFERROR(VLOOKUP(A942,#REF!,10,0),0)+IFERROR(VLOOKUP(A942,#REF!,10,0),0)+IFERROR(VLOOKUP(A942,#REF!,9,0),0)+IFERROR(VLOOKUP(A942,#REF!,9,0),0)+IFERROR(VLOOKUP(A942,#REF!,9,0),0)+IFERROR(VLOOKUP(A942,#REF!,9,0),0)</f>
        <v>0</v>
      </c>
      <c r="J942" s="104">
        <f>IFERROR(VLOOKUP(A942,#REF!,16,0),0)+IFERROR(VLOOKUP(A942,#REF!,26,0),0)+IFERROR(VLOOKUP(A942,#REF!,11,0),0)+IFERROR(VLOOKUP(A942,#REF!,23,0),0)+IFERROR(VLOOKUP(A942,#REF!,11,0),0)+IFERROR(VLOOKUP(A942,#REF!,11,0),0)+IFERROR(VLOOKUP(A942,#REF!,11,0),0)</f>
        <v>0</v>
      </c>
      <c r="K942" s="96" t="str">
        <f>"07.02.24"</f>
        <v>07.02.24</v>
      </c>
    </row>
    <row r="943" spans="1:11" ht="11.25" customHeight="1" outlineLevel="1">
      <c r="A943" s="89" t="n">
        <v>8084350</v>
      </c>
      <c r="B943" s="114" t="s">
        <v>1201</v>
      </c>
      <c r="C943" s="89" t="s">
        <v>1399</v>
      </c>
      <c r="D943" s="89" t="s">
        <v>15</v>
      </c>
      <c r="E943" s="89" t="s">
        <v>1400</v>
      </c>
      <c r="F943" s="102" t="n">
        <v>3523</v>
      </c>
      <c r="G943" s="102" t="n">
        <v>4682</v>
      </c>
      <c r="H943" s="103" t="s">
        <v>48</v>
      </c>
      <c r="I943" s="103">
        <f>IFERROR(VLOOKUP(A943,#REF!,15,0),0)+IFERROR(VLOOKUP(A943,#REF!,25,0),0)+IFERROR(VLOOKUP(A943,#REF!,10,0),0)+IFERROR(VLOOKUP(A943,#REF!,14,0),0)+IFERROR(VLOOKUP(A943,#REF!,11,0),0)+IFERROR(VLOOKUP(A943,#REF!,10,0),0)+IFERROR(VLOOKUP(A943,#REF!,10,0),0)+IFERROR(VLOOKUP(A943,#REF!,9,0),0)+IFERROR(VLOOKUP(A943,#REF!,9,0),0)+IFERROR(VLOOKUP(A943,#REF!,9,0),0)+IFERROR(VLOOKUP(A943,#REF!,9,0),0)</f>
        <v>0</v>
      </c>
      <c r="J943" s="104">
        <f>IFERROR(VLOOKUP(A943,#REF!,16,0),0)+IFERROR(VLOOKUP(A943,#REF!,26,0),0)+IFERROR(VLOOKUP(A943,#REF!,11,0),0)+IFERROR(VLOOKUP(A943,#REF!,23,0),0)+IFERROR(VLOOKUP(A943,#REF!,11,0),0)+IFERROR(VLOOKUP(A943,#REF!,11,0),0)+IFERROR(VLOOKUP(A943,#REF!,11,0),0)</f>
        <v>0</v>
      </c>
      <c r="K943" s="96" t="str">
        <f>"07.02.24"</f>
        <v>07.02.24</v>
      </c>
    </row>
    <row r="944" spans="1:11" ht="11.25" customHeight="1" outlineLevel="1">
      <c r="A944" s="89" t="n">
        <v>8084360</v>
      </c>
      <c r="B944" s="114" t="s">
        <v>1201</v>
      </c>
      <c r="C944" s="89" t="s">
        <v>1401</v>
      </c>
      <c r="D944" s="89" t="s">
        <v>15</v>
      </c>
      <c r="E944" s="89" t="s">
        <v>1402</v>
      </c>
      <c r="F944" s="102" t="n">
        <v>2156</v>
      </c>
      <c r="G944" s="102" t="n">
        <v>2871</v>
      </c>
      <c r="H944" s="103" t="s">
        <v>17</v>
      </c>
      <c r="I944" s="103">
        <f>IFERROR(VLOOKUP(A944,#REF!,15,0),0)+IFERROR(VLOOKUP(A944,#REF!,25,0),0)+IFERROR(VLOOKUP(A944,#REF!,10,0),0)+IFERROR(VLOOKUP(A944,#REF!,14,0),0)+IFERROR(VLOOKUP(A944,#REF!,11,0),0)+IFERROR(VLOOKUP(A944,#REF!,10,0),0)+IFERROR(VLOOKUP(A944,#REF!,10,0),0)+IFERROR(VLOOKUP(A944,#REF!,9,0),0)+IFERROR(VLOOKUP(A944,#REF!,9,0),0)+IFERROR(VLOOKUP(A944,#REF!,9,0),0)+IFERROR(VLOOKUP(A944,#REF!,9,0),0)</f>
        <v>0</v>
      </c>
      <c r="J944" s="104">
        <f>IFERROR(VLOOKUP(A944,#REF!,16,0),0)+IFERROR(VLOOKUP(A944,#REF!,26,0),0)+IFERROR(VLOOKUP(A944,#REF!,11,0),0)+IFERROR(VLOOKUP(A944,#REF!,23,0),0)+IFERROR(VLOOKUP(A944,#REF!,11,0),0)+IFERROR(VLOOKUP(A944,#REF!,11,0),0)+IFERROR(VLOOKUP(A944,#REF!,11,0),0)</f>
        <v>0</v>
      </c>
      <c r="K944" s="96" t="str">
        <f>"07.02.24"</f>
        <v>07.02.24</v>
      </c>
    </row>
    <row r="945" spans="1:11" ht="11.25" customHeight="1" outlineLevel="1">
      <c r="A945" s="89" t="n">
        <v>8084370</v>
      </c>
      <c r="B945" s="114" t="s">
        <v>1201</v>
      </c>
      <c r="C945" s="89" t="s">
        <v>1403</v>
      </c>
      <c r="D945" s="89" t="s">
        <v>15</v>
      </c>
      <c r="E945" s="89" t="s">
        <v>1404</v>
      </c>
      <c r="F945" s="102" t="n">
        <v>1608</v>
      </c>
      <c r="G945" s="102" t="n">
        <v>2132</v>
      </c>
      <c r="H945" s="103" t="s">
        <v>17</v>
      </c>
      <c r="I945" s="103">
        <f>IFERROR(VLOOKUP(A945,#REF!,15,0),0)+IFERROR(VLOOKUP(A945,#REF!,25,0),0)+IFERROR(VLOOKUP(A945,#REF!,10,0),0)+IFERROR(VLOOKUP(A945,#REF!,14,0),0)+IFERROR(VLOOKUP(A945,#REF!,11,0),0)+IFERROR(VLOOKUP(A945,#REF!,10,0),0)+IFERROR(VLOOKUP(A945,#REF!,10,0),0)+IFERROR(VLOOKUP(A945,#REF!,9,0),0)+IFERROR(VLOOKUP(A945,#REF!,9,0),0)+IFERROR(VLOOKUP(A945,#REF!,9,0),0)+IFERROR(VLOOKUP(A945,#REF!,9,0),0)</f>
        <v>0</v>
      </c>
      <c r="J945" s="104">
        <f>IFERROR(VLOOKUP(A945,#REF!,16,0),0)+IFERROR(VLOOKUP(A945,#REF!,26,0),0)+IFERROR(VLOOKUP(A945,#REF!,11,0),0)+IFERROR(VLOOKUP(A945,#REF!,23,0),0)+IFERROR(VLOOKUP(A945,#REF!,11,0),0)+IFERROR(VLOOKUP(A945,#REF!,11,0),0)+IFERROR(VLOOKUP(A945,#REF!,11,0),0)</f>
        <v>0</v>
      </c>
      <c r="K945" s="96" t="str">
        <f>"07.02.24"</f>
        <v>07.02.24</v>
      </c>
    </row>
    <row r="946" spans="1:11" ht="11.25" customHeight="1" outlineLevel="1">
      <c r="A946" s="89" t="n">
        <v>8084380</v>
      </c>
      <c r="B946" s="114" t="s">
        <v>1201</v>
      </c>
      <c r="C946" s="89" t="s">
        <v>1405</v>
      </c>
      <c r="D946" s="89" t="s">
        <v>15</v>
      </c>
      <c r="E946" s="89" t="s">
        <v>1406</v>
      </c>
      <c r="F946" s="102" t="n">
        <v>1878</v>
      </c>
      <c r="G946" s="102" t="n">
        <v>2498</v>
      </c>
      <c r="H946" s="103" t="s">
        <v>17</v>
      </c>
      <c r="I946" s="103">
        <f>IFERROR(VLOOKUP(A946,#REF!,15,0),0)+IFERROR(VLOOKUP(A946,#REF!,25,0),0)+IFERROR(VLOOKUP(A946,#REF!,10,0),0)+IFERROR(VLOOKUP(A946,#REF!,14,0),0)+IFERROR(VLOOKUP(A946,#REF!,11,0),0)+IFERROR(VLOOKUP(A946,#REF!,10,0),0)+IFERROR(VLOOKUP(A946,#REF!,10,0),0)+IFERROR(VLOOKUP(A946,#REF!,9,0),0)+IFERROR(VLOOKUP(A946,#REF!,9,0),0)+IFERROR(VLOOKUP(A946,#REF!,9,0),0)+IFERROR(VLOOKUP(A946,#REF!,9,0),0)</f>
        <v>0</v>
      </c>
      <c r="J946" s="104">
        <f>IFERROR(VLOOKUP(A946,#REF!,16,0),0)+IFERROR(VLOOKUP(A946,#REF!,26,0),0)+IFERROR(VLOOKUP(A946,#REF!,11,0),0)+IFERROR(VLOOKUP(A946,#REF!,23,0),0)+IFERROR(VLOOKUP(A946,#REF!,11,0),0)+IFERROR(VLOOKUP(A946,#REF!,11,0),0)+IFERROR(VLOOKUP(A946,#REF!,11,0),0)</f>
        <v>0</v>
      </c>
      <c r="K946" s="96" t="str">
        <f>"07.02.24"</f>
        <v>07.02.24</v>
      </c>
    </row>
    <row r="947" spans="1:11" ht="11.25" customHeight="1" outlineLevel="1">
      <c r="A947" s="89" t="n">
        <v>8084390</v>
      </c>
      <c r="B947" s="114" t="s">
        <v>1201</v>
      </c>
      <c r="C947" s="89" t="s">
        <v>1407</v>
      </c>
      <c r="D947" s="89" t="s">
        <v>15</v>
      </c>
      <c r="E947" s="89" t="s">
        <v>1408</v>
      </c>
      <c r="F947" s="102" t="n">
        <v>1403</v>
      </c>
      <c r="G947" s="102" t="n">
        <v>1866</v>
      </c>
      <c r="H947" s="103" t="s">
        <v>17</v>
      </c>
      <c r="I947" s="103">
        <f>IFERROR(VLOOKUP(A947,#REF!,15,0),0)+IFERROR(VLOOKUP(A947,#REF!,25,0),0)+IFERROR(VLOOKUP(A947,#REF!,10,0),0)+IFERROR(VLOOKUP(A947,#REF!,14,0),0)+IFERROR(VLOOKUP(A947,#REF!,11,0),0)+IFERROR(VLOOKUP(A947,#REF!,10,0),0)+IFERROR(VLOOKUP(A947,#REF!,10,0),0)+IFERROR(VLOOKUP(A947,#REF!,9,0),0)+IFERROR(VLOOKUP(A947,#REF!,9,0),0)+IFERROR(VLOOKUP(A947,#REF!,9,0),0)+IFERROR(VLOOKUP(A947,#REF!,9,0),0)</f>
        <v>0</v>
      </c>
      <c r="J947" s="104">
        <f>IFERROR(VLOOKUP(A947,#REF!,16,0),0)+IFERROR(VLOOKUP(A947,#REF!,26,0),0)+IFERROR(VLOOKUP(A947,#REF!,11,0),0)+IFERROR(VLOOKUP(A947,#REF!,23,0),0)+IFERROR(VLOOKUP(A947,#REF!,11,0),0)+IFERROR(VLOOKUP(A947,#REF!,11,0),0)+IFERROR(VLOOKUP(A947,#REF!,11,0),0)</f>
        <v>0</v>
      </c>
      <c r="K947" s="96" t="str">
        <f>"07.02.24"</f>
        <v>07.02.24</v>
      </c>
    </row>
    <row r="948" spans="1:11" ht="11.25" customHeight="1" outlineLevel="1">
      <c r="A948" s="89" t="n">
        <v>8084400</v>
      </c>
      <c r="B948" s="114" t="s">
        <v>1201</v>
      </c>
      <c r="C948" s="89" t="s">
        <v>1409</v>
      </c>
      <c r="D948" s="89" t="s">
        <v>15</v>
      </c>
      <c r="E948" s="89" t="s">
        <v>1410</v>
      </c>
      <c r="F948" s="102" t="n">
        <v>1065</v>
      </c>
      <c r="G948" s="102" t="n">
        <v>1416</v>
      </c>
      <c r="H948" s="103" t="s">
        <v>17</v>
      </c>
      <c r="I948" s="103">
        <f>IFERROR(VLOOKUP(A948,#REF!,15,0),0)+IFERROR(VLOOKUP(A948,#REF!,25,0),0)+IFERROR(VLOOKUP(A948,#REF!,10,0),0)+IFERROR(VLOOKUP(A948,#REF!,14,0),0)+IFERROR(VLOOKUP(A948,#REF!,11,0),0)+IFERROR(VLOOKUP(A948,#REF!,10,0),0)+IFERROR(VLOOKUP(A948,#REF!,10,0),0)+IFERROR(VLOOKUP(A948,#REF!,9,0),0)+IFERROR(VLOOKUP(A948,#REF!,9,0),0)+IFERROR(VLOOKUP(A948,#REF!,9,0),0)+IFERROR(VLOOKUP(A948,#REF!,9,0),0)</f>
        <v>0</v>
      </c>
      <c r="J948" s="104">
        <f>IFERROR(VLOOKUP(A948,#REF!,16,0),0)+IFERROR(VLOOKUP(A948,#REF!,26,0),0)+IFERROR(VLOOKUP(A948,#REF!,11,0),0)+IFERROR(VLOOKUP(A948,#REF!,23,0),0)+IFERROR(VLOOKUP(A948,#REF!,11,0),0)+IFERROR(VLOOKUP(A948,#REF!,11,0),0)+IFERROR(VLOOKUP(A948,#REF!,11,0),0)</f>
        <v>0</v>
      </c>
      <c r="K948" s="96" t="str">
        <f>"07.02.24"</f>
        <v>07.02.24</v>
      </c>
    </row>
    <row r="949" spans="1:11" ht="11.25" customHeight="1" outlineLevel="1">
      <c r="A949" s="89" t="n">
        <v>8084410</v>
      </c>
      <c r="B949" s="114" t="s">
        <v>1201</v>
      </c>
      <c r="C949" s="89" t="s">
        <v>1411</v>
      </c>
      <c r="D949" s="89" t="s">
        <v>15</v>
      </c>
      <c r="E949" s="89" t="s">
        <v>1412</v>
      </c>
      <c r="F949" s="102" t="n">
        <v>2758</v>
      </c>
      <c r="G949" s="102" t="n">
        <v>3669</v>
      </c>
      <c r="H949" s="103" t="s">
        <v>48</v>
      </c>
      <c r="I949" s="103">
        <f>IFERROR(VLOOKUP(A949,#REF!,15,0),0)+IFERROR(VLOOKUP(A949,#REF!,25,0),0)+IFERROR(VLOOKUP(A949,#REF!,10,0),0)+IFERROR(VLOOKUP(A949,#REF!,14,0),0)+IFERROR(VLOOKUP(A949,#REF!,11,0),0)+IFERROR(VLOOKUP(A949,#REF!,10,0),0)+IFERROR(VLOOKUP(A949,#REF!,10,0),0)+IFERROR(VLOOKUP(A949,#REF!,9,0),0)+IFERROR(VLOOKUP(A949,#REF!,9,0),0)+IFERROR(VLOOKUP(A949,#REF!,9,0),0)+IFERROR(VLOOKUP(A949,#REF!,9,0),0)</f>
        <v>0</v>
      </c>
      <c r="J949" s="104">
        <f>IFERROR(VLOOKUP(A949,#REF!,16,0),0)+IFERROR(VLOOKUP(A949,#REF!,26,0),0)+IFERROR(VLOOKUP(A949,#REF!,11,0),0)+IFERROR(VLOOKUP(A949,#REF!,23,0),0)+IFERROR(VLOOKUP(A949,#REF!,11,0),0)+IFERROR(VLOOKUP(A949,#REF!,11,0),0)+IFERROR(VLOOKUP(A949,#REF!,11,0),0)</f>
        <v>0</v>
      </c>
      <c r="K949" s="96" t="str">
        <f>"07.02.24"</f>
        <v>07.02.24</v>
      </c>
    </row>
    <row r="950" spans="1:11" ht="11.25" customHeight="1" outlineLevel="1">
      <c r="A950" s="89" t="n">
        <v>8084420</v>
      </c>
      <c r="B950" s="114" t="s">
        <v>1201</v>
      </c>
      <c r="C950" s="89" t="s">
        <v>1413</v>
      </c>
      <c r="D950" s="89" t="s">
        <v>15</v>
      </c>
      <c r="E950" s="89" t="s">
        <v>1414</v>
      </c>
      <c r="F950" s="102" t="n">
        <v>1588</v>
      </c>
      <c r="G950" s="102" t="n">
        <v>2112</v>
      </c>
      <c r="H950" s="103" t="s">
        <v>48</v>
      </c>
      <c r="I950" s="103">
        <f>IFERROR(VLOOKUP(A950,#REF!,15,0),0)+IFERROR(VLOOKUP(A950,#REF!,25,0),0)+IFERROR(VLOOKUP(A950,#REF!,10,0),0)+IFERROR(VLOOKUP(A950,#REF!,14,0),0)+IFERROR(VLOOKUP(A950,#REF!,11,0),0)+IFERROR(VLOOKUP(A950,#REF!,10,0),0)+IFERROR(VLOOKUP(A950,#REF!,10,0),0)+IFERROR(VLOOKUP(A950,#REF!,9,0),0)+IFERROR(VLOOKUP(A950,#REF!,9,0),0)+IFERROR(VLOOKUP(A950,#REF!,9,0),0)+IFERROR(VLOOKUP(A950,#REF!,9,0),0)</f>
        <v>0</v>
      </c>
      <c r="J950" s="104">
        <f>IFERROR(VLOOKUP(A950,#REF!,16,0),0)+IFERROR(VLOOKUP(A950,#REF!,26,0),0)+IFERROR(VLOOKUP(A950,#REF!,11,0),0)+IFERROR(VLOOKUP(A950,#REF!,23,0),0)+IFERROR(VLOOKUP(A950,#REF!,11,0),0)+IFERROR(VLOOKUP(A950,#REF!,11,0),0)+IFERROR(VLOOKUP(A950,#REF!,11,0),0)</f>
        <v>0</v>
      </c>
      <c r="K950" s="96" t="str">
        <f>"07.02.24"</f>
        <v>07.02.24</v>
      </c>
    </row>
    <row r="951" spans="1:11" ht="11.25" customHeight="1" outlineLevel="1">
      <c r="A951" s="89" t="n">
        <v>8084430</v>
      </c>
      <c r="B951" s="114" t="s">
        <v>1201</v>
      </c>
      <c r="C951" s="89" t="s">
        <v>1415</v>
      </c>
      <c r="D951" s="89" t="s">
        <v>15</v>
      </c>
      <c r="E951" s="89" t="s">
        <v>1416</v>
      </c>
      <c r="F951" s="102" t="n">
        <v>1160</v>
      </c>
      <c r="G951" s="102" t="n">
        <v>1536</v>
      </c>
      <c r="H951" s="103" t="s">
        <v>17</v>
      </c>
      <c r="I951" s="103">
        <f>IFERROR(VLOOKUP(A951,#REF!,15,0),0)+IFERROR(VLOOKUP(A951,#REF!,25,0),0)+IFERROR(VLOOKUP(A951,#REF!,10,0),0)+IFERROR(VLOOKUP(A951,#REF!,14,0),0)+IFERROR(VLOOKUP(A951,#REF!,11,0),0)+IFERROR(VLOOKUP(A951,#REF!,10,0),0)+IFERROR(VLOOKUP(A951,#REF!,10,0),0)+IFERROR(VLOOKUP(A951,#REF!,9,0),0)+IFERROR(VLOOKUP(A951,#REF!,9,0),0)+IFERROR(VLOOKUP(A951,#REF!,9,0),0)+IFERROR(VLOOKUP(A951,#REF!,9,0),0)</f>
        <v>0</v>
      </c>
      <c r="J951" s="104">
        <f>IFERROR(VLOOKUP(A951,#REF!,16,0),0)+IFERROR(VLOOKUP(A951,#REF!,26,0),0)+IFERROR(VLOOKUP(A951,#REF!,11,0),0)+IFERROR(VLOOKUP(A951,#REF!,23,0),0)+IFERROR(VLOOKUP(A951,#REF!,11,0),0)+IFERROR(VLOOKUP(A951,#REF!,11,0),0)+IFERROR(VLOOKUP(A951,#REF!,11,0),0)</f>
        <v>0</v>
      </c>
      <c r="K951" s="96" t="str">
        <f>"07.02.24"</f>
        <v>07.02.24</v>
      </c>
    </row>
    <row r="952" spans="1:11" ht="11.25" customHeight="1" outlineLevel="1">
      <c r="A952" s="89" t="n">
        <v>8084440</v>
      </c>
      <c r="B952" s="114" t="s">
        <v>1201</v>
      </c>
      <c r="C952" s="89" t="s">
        <v>1417</v>
      </c>
      <c r="D952" s="89" t="s">
        <v>15</v>
      </c>
      <c r="E952" s="89" t="s">
        <v>1418</v>
      </c>
      <c r="F952" s="102" t="n">
        <v>875</v>
      </c>
      <c r="G952" s="102" t="n">
        <v>1162</v>
      </c>
      <c r="H952" s="103" t="s">
        <v>48</v>
      </c>
      <c r="I952" s="103">
        <f>IFERROR(VLOOKUP(A952,#REF!,15,0),0)+IFERROR(VLOOKUP(A952,#REF!,25,0),0)+IFERROR(VLOOKUP(A952,#REF!,10,0),0)+IFERROR(VLOOKUP(A952,#REF!,14,0),0)+IFERROR(VLOOKUP(A952,#REF!,11,0),0)+IFERROR(VLOOKUP(A952,#REF!,10,0),0)+IFERROR(VLOOKUP(A952,#REF!,10,0),0)+IFERROR(VLOOKUP(A952,#REF!,9,0),0)+IFERROR(VLOOKUP(A952,#REF!,9,0),0)+IFERROR(VLOOKUP(A952,#REF!,9,0),0)+IFERROR(VLOOKUP(A952,#REF!,9,0),0)</f>
        <v>0</v>
      </c>
      <c r="J952" s="104">
        <f>IFERROR(VLOOKUP(A952,#REF!,16,0),0)+IFERROR(VLOOKUP(A952,#REF!,26,0),0)+IFERROR(VLOOKUP(A952,#REF!,11,0),0)+IFERROR(VLOOKUP(A952,#REF!,23,0),0)+IFERROR(VLOOKUP(A952,#REF!,11,0),0)+IFERROR(VLOOKUP(A952,#REF!,11,0),0)+IFERROR(VLOOKUP(A952,#REF!,11,0),0)</f>
        <v>0</v>
      </c>
      <c r="K952" s="96" t="str">
        <f>"07.02.24"</f>
        <v>07.02.24</v>
      </c>
    </row>
    <row r="953" spans="1:11" ht="11.25" customHeight="1" outlineLevel="1">
      <c r="A953" s="89" t="n">
        <v>8084450</v>
      </c>
      <c r="B953" s="114" t="s">
        <v>1201</v>
      </c>
      <c r="C953" s="89" t="s">
        <v>1419</v>
      </c>
      <c r="D953" s="89" t="s">
        <v>15</v>
      </c>
      <c r="E953" s="89" t="s">
        <v>1420</v>
      </c>
      <c r="F953" s="102" t="n">
        <v>1858</v>
      </c>
      <c r="G953" s="102" t="n">
        <v>2469</v>
      </c>
      <c r="H953" s="103" t="s">
        <v>17</v>
      </c>
      <c r="I953" s="103">
        <f>IFERROR(VLOOKUP(A953,#REF!,15,0),0)+IFERROR(VLOOKUP(A953,#REF!,25,0),0)+IFERROR(VLOOKUP(A953,#REF!,10,0),0)+IFERROR(VLOOKUP(A953,#REF!,14,0),0)+IFERROR(VLOOKUP(A953,#REF!,11,0),0)+IFERROR(VLOOKUP(A953,#REF!,10,0),0)+IFERROR(VLOOKUP(A953,#REF!,10,0),0)+IFERROR(VLOOKUP(A953,#REF!,9,0),0)+IFERROR(VLOOKUP(A953,#REF!,9,0),0)+IFERROR(VLOOKUP(A953,#REF!,9,0),0)+IFERROR(VLOOKUP(A953,#REF!,9,0),0)</f>
        <v>0</v>
      </c>
      <c r="J953" s="104">
        <f>IFERROR(VLOOKUP(A953,#REF!,16,0),0)+IFERROR(VLOOKUP(A953,#REF!,26,0),0)+IFERROR(VLOOKUP(A953,#REF!,11,0),0)+IFERROR(VLOOKUP(A953,#REF!,23,0),0)+IFERROR(VLOOKUP(A953,#REF!,11,0),0)+IFERROR(VLOOKUP(A953,#REF!,11,0),0)+IFERROR(VLOOKUP(A953,#REF!,11,0),0)</f>
        <v>0</v>
      </c>
      <c r="K953" s="96" t="str">
        <f>"07.02.24"</f>
        <v>07.02.24</v>
      </c>
    </row>
    <row r="954" spans="1:11" ht="11.25" customHeight="1" outlineLevel="1">
      <c r="A954" s="89" t="n">
        <v>8084460</v>
      </c>
      <c r="B954" s="114" t="s">
        <v>1201</v>
      </c>
      <c r="C954" s="89" t="s">
        <v>1421</v>
      </c>
      <c r="D954" s="89" t="s">
        <v>15</v>
      </c>
      <c r="E954" s="89" t="s">
        <v>1422</v>
      </c>
      <c r="F954" s="102" t="n">
        <v>1545</v>
      </c>
      <c r="G954" s="102" t="n">
        <v>2055</v>
      </c>
      <c r="H954" s="103" t="s">
        <v>48</v>
      </c>
      <c r="I954" s="103">
        <f>IFERROR(VLOOKUP(A954,#REF!,15,0),0)+IFERROR(VLOOKUP(A954,#REF!,25,0),0)+IFERROR(VLOOKUP(A954,#REF!,10,0),0)+IFERROR(VLOOKUP(A954,#REF!,14,0),0)+IFERROR(VLOOKUP(A954,#REF!,11,0),0)+IFERROR(VLOOKUP(A954,#REF!,10,0),0)+IFERROR(VLOOKUP(A954,#REF!,10,0),0)+IFERROR(VLOOKUP(A954,#REF!,9,0),0)+IFERROR(VLOOKUP(A954,#REF!,9,0),0)+IFERROR(VLOOKUP(A954,#REF!,9,0),0)+IFERROR(VLOOKUP(A954,#REF!,9,0),0)</f>
        <v>0</v>
      </c>
      <c r="J954" s="104">
        <f>IFERROR(VLOOKUP(A954,#REF!,16,0),0)+IFERROR(VLOOKUP(A954,#REF!,26,0),0)+IFERROR(VLOOKUP(A954,#REF!,11,0),0)+IFERROR(VLOOKUP(A954,#REF!,23,0),0)+IFERROR(VLOOKUP(A954,#REF!,11,0),0)+IFERROR(VLOOKUP(A954,#REF!,11,0),0)+IFERROR(VLOOKUP(A954,#REF!,11,0),0)</f>
        <v>0</v>
      </c>
      <c r="K954" s="96" t="str">
        <f>"07.02.24"</f>
        <v>07.02.24</v>
      </c>
    </row>
    <row r="955" spans="1:11" ht="11.25" customHeight="1" outlineLevel="1">
      <c r="A955" s="89" t="n">
        <v>8084470</v>
      </c>
      <c r="B955" s="114" t="s">
        <v>1201</v>
      </c>
      <c r="C955" s="89" t="s">
        <v>1423</v>
      </c>
      <c r="D955" s="89" t="s">
        <v>15</v>
      </c>
      <c r="E955" s="89" t="s">
        <v>1424</v>
      </c>
      <c r="F955" s="102" t="n">
        <v>1243</v>
      </c>
      <c r="G955" s="102" t="n">
        <v>1651</v>
      </c>
      <c r="H955" s="103" t="s">
        <v>48</v>
      </c>
      <c r="I955" s="103">
        <f>IFERROR(VLOOKUP(A955,#REF!,15,0),0)+IFERROR(VLOOKUP(A955,#REF!,25,0),0)+IFERROR(VLOOKUP(A955,#REF!,10,0),0)+IFERROR(VLOOKUP(A955,#REF!,14,0),0)+IFERROR(VLOOKUP(A955,#REF!,11,0),0)+IFERROR(VLOOKUP(A955,#REF!,10,0),0)+IFERROR(VLOOKUP(A955,#REF!,10,0),0)+IFERROR(VLOOKUP(A955,#REF!,9,0),0)+IFERROR(VLOOKUP(A955,#REF!,9,0),0)+IFERROR(VLOOKUP(A955,#REF!,9,0),0)+IFERROR(VLOOKUP(A955,#REF!,9,0),0)</f>
        <v>0</v>
      </c>
      <c r="J955" s="104">
        <f>IFERROR(VLOOKUP(A955,#REF!,16,0),0)+IFERROR(VLOOKUP(A955,#REF!,26,0),0)+IFERROR(VLOOKUP(A955,#REF!,11,0),0)+IFERROR(VLOOKUP(A955,#REF!,23,0),0)+IFERROR(VLOOKUP(A955,#REF!,11,0),0)+IFERROR(VLOOKUP(A955,#REF!,11,0),0)+IFERROR(VLOOKUP(A955,#REF!,11,0),0)</f>
        <v>0</v>
      </c>
      <c r="K955" s="96" t="str">
        <f>"07.02.24"</f>
        <v>07.02.24</v>
      </c>
    </row>
    <row r="956" spans="1:11" ht="11.25" customHeight="1" outlineLevel="1">
      <c r="A956" s="89" t="n">
        <v>8084480</v>
      </c>
      <c r="B956" s="114" t="s">
        <v>1201</v>
      </c>
      <c r="C956" s="89" t="s">
        <v>1425</v>
      </c>
      <c r="D956" s="89" t="s">
        <v>15</v>
      </c>
      <c r="E956" s="89" t="s">
        <v>1426</v>
      </c>
      <c r="F956" s="102" t="n">
        <v>882</v>
      </c>
      <c r="G956" s="102" t="n">
        <v>1170</v>
      </c>
      <c r="H956" s="103" t="s">
        <v>17</v>
      </c>
      <c r="I956" s="103">
        <f>IFERROR(VLOOKUP(A956,#REF!,15,0),0)+IFERROR(VLOOKUP(A956,#REF!,25,0),0)+IFERROR(VLOOKUP(A956,#REF!,10,0),0)+IFERROR(VLOOKUP(A956,#REF!,14,0),0)+IFERROR(VLOOKUP(A956,#REF!,11,0),0)+IFERROR(VLOOKUP(A956,#REF!,10,0),0)+IFERROR(VLOOKUP(A956,#REF!,10,0),0)+IFERROR(VLOOKUP(A956,#REF!,9,0),0)+IFERROR(VLOOKUP(A956,#REF!,9,0),0)+IFERROR(VLOOKUP(A956,#REF!,9,0),0)+IFERROR(VLOOKUP(A956,#REF!,9,0),0)</f>
        <v>0</v>
      </c>
      <c r="J956" s="104">
        <f>IFERROR(VLOOKUP(A956,#REF!,16,0),0)+IFERROR(VLOOKUP(A956,#REF!,26,0),0)+IFERROR(VLOOKUP(A956,#REF!,11,0),0)+IFERROR(VLOOKUP(A956,#REF!,23,0),0)+IFERROR(VLOOKUP(A956,#REF!,11,0),0)+IFERROR(VLOOKUP(A956,#REF!,11,0),0)+IFERROR(VLOOKUP(A956,#REF!,11,0),0)</f>
        <v>0</v>
      </c>
      <c r="K956" s="96" t="str">
        <f>"07.02.24"</f>
        <v>07.02.24</v>
      </c>
    </row>
    <row r="957" spans="1:11" ht="11.25" customHeight="1" outlineLevel="1">
      <c r="A957" s="89" t="n">
        <v>8084490</v>
      </c>
      <c r="B957" s="114" t="s">
        <v>1201</v>
      </c>
      <c r="C957" s="89" t="s">
        <v>1427</v>
      </c>
      <c r="D957" s="89" t="s">
        <v>15</v>
      </c>
      <c r="E957" s="89" t="s">
        <v>1428</v>
      </c>
      <c r="F957" s="102" t="n">
        <v>686</v>
      </c>
      <c r="G957" s="102" t="n">
        <v>912</v>
      </c>
      <c r="H957" s="103" t="s">
        <v>48</v>
      </c>
      <c r="I957" s="103">
        <f>IFERROR(VLOOKUP(A957,#REF!,15,0),0)+IFERROR(VLOOKUP(A957,#REF!,25,0),0)+IFERROR(VLOOKUP(A957,#REF!,10,0),0)+IFERROR(VLOOKUP(A957,#REF!,14,0),0)+IFERROR(VLOOKUP(A957,#REF!,11,0),0)+IFERROR(VLOOKUP(A957,#REF!,10,0),0)+IFERROR(VLOOKUP(A957,#REF!,10,0),0)+IFERROR(VLOOKUP(A957,#REF!,9,0),0)+IFERROR(VLOOKUP(A957,#REF!,9,0),0)+IFERROR(VLOOKUP(A957,#REF!,9,0),0)+IFERROR(VLOOKUP(A957,#REF!,9,0),0)</f>
        <v>0</v>
      </c>
      <c r="J957" s="104">
        <f>IFERROR(VLOOKUP(A957,#REF!,16,0),0)+IFERROR(VLOOKUP(A957,#REF!,26,0),0)+IFERROR(VLOOKUP(A957,#REF!,11,0),0)+IFERROR(VLOOKUP(A957,#REF!,23,0),0)+IFERROR(VLOOKUP(A957,#REF!,11,0),0)+IFERROR(VLOOKUP(A957,#REF!,11,0),0)+IFERROR(VLOOKUP(A957,#REF!,11,0),0)</f>
        <v>0</v>
      </c>
      <c r="K957" s="96" t="str">
        <f>"07.02.24"</f>
        <v>07.02.24</v>
      </c>
    </row>
    <row r="958" spans="1:11" ht="11.25" customHeight="1" outlineLevel="1">
      <c r="A958" s="89" t="n">
        <v>8084500</v>
      </c>
      <c r="B958" s="114" t="s">
        <v>1201</v>
      </c>
      <c r="C958" s="89" t="s">
        <v>1429</v>
      </c>
      <c r="D958" s="89" t="s">
        <v>15</v>
      </c>
      <c r="E958" s="89" t="s">
        <v>1430</v>
      </c>
      <c r="F958" s="102" t="n">
        <v>1164</v>
      </c>
      <c r="G958" s="102" t="n">
        <v>1545</v>
      </c>
      <c r="H958" s="103" t="s">
        <v>48</v>
      </c>
      <c r="I958" s="103">
        <f>IFERROR(VLOOKUP(A958,#REF!,15,0),0)+IFERROR(VLOOKUP(A958,#REF!,25,0),0)+IFERROR(VLOOKUP(A958,#REF!,10,0),0)+IFERROR(VLOOKUP(A958,#REF!,14,0),0)+IFERROR(VLOOKUP(A958,#REF!,11,0),0)+IFERROR(VLOOKUP(A958,#REF!,10,0),0)+IFERROR(VLOOKUP(A958,#REF!,10,0),0)+IFERROR(VLOOKUP(A958,#REF!,9,0),0)+IFERROR(VLOOKUP(A958,#REF!,9,0),0)+IFERROR(VLOOKUP(A958,#REF!,9,0),0)+IFERROR(VLOOKUP(A958,#REF!,9,0),0)</f>
        <v>0</v>
      </c>
      <c r="J958" s="104">
        <f>IFERROR(VLOOKUP(A958,#REF!,16,0),0)+IFERROR(VLOOKUP(A958,#REF!,26,0),0)+IFERROR(VLOOKUP(A958,#REF!,11,0),0)+IFERROR(VLOOKUP(A958,#REF!,23,0),0)+IFERROR(VLOOKUP(A958,#REF!,11,0),0)+IFERROR(VLOOKUP(A958,#REF!,11,0),0)+IFERROR(VLOOKUP(A958,#REF!,11,0),0)</f>
        <v>0</v>
      </c>
      <c r="K958" s="96" t="str">
        <f>"07.02.24"</f>
        <v>07.02.24</v>
      </c>
    </row>
    <row r="959" spans="1:11" ht="11.25" customHeight="1" outlineLevel="1">
      <c r="A959" s="89" t="n">
        <v>8084510</v>
      </c>
      <c r="B959" s="114" t="s">
        <v>1201</v>
      </c>
      <c r="C959" s="89" t="s">
        <v>1431</v>
      </c>
      <c r="D959" s="89" t="s">
        <v>15</v>
      </c>
      <c r="E959" s="89" t="s">
        <v>1432</v>
      </c>
      <c r="F959" s="102" t="n">
        <v>882</v>
      </c>
      <c r="G959" s="102" t="n">
        <v>1170</v>
      </c>
      <c r="H959" s="103" t="s">
        <v>48</v>
      </c>
      <c r="I959" s="103">
        <f>IFERROR(VLOOKUP(A959,#REF!,15,0),0)+IFERROR(VLOOKUP(A959,#REF!,25,0),0)+IFERROR(VLOOKUP(A959,#REF!,10,0),0)+IFERROR(VLOOKUP(A959,#REF!,14,0),0)+IFERROR(VLOOKUP(A959,#REF!,11,0),0)+IFERROR(VLOOKUP(A959,#REF!,10,0),0)+IFERROR(VLOOKUP(A959,#REF!,10,0),0)+IFERROR(VLOOKUP(A959,#REF!,9,0),0)+IFERROR(VLOOKUP(A959,#REF!,9,0),0)+IFERROR(VLOOKUP(A959,#REF!,9,0),0)+IFERROR(VLOOKUP(A959,#REF!,9,0),0)</f>
        <v>0</v>
      </c>
      <c r="J959" s="104">
        <f>IFERROR(VLOOKUP(A959,#REF!,16,0),0)+IFERROR(VLOOKUP(A959,#REF!,26,0),0)+IFERROR(VLOOKUP(A959,#REF!,11,0),0)+IFERROR(VLOOKUP(A959,#REF!,23,0),0)+IFERROR(VLOOKUP(A959,#REF!,11,0),0)+IFERROR(VLOOKUP(A959,#REF!,11,0),0)+IFERROR(VLOOKUP(A959,#REF!,11,0),0)</f>
        <v>0</v>
      </c>
      <c r="K959" s="96" t="str">
        <f>"07.02.24"</f>
        <v>07.02.24</v>
      </c>
    </row>
    <row r="960" spans="1:11" ht="11.25" customHeight="1" outlineLevel="1">
      <c r="A960" s="89" t="n">
        <v>8084520</v>
      </c>
      <c r="B960" s="114" t="s">
        <v>1201</v>
      </c>
      <c r="C960" s="89" t="s">
        <v>1433</v>
      </c>
      <c r="D960" s="89" t="s">
        <v>15</v>
      </c>
      <c r="E960" s="89" t="s">
        <v>1434</v>
      </c>
      <c r="F960" s="102" t="n">
        <v>686</v>
      </c>
      <c r="G960" s="102" t="n">
        <v>912</v>
      </c>
      <c r="H960" s="103" t="s">
        <v>48</v>
      </c>
      <c r="I960" s="103">
        <f>IFERROR(VLOOKUP(A960,#REF!,15,0),0)+IFERROR(VLOOKUP(A960,#REF!,25,0),0)+IFERROR(VLOOKUP(A960,#REF!,10,0),0)+IFERROR(VLOOKUP(A960,#REF!,14,0),0)+IFERROR(VLOOKUP(A960,#REF!,11,0),0)+IFERROR(VLOOKUP(A960,#REF!,10,0),0)+IFERROR(VLOOKUP(A960,#REF!,10,0),0)+IFERROR(VLOOKUP(A960,#REF!,9,0),0)+IFERROR(VLOOKUP(A960,#REF!,9,0),0)+IFERROR(VLOOKUP(A960,#REF!,9,0),0)+IFERROR(VLOOKUP(A960,#REF!,9,0),0)</f>
        <v>0</v>
      </c>
      <c r="J960" s="104">
        <f>IFERROR(VLOOKUP(A960,#REF!,16,0),0)+IFERROR(VLOOKUP(A960,#REF!,26,0),0)+IFERROR(VLOOKUP(A960,#REF!,11,0),0)+IFERROR(VLOOKUP(A960,#REF!,23,0),0)+IFERROR(VLOOKUP(A960,#REF!,11,0),0)+IFERROR(VLOOKUP(A960,#REF!,11,0),0)+IFERROR(VLOOKUP(A960,#REF!,11,0),0)</f>
        <v>0</v>
      </c>
      <c r="K960" s="96" t="str">
        <f>"07.02.24"</f>
        <v>07.02.24</v>
      </c>
    </row>
    <row r="961" spans="1:11" ht="11.25" customHeight="1" outlineLevel="1">
      <c r="A961" s="89" t="n">
        <v>8084540</v>
      </c>
      <c r="B961" s="114" t="s">
        <v>1201</v>
      </c>
      <c r="C961" s="89" t="s">
        <v>1435</v>
      </c>
      <c r="D961" s="89" t="s">
        <v>15</v>
      </c>
      <c r="E961" s="89" t="s">
        <v>1436</v>
      </c>
      <c r="F961" s="102" t="n">
        <v>1563</v>
      </c>
      <c r="G961" s="102" t="n">
        <v>1972</v>
      </c>
      <c r="H961" s="103" t="s">
        <v>48</v>
      </c>
      <c r="I961" s="103">
        <f>IFERROR(VLOOKUP(A961,#REF!,15,0),0)+IFERROR(VLOOKUP(A961,#REF!,25,0),0)+IFERROR(VLOOKUP(A961,#REF!,10,0),0)+IFERROR(VLOOKUP(A961,#REF!,14,0),0)+IFERROR(VLOOKUP(A961,#REF!,11,0),0)+IFERROR(VLOOKUP(A961,#REF!,10,0),0)+IFERROR(VLOOKUP(A961,#REF!,10,0),0)+IFERROR(VLOOKUP(A961,#REF!,9,0),0)+IFERROR(VLOOKUP(A961,#REF!,9,0),0)+IFERROR(VLOOKUP(A961,#REF!,9,0),0)+IFERROR(VLOOKUP(A961,#REF!,9,0),0)</f>
        <v>0</v>
      </c>
      <c r="J961" s="104">
        <f>IFERROR(VLOOKUP(A961,#REF!,16,0),0)+IFERROR(VLOOKUP(A961,#REF!,26,0),0)+IFERROR(VLOOKUP(A961,#REF!,11,0),0)+IFERROR(VLOOKUP(A961,#REF!,23,0),0)+IFERROR(VLOOKUP(A961,#REF!,11,0),0)+IFERROR(VLOOKUP(A961,#REF!,11,0),0)+IFERROR(VLOOKUP(A961,#REF!,11,0),0)</f>
        <v>0</v>
      </c>
      <c r="K961" s="96" t="str">
        <f>"07.02.24"</f>
        <v>07.02.24</v>
      </c>
    </row>
    <row r="962" spans="1:11" ht="11.25" customHeight="1" outlineLevel="1">
      <c r="A962" s="89" t="n">
        <v>8084550</v>
      </c>
      <c r="B962" s="114" t="s">
        <v>1201</v>
      </c>
      <c r="C962" s="89" t="s">
        <v>1437</v>
      </c>
      <c r="D962" s="89" t="s">
        <v>15</v>
      </c>
      <c r="E962" s="89" t="s">
        <v>1438</v>
      </c>
      <c r="F962" s="102" t="n">
        <v>1288</v>
      </c>
      <c r="G962" s="102" t="n">
        <v>1708</v>
      </c>
      <c r="H962" s="103" t="s">
        <v>17</v>
      </c>
      <c r="I962" s="103">
        <f>IFERROR(VLOOKUP(A962,#REF!,15,0),0)+IFERROR(VLOOKUP(A962,#REF!,25,0),0)+IFERROR(VLOOKUP(A962,#REF!,10,0),0)+IFERROR(VLOOKUP(A962,#REF!,14,0),0)+IFERROR(VLOOKUP(A962,#REF!,11,0),0)+IFERROR(VLOOKUP(A962,#REF!,10,0),0)+IFERROR(VLOOKUP(A962,#REF!,10,0),0)+IFERROR(VLOOKUP(A962,#REF!,9,0),0)+IFERROR(VLOOKUP(A962,#REF!,9,0),0)+IFERROR(VLOOKUP(A962,#REF!,9,0),0)+IFERROR(VLOOKUP(A962,#REF!,9,0),0)</f>
        <v>0</v>
      </c>
      <c r="J962" s="104">
        <f>IFERROR(VLOOKUP(A962,#REF!,16,0),0)+IFERROR(VLOOKUP(A962,#REF!,26,0),0)+IFERROR(VLOOKUP(A962,#REF!,11,0),0)+IFERROR(VLOOKUP(A962,#REF!,23,0),0)+IFERROR(VLOOKUP(A962,#REF!,11,0),0)+IFERROR(VLOOKUP(A962,#REF!,11,0),0)+IFERROR(VLOOKUP(A962,#REF!,11,0),0)</f>
        <v>0</v>
      </c>
      <c r="K962" s="96" t="str">
        <f>"07.02.24"</f>
        <v>07.02.24</v>
      </c>
    </row>
    <row r="963" spans="1:11" ht="11.25" customHeight="1" outlineLevel="1">
      <c r="A963" s="89" t="n">
        <v>8084570</v>
      </c>
      <c r="B963" s="114" t="s">
        <v>1201</v>
      </c>
      <c r="C963" s="89" t="s">
        <v>1439</v>
      </c>
      <c r="D963" s="89" t="s">
        <v>15</v>
      </c>
      <c r="E963" s="89" t="s">
        <v>1440</v>
      </c>
      <c r="F963" s="102" t="n">
        <v>1037</v>
      </c>
      <c r="G963" s="102" t="n">
        <v>1378</v>
      </c>
      <c r="H963" s="103" t="s">
        <v>17</v>
      </c>
      <c r="I963" s="103">
        <f>IFERROR(VLOOKUP(A963,#REF!,15,0),0)+IFERROR(VLOOKUP(A963,#REF!,25,0),0)+IFERROR(VLOOKUP(A963,#REF!,10,0),0)+IFERROR(VLOOKUP(A963,#REF!,14,0),0)+IFERROR(VLOOKUP(A963,#REF!,11,0),0)+IFERROR(VLOOKUP(A963,#REF!,10,0),0)+IFERROR(VLOOKUP(A963,#REF!,10,0),0)+IFERROR(VLOOKUP(A963,#REF!,9,0),0)+IFERROR(VLOOKUP(A963,#REF!,9,0),0)+IFERROR(VLOOKUP(A963,#REF!,9,0),0)+IFERROR(VLOOKUP(A963,#REF!,9,0),0)</f>
        <v>0</v>
      </c>
      <c r="J963" s="104">
        <f>IFERROR(VLOOKUP(A963,#REF!,16,0),0)+IFERROR(VLOOKUP(A963,#REF!,26,0),0)+IFERROR(VLOOKUP(A963,#REF!,11,0),0)+IFERROR(VLOOKUP(A963,#REF!,23,0),0)+IFERROR(VLOOKUP(A963,#REF!,11,0),0)+IFERROR(VLOOKUP(A963,#REF!,11,0),0)+IFERROR(VLOOKUP(A963,#REF!,11,0),0)</f>
        <v>0</v>
      </c>
      <c r="K963" s="96" t="str">
        <f>"07.02.24"</f>
        <v>07.02.24</v>
      </c>
    </row>
    <row r="964" spans="1:11" ht="11.25" customHeight="1" outlineLevel="1">
      <c r="A964" s="89" t="n">
        <v>8084580</v>
      </c>
      <c r="B964" s="114" t="s">
        <v>1201</v>
      </c>
      <c r="C964" s="89" t="s">
        <v>1441</v>
      </c>
      <c r="D964" s="89" t="s">
        <v>15</v>
      </c>
      <c r="E964" s="89" t="s">
        <v>1442</v>
      </c>
      <c r="F964" s="102" t="n">
        <v>731</v>
      </c>
      <c r="G964" s="102" t="n">
        <v>970</v>
      </c>
      <c r="H964" s="103" t="s">
        <v>17</v>
      </c>
      <c r="I964" s="103">
        <f>IFERROR(VLOOKUP(A964,#REF!,15,0),0)+IFERROR(VLOOKUP(A964,#REF!,25,0),0)+IFERROR(VLOOKUP(A964,#REF!,10,0),0)+IFERROR(VLOOKUP(A964,#REF!,14,0),0)+IFERROR(VLOOKUP(A964,#REF!,11,0),0)+IFERROR(VLOOKUP(A964,#REF!,10,0),0)+IFERROR(VLOOKUP(A964,#REF!,10,0),0)+IFERROR(VLOOKUP(A964,#REF!,9,0),0)+IFERROR(VLOOKUP(A964,#REF!,9,0),0)+IFERROR(VLOOKUP(A964,#REF!,9,0),0)+IFERROR(VLOOKUP(A964,#REF!,9,0),0)</f>
        <v>0</v>
      </c>
      <c r="J964" s="104">
        <f>IFERROR(VLOOKUP(A964,#REF!,16,0),0)+IFERROR(VLOOKUP(A964,#REF!,26,0),0)+IFERROR(VLOOKUP(A964,#REF!,11,0),0)+IFERROR(VLOOKUP(A964,#REF!,23,0),0)+IFERROR(VLOOKUP(A964,#REF!,11,0),0)+IFERROR(VLOOKUP(A964,#REF!,11,0),0)+IFERROR(VLOOKUP(A964,#REF!,11,0),0)</f>
        <v>0</v>
      </c>
      <c r="K964" s="96" t="str">
        <f>"07.02.24"</f>
        <v>07.02.24</v>
      </c>
    </row>
    <row r="965" spans="1:11" ht="11.25" customHeight="1" outlineLevel="1">
      <c r="A965" s="89" t="n">
        <v>8084590</v>
      </c>
      <c r="B965" s="114" t="s">
        <v>1201</v>
      </c>
      <c r="C965" s="89" t="s">
        <v>1443</v>
      </c>
      <c r="D965" s="89" t="s">
        <v>15</v>
      </c>
      <c r="E965" s="89" t="s">
        <v>1444</v>
      </c>
      <c r="F965" s="102" t="n">
        <v>563</v>
      </c>
      <c r="G965" s="102" t="n">
        <v>748</v>
      </c>
      <c r="H965" s="103" t="s">
        <v>48</v>
      </c>
      <c r="I965" s="103">
        <f>IFERROR(VLOOKUP(A965,#REF!,15,0),0)+IFERROR(VLOOKUP(A965,#REF!,25,0),0)+IFERROR(VLOOKUP(A965,#REF!,10,0),0)+IFERROR(VLOOKUP(A965,#REF!,14,0),0)+IFERROR(VLOOKUP(A965,#REF!,11,0),0)+IFERROR(VLOOKUP(A965,#REF!,10,0),0)+IFERROR(VLOOKUP(A965,#REF!,10,0),0)+IFERROR(VLOOKUP(A965,#REF!,9,0),0)+IFERROR(VLOOKUP(A965,#REF!,9,0),0)+IFERROR(VLOOKUP(A965,#REF!,9,0),0)+IFERROR(VLOOKUP(A965,#REF!,9,0),0)</f>
        <v>0</v>
      </c>
      <c r="J965" s="104">
        <f>IFERROR(VLOOKUP(A965,#REF!,16,0),0)+IFERROR(VLOOKUP(A965,#REF!,26,0),0)+IFERROR(VLOOKUP(A965,#REF!,11,0),0)+IFERROR(VLOOKUP(A965,#REF!,23,0),0)+IFERROR(VLOOKUP(A965,#REF!,11,0),0)+IFERROR(VLOOKUP(A965,#REF!,11,0),0)+IFERROR(VLOOKUP(A965,#REF!,11,0),0)</f>
        <v>0</v>
      </c>
      <c r="K965" s="96" t="str">
        <f>"07.02.24"</f>
        <v>07.02.24</v>
      </c>
    </row>
    <row r="966" spans="1:11" ht="11.25" customHeight="1" outlineLevel="1">
      <c r="A966" s="89" t="n">
        <v>8084600</v>
      </c>
      <c r="B966" s="114" t="s">
        <v>1201</v>
      </c>
      <c r="C966" s="89" t="s">
        <v>1445</v>
      </c>
      <c r="D966" s="89" t="s">
        <v>15</v>
      </c>
      <c r="E966" s="89" t="s">
        <v>1446</v>
      </c>
      <c r="F966" s="102" t="n">
        <v>477</v>
      </c>
      <c r="G966" s="102" t="n">
        <v>633</v>
      </c>
      <c r="H966" s="103" t="s">
        <v>48</v>
      </c>
      <c r="I966" s="103">
        <f>IFERROR(VLOOKUP(A966,#REF!,15,0),0)+IFERROR(VLOOKUP(A966,#REF!,25,0),0)+IFERROR(VLOOKUP(A966,#REF!,10,0),0)+IFERROR(VLOOKUP(A966,#REF!,14,0),0)+IFERROR(VLOOKUP(A966,#REF!,11,0),0)+IFERROR(VLOOKUP(A966,#REF!,10,0),0)+IFERROR(VLOOKUP(A966,#REF!,10,0),0)+IFERROR(VLOOKUP(A966,#REF!,9,0),0)+IFERROR(VLOOKUP(A966,#REF!,9,0),0)+IFERROR(VLOOKUP(A966,#REF!,9,0),0)+IFERROR(VLOOKUP(A966,#REF!,9,0),0)</f>
        <v>0</v>
      </c>
      <c r="J966" s="104">
        <f>IFERROR(VLOOKUP(A966,#REF!,16,0),0)+IFERROR(VLOOKUP(A966,#REF!,26,0),0)+IFERROR(VLOOKUP(A966,#REF!,11,0),0)+IFERROR(VLOOKUP(A966,#REF!,23,0),0)+IFERROR(VLOOKUP(A966,#REF!,11,0),0)+IFERROR(VLOOKUP(A966,#REF!,11,0),0)+IFERROR(VLOOKUP(A966,#REF!,11,0),0)</f>
        <v>0</v>
      </c>
      <c r="K966" s="96" t="str">
        <f>"07.02.24"</f>
        <v>07.02.24</v>
      </c>
    </row>
    <row r="967" spans="1:11" ht="11.25" customHeight="1" outlineLevel="1">
      <c r="A967" s="89" t="n">
        <v>8084610</v>
      </c>
      <c r="B967" s="114" t="s">
        <v>1201</v>
      </c>
      <c r="C967" s="89" t="s">
        <v>1447</v>
      </c>
      <c r="D967" s="89" t="s">
        <v>15</v>
      </c>
      <c r="E967" s="89" t="s">
        <v>1448</v>
      </c>
      <c r="F967" s="102" t="n">
        <v>1305</v>
      </c>
      <c r="G967" s="102" t="n">
        <v>1733</v>
      </c>
      <c r="H967" s="103" t="s">
        <v>17</v>
      </c>
      <c r="I967" s="103">
        <f>IFERROR(VLOOKUP(A967,#REF!,15,0),0)+IFERROR(VLOOKUP(A967,#REF!,25,0),0)+IFERROR(VLOOKUP(A967,#REF!,10,0),0)+IFERROR(VLOOKUP(A967,#REF!,14,0),0)+IFERROR(VLOOKUP(A967,#REF!,11,0),0)+IFERROR(VLOOKUP(A967,#REF!,10,0),0)+IFERROR(VLOOKUP(A967,#REF!,10,0),0)+IFERROR(VLOOKUP(A967,#REF!,9,0),0)+IFERROR(VLOOKUP(A967,#REF!,9,0),0)+IFERROR(VLOOKUP(A967,#REF!,9,0),0)+IFERROR(VLOOKUP(A967,#REF!,9,0),0)</f>
        <v>0</v>
      </c>
      <c r="J967" s="104">
        <f>IFERROR(VLOOKUP(A967,#REF!,16,0),0)+IFERROR(VLOOKUP(A967,#REF!,26,0),0)+IFERROR(VLOOKUP(A967,#REF!,11,0),0)+IFERROR(VLOOKUP(A967,#REF!,23,0),0)+IFERROR(VLOOKUP(A967,#REF!,11,0),0)+IFERROR(VLOOKUP(A967,#REF!,11,0),0)+IFERROR(VLOOKUP(A967,#REF!,11,0),0)</f>
        <v>0</v>
      </c>
      <c r="K967" s="96" t="str">
        <f>"07.02.24"</f>
        <v>07.02.24</v>
      </c>
    </row>
    <row r="968" spans="1:11" ht="11.25" customHeight="1" outlineLevel="1">
      <c r="A968" s="89" t="n">
        <v>8084620</v>
      </c>
      <c r="B968" s="114" t="s">
        <v>1201</v>
      </c>
      <c r="C968" s="89" t="s">
        <v>1449</v>
      </c>
      <c r="D968" s="89" t="s">
        <v>15</v>
      </c>
      <c r="E968" s="89" t="s">
        <v>1450</v>
      </c>
      <c r="F968" s="102" t="n">
        <v>1162</v>
      </c>
      <c r="G968" s="102" t="n">
        <v>1544</v>
      </c>
      <c r="H968" s="103" t="s">
        <v>17</v>
      </c>
      <c r="I968" s="103">
        <f>IFERROR(VLOOKUP(A968,#REF!,15,0),0)+IFERROR(VLOOKUP(A968,#REF!,25,0),0)+IFERROR(VLOOKUP(A968,#REF!,10,0),0)+IFERROR(VLOOKUP(A968,#REF!,14,0),0)+IFERROR(VLOOKUP(A968,#REF!,11,0),0)+IFERROR(VLOOKUP(A968,#REF!,10,0),0)+IFERROR(VLOOKUP(A968,#REF!,10,0),0)+IFERROR(VLOOKUP(A968,#REF!,9,0),0)+IFERROR(VLOOKUP(A968,#REF!,9,0),0)+IFERROR(VLOOKUP(A968,#REF!,9,0),0)+IFERROR(VLOOKUP(A968,#REF!,9,0),0)</f>
        <v>0</v>
      </c>
      <c r="J968" s="104">
        <f>IFERROR(VLOOKUP(A968,#REF!,16,0),0)+IFERROR(VLOOKUP(A968,#REF!,26,0),0)+IFERROR(VLOOKUP(A968,#REF!,11,0),0)+IFERROR(VLOOKUP(A968,#REF!,23,0),0)+IFERROR(VLOOKUP(A968,#REF!,11,0),0)+IFERROR(VLOOKUP(A968,#REF!,11,0),0)+IFERROR(VLOOKUP(A968,#REF!,11,0),0)</f>
        <v>0</v>
      </c>
      <c r="K968" s="96" t="str">
        <f>"07.02.24"</f>
        <v>07.02.24</v>
      </c>
    </row>
    <row r="969" spans="1:11" ht="11.25" customHeight="1" outlineLevel="1">
      <c r="A969" s="89" t="n">
        <v>8084630</v>
      </c>
      <c r="B969" s="114" t="s">
        <v>1201</v>
      </c>
      <c r="C969" s="89" t="s">
        <v>1451</v>
      </c>
      <c r="D969" s="89" t="s">
        <v>15</v>
      </c>
      <c r="E969" s="89" t="s">
        <v>1452</v>
      </c>
      <c r="F969" s="102" t="n">
        <v>880</v>
      </c>
      <c r="G969" s="102" t="n">
        <v>1165</v>
      </c>
      <c r="H969" s="103" t="s">
        <v>17</v>
      </c>
      <c r="I969" s="103">
        <f>IFERROR(VLOOKUP(A969,#REF!,15,0),0)+IFERROR(VLOOKUP(A969,#REF!,25,0),0)+IFERROR(VLOOKUP(A969,#REF!,10,0),0)+IFERROR(VLOOKUP(A969,#REF!,14,0),0)+IFERROR(VLOOKUP(A969,#REF!,11,0),0)+IFERROR(VLOOKUP(A969,#REF!,10,0),0)+IFERROR(VLOOKUP(A969,#REF!,10,0),0)+IFERROR(VLOOKUP(A969,#REF!,9,0),0)+IFERROR(VLOOKUP(A969,#REF!,9,0),0)+IFERROR(VLOOKUP(A969,#REF!,9,0),0)+IFERROR(VLOOKUP(A969,#REF!,9,0),0)</f>
        <v>0</v>
      </c>
      <c r="J969" s="104">
        <f>IFERROR(VLOOKUP(A969,#REF!,16,0),0)+IFERROR(VLOOKUP(A969,#REF!,26,0),0)+IFERROR(VLOOKUP(A969,#REF!,11,0),0)+IFERROR(VLOOKUP(A969,#REF!,23,0),0)+IFERROR(VLOOKUP(A969,#REF!,11,0),0)+IFERROR(VLOOKUP(A969,#REF!,11,0),0)+IFERROR(VLOOKUP(A969,#REF!,11,0),0)</f>
        <v>0</v>
      </c>
      <c r="K969" s="96" t="str">
        <f>"07.02.24"</f>
        <v>07.02.24</v>
      </c>
    </row>
    <row r="970" spans="1:11" ht="11.25" customHeight="1" outlineLevel="1">
      <c r="A970" s="89" t="n">
        <v>8084640</v>
      </c>
      <c r="B970" s="114" t="s">
        <v>1201</v>
      </c>
      <c r="C970" s="89" t="s">
        <v>1453</v>
      </c>
      <c r="D970" s="89" t="s">
        <v>15</v>
      </c>
      <c r="E970" s="89" t="s">
        <v>1454</v>
      </c>
      <c r="F970" s="102" t="n">
        <v>649</v>
      </c>
      <c r="G970" s="102" t="n">
        <v>860</v>
      </c>
      <c r="H970" s="103" t="s">
        <v>48</v>
      </c>
      <c r="I970" s="103">
        <f>IFERROR(VLOOKUP(A970,#REF!,15,0),0)+IFERROR(VLOOKUP(A970,#REF!,25,0),0)+IFERROR(VLOOKUP(A970,#REF!,10,0),0)+IFERROR(VLOOKUP(A970,#REF!,14,0),0)+IFERROR(VLOOKUP(A970,#REF!,11,0),0)+IFERROR(VLOOKUP(A970,#REF!,10,0),0)+IFERROR(VLOOKUP(A970,#REF!,10,0),0)+IFERROR(VLOOKUP(A970,#REF!,9,0),0)+IFERROR(VLOOKUP(A970,#REF!,9,0),0)+IFERROR(VLOOKUP(A970,#REF!,9,0),0)+IFERROR(VLOOKUP(A970,#REF!,9,0),0)</f>
        <v>0</v>
      </c>
      <c r="J970" s="104">
        <f>IFERROR(VLOOKUP(A970,#REF!,16,0),0)+IFERROR(VLOOKUP(A970,#REF!,26,0),0)+IFERROR(VLOOKUP(A970,#REF!,11,0),0)+IFERROR(VLOOKUP(A970,#REF!,23,0),0)+IFERROR(VLOOKUP(A970,#REF!,11,0),0)+IFERROR(VLOOKUP(A970,#REF!,11,0),0)+IFERROR(VLOOKUP(A970,#REF!,11,0),0)</f>
        <v>0</v>
      </c>
      <c r="K970" s="96" t="str">
        <f>"07.02.24"</f>
        <v>07.02.24</v>
      </c>
    </row>
    <row r="971" spans="1:11" ht="11.25" customHeight="1" outlineLevel="1">
      <c r="A971" s="89" t="n">
        <v>8084650</v>
      </c>
      <c r="B971" s="114" t="s">
        <v>1201</v>
      </c>
      <c r="C971" s="89" t="s">
        <v>1455</v>
      </c>
      <c r="D971" s="89" t="s">
        <v>15</v>
      </c>
      <c r="E971" s="89" t="s">
        <v>1456</v>
      </c>
      <c r="F971" s="102" t="n">
        <v>461</v>
      </c>
      <c r="G971" s="102" t="n">
        <v>609</v>
      </c>
      <c r="H971" s="103" t="s">
        <v>48</v>
      </c>
      <c r="I971" s="103">
        <f>IFERROR(VLOOKUP(A971,#REF!,15,0),0)+IFERROR(VLOOKUP(A971,#REF!,25,0),0)+IFERROR(VLOOKUP(A971,#REF!,10,0),0)+IFERROR(VLOOKUP(A971,#REF!,14,0),0)+IFERROR(VLOOKUP(A971,#REF!,11,0),0)+IFERROR(VLOOKUP(A971,#REF!,10,0),0)+IFERROR(VLOOKUP(A971,#REF!,10,0),0)+IFERROR(VLOOKUP(A971,#REF!,9,0),0)+IFERROR(VLOOKUP(A971,#REF!,9,0),0)+IFERROR(VLOOKUP(A971,#REF!,9,0),0)+IFERROR(VLOOKUP(A971,#REF!,9,0),0)</f>
        <v>0</v>
      </c>
      <c r="J971" s="104">
        <f>IFERROR(VLOOKUP(A971,#REF!,16,0),0)+IFERROR(VLOOKUP(A971,#REF!,26,0),0)+IFERROR(VLOOKUP(A971,#REF!,11,0),0)+IFERROR(VLOOKUP(A971,#REF!,23,0),0)+IFERROR(VLOOKUP(A971,#REF!,11,0),0)+IFERROR(VLOOKUP(A971,#REF!,11,0),0)+IFERROR(VLOOKUP(A971,#REF!,11,0),0)</f>
        <v>0</v>
      </c>
      <c r="K971" s="96" t="str">
        <f>"07.02.24"</f>
        <v>07.02.24</v>
      </c>
    </row>
    <row r="972" spans="1:11" ht="11.25" customHeight="1" outlineLevel="1">
      <c r="A972" s="89" t="n">
        <v>8084660</v>
      </c>
      <c r="B972" s="114" t="s">
        <v>1201</v>
      </c>
      <c r="C972" s="89" t="s">
        <v>1457</v>
      </c>
      <c r="D972" s="89" t="s">
        <v>15</v>
      </c>
      <c r="E972" s="89" t="s">
        <v>1458</v>
      </c>
      <c r="F972" s="102" t="n">
        <v>388</v>
      </c>
      <c r="G972" s="102" t="n">
        <v>516</v>
      </c>
      <c r="H972" s="103" t="s">
        <v>48</v>
      </c>
      <c r="I972" s="103">
        <f>IFERROR(VLOOKUP(A972,#REF!,15,0),0)+IFERROR(VLOOKUP(A972,#REF!,25,0),0)+IFERROR(VLOOKUP(A972,#REF!,10,0),0)+IFERROR(VLOOKUP(A972,#REF!,14,0),0)+IFERROR(VLOOKUP(A972,#REF!,11,0),0)+IFERROR(VLOOKUP(A972,#REF!,10,0),0)+IFERROR(VLOOKUP(A972,#REF!,10,0),0)+IFERROR(VLOOKUP(A972,#REF!,9,0),0)+IFERROR(VLOOKUP(A972,#REF!,9,0),0)+IFERROR(VLOOKUP(A972,#REF!,9,0),0)+IFERROR(VLOOKUP(A972,#REF!,9,0),0)</f>
        <v>0</v>
      </c>
      <c r="J972" s="104">
        <f>IFERROR(VLOOKUP(A972,#REF!,16,0),0)+IFERROR(VLOOKUP(A972,#REF!,26,0),0)+IFERROR(VLOOKUP(A972,#REF!,11,0),0)+IFERROR(VLOOKUP(A972,#REF!,23,0),0)+IFERROR(VLOOKUP(A972,#REF!,11,0),0)+IFERROR(VLOOKUP(A972,#REF!,11,0),0)+IFERROR(VLOOKUP(A972,#REF!,11,0),0)</f>
        <v>0</v>
      </c>
      <c r="K972" s="96" t="str">
        <f>"07.02.24"</f>
        <v>07.02.24</v>
      </c>
    </row>
    <row r="973" spans="1:11" ht="11.25" customHeight="1" outlineLevel="1">
      <c r="A973" s="89" t="n">
        <v>8084670</v>
      </c>
      <c r="B973" s="114" t="s">
        <v>1201</v>
      </c>
      <c r="C973" s="89" t="s">
        <v>1459</v>
      </c>
      <c r="D973" s="89" t="s">
        <v>15</v>
      </c>
      <c r="E973" s="89" t="s">
        <v>1460</v>
      </c>
      <c r="F973" s="102" t="n">
        <v>342</v>
      </c>
      <c r="G973" s="102" t="n">
        <v>455</v>
      </c>
      <c r="H973" s="103" t="s">
        <v>48</v>
      </c>
      <c r="I973" s="103">
        <f>IFERROR(VLOOKUP(A973,#REF!,15,0),0)+IFERROR(VLOOKUP(A973,#REF!,25,0),0)+IFERROR(VLOOKUP(A973,#REF!,10,0),0)+IFERROR(VLOOKUP(A973,#REF!,14,0),0)+IFERROR(VLOOKUP(A973,#REF!,11,0),0)+IFERROR(VLOOKUP(A973,#REF!,10,0),0)+IFERROR(VLOOKUP(A973,#REF!,10,0),0)+IFERROR(VLOOKUP(A973,#REF!,9,0),0)+IFERROR(VLOOKUP(A973,#REF!,9,0),0)+IFERROR(VLOOKUP(A973,#REF!,9,0),0)+IFERROR(VLOOKUP(A973,#REF!,9,0),0)</f>
        <v>0</v>
      </c>
      <c r="J973" s="104">
        <f>IFERROR(VLOOKUP(A973,#REF!,16,0),0)+IFERROR(VLOOKUP(A973,#REF!,26,0),0)+IFERROR(VLOOKUP(A973,#REF!,11,0),0)+IFERROR(VLOOKUP(A973,#REF!,23,0),0)+IFERROR(VLOOKUP(A973,#REF!,11,0),0)+IFERROR(VLOOKUP(A973,#REF!,11,0),0)+IFERROR(VLOOKUP(A973,#REF!,11,0),0)</f>
        <v>0</v>
      </c>
      <c r="K973" s="96" t="str">
        <f>"07.02.24"</f>
        <v>07.02.24</v>
      </c>
    </row>
    <row r="974" spans="1:11" ht="11.25" customHeight="1" outlineLevel="1">
      <c r="A974" s="89" t="n">
        <v>8084680</v>
      </c>
      <c r="B974" s="114" t="s">
        <v>1201</v>
      </c>
      <c r="C974" s="89" t="s">
        <v>1461</v>
      </c>
      <c r="D974" s="89" t="s">
        <v>15</v>
      </c>
      <c r="E974" s="89" t="s">
        <v>1462</v>
      </c>
      <c r="F974" s="102" t="n">
        <v>1136</v>
      </c>
      <c r="G974" s="102" t="n">
        <v>1506</v>
      </c>
      <c r="H974" s="103" t="s">
        <v>17</v>
      </c>
      <c r="I974" s="103">
        <f>IFERROR(VLOOKUP(A974,#REF!,15,0),0)+IFERROR(VLOOKUP(A974,#REF!,25,0),0)+IFERROR(VLOOKUP(A974,#REF!,10,0),0)+IFERROR(VLOOKUP(A974,#REF!,14,0),0)+IFERROR(VLOOKUP(A974,#REF!,11,0),0)+IFERROR(VLOOKUP(A974,#REF!,10,0),0)+IFERROR(VLOOKUP(A974,#REF!,10,0),0)+IFERROR(VLOOKUP(A974,#REF!,9,0),0)+IFERROR(VLOOKUP(A974,#REF!,9,0),0)+IFERROR(VLOOKUP(A974,#REF!,9,0),0)+IFERROR(VLOOKUP(A974,#REF!,9,0),0)</f>
        <v>0</v>
      </c>
      <c r="J974" s="104">
        <f>IFERROR(VLOOKUP(A974,#REF!,16,0),0)+IFERROR(VLOOKUP(A974,#REF!,26,0),0)+IFERROR(VLOOKUP(A974,#REF!,11,0),0)+IFERROR(VLOOKUP(A974,#REF!,23,0),0)+IFERROR(VLOOKUP(A974,#REF!,11,0),0)+IFERROR(VLOOKUP(A974,#REF!,11,0),0)+IFERROR(VLOOKUP(A974,#REF!,11,0),0)</f>
        <v>0</v>
      </c>
      <c r="K974" s="96" t="str">
        <f>"07.02.24"</f>
        <v>07.02.24</v>
      </c>
    </row>
    <row r="975" spans="1:11" ht="11.25" customHeight="1" outlineLevel="1">
      <c r="A975" s="89" t="n">
        <v>8084690</v>
      </c>
      <c r="B975" s="114" t="s">
        <v>1201</v>
      </c>
      <c r="C975" s="89" t="s">
        <v>1463</v>
      </c>
      <c r="D975" s="89" t="s">
        <v>15</v>
      </c>
      <c r="E975" s="89" t="s">
        <v>1464</v>
      </c>
      <c r="F975" s="102" t="n">
        <v>667</v>
      </c>
      <c r="G975" s="102" t="n">
        <v>887</v>
      </c>
      <c r="H975" s="103" t="s">
        <v>17</v>
      </c>
      <c r="I975" s="103">
        <f>IFERROR(VLOOKUP(A975,#REF!,15,0),0)+IFERROR(VLOOKUP(A975,#REF!,25,0),0)+IFERROR(VLOOKUP(A975,#REF!,10,0),0)+IFERROR(VLOOKUP(A975,#REF!,14,0),0)+IFERROR(VLOOKUP(A975,#REF!,11,0),0)+IFERROR(VLOOKUP(A975,#REF!,10,0),0)+IFERROR(VLOOKUP(A975,#REF!,10,0),0)+IFERROR(VLOOKUP(A975,#REF!,9,0),0)+IFERROR(VLOOKUP(A975,#REF!,9,0),0)+IFERROR(VLOOKUP(A975,#REF!,9,0),0)+IFERROR(VLOOKUP(A975,#REF!,9,0),0)</f>
        <v>0</v>
      </c>
      <c r="J975" s="104">
        <f>IFERROR(VLOOKUP(A975,#REF!,16,0),0)+IFERROR(VLOOKUP(A975,#REF!,26,0),0)+IFERROR(VLOOKUP(A975,#REF!,11,0),0)+IFERROR(VLOOKUP(A975,#REF!,23,0),0)+IFERROR(VLOOKUP(A975,#REF!,11,0),0)+IFERROR(VLOOKUP(A975,#REF!,11,0),0)+IFERROR(VLOOKUP(A975,#REF!,11,0),0)</f>
        <v>0</v>
      </c>
      <c r="K975" s="96" t="str">
        <f>"07.02.24"</f>
        <v>07.02.24</v>
      </c>
    </row>
    <row r="976" spans="1:11" ht="11.25" customHeight="1" outlineLevel="1">
      <c r="A976" s="89" t="n">
        <v>8084700</v>
      </c>
      <c r="B976" s="114" t="s">
        <v>1201</v>
      </c>
      <c r="C976" s="89" t="s">
        <v>1465</v>
      </c>
      <c r="D976" s="89" t="s">
        <v>15</v>
      </c>
      <c r="E976" s="89" t="s">
        <v>1466</v>
      </c>
      <c r="F976" s="102" t="n">
        <v>528</v>
      </c>
      <c r="G976" s="102" t="n">
        <v>700</v>
      </c>
      <c r="H976" s="103" t="s">
        <v>48</v>
      </c>
      <c r="I976" s="103">
        <f>IFERROR(VLOOKUP(A976,#REF!,15,0),0)+IFERROR(VLOOKUP(A976,#REF!,25,0),0)+IFERROR(VLOOKUP(A976,#REF!,10,0),0)+IFERROR(VLOOKUP(A976,#REF!,14,0),0)+IFERROR(VLOOKUP(A976,#REF!,11,0),0)+IFERROR(VLOOKUP(A976,#REF!,10,0),0)+IFERROR(VLOOKUP(A976,#REF!,10,0),0)+IFERROR(VLOOKUP(A976,#REF!,9,0),0)+IFERROR(VLOOKUP(A976,#REF!,9,0),0)+IFERROR(VLOOKUP(A976,#REF!,9,0),0)+IFERROR(VLOOKUP(A976,#REF!,9,0),0)</f>
        <v>0</v>
      </c>
      <c r="J976" s="104">
        <f>IFERROR(VLOOKUP(A976,#REF!,16,0),0)+IFERROR(VLOOKUP(A976,#REF!,26,0),0)+IFERROR(VLOOKUP(A976,#REF!,11,0),0)+IFERROR(VLOOKUP(A976,#REF!,23,0),0)+IFERROR(VLOOKUP(A976,#REF!,11,0),0)+IFERROR(VLOOKUP(A976,#REF!,11,0),0)+IFERROR(VLOOKUP(A976,#REF!,11,0),0)</f>
        <v>0</v>
      </c>
      <c r="K976" s="96" t="str">
        <f>"07.02.24"</f>
        <v>07.02.24</v>
      </c>
    </row>
    <row r="977" spans="1:11" ht="11.25" customHeight="1" outlineLevel="1">
      <c r="A977" s="89" t="n">
        <v>8084710</v>
      </c>
      <c r="B977" s="114" t="s">
        <v>1201</v>
      </c>
      <c r="C977" s="89" t="s">
        <v>1467</v>
      </c>
      <c r="D977" s="89" t="s">
        <v>15</v>
      </c>
      <c r="E977" s="89" t="s">
        <v>1468</v>
      </c>
      <c r="F977" s="102" t="n">
        <v>399</v>
      </c>
      <c r="G977" s="102" t="n">
        <v>528</v>
      </c>
      <c r="H977" s="103" t="s">
        <v>48</v>
      </c>
      <c r="I977" s="103">
        <f>IFERROR(VLOOKUP(A977,#REF!,15,0),0)+IFERROR(VLOOKUP(A977,#REF!,25,0),0)+IFERROR(VLOOKUP(A977,#REF!,10,0),0)+IFERROR(VLOOKUP(A977,#REF!,14,0),0)+IFERROR(VLOOKUP(A977,#REF!,11,0),0)+IFERROR(VLOOKUP(A977,#REF!,10,0),0)+IFERROR(VLOOKUP(A977,#REF!,10,0),0)+IFERROR(VLOOKUP(A977,#REF!,9,0),0)+IFERROR(VLOOKUP(A977,#REF!,9,0),0)+IFERROR(VLOOKUP(A977,#REF!,9,0),0)+IFERROR(VLOOKUP(A977,#REF!,9,0),0)</f>
        <v>0</v>
      </c>
      <c r="J977" s="104">
        <f>IFERROR(VLOOKUP(A977,#REF!,16,0),0)+IFERROR(VLOOKUP(A977,#REF!,26,0),0)+IFERROR(VLOOKUP(A977,#REF!,11,0),0)+IFERROR(VLOOKUP(A977,#REF!,23,0),0)+IFERROR(VLOOKUP(A977,#REF!,11,0),0)+IFERROR(VLOOKUP(A977,#REF!,11,0),0)+IFERROR(VLOOKUP(A977,#REF!,11,0),0)</f>
        <v>0</v>
      </c>
      <c r="K977" s="96" t="str">
        <f>"07.02.24"</f>
        <v>07.02.24</v>
      </c>
    </row>
    <row r="978" spans="1:11" ht="11.25" customHeight="1" outlineLevel="1">
      <c r="A978" s="89" t="n">
        <v>8084730</v>
      </c>
      <c r="B978" s="114" t="s">
        <v>1201</v>
      </c>
      <c r="C978" s="89" t="s">
        <v>1469</v>
      </c>
      <c r="D978" s="89" t="s">
        <v>15</v>
      </c>
      <c r="E978" s="89" t="s">
        <v>1470</v>
      </c>
      <c r="F978" s="102" t="n">
        <v>278</v>
      </c>
      <c r="G978" s="102" t="n">
        <v>369</v>
      </c>
      <c r="H978" s="103" t="s">
        <v>17</v>
      </c>
      <c r="I978" s="103">
        <f>IFERROR(VLOOKUP(A978,#REF!,15,0),0)+IFERROR(VLOOKUP(A978,#REF!,25,0),0)+IFERROR(VLOOKUP(A978,#REF!,10,0),0)+IFERROR(VLOOKUP(A978,#REF!,14,0),0)+IFERROR(VLOOKUP(A978,#REF!,11,0),0)+IFERROR(VLOOKUP(A978,#REF!,10,0),0)+IFERROR(VLOOKUP(A978,#REF!,10,0),0)+IFERROR(VLOOKUP(A978,#REF!,9,0),0)+IFERROR(VLOOKUP(A978,#REF!,9,0),0)+IFERROR(VLOOKUP(A978,#REF!,9,0),0)+IFERROR(VLOOKUP(A978,#REF!,9,0),0)</f>
        <v>0</v>
      </c>
      <c r="J978" s="104">
        <f>IFERROR(VLOOKUP(A978,#REF!,16,0),0)+IFERROR(VLOOKUP(A978,#REF!,26,0),0)+IFERROR(VLOOKUP(A978,#REF!,11,0),0)+IFERROR(VLOOKUP(A978,#REF!,23,0),0)+IFERROR(VLOOKUP(A978,#REF!,11,0),0)+IFERROR(VLOOKUP(A978,#REF!,11,0),0)+IFERROR(VLOOKUP(A978,#REF!,11,0),0)</f>
        <v>0</v>
      </c>
      <c r="K978" s="96" t="str">
        <f>"07.02.24"</f>
        <v>07.02.24</v>
      </c>
    </row>
    <row r="979" spans="1:11" ht="11.25" customHeight="1" outlineLevel="1">
      <c r="A979" s="89" t="n">
        <v>8084740</v>
      </c>
      <c r="B979" s="114" t="s">
        <v>1201</v>
      </c>
      <c r="C979" s="89" t="s">
        <v>1471</v>
      </c>
      <c r="D979" s="89" t="s">
        <v>15</v>
      </c>
      <c r="E979" s="89" t="s">
        <v>1472</v>
      </c>
      <c r="F979" s="102" t="n">
        <v>1033</v>
      </c>
      <c r="G979" s="102" t="n">
        <v>1371</v>
      </c>
      <c r="H979" s="103" t="s">
        <v>48</v>
      </c>
      <c r="I979" s="103">
        <f>IFERROR(VLOOKUP(A979,#REF!,15,0),0)+IFERROR(VLOOKUP(A979,#REF!,25,0),0)+IFERROR(VLOOKUP(A979,#REF!,10,0),0)+IFERROR(VLOOKUP(A979,#REF!,14,0),0)+IFERROR(VLOOKUP(A979,#REF!,11,0),0)+IFERROR(VLOOKUP(A979,#REF!,10,0),0)+IFERROR(VLOOKUP(A979,#REF!,10,0),0)+IFERROR(VLOOKUP(A979,#REF!,9,0),0)+IFERROR(VLOOKUP(A979,#REF!,9,0),0)+IFERROR(VLOOKUP(A979,#REF!,9,0),0)+IFERROR(VLOOKUP(A979,#REF!,9,0),0)</f>
        <v>0</v>
      </c>
      <c r="J979" s="104">
        <f>IFERROR(VLOOKUP(A979,#REF!,16,0),0)+IFERROR(VLOOKUP(A979,#REF!,26,0),0)+IFERROR(VLOOKUP(A979,#REF!,11,0),0)+IFERROR(VLOOKUP(A979,#REF!,23,0),0)+IFERROR(VLOOKUP(A979,#REF!,11,0),0)+IFERROR(VLOOKUP(A979,#REF!,11,0),0)+IFERROR(VLOOKUP(A979,#REF!,11,0),0)</f>
        <v>0</v>
      </c>
      <c r="K979" s="96" t="str">
        <f>"07.02.24"</f>
        <v>07.02.24</v>
      </c>
    </row>
    <row r="980" spans="1:11" ht="11.25" customHeight="1" outlineLevel="1">
      <c r="A980" s="89" t="n">
        <v>8084750</v>
      </c>
      <c r="B980" s="114" t="s">
        <v>1201</v>
      </c>
      <c r="C980" s="89" t="s">
        <v>1473</v>
      </c>
      <c r="D980" s="89" t="s">
        <v>15</v>
      </c>
      <c r="E980" s="89" t="s">
        <v>1474</v>
      </c>
      <c r="F980" s="102" t="n">
        <v>800</v>
      </c>
      <c r="G980" s="102" t="n">
        <v>1062</v>
      </c>
      <c r="H980" s="103" t="s">
        <v>48</v>
      </c>
      <c r="I980" s="103">
        <f>IFERROR(VLOOKUP(A980,#REF!,15,0),0)+IFERROR(VLOOKUP(A980,#REF!,25,0),0)+IFERROR(VLOOKUP(A980,#REF!,10,0),0)+IFERROR(VLOOKUP(A980,#REF!,14,0),0)+IFERROR(VLOOKUP(A980,#REF!,11,0),0)+IFERROR(VLOOKUP(A980,#REF!,10,0),0)+IFERROR(VLOOKUP(A980,#REF!,10,0),0)+IFERROR(VLOOKUP(A980,#REF!,9,0),0)+IFERROR(VLOOKUP(A980,#REF!,9,0),0)+IFERROR(VLOOKUP(A980,#REF!,9,0),0)+IFERROR(VLOOKUP(A980,#REF!,9,0),0)</f>
        <v>0</v>
      </c>
      <c r="J980" s="104">
        <f>IFERROR(VLOOKUP(A980,#REF!,16,0),0)+IFERROR(VLOOKUP(A980,#REF!,26,0),0)+IFERROR(VLOOKUP(A980,#REF!,11,0),0)+IFERROR(VLOOKUP(A980,#REF!,23,0),0)+IFERROR(VLOOKUP(A980,#REF!,11,0),0)+IFERROR(VLOOKUP(A980,#REF!,11,0),0)+IFERROR(VLOOKUP(A980,#REF!,11,0),0)</f>
        <v>0</v>
      </c>
      <c r="K980" s="96" t="str">
        <f>"07.02.24"</f>
        <v>07.02.24</v>
      </c>
    </row>
    <row r="981" spans="1:11" ht="11.25" customHeight="1" outlineLevel="1">
      <c r="A981" s="89" t="n">
        <v>8084760</v>
      </c>
      <c r="B981" s="114" t="s">
        <v>1201</v>
      </c>
      <c r="C981" s="89" t="s">
        <v>1475</v>
      </c>
      <c r="D981" s="89" t="s">
        <v>15</v>
      </c>
      <c r="E981" s="89" t="s">
        <v>1476</v>
      </c>
      <c r="F981" s="102" t="n">
        <v>618</v>
      </c>
      <c r="G981" s="102" t="n">
        <v>819</v>
      </c>
      <c r="H981" s="103" t="s">
        <v>48</v>
      </c>
      <c r="I981" s="103">
        <f>IFERROR(VLOOKUP(A981,#REF!,15,0),0)+IFERROR(VLOOKUP(A981,#REF!,25,0),0)+IFERROR(VLOOKUP(A981,#REF!,10,0),0)+IFERROR(VLOOKUP(A981,#REF!,14,0),0)+IFERROR(VLOOKUP(A981,#REF!,11,0),0)+IFERROR(VLOOKUP(A981,#REF!,10,0),0)+IFERROR(VLOOKUP(A981,#REF!,10,0),0)+IFERROR(VLOOKUP(A981,#REF!,9,0),0)+IFERROR(VLOOKUP(A981,#REF!,9,0),0)+IFERROR(VLOOKUP(A981,#REF!,9,0),0)+IFERROR(VLOOKUP(A981,#REF!,9,0),0)</f>
        <v>0</v>
      </c>
      <c r="J981" s="104">
        <f>IFERROR(VLOOKUP(A981,#REF!,16,0),0)+IFERROR(VLOOKUP(A981,#REF!,26,0),0)+IFERROR(VLOOKUP(A981,#REF!,11,0),0)+IFERROR(VLOOKUP(A981,#REF!,23,0),0)+IFERROR(VLOOKUP(A981,#REF!,11,0),0)+IFERROR(VLOOKUP(A981,#REF!,11,0),0)+IFERROR(VLOOKUP(A981,#REF!,11,0),0)</f>
        <v>0</v>
      </c>
      <c r="K981" s="96" t="str">
        <f>"07.02.24"</f>
        <v>07.02.24</v>
      </c>
    </row>
    <row r="982" spans="1:11" ht="11.25" customHeight="1" outlineLevel="1">
      <c r="A982" s="89" t="n">
        <v>8084770</v>
      </c>
      <c r="B982" s="114" t="s">
        <v>1201</v>
      </c>
      <c r="C982" s="89" t="s">
        <v>1477</v>
      </c>
      <c r="D982" s="89" t="s">
        <v>15</v>
      </c>
      <c r="E982" s="89" t="s">
        <v>1478</v>
      </c>
      <c r="F982" s="102" t="n">
        <v>220</v>
      </c>
      <c r="G982" s="102" t="n">
        <v>288</v>
      </c>
      <c r="H982" s="103" t="s">
        <v>48</v>
      </c>
      <c r="I982" s="103">
        <f>IFERROR(VLOOKUP(A982,#REF!,15,0),0)+IFERROR(VLOOKUP(A982,#REF!,25,0),0)+IFERROR(VLOOKUP(A982,#REF!,10,0),0)+IFERROR(VLOOKUP(A982,#REF!,14,0),0)+IFERROR(VLOOKUP(A982,#REF!,11,0),0)+IFERROR(VLOOKUP(A982,#REF!,10,0),0)+IFERROR(VLOOKUP(A982,#REF!,10,0),0)+IFERROR(VLOOKUP(A982,#REF!,9,0),0)+IFERROR(VLOOKUP(A982,#REF!,9,0),0)+IFERROR(VLOOKUP(A982,#REF!,9,0),0)+IFERROR(VLOOKUP(A982,#REF!,9,0),0)</f>
        <v>0</v>
      </c>
      <c r="J982" s="104">
        <f>IFERROR(VLOOKUP(A982,#REF!,16,0),0)+IFERROR(VLOOKUP(A982,#REF!,26,0),0)+IFERROR(VLOOKUP(A982,#REF!,11,0),0)+IFERROR(VLOOKUP(A982,#REF!,23,0),0)+IFERROR(VLOOKUP(A982,#REF!,11,0),0)+IFERROR(VLOOKUP(A982,#REF!,11,0),0)+IFERROR(VLOOKUP(A982,#REF!,11,0),0)</f>
        <v>0</v>
      </c>
      <c r="K982" s="96" t="str">
        <f>"07.02.24"</f>
        <v>07.02.24</v>
      </c>
    </row>
    <row r="983" spans="1:11" ht="11.25" customHeight="1" outlineLevel="1">
      <c r="A983" s="89" t="n">
        <v>8084780</v>
      </c>
      <c r="B983" s="114" t="s">
        <v>1201</v>
      </c>
      <c r="C983" s="89" t="s">
        <v>1479</v>
      </c>
      <c r="D983" s="89" t="s">
        <v>15</v>
      </c>
      <c r="E983" s="89" t="s">
        <v>1480</v>
      </c>
      <c r="F983" s="102" t="n">
        <v>793</v>
      </c>
      <c r="G983" s="102" t="n">
        <v>1054</v>
      </c>
      <c r="H983" s="103" t="s">
        <v>48</v>
      </c>
      <c r="I983" s="103">
        <f>IFERROR(VLOOKUP(A983,#REF!,15,0),0)+IFERROR(VLOOKUP(A983,#REF!,25,0),0)+IFERROR(VLOOKUP(A983,#REF!,10,0),0)+IFERROR(VLOOKUP(A983,#REF!,14,0),0)+IFERROR(VLOOKUP(A983,#REF!,11,0),0)+IFERROR(VLOOKUP(A983,#REF!,10,0),0)+IFERROR(VLOOKUP(A983,#REF!,10,0),0)+IFERROR(VLOOKUP(A983,#REF!,9,0),0)+IFERROR(VLOOKUP(A983,#REF!,9,0),0)+IFERROR(VLOOKUP(A983,#REF!,9,0),0)+IFERROR(VLOOKUP(A983,#REF!,9,0),0)</f>
        <v>0</v>
      </c>
      <c r="J983" s="104">
        <f>IFERROR(VLOOKUP(A983,#REF!,16,0),0)+IFERROR(VLOOKUP(A983,#REF!,26,0),0)+IFERROR(VLOOKUP(A983,#REF!,11,0),0)+IFERROR(VLOOKUP(A983,#REF!,23,0),0)+IFERROR(VLOOKUP(A983,#REF!,11,0),0)+IFERROR(VLOOKUP(A983,#REF!,11,0),0)+IFERROR(VLOOKUP(A983,#REF!,11,0),0)</f>
        <v>0</v>
      </c>
      <c r="K983" s="96" t="str">
        <f>"07.02.24"</f>
        <v>07.02.24</v>
      </c>
    </row>
    <row r="984" spans="1:11" ht="11.25" customHeight="1" outlineLevel="1">
      <c r="A984" s="89" t="n">
        <v>8084790</v>
      </c>
      <c r="B984" s="114" t="s">
        <v>1201</v>
      </c>
      <c r="C984" s="89" t="s">
        <v>1481</v>
      </c>
      <c r="D984" s="89" t="s">
        <v>15</v>
      </c>
      <c r="E984" s="89" t="s">
        <v>1482</v>
      </c>
      <c r="F984" s="102" t="n">
        <v>503</v>
      </c>
      <c r="G984" s="102" t="n">
        <v>669</v>
      </c>
      <c r="H984" s="103" t="s">
        <v>48</v>
      </c>
      <c r="I984" s="103">
        <f>IFERROR(VLOOKUP(A984,#REF!,15,0),0)+IFERROR(VLOOKUP(A984,#REF!,25,0),0)+IFERROR(VLOOKUP(A984,#REF!,10,0),0)+IFERROR(VLOOKUP(A984,#REF!,14,0),0)+IFERROR(VLOOKUP(A984,#REF!,11,0),0)+IFERROR(VLOOKUP(A984,#REF!,10,0),0)+IFERROR(VLOOKUP(A984,#REF!,10,0),0)+IFERROR(VLOOKUP(A984,#REF!,9,0),0)+IFERROR(VLOOKUP(A984,#REF!,9,0),0)+IFERROR(VLOOKUP(A984,#REF!,9,0),0)+IFERROR(VLOOKUP(A984,#REF!,9,0),0)</f>
        <v>0</v>
      </c>
      <c r="J984" s="104">
        <f>IFERROR(VLOOKUP(A984,#REF!,16,0),0)+IFERROR(VLOOKUP(A984,#REF!,26,0),0)+IFERROR(VLOOKUP(A984,#REF!,11,0),0)+IFERROR(VLOOKUP(A984,#REF!,23,0),0)+IFERROR(VLOOKUP(A984,#REF!,11,0),0)+IFERROR(VLOOKUP(A984,#REF!,11,0),0)+IFERROR(VLOOKUP(A984,#REF!,11,0),0)</f>
        <v>0</v>
      </c>
      <c r="K984" s="96" t="str">
        <f>"07.02.24"</f>
        <v>07.02.24</v>
      </c>
    </row>
    <row r="985" spans="1:11" ht="11.25" customHeight="1" outlineLevel="1">
      <c r="A985" s="89" t="n">
        <v>8084800</v>
      </c>
      <c r="B985" s="114" t="s">
        <v>1201</v>
      </c>
      <c r="C985" s="89" t="s">
        <v>1483</v>
      </c>
      <c r="D985" s="89" t="s">
        <v>15</v>
      </c>
      <c r="E985" s="89" t="s">
        <v>1484</v>
      </c>
      <c r="F985" s="102" t="n">
        <v>842</v>
      </c>
      <c r="G985" s="102" t="n">
        <v>1071</v>
      </c>
      <c r="H985" s="103" t="s">
        <v>48</v>
      </c>
      <c r="I985" s="103">
        <f>IFERROR(VLOOKUP(A985,#REF!,15,0),0)+IFERROR(VLOOKUP(A985,#REF!,25,0),0)+IFERROR(VLOOKUP(A985,#REF!,10,0),0)+IFERROR(VLOOKUP(A985,#REF!,14,0),0)+IFERROR(VLOOKUP(A985,#REF!,11,0),0)+IFERROR(VLOOKUP(A985,#REF!,10,0),0)+IFERROR(VLOOKUP(A985,#REF!,10,0),0)+IFERROR(VLOOKUP(A985,#REF!,9,0),0)+IFERROR(VLOOKUP(A985,#REF!,9,0),0)+IFERROR(VLOOKUP(A985,#REF!,9,0),0)+IFERROR(VLOOKUP(A985,#REF!,9,0),0)</f>
        <v>0</v>
      </c>
      <c r="J985" s="104">
        <f>IFERROR(VLOOKUP(A985,#REF!,16,0),0)+IFERROR(VLOOKUP(A985,#REF!,26,0),0)+IFERROR(VLOOKUP(A985,#REF!,11,0),0)+IFERROR(VLOOKUP(A985,#REF!,23,0),0)+IFERROR(VLOOKUP(A985,#REF!,11,0),0)+IFERROR(VLOOKUP(A985,#REF!,11,0),0)+IFERROR(VLOOKUP(A985,#REF!,11,0),0)</f>
        <v>0</v>
      </c>
      <c r="K985" s="96" t="str">
        <f>"07.02.24"</f>
        <v>07.02.24</v>
      </c>
    </row>
    <row r="986" spans="1:11" ht="11.25" customHeight="1" outlineLevel="1">
      <c r="A986" s="89" t="n">
        <v>8084810</v>
      </c>
      <c r="B986" s="114" t="s">
        <v>1201</v>
      </c>
      <c r="C986" s="89" t="s">
        <v>1485</v>
      </c>
      <c r="D986" s="89" t="s">
        <v>15</v>
      </c>
      <c r="E986" s="89" t="s">
        <v>1486</v>
      </c>
      <c r="F986" s="102" t="n">
        <v>419</v>
      </c>
      <c r="G986" s="102" t="n">
        <v>528</v>
      </c>
      <c r="H986" s="103" t="s">
        <v>48</v>
      </c>
      <c r="I986" s="103">
        <f>IFERROR(VLOOKUP(A986,#REF!,15,0),0)+IFERROR(VLOOKUP(A986,#REF!,25,0),0)+IFERROR(VLOOKUP(A986,#REF!,10,0),0)+IFERROR(VLOOKUP(A986,#REF!,14,0),0)+IFERROR(VLOOKUP(A986,#REF!,11,0),0)+IFERROR(VLOOKUP(A986,#REF!,10,0),0)+IFERROR(VLOOKUP(A986,#REF!,10,0),0)+IFERROR(VLOOKUP(A986,#REF!,9,0),0)+IFERROR(VLOOKUP(A986,#REF!,9,0),0)+IFERROR(VLOOKUP(A986,#REF!,9,0),0)+IFERROR(VLOOKUP(A986,#REF!,9,0),0)</f>
        <v>0</v>
      </c>
      <c r="J986" s="104">
        <f>IFERROR(VLOOKUP(A986,#REF!,16,0),0)+IFERROR(VLOOKUP(A986,#REF!,26,0),0)+IFERROR(VLOOKUP(A986,#REF!,11,0),0)+IFERROR(VLOOKUP(A986,#REF!,23,0),0)+IFERROR(VLOOKUP(A986,#REF!,11,0),0)+IFERROR(VLOOKUP(A986,#REF!,11,0),0)+IFERROR(VLOOKUP(A986,#REF!,11,0),0)</f>
        <v>0</v>
      </c>
      <c r="K986" s="96" t="str">
        <f>"07.02.24"</f>
        <v>07.02.24</v>
      </c>
    </row>
    <row r="987" spans="1:11" ht="11.25" customHeight="1" outlineLevel="1">
      <c r="A987" s="89" t="n">
        <v>8084820</v>
      </c>
      <c r="B987" s="114" t="s">
        <v>1201</v>
      </c>
      <c r="C987" s="89" t="s">
        <v>1487</v>
      </c>
      <c r="D987" s="89" t="s">
        <v>15</v>
      </c>
      <c r="E987" s="89" t="s">
        <v>1488</v>
      </c>
      <c r="F987" s="102" t="n">
        <v>108</v>
      </c>
      <c r="G987" s="102" t="n">
        <v>141</v>
      </c>
      <c r="H987" s="103" t="s">
        <v>48</v>
      </c>
      <c r="I987" s="103">
        <f>IFERROR(VLOOKUP(A987,#REF!,15,0),0)+IFERROR(VLOOKUP(A987,#REF!,25,0),0)+IFERROR(VLOOKUP(A987,#REF!,10,0),0)+IFERROR(VLOOKUP(A987,#REF!,14,0),0)+IFERROR(VLOOKUP(A987,#REF!,11,0),0)+IFERROR(VLOOKUP(A987,#REF!,10,0),0)+IFERROR(VLOOKUP(A987,#REF!,10,0),0)+IFERROR(VLOOKUP(A987,#REF!,9,0),0)+IFERROR(VLOOKUP(A987,#REF!,9,0),0)+IFERROR(VLOOKUP(A987,#REF!,9,0),0)+IFERROR(VLOOKUP(A987,#REF!,9,0),0)</f>
        <v>0</v>
      </c>
      <c r="J987" s="104">
        <f>IFERROR(VLOOKUP(A987,#REF!,16,0),0)+IFERROR(VLOOKUP(A987,#REF!,26,0),0)+IFERROR(VLOOKUP(A987,#REF!,11,0),0)+IFERROR(VLOOKUP(A987,#REF!,23,0),0)+IFERROR(VLOOKUP(A987,#REF!,11,0),0)+IFERROR(VLOOKUP(A987,#REF!,11,0),0)+IFERROR(VLOOKUP(A987,#REF!,11,0),0)</f>
        <v>0</v>
      </c>
      <c r="K987" s="96" t="str">
        <f>"07.02.24"</f>
        <v>07.02.24</v>
      </c>
    </row>
    <row r="988" spans="1:11" ht="11.25" customHeight="1" outlineLevel="1">
      <c r="A988" s="89" t="n">
        <v>8084830</v>
      </c>
      <c r="B988" s="114" t="s">
        <v>1201</v>
      </c>
      <c r="C988" s="89" t="s">
        <v>1489</v>
      </c>
      <c r="D988" s="89" t="s">
        <v>15</v>
      </c>
      <c r="E988" s="89" t="s">
        <v>1490</v>
      </c>
      <c r="F988" s="102" t="n">
        <v>263</v>
      </c>
      <c r="G988" s="102" t="n">
        <v>334</v>
      </c>
      <c r="H988" s="103" t="s">
        <v>48</v>
      </c>
      <c r="I988" s="103">
        <f>IFERROR(VLOOKUP(A988,#REF!,15,0),0)+IFERROR(VLOOKUP(A988,#REF!,25,0),0)+IFERROR(VLOOKUP(A988,#REF!,10,0),0)+IFERROR(VLOOKUP(A988,#REF!,14,0),0)+IFERROR(VLOOKUP(A988,#REF!,11,0),0)+IFERROR(VLOOKUP(A988,#REF!,10,0),0)+IFERROR(VLOOKUP(A988,#REF!,10,0),0)+IFERROR(VLOOKUP(A988,#REF!,9,0),0)+IFERROR(VLOOKUP(A988,#REF!,9,0),0)+IFERROR(VLOOKUP(A988,#REF!,9,0),0)+IFERROR(VLOOKUP(A988,#REF!,9,0),0)</f>
        <v>0</v>
      </c>
      <c r="J988" s="104">
        <f>IFERROR(VLOOKUP(A988,#REF!,16,0),0)+IFERROR(VLOOKUP(A988,#REF!,26,0),0)+IFERROR(VLOOKUP(A988,#REF!,11,0),0)+IFERROR(VLOOKUP(A988,#REF!,23,0),0)+IFERROR(VLOOKUP(A988,#REF!,11,0),0)+IFERROR(VLOOKUP(A988,#REF!,11,0),0)+IFERROR(VLOOKUP(A988,#REF!,11,0),0)</f>
        <v>0</v>
      </c>
      <c r="K988" s="96" t="str">
        <f>"07.02.24"</f>
        <v>07.02.24</v>
      </c>
    </row>
    <row r="989" spans="1:11" ht="11.25" customHeight="1" outlineLevel="1">
      <c r="A989" s="89" t="n">
        <v>8084840</v>
      </c>
      <c r="B989" s="114" t="s">
        <v>1201</v>
      </c>
      <c r="C989" s="89" t="s">
        <v>1491</v>
      </c>
      <c r="D989" s="89" t="s">
        <v>15</v>
      </c>
      <c r="E989" s="89" t="s">
        <v>1492</v>
      </c>
      <c r="F989" s="102" t="n">
        <v>258</v>
      </c>
      <c r="G989" s="102" t="n">
        <v>341</v>
      </c>
      <c r="H989" s="103" t="s">
        <v>48</v>
      </c>
      <c r="I989" s="103">
        <f>IFERROR(VLOOKUP(A989,#REF!,15,0),0)+IFERROR(VLOOKUP(A989,#REF!,25,0),0)+IFERROR(VLOOKUP(A989,#REF!,10,0),0)+IFERROR(VLOOKUP(A989,#REF!,14,0),0)+IFERROR(VLOOKUP(A989,#REF!,11,0),0)+IFERROR(VLOOKUP(A989,#REF!,10,0),0)+IFERROR(VLOOKUP(A989,#REF!,10,0),0)+IFERROR(VLOOKUP(A989,#REF!,9,0),0)+IFERROR(VLOOKUP(A989,#REF!,9,0),0)+IFERROR(VLOOKUP(A989,#REF!,9,0),0)+IFERROR(VLOOKUP(A989,#REF!,9,0),0)</f>
        <v>0</v>
      </c>
      <c r="J989" s="104">
        <f>IFERROR(VLOOKUP(A989,#REF!,16,0),0)+IFERROR(VLOOKUP(A989,#REF!,26,0),0)+IFERROR(VLOOKUP(A989,#REF!,11,0),0)+IFERROR(VLOOKUP(A989,#REF!,23,0),0)+IFERROR(VLOOKUP(A989,#REF!,11,0),0)+IFERROR(VLOOKUP(A989,#REF!,11,0),0)+IFERROR(VLOOKUP(A989,#REF!,11,0),0)</f>
        <v>0</v>
      </c>
      <c r="K989" s="96" t="str">
        <f>"07.02.24"</f>
        <v>07.02.24</v>
      </c>
    </row>
    <row r="990" spans="1:11" ht="11.25" customHeight="1" outlineLevel="1">
      <c r="A990" s="89" t="n">
        <v>8084850</v>
      </c>
      <c r="B990" s="114" t="s">
        <v>1201</v>
      </c>
      <c r="C990" s="89" t="s">
        <v>1493</v>
      </c>
      <c r="D990" s="89" t="s">
        <v>15</v>
      </c>
      <c r="E990" s="89" t="s">
        <v>1494</v>
      </c>
      <c r="F990" s="102" t="n">
        <v>341</v>
      </c>
      <c r="G990" s="102" t="n">
        <v>451</v>
      </c>
      <c r="H990" s="103" t="s">
        <v>48</v>
      </c>
      <c r="I990" s="103">
        <f>IFERROR(VLOOKUP(A990,#REF!,15,0),0)+IFERROR(VLOOKUP(A990,#REF!,25,0),0)+IFERROR(VLOOKUP(A990,#REF!,10,0),0)+IFERROR(VLOOKUP(A990,#REF!,14,0),0)+IFERROR(VLOOKUP(A990,#REF!,11,0),0)+IFERROR(VLOOKUP(A990,#REF!,10,0),0)+IFERROR(VLOOKUP(A990,#REF!,10,0),0)+IFERROR(VLOOKUP(A990,#REF!,9,0),0)+IFERROR(VLOOKUP(A990,#REF!,9,0),0)+IFERROR(VLOOKUP(A990,#REF!,9,0),0)+IFERROR(VLOOKUP(A990,#REF!,9,0),0)</f>
        <v>0</v>
      </c>
      <c r="J990" s="104">
        <f>IFERROR(VLOOKUP(A990,#REF!,16,0),0)+IFERROR(VLOOKUP(A990,#REF!,26,0),0)+IFERROR(VLOOKUP(A990,#REF!,11,0),0)+IFERROR(VLOOKUP(A990,#REF!,23,0),0)+IFERROR(VLOOKUP(A990,#REF!,11,0),0)+IFERROR(VLOOKUP(A990,#REF!,11,0),0)+IFERROR(VLOOKUP(A990,#REF!,11,0),0)</f>
        <v>0</v>
      </c>
      <c r="K990" s="96" t="str">
        <f>"07.02.24"</f>
        <v>07.02.24</v>
      </c>
    </row>
    <row r="991" spans="1:11" ht="11.25" customHeight="1" outlineLevel="1">
      <c r="A991" s="89" t="n">
        <v>8086640</v>
      </c>
      <c r="B991" s="114" t="s">
        <v>1201</v>
      </c>
      <c r="C991" s="89" t="s">
        <v>1495</v>
      </c>
      <c r="D991" s="89" t="s">
        <v>15</v>
      </c>
      <c r="E991" s="89" t="s">
        <v>1496</v>
      </c>
      <c r="F991" s="102" t="n">
        <v>154</v>
      </c>
      <c r="G991" s="102" t="n">
        <v>197</v>
      </c>
      <c r="H991" s="103" t="s">
        <v>48</v>
      </c>
      <c r="I991" s="103">
        <f>IFERROR(VLOOKUP(A991,#REF!,15,0),0)+IFERROR(VLOOKUP(A991,#REF!,25,0),0)+IFERROR(VLOOKUP(A991,#REF!,10,0),0)+IFERROR(VLOOKUP(A991,#REF!,14,0),0)+IFERROR(VLOOKUP(A991,#REF!,11,0),0)+IFERROR(VLOOKUP(A991,#REF!,10,0),0)+IFERROR(VLOOKUP(A991,#REF!,10,0),0)+IFERROR(VLOOKUP(A991,#REF!,9,0),0)+IFERROR(VLOOKUP(A991,#REF!,9,0),0)+IFERROR(VLOOKUP(A991,#REF!,9,0),0)+IFERROR(VLOOKUP(A991,#REF!,9,0),0)</f>
        <v>0</v>
      </c>
      <c r="J991" s="104">
        <f>IFERROR(VLOOKUP(A991,#REF!,16,0),0)+IFERROR(VLOOKUP(A991,#REF!,26,0),0)+IFERROR(VLOOKUP(A991,#REF!,11,0),0)+IFERROR(VLOOKUP(A991,#REF!,23,0),0)+IFERROR(VLOOKUP(A991,#REF!,11,0),0)+IFERROR(VLOOKUP(A991,#REF!,11,0),0)+IFERROR(VLOOKUP(A991,#REF!,11,0),0)</f>
        <v>0</v>
      </c>
      <c r="K991" s="96" t="str">
        <f>"07.02.24"</f>
        <v>07.02.24</v>
      </c>
    </row>
    <row r="992" spans="1:11" ht="11.25" customHeight="1" outlineLevel="1">
      <c r="A992" s="89" t="n">
        <v>8086650</v>
      </c>
      <c r="B992" s="114" t="s">
        <v>1201</v>
      </c>
      <c r="C992" s="89" t="s">
        <v>1497</v>
      </c>
      <c r="D992" s="89" t="s">
        <v>15</v>
      </c>
      <c r="E992" s="89" t="s">
        <v>1498</v>
      </c>
      <c r="F992" s="102" t="n">
        <v>151</v>
      </c>
      <c r="G992" s="102" t="n">
        <v>194</v>
      </c>
      <c r="H992" s="103" t="s">
        <v>48</v>
      </c>
      <c r="I992" s="103">
        <f>IFERROR(VLOOKUP(A992,#REF!,15,0),0)+IFERROR(VLOOKUP(A992,#REF!,25,0),0)+IFERROR(VLOOKUP(A992,#REF!,10,0),0)+IFERROR(VLOOKUP(A992,#REF!,14,0),0)+IFERROR(VLOOKUP(A992,#REF!,11,0),0)+IFERROR(VLOOKUP(A992,#REF!,10,0),0)+IFERROR(VLOOKUP(A992,#REF!,10,0),0)+IFERROR(VLOOKUP(A992,#REF!,9,0),0)+IFERROR(VLOOKUP(A992,#REF!,9,0),0)+IFERROR(VLOOKUP(A992,#REF!,9,0),0)+IFERROR(VLOOKUP(A992,#REF!,9,0),0)</f>
        <v>0</v>
      </c>
      <c r="J992" s="104">
        <f>IFERROR(VLOOKUP(A992,#REF!,16,0),0)+IFERROR(VLOOKUP(A992,#REF!,26,0),0)+IFERROR(VLOOKUP(A992,#REF!,11,0),0)+IFERROR(VLOOKUP(A992,#REF!,23,0),0)+IFERROR(VLOOKUP(A992,#REF!,11,0),0)+IFERROR(VLOOKUP(A992,#REF!,11,0),0)+IFERROR(VLOOKUP(A992,#REF!,11,0),0)</f>
        <v>0</v>
      </c>
      <c r="K992" s="96" t="str">
        <f>"07.02.24"</f>
        <v>07.02.24</v>
      </c>
    </row>
    <row r="993" spans="1:11" ht="11.25" customHeight="1" outlineLevel="1">
      <c r="A993" s="89" t="n">
        <v>8086660</v>
      </c>
      <c r="B993" s="114" t="s">
        <v>1201</v>
      </c>
      <c r="C993" s="89" t="s">
        <v>1499</v>
      </c>
      <c r="D993" s="89" t="s">
        <v>15</v>
      </c>
      <c r="E993" s="89" t="s">
        <v>1500</v>
      </c>
      <c r="F993" s="102" t="n">
        <v>97</v>
      </c>
      <c r="G993" s="102" t="n">
        <v>123</v>
      </c>
      <c r="H993" s="103" t="s">
        <v>48</v>
      </c>
      <c r="I993" s="103">
        <f>IFERROR(VLOOKUP(A993,#REF!,15,0),0)+IFERROR(VLOOKUP(A993,#REF!,25,0),0)+IFERROR(VLOOKUP(A993,#REF!,10,0),0)+IFERROR(VLOOKUP(A993,#REF!,14,0),0)+IFERROR(VLOOKUP(A993,#REF!,11,0),0)+IFERROR(VLOOKUP(A993,#REF!,10,0),0)+IFERROR(VLOOKUP(A993,#REF!,10,0),0)+IFERROR(VLOOKUP(A993,#REF!,9,0),0)+IFERROR(VLOOKUP(A993,#REF!,9,0),0)+IFERROR(VLOOKUP(A993,#REF!,9,0),0)+IFERROR(VLOOKUP(A993,#REF!,9,0),0)</f>
        <v>0</v>
      </c>
      <c r="J993" s="104">
        <f>IFERROR(VLOOKUP(A993,#REF!,16,0),0)+IFERROR(VLOOKUP(A993,#REF!,26,0),0)+IFERROR(VLOOKUP(A993,#REF!,11,0),0)+IFERROR(VLOOKUP(A993,#REF!,23,0),0)+IFERROR(VLOOKUP(A993,#REF!,11,0),0)+IFERROR(VLOOKUP(A993,#REF!,11,0),0)+IFERROR(VLOOKUP(A993,#REF!,11,0),0)</f>
        <v>0</v>
      </c>
      <c r="K993" s="96" t="str">
        <f>"07.02.24"</f>
        <v>07.02.24</v>
      </c>
    </row>
    <row r="994" spans="1:11" ht="11.25" customHeight="1" outlineLevel="1">
      <c r="A994" s="89" t="n">
        <v>8086670</v>
      </c>
      <c r="B994" s="114" t="s">
        <v>1201</v>
      </c>
      <c r="C994" s="89" t="s">
        <v>1501</v>
      </c>
      <c r="D994" s="89" t="s">
        <v>15</v>
      </c>
      <c r="E994" s="89" t="s">
        <v>1502</v>
      </c>
      <c r="F994" s="102" t="n">
        <v>121</v>
      </c>
      <c r="G994" s="102" t="n">
        <v>161</v>
      </c>
      <c r="H994" s="103" t="s">
        <v>48</v>
      </c>
      <c r="I994" s="103">
        <f>IFERROR(VLOOKUP(A994,#REF!,15,0),0)+IFERROR(VLOOKUP(A994,#REF!,25,0),0)+IFERROR(VLOOKUP(A994,#REF!,10,0),0)+IFERROR(VLOOKUP(A994,#REF!,14,0),0)+IFERROR(VLOOKUP(A994,#REF!,11,0),0)+IFERROR(VLOOKUP(A994,#REF!,10,0),0)+IFERROR(VLOOKUP(A994,#REF!,10,0),0)+IFERROR(VLOOKUP(A994,#REF!,9,0),0)+IFERROR(VLOOKUP(A994,#REF!,9,0),0)+IFERROR(VLOOKUP(A994,#REF!,9,0),0)+IFERROR(VLOOKUP(A994,#REF!,9,0),0)</f>
        <v>0</v>
      </c>
      <c r="J994" s="104">
        <f>IFERROR(VLOOKUP(A994,#REF!,16,0),0)+IFERROR(VLOOKUP(A994,#REF!,26,0),0)+IFERROR(VLOOKUP(A994,#REF!,11,0),0)+IFERROR(VLOOKUP(A994,#REF!,23,0),0)+IFERROR(VLOOKUP(A994,#REF!,11,0),0)+IFERROR(VLOOKUP(A994,#REF!,11,0),0)+IFERROR(VLOOKUP(A994,#REF!,11,0),0)</f>
        <v>0</v>
      </c>
      <c r="K994" s="96" t="str">
        <f>"07.02.24"</f>
        <v>07.02.24</v>
      </c>
    </row>
    <row r="995" spans="1:11" ht="11.25" customHeight="1" outlineLevel="1">
      <c r="A995" s="89" t="n">
        <v>8086680</v>
      </c>
      <c r="B995" s="114" t="s">
        <v>1201</v>
      </c>
      <c r="C995" s="89" t="s">
        <v>1503</v>
      </c>
      <c r="D995" s="89" t="s">
        <v>15</v>
      </c>
      <c r="E995" s="89" t="s">
        <v>1504</v>
      </c>
      <c r="F995" s="102" t="n">
        <v>97</v>
      </c>
      <c r="G995" s="102" t="n">
        <v>125</v>
      </c>
      <c r="H995" s="103" t="s">
        <v>48</v>
      </c>
      <c r="I995" s="103">
        <f>IFERROR(VLOOKUP(A995,#REF!,15,0),0)+IFERROR(VLOOKUP(A995,#REF!,25,0),0)+IFERROR(VLOOKUP(A995,#REF!,10,0),0)+IFERROR(VLOOKUP(A995,#REF!,14,0),0)+IFERROR(VLOOKUP(A995,#REF!,11,0),0)+IFERROR(VLOOKUP(A995,#REF!,10,0),0)+IFERROR(VLOOKUP(A995,#REF!,10,0),0)+IFERROR(VLOOKUP(A995,#REF!,9,0),0)+IFERROR(VLOOKUP(A995,#REF!,9,0),0)+IFERROR(VLOOKUP(A995,#REF!,9,0),0)+IFERROR(VLOOKUP(A995,#REF!,9,0),0)</f>
        <v>0</v>
      </c>
      <c r="J995" s="104">
        <f>IFERROR(VLOOKUP(A995,#REF!,16,0),0)+IFERROR(VLOOKUP(A995,#REF!,26,0),0)+IFERROR(VLOOKUP(A995,#REF!,11,0),0)+IFERROR(VLOOKUP(A995,#REF!,23,0),0)+IFERROR(VLOOKUP(A995,#REF!,11,0),0)+IFERROR(VLOOKUP(A995,#REF!,11,0),0)+IFERROR(VLOOKUP(A995,#REF!,11,0),0)</f>
        <v>0</v>
      </c>
      <c r="K995" s="96" t="str">
        <f>"07.02.24"</f>
        <v>07.02.24</v>
      </c>
    </row>
    <row r="996" spans="1:11" ht="11.25" customHeight="1" outlineLevel="1">
      <c r="A996" s="89" t="n">
        <v>8086690</v>
      </c>
      <c r="B996" s="114" t="s">
        <v>1201</v>
      </c>
      <c r="C996" s="89" t="s">
        <v>1505</v>
      </c>
      <c r="D996" s="89" t="s">
        <v>15</v>
      </c>
      <c r="E996" s="89" t="s">
        <v>1506</v>
      </c>
      <c r="F996" s="102" t="n">
        <v>75</v>
      </c>
      <c r="G996" s="102" t="n">
        <v>98</v>
      </c>
      <c r="H996" s="103" t="s">
        <v>17</v>
      </c>
      <c r="I996" s="103">
        <f>IFERROR(VLOOKUP(A996,#REF!,15,0),0)+IFERROR(VLOOKUP(A996,#REF!,25,0),0)+IFERROR(VLOOKUP(A996,#REF!,10,0),0)+IFERROR(VLOOKUP(A996,#REF!,14,0),0)+IFERROR(VLOOKUP(A996,#REF!,11,0),0)+IFERROR(VLOOKUP(A996,#REF!,10,0),0)+IFERROR(VLOOKUP(A996,#REF!,10,0),0)+IFERROR(VLOOKUP(A996,#REF!,9,0),0)+IFERROR(VLOOKUP(A996,#REF!,9,0),0)+IFERROR(VLOOKUP(A996,#REF!,9,0),0)+IFERROR(VLOOKUP(A996,#REF!,9,0),0)</f>
        <v>0</v>
      </c>
      <c r="J996" s="104">
        <f>IFERROR(VLOOKUP(A996,#REF!,16,0),0)+IFERROR(VLOOKUP(A996,#REF!,26,0),0)+IFERROR(VLOOKUP(A996,#REF!,11,0),0)+IFERROR(VLOOKUP(A996,#REF!,23,0),0)+IFERROR(VLOOKUP(A996,#REF!,11,0),0)+IFERROR(VLOOKUP(A996,#REF!,11,0),0)+IFERROR(VLOOKUP(A996,#REF!,11,0),0)</f>
        <v>0</v>
      </c>
      <c r="K996" s="96" t="str">
        <f>"07.02.24"</f>
        <v>07.02.24</v>
      </c>
    </row>
    <row r="997" spans="1:11" ht="11.25" customHeight="1">
      <c r="A997" s="88" t="s">
        <v>1507</v>
      </c>
      <c r="B997" s="115"/>
      <c r="C997" s="88"/>
      <c r="D997" s="88"/>
      <c r="E997" s="88"/>
      <c r="F997" s="105"/>
      <c r="G997" s="105"/>
      <c r="H997" s="106"/>
      <c r="I997" s="106"/>
      <c r="J997" s="107"/>
      <c r="K997" s="96" t="str">
        <f>"07.02.24"</f>
        <v>07.02.24</v>
      </c>
    </row>
    <row r="998" spans="1:11" ht="11.25" customHeight="1" outlineLevel="1">
      <c r="A998" s="89" t="n">
        <v>8108670</v>
      </c>
      <c r="B998" s="114" t="s">
        <v>1201</v>
      </c>
      <c r="C998" s="89" t="s">
        <v>1508</v>
      </c>
      <c r="D998" s="89" t="s">
        <v>15</v>
      </c>
      <c r="E998" s="89" t="s">
        <v>1509</v>
      </c>
      <c r="F998" s="102" t="n">
        <v>559</v>
      </c>
      <c r="G998" s="102" t="n">
        <v>744</v>
      </c>
      <c r="H998" s="103" t="s">
        <v>17</v>
      </c>
      <c r="I998" s="103">
        <f>IFERROR(VLOOKUP(A998,#REF!,15,0),0)+IFERROR(VLOOKUP(A998,#REF!,25,0),0)+IFERROR(VLOOKUP(A998,#REF!,10,0),0)+IFERROR(VLOOKUP(A998,#REF!,14,0),0)+IFERROR(VLOOKUP(A998,#REF!,11,0),0)+IFERROR(VLOOKUP(A998,#REF!,10,0),0)+IFERROR(VLOOKUP(A998,#REF!,10,0),0)+IFERROR(VLOOKUP(A998,#REF!,9,0),0)+IFERROR(VLOOKUP(A998,#REF!,9,0),0)+IFERROR(VLOOKUP(A998,#REF!,9,0),0)+IFERROR(VLOOKUP(A998,#REF!,9,0),0)</f>
        <v>0</v>
      </c>
      <c r="J998" s="104">
        <f>IFERROR(VLOOKUP(A998,#REF!,16,0),0)+IFERROR(VLOOKUP(A998,#REF!,26,0),0)+IFERROR(VLOOKUP(A998,#REF!,11,0),0)+IFERROR(VLOOKUP(A998,#REF!,23,0),0)+IFERROR(VLOOKUP(A998,#REF!,11,0),0)+IFERROR(VLOOKUP(A998,#REF!,11,0),0)+IFERROR(VLOOKUP(A998,#REF!,11,0),0)</f>
        <v>0</v>
      </c>
      <c r="K998" s="96" t="str">
        <f>"07.02.24"</f>
        <v>07.02.24</v>
      </c>
    </row>
    <row r="999" spans="1:11" ht="11.25" customHeight="1" outlineLevel="1">
      <c r="A999" s="89" t="n">
        <v>8108590</v>
      </c>
      <c r="B999" s="114" t="s">
        <v>1201</v>
      </c>
      <c r="C999" s="89" t="s">
        <v>1510</v>
      </c>
      <c r="D999" s="89" t="s">
        <v>15</v>
      </c>
      <c r="E999" s="89" t="s">
        <v>1511</v>
      </c>
      <c r="F999" s="102" t="n">
        <v>559</v>
      </c>
      <c r="G999" s="102" t="n">
        <v>744</v>
      </c>
      <c r="H999" s="103" t="s">
        <v>17</v>
      </c>
      <c r="I999" s="103">
        <f>IFERROR(VLOOKUP(A999,#REF!,15,0),0)+IFERROR(VLOOKUP(A999,#REF!,25,0),0)+IFERROR(VLOOKUP(A999,#REF!,10,0),0)+IFERROR(VLOOKUP(A999,#REF!,14,0),0)+IFERROR(VLOOKUP(A999,#REF!,11,0),0)+IFERROR(VLOOKUP(A999,#REF!,10,0),0)+IFERROR(VLOOKUP(A999,#REF!,10,0),0)+IFERROR(VLOOKUP(A999,#REF!,9,0),0)+IFERROR(VLOOKUP(A999,#REF!,9,0),0)+IFERROR(VLOOKUP(A999,#REF!,9,0),0)+IFERROR(VLOOKUP(A999,#REF!,9,0),0)</f>
        <v>0</v>
      </c>
      <c r="J999" s="104">
        <f>IFERROR(VLOOKUP(A999,#REF!,16,0),0)+IFERROR(VLOOKUP(A999,#REF!,26,0),0)+IFERROR(VLOOKUP(A999,#REF!,11,0),0)+IFERROR(VLOOKUP(A999,#REF!,23,0),0)+IFERROR(VLOOKUP(A999,#REF!,11,0),0)+IFERROR(VLOOKUP(A999,#REF!,11,0),0)+IFERROR(VLOOKUP(A999,#REF!,11,0),0)</f>
        <v>0</v>
      </c>
      <c r="K999" s="96" t="str">
        <f>"07.02.24"</f>
        <v>07.02.24</v>
      </c>
    </row>
    <row r="1000" spans="1:11" ht="11.25" customHeight="1" outlineLevel="1">
      <c r="A1000" s="89" t="n">
        <v>8108610</v>
      </c>
      <c r="B1000" s="114" t="s">
        <v>1201</v>
      </c>
      <c r="C1000" s="89" t="s">
        <v>1512</v>
      </c>
      <c r="D1000" s="89" t="s">
        <v>15</v>
      </c>
      <c r="E1000" s="89" t="s">
        <v>1513</v>
      </c>
      <c r="F1000" s="102" t="n">
        <v>502</v>
      </c>
      <c r="G1000" s="102" t="n">
        <v>663</v>
      </c>
      <c r="H1000" s="103" t="s">
        <v>48</v>
      </c>
      <c r="I1000" s="103">
        <f>IFERROR(VLOOKUP(A1000,#REF!,15,0),0)+IFERROR(VLOOKUP(A1000,#REF!,25,0),0)+IFERROR(VLOOKUP(A1000,#REF!,10,0),0)+IFERROR(VLOOKUP(A1000,#REF!,14,0),0)+IFERROR(VLOOKUP(A1000,#REF!,11,0),0)+IFERROR(VLOOKUP(A1000,#REF!,10,0),0)+IFERROR(VLOOKUP(A1000,#REF!,10,0),0)+IFERROR(VLOOKUP(A1000,#REF!,9,0),0)+IFERROR(VLOOKUP(A1000,#REF!,9,0),0)+IFERROR(VLOOKUP(A1000,#REF!,9,0),0)+IFERROR(VLOOKUP(A1000,#REF!,9,0),0)</f>
        <v>0</v>
      </c>
      <c r="J1000" s="104">
        <f>IFERROR(VLOOKUP(A1000,#REF!,16,0),0)+IFERROR(VLOOKUP(A1000,#REF!,26,0),0)+IFERROR(VLOOKUP(A1000,#REF!,11,0),0)+IFERROR(VLOOKUP(A1000,#REF!,23,0),0)+IFERROR(VLOOKUP(A1000,#REF!,11,0),0)+IFERROR(VLOOKUP(A1000,#REF!,11,0),0)+IFERROR(VLOOKUP(A1000,#REF!,11,0),0)</f>
        <v>0</v>
      </c>
      <c r="K1000" s="96" t="str">
        <f>"07.02.24"</f>
        <v>07.02.24</v>
      </c>
    </row>
    <row r="1001" spans="1:11" ht="11.25" customHeight="1" outlineLevel="1">
      <c r="A1001" s="89" t="n">
        <v>8108650</v>
      </c>
      <c r="B1001" s="114" t="s">
        <v>1201</v>
      </c>
      <c r="C1001" s="89" t="s">
        <v>1514</v>
      </c>
      <c r="D1001" s="89" t="s">
        <v>15</v>
      </c>
      <c r="E1001" s="89" t="s">
        <v>1513</v>
      </c>
      <c r="F1001" s="102" t="n">
        <v>537</v>
      </c>
      <c r="G1001" s="102" t="n">
        <v>714</v>
      </c>
      <c r="H1001" s="103" t="s">
        <v>48</v>
      </c>
      <c r="I1001" s="103">
        <f>IFERROR(VLOOKUP(A1001,#REF!,15,0),0)+IFERROR(VLOOKUP(A1001,#REF!,25,0),0)+IFERROR(VLOOKUP(A1001,#REF!,10,0),0)+IFERROR(VLOOKUP(A1001,#REF!,14,0),0)+IFERROR(VLOOKUP(A1001,#REF!,11,0),0)+IFERROR(VLOOKUP(A1001,#REF!,10,0),0)+IFERROR(VLOOKUP(A1001,#REF!,10,0),0)+IFERROR(VLOOKUP(A1001,#REF!,9,0),0)+IFERROR(VLOOKUP(A1001,#REF!,9,0),0)+IFERROR(VLOOKUP(A1001,#REF!,9,0),0)+IFERROR(VLOOKUP(A1001,#REF!,9,0),0)</f>
        <v>0</v>
      </c>
      <c r="J1001" s="104">
        <f>IFERROR(VLOOKUP(A1001,#REF!,16,0),0)+IFERROR(VLOOKUP(A1001,#REF!,26,0),0)+IFERROR(VLOOKUP(A1001,#REF!,11,0),0)+IFERROR(VLOOKUP(A1001,#REF!,23,0),0)+IFERROR(VLOOKUP(A1001,#REF!,11,0),0)+IFERROR(VLOOKUP(A1001,#REF!,11,0),0)+IFERROR(VLOOKUP(A1001,#REF!,11,0),0)</f>
        <v>0</v>
      </c>
      <c r="K1001" s="96" t="str">
        <f>"07.02.24"</f>
        <v>07.02.24</v>
      </c>
    </row>
    <row r="1002" spans="1:11" ht="11.25" customHeight="1" outlineLevel="1">
      <c r="A1002" s="89" t="n">
        <v>8108620</v>
      </c>
      <c r="B1002" s="114" t="s">
        <v>1201</v>
      </c>
      <c r="C1002" s="89" t="s">
        <v>1515</v>
      </c>
      <c r="D1002" s="89" t="s">
        <v>15</v>
      </c>
      <c r="E1002" s="89" t="s">
        <v>1513</v>
      </c>
      <c r="F1002" s="102" t="n">
        <v>1109</v>
      </c>
      <c r="G1002" s="102" t="n">
        <v>1477</v>
      </c>
      <c r="H1002" s="103" t="s">
        <v>17</v>
      </c>
      <c r="I1002" s="103">
        <f>IFERROR(VLOOKUP(A1002,#REF!,15,0),0)+IFERROR(VLOOKUP(A1002,#REF!,25,0),0)+IFERROR(VLOOKUP(A1002,#REF!,10,0),0)+IFERROR(VLOOKUP(A1002,#REF!,14,0),0)+IFERROR(VLOOKUP(A1002,#REF!,11,0),0)+IFERROR(VLOOKUP(A1002,#REF!,10,0),0)+IFERROR(VLOOKUP(A1002,#REF!,10,0),0)+IFERROR(VLOOKUP(A1002,#REF!,9,0),0)+IFERROR(VLOOKUP(A1002,#REF!,9,0),0)+IFERROR(VLOOKUP(A1002,#REF!,9,0),0)+IFERROR(VLOOKUP(A1002,#REF!,9,0),0)</f>
        <v>0</v>
      </c>
      <c r="J1002" s="104">
        <f>IFERROR(VLOOKUP(A1002,#REF!,16,0),0)+IFERROR(VLOOKUP(A1002,#REF!,26,0),0)+IFERROR(VLOOKUP(A1002,#REF!,11,0),0)+IFERROR(VLOOKUP(A1002,#REF!,23,0),0)+IFERROR(VLOOKUP(A1002,#REF!,11,0),0)+IFERROR(VLOOKUP(A1002,#REF!,11,0),0)+IFERROR(VLOOKUP(A1002,#REF!,11,0),0)</f>
        <v>0</v>
      </c>
      <c r="K1002" s="96" t="str">
        <f>"07.02.24"</f>
        <v>07.02.24</v>
      </c>
    </row>
    <row r="1003" spans="1:11" ht="11.25" customHeight="1" outlineLevel="1">
      <c r="A1003" s="89" t="n">
        <v>8108630</v>
      </c>
      <c r="B1003" s="114" t="s">
        <v>1201</v>
      </c>
      <c r="C1003" s="89" t="s">
        <v>1516</v>
      </c>
      <c r="D1003" s="89" t="s">
        <v>15</v>
      </c>
      <c r="E1003" s="89" t="s">
        <v>1513</v>
      </c>
      <c r="F1003" s="102" t="n">
        <v>1449</v>
      </c>
      <c r="G1003" s="102" t="n">
        <v>1927</v>
      </c>
      <c r="H1003" s="103" t="s">
        <v>48</v>
      </c>
      <c r="I1003" s="103">
        <f>IFERROR(VLOOKUP(A1003,#REF!,15,0),0)+IFERROR(VLOOKUP(A1003,#REF!,25,0),0)+IFERROR(VLOOKUP(A1003,#REF!,10,0),0)+IFERROR(VLOOKUP(A1003,#REF!,14,0),0)+IFERROR(VLOOKUP(A1003,#REF!,11,0),0)+IFERROR(VLOOKUP(A1003,#REF!,10,0),0)+IFERROR(VLOOKUP(A1003,#REF!,10,0),0)+IFERROR(VLOOKUP(A1003,#REF!,9,0),0)+IFERROR(VLOOKUP(A1003,#REF!,9,0),0)+IFERROR(VLOOKUP(A1003,#REF!,9,0),0)+IFERROR(VLOOKUP(A1003,#REF!,9,0),0)</f>
        <v>0</v>
      </c>
      <c r="J1003" s="104">
        <f>IFERROR(VLOOKUP(A1003,#REF!,16,0),0)+IFERROR(VLOOKUP(A1003,#REF!,26,0),0)+IFERROR(VLOOKUP(A1003,#REF!,11,0),0)+IFERROR(VLOOKUP(A1003,#REF!,23,0),0)+IFERROR(VLOOKUP(A1003,#REF!,11,0),0)+IFERROR(VLOOKUP(A1003,#REF!,11,0),0)+IFERROR(VLOOKUP(A1003,#REF!,11,0),0)</f>
        <v>0</v>
      </c>
      <c r="K1003" s="96" t="str">
        <f>"07.02.24"</f>
        <v>07.02.24</v>
      </c>
    </row>
    <row r="1004" spans="1:11" ht="11.25" customHeight="1" outlineLevel="1">
      <c r="A1004" s="89" t="n">
        <v>8108680</v>
      </c>
      <c r="B1004" s="114" t="s">
        <v>1201</v>
      </c>
      <c r="C1004" s="89" t="s">
        <v>1517</v>
      </c>
      <c r="D1004" s="89" t="s">
        <v>15</v>
      </c>
      <c r="E1004" s="89" t="s">
        <v>1509</v>
      </c>
      <c r="F1004" s="102" t="n">
        <v>1627</v>
      </c>
      <c r="G1004" s="102" t="n">
        <v>2162</v>
      </c>
      <c r="H1004" s="103" t="s">
        <v>17</v>
      </c>
      <c r="I1004" s="103">
        <f>IFERROR(VLOOKUP(A1004,#REF!,15,0),0)+IFERROR(VLOOKUP(A1004,#REF!,25,0),0)+IFERROR(VLOOKUP(A1004,#REF!,10,0),0)+IFERROR(VLOOKUP(A1004,#REF!,14,0),0)+IFERROR(VLOOKUP(A1004,#REF!,11,0),0)+IFERROR(VLOOKUP(A1004,#REF!,10,0),0)+IFERROR(VLOOKUP(A1004,#REF!,10,0),0)+IFERROR(VLOOKUP(A1004,#REF!,9,0),0)+IFERROR(VLOOKUP(A1004,#REF!,9,0),0)+IFERROR(VLOOKUP(A1004,#REF!,9,0),0)+IFERROR(VLOOKUP(A1004,#REF!,9,0),0)</f>
        <v>0</v>
      </c>
      <c r="J1004" s="104">
        <f>IFERROR(VLOOKUP(A1004,#REF!,16,0),0)+IFERROR(VLOOKUP(A1004,#REF!,26,0),0)+IFERROR(VLOOKUP(A1004,#REF!,11,0),0)+IFERROR(VLOOKUP(A1004,#REF!,23,0),0)+IFERROR(VLOOKUP(A1004,#REF!,11,0),0)+IFERROR(VLOOKUP(A1004,#REF!,11,0),0)+IFERROR(VLOOKUP(A1004,#REF!,11,0),0)</f>
        <v>0</v>
      </c>
      <c r="K1004" s="96" t="str">
        <f>"07.02.24"</f>
        <v>07.02.24</v>
      </c>
    </row>
    <row r="1005" spans="1:11" ht="11.25" customHeight="1" outlineLevel="1">
      <c r="A1005" s="89" t="n">
        <v>8108600</v>
      </c>
      <c r="B1005" s="114" t="s">
        <v>1201</v>
      </c>
      <c r="C1005" s="89" t="s">
        <v>1518</v>
      </c>
      <c r="D1005" s="89" t="s">
        <v>15</v>
      </c>
      <c r="E1005" s="89" t="s">
        <v>1513</v>
      </c>
      <c r="F1005" s="102" t="n">
        <v>1906</v>
      </c>
      <c r="G1005" s="102" t="n">
        <v>2536</v>
      </c>
      <c r="H1005" s="103" t="s">
        <v>17</v>
      </c>
      <c r="I1005" s="103">
        <f>IFERROR(VLOOKUP(A1005,#REF!,15,0),0)+IFERROR(VLOOKUP(A1005,#REF!,25,0),0)+IFERROR(VLOOKUP(A1005,#REF!,10,0),0)+IFERROR(VLOOKUP(A1005,#REF!,14,0),0)+IFERROR(VLOOKUP(A1005,#REF!,11,0),0)+IFERROR(VLOOKUP(A1005,#REF!,10,0),0)+IFERROR(VLOOKUP(A1005,#REF!,10,0),0)+IFERROR(VLOOKUP(A1005,#REF!,9,0),0)+IFERROR(VLOOKUP(A1005,#REF!,9,0),0)+IFERROR(VLOOKUP(A1005,#REF!,9,0),0)+IFERROR(VLOOKUP(A1005,#REF!,9,0),0)</f>
        <v>0</v>
      </c>
      <c r="J1005" s="104">
        <f>IFERROR(VLOOKUP(A1005,#REF!,16,0),0)+IFERROR(VLOOKUP(A1005,#REF!,26,0),0)+IFERROR(VLOOKUP(A1005,#REF!,11,0),0)+IFERROR(VLOOKUP(A1005,#REF!,23,0),0)+IFERROR(VLOOKUP(A1005,#REF!,11,0),0)+IFERROR(VLOOKUP(A1005,#REF!,11,0),0)+IFERROR(VLOOKUP(A1005,#REF!,11,0),0)</f>
        <v>0</v>
      </c>
      <c r="K1005" s="96" t="str">
        <f>"07.02.24"</f>
        <v>07.02.24</v>
      </c>
    </row>
    <row r="1006" spans="1:11" ht="11.25" customHeight="1" outlineLevel="1">
      <c r="A1006" s="89" t="n">
        <v>8108660</v>
      </c>
      <c r="B1006" s="114" t="s">
        <v>1201</v>
      </c>
      <c r="C1006" s="89" t="s">
        <v>1519</v>
      </c>
      <c r="D1006" s="89" t="s">
        <v>15</v>
      </c>
      <c r="E1006" s="89" t="s">
        <v>1513</v>
      </c>
      <c r="F1006" s="102" t="n">
        <v>1905</v>
      </c>
      <c r="G1006" s="102" t="n">
        <v>2536</v>
      </c>
      <c r="H1006" s="103" t="s">
        <v>17</v>
      </c>
      <c r="I1006" s="103">
        <f>IFERROR(VLOOKUP(A1006,#REF!,15,0),0)+IFERROR(VLOOKUP(A1006,#REF!,25,0),0)+IFERROR(VLOOKUP(A1006,#REF!,10,0),0)+IFERROR(VLOOKUP(A1006,#REF!,14,0),0)+IFERROR(VLOOKUP(A1006,#REF!,11,0),0)+IFERROR(VLOOKUP(A1006,#REF!,10,0),0)+IFERROR(VLOOKUP(A1006,#REF!,10,0),0)+IFERROR(VLOOKUP(A1006,#REF!,9,0),0)+IFERROR(VLOOKUP(A1006,#REF!,9,0),0)+IFERROR(VLOOKUP(A1006,#REF!,9,0),0)+IFERROR(VLOOKUP(A1006,#REF!,9,0),0)</f>
        <v>0</v>
      </c>
      <c r="J1006" s="104">
        <f>IFERROR(VLOOKUP(A1006,#REF!,16,0),0)+IFERROR(VLOOKUP(A1006,#REF!,26,0),0)+IFERROR(VLOOKUP(A1006,#REF!,11,0),0)+IFERROR(VLOOKUP(A1006,#REF!,23,0),0)+IFERROR(VLOOKUP(A1006,#REF!,11,0),0)+IFERROR(VLOOKUP(A1006,#REF!,11,0),0)+IFERROR(VLOOKUP(A1006,#REF!,11,0),0)</f>
        <v>0</v>
      </c>
      <c r="K1006" s="96" t="str">
        <f>"07.02.24"</f>
        <v>07.02.24</v>
      </c>
    </row>
    <row r="1007" spans="1:11" ht="11.25" customHeight="1" outlineLevel="1">
      <c r="A1007" s="89" t="n">
        <v>8108640</v>
      </c>
      <c r="B1007" s="114" t="s">
        <v>1201</v>
      </c>
      <c r="C1007" s="89" t="s">
        <v>1520</v>
      </c>
      <c r="D1007" s="89" t="s">
        <v>15</v>
      </c>
      <c r="E1007" s="89" t="s">
        <v>1513</v>
      </c>
      <c r="F1007" s="102" t="n">
        <v>1983</v>
      </c>
      <c r="G1007" s="102" t="n">
        <v>2641</v>
      </c>
      <c r="H1007" s="103" t="s">
        <v>17</v>
      </c>
      <c r="I1007" s="103">
        <f>IFERROR(VLOOKUP(A1007,#REF!,15,0),0)+IFERROR(VLOOKUP(A1007,#REF!,25,0),0)+IFERROR(VLOOKUP(A1007,#REF!,10,0),0)+IFERROR(VLOOKUP(A1007,#REF!,14,0),0)+IFERROR(VLOOKUP(A1007,#REF!,11,0),0)+IFERROR(VLOOKUP(A1007,#REF!,10,0),0)+IFERROR(VLOOKUP(A1007,#REF!,10,0),0)+IFERROR(VLOOKUP(A1007,#REF!,9,0),0)+IFERROR(VLOOKUP(A1007,#REF!,9,0),0)+IFERROR(VLOOKUP(A1007,#REF!,9,0),0)+IFERROR(VLOOKUP(A1007,#REF!,9,0),0)</f>
        <v>0</v>
      </c>
      <c r="J1007" s="104">
        <f>IFERROR(VLOOKUP(A1007,#REF!,16,0),0)+IFERROR(VLOOKUP(A1007,#REF!,26,0),0)+IFERROR(VLOOKUP(A1007,#REF!,11,0),0)+IFERROR(VLOOKUP(A1007,#REF!,23,0),0)+IFERROR(VLOOKUP(A1007,#REF!,11,0),0)+IFERROR(VLOOKUP(A1007,#REF!,11,0),0)+IFERROR(VLOOKUP(A1007,#REF!,11,0),0)</f>
        <v>0</v>
      </c>
      <c r="K1007" s="96" t="str">
        <f>"07.02.24"</f>
        <v>07.02.24</v>
      </c>
    </row>
    <row r="1008" spans="1:11" ht="11.25" customHeight="1">
      <c r="A1008" s="88" t="s">
        <v>1521</v>
      </c>
      <c r="B1008" s="115"/>
      <c r="C1008" s="88"/>
      <c r="D1008" s="88"/>
      <c r="E1008" s="88"/>
      <c r="F1008" s="105"/>
      <c r="G1008" s="105"/>
      <c r="H1008" s="106"/>
      <c r="I1008" s="106"/>
      <c r="J1008" s="107"/>
      <c r="K1008" s="96" t="str">
        <f>"07.02.24"</f>
        <v>07.02.24</v>
      </c>
    </row>
    <row r="1009" spans="1:11" ht="11.25" customHeight="1" outlineLevel="1">
      <c r="A1009" s="89" t="n">
        <v>7088810</v>
      </c>
      <c r="B1009" s="114" t="s">
        <v>1201</v>
      </c>
      <c r="C1009" s="89" t="s">
        <v>1522</v>
      </c>
      <c r="D1009" s="89" t="s">
        <v>15</v>
      </c>
      <c r="E1009" s="89" t="s">
        <v>1523</v>
      </c>
      <c r="F1009" s="102" t="n">
        <v>577</v>
      </c>
      <c r="G1009" s="102" t="n">
        <v>731</v>
      </c>
      <c r="H1009" s="103" t="s">
        <v>48</v>
      </c>
      <c r="I1009" s="103">
        <f>IFERROR(VLOOKUP(A1009,#REF!,15,0),0)+IFERROR(VLOOKUP(A1009,#REF!,25,0),0)+IFERROR(VLOOKUP(A1009,#REF!,10,0),0)+IFERROR(VLOOKUP(A1009,#REF!,14,0),0)+IFERROR(VLOOKUP(A1009,#REF!,11,0),0)+IFERROR(VLOOKUP(A1009,#REF!,10,0),0)+IFERROR(VLOOKUP(A1009,#REF!,10,0),0)+IFERROR(VLOOKUP(A1009,#REF!,9,0),0)+IFERROR(VLOOKUP(A1009,#REF!,9,0),0)+IFERROR(VLOOKUP(A1009,#REF!,9,0),0)+IFERROR(VLOOKUP(A1009,#REF!,9,0),0)</f>
        <v>0</v>
      </c>
      <c r="J1009" s="104">
        <f>IFERROR(VLOOKUP(A1009,#REF!,16,0),0)+IFERROR(VLOOKUP(A1009,#REF!,26,0),0)+IFERROR(VLOOKUP(A1009,#REF!,11,0),0)+IFERROR(VLOOKUP(A1009,#REF!,23,0),0)+IFERROR(VLOOKUP(A1009,#REF!,11,0),0)+IFERROR(VLOOKUP(A1009,#REF!,11,0),0)+IFERROR(VLOOKUP(A1009,#REF!,11,0),0)</f>
        <v>0</v>
      </c>
      <c r="K1009" s="96" t="str">
        <f>"07.02.24"</f>
        <v>07.02.24</v>
      </c>
    </row>
    <row r="1010" spans="1:11" ht="11.25" customHeight="1" outlineLevel="1">
      <c r="A1010" s="89" t="n">
        <v>7088820</v>
      </c>
      <c r="B1010" s="114" t="s">
        <v>1201</v>
      </c>
      <c r="C1010" s="89" t="s">
        <v>1524</v>
      </c>
      <c r="D1010" s="89" t="s">
        <v>15</v>
      </c>
      <c r="E1010" s="89" t="s">
        <v>1525</v>
      </c>
      <c r="F1010" s="102" t="n">
        <v>640</v>
      </c>
      <c r="G1010" s="102" t="n">
        <v>811</v>
      </c>
      <c r="H1010" s="103" t="s">
        <v>48</v>
      </c>
      <c r="I1010" s="103">
        <f>IFERROR(VLOOKUP(A1010,#REF!,15,0),0)+IFERROR(VLOOKUP(A1010,#REF!,25,0),0)+IFERROR(VLOOKUP(A1010,#REF!,10,0),0)+IFERROR(VLOOKUP(A1010,#REF!,14,0),0)+IFERROR(VLOOKUP(A1010,#REF!,11,0),0)+IFERROR(VLOOKUP(A1010,#REF!,10,0),0)+IFERROR(VLOOKUP(A1010,#REF!,10,0),0)+IFERROR(VLOOKUP(A1010,#REF!,9,0),0)+IFERROR(VLOOKUP(A1010,#REF!,9,0),0)+IFERROR(VLOOKUP(A1010,#REF!,9,0),0)+IFERROR(VLOOKUP(A1010,#REF!,9,0),0)</f>
        <v>0</v>
      </c>
      <c r="J1010" s="104">
        <f>IFERROR(VLOOKUP(A1010,#REF!,16,0),0)+IFERROR(VLOOKUP(A1010,#REF!,26,0),0)+IFERROR(VLOOKUP(A1010,#REF!,11,0),0)+IFERROR(VLOOKUP(A1010,#REF!,23,0),0)+IFERROR(VLOOKUP(A1010,#REF!,11,0),0)+IFERROR(VLOOKUP(A1010,#REF!,11,0),0)+IFERROR(VLOOKUP(A1010,#REF!,11,0),0)</f>
        <v>0</v>
      </c>
      <c r="K1010" s="96" t="str">
        <f>"07.02.24"</f>
        <v>07.02.24</v>
      </c>
    </row>
    <row r="1011" spans="1:11" ht="11.25" customHeight="1" outlineLevel="1">
      <c r="A1011" s="89" t="n">
        <v>7088830</v>
      </c>
      <c r="B1011" s="114" t="s">
        <v>1201</v>
      </c>
      <c r="C1011" s="89" t="s">
        <v>1526</v>
      </c>
      <c r="D1011" s="89" t="s">
        <v>15</v>
      </c>
      <c r="E1011" s="89" t="s">
        <v>1527</v>
      </c>
      <c r="F1011" s="102" t="n">
        <v>745</v>
      </c>
      <c r="G1011" s="102" t="n">
        <v>940</v>
      </c>
      <c r="H1011" s="103" t="s">
        <v>48</v>
      </c>
      <c r="I1011" s="103">
        <f>IFERROR(VLOOKUP(A1011,#REF!,15,0),0)+IFERROR(VLOOKUP(A1011,#REF!,25,0),0)+IFERROR(VLOOKUP(A1011,#REF!,10,0),0)+IFERROR(VLOOKUP(A1011,#REF!,14,0),0)+IFERROR(VLOOKUP(A1011,#REF!,11,0),0)+IFERROR(VLOOKUP(A1011,#REF!,10,0),0)+IFERROR(VLOOKUP(A1011,#REF!,10,0),0)+IFERROR(VLOOKUP(A1011,#REF!,9,0),0)+IFERROR(VLOOKUP(A1011,#REF!,9,0),0)+IFERROR(VLOOKUP(A1011,#REF!,9,0),0)+IFERROR(VLOOKUP(A1011,#REF!,9,0),0)</f>
        <v>0</v>
      </c>
      <c r="J1011" s="104">
        <f>IFERROR(VLOOKUP(A1011,#REF!,16,0),0)+IFERROR(VLOOKUP(A1011,#REF!,26,0),0)+IFERROR(VLOOKUP(A1011,#REF!,11,0),0)+IFERROR(VLOOKUP(A1011,#REF!,23,0),0)+IFERROR(VLOOKUP(A1011,#REF!,11,0),0)+IFERROR(VLOOKUP(A1011,#REF!,11,0),0)+IFERROR(VLOOKUP(A1011,#REF!,11,0),0)</f>
        <v>0</v>
      </c>
      <c r="K1011" s="96" t="str">
        <f>"07.02.24"</f>
        <v>07.02.24</v>
      </c>
    </row>
    <row r="1012" spans="1:11" ht="11.25" customHeight="1" outlineLevel="1">
      <c r="A1012" s="89" t="n">
        <v>7088840</v>
      </c>
      <c r="B1012" s="114" t="s">
        <v>1201</v>
      </c>
      <c r="C1012" s="89" t="s">
        <v>1528</v>
      </c>
      <c r="D1012" s="89" t="s">
        <v>15</v>
      </c>
      <c r="E1012" s="89" t="s">
        <v>1529</v>
      </c>
      <c r="F1012" s="102" t="n">
        <v>719</v>
      </c>
      <c r="G1012" s="102" t="n">
        <v>912</v>
      </c>
      <c r="H1012" s="103" t="s">
        <v>48</v>
      </c>
      <c r="I1012" s="103">
        <f>IFERROR(VLOOKUP(A1012,#REF!,15,0),0)+IFERROR(VLOOKUP(A1012,#REF!,25,0),0)+IFERROR(VLOOKUP(A1012,#REF!,10,0),0)+IFERROR(VLOOKUP(A1012,#REF!,14,0),0)+IFERROR(VLOOKUP(A1012,#REF!,11,0),0)+IFERROR(VLOOKUP(A1012,#REF!,10,0),0)+IFERROR(VLOOKUP(A1012,#REF!,10,0),0)+IFERROR(VLOOKUP(A1012,#REF!,9,0),0)+IFERROR(VLOOKUP(A1012,#REF!,9,0),0)+IFERROR(VLOOKUP(A1012,#REF!,9,0),0)+IFERROR(VLOOKUP(A1012,#REF!,9,0),0)</f>
        <v>0</v>
      </c>
      <c r="J1012" s="104">
        <f>IFERROR(VLOOKUP(A1012,#REF!,16,0),0)+IFERROR(VLOOKUP(A1012,#REF!,26,0),0)+IFERROR(VLOOKUP(A1012,#REF!,11,0),0)+IFERROR(VLOOKUP(A1012,#REF!,23,0),0)+IFERROR(VLOOKUP(A1012,#REF!,11,0),0)+IFERROR(VLOOKUP(A1012,#REF!,11,0),0)+IFERROR(VLOOKUP(A1012,#REF!,11,0),0)</f>
        <v>0</v>
      </c>
      <c r="K1012" s="96" t="str">
        <f>"07.02.24"</f>
        <v>07.02.24</v>
      </c>
    </row>
    <row r="1013" spans="1:11" ht="11.25" customHeight="1" outlineLevel="1">
      <c r="A1013" s="89" t="n">
        <v>7088850</v>
      </c>
      <c r="B1013" s="114" t="s">
        <v>1201</v>
      </c>
      <c r="C1013" s="89" t="s">
        <v>1530</v>
      </c>
      <c r="D1013" s="89" t="s">
        <v>15</v>
      </c>
      <c r="E1013" s="89" t="s">
        <v>1531</v>
      </c>
      <c r="F1013" s="102" t="n">
        <v>781</v>
      </c>
      <c r="G1013" s="102" t="n">
        <v>990</v>
      </c>
      <c r="H1013" s="103" t="s">
        <v>48</v>
      </c>
      <c r="I1013" s="103">
        <f>IFERROR(VLOOKUP(A1013,#REF!,15,0),0)+IFERROR(VLOOKUP(A1013,#REF!,25,0),0)+IFERROR(VLOOKUP(A1013,#REF!,10,0),0)+IFERROR(VLOOKUP(A1013,#REF!,14,0),0)+IFERROR(VLOOKUP(A1013,#REF!,11,0),0)+IFERROR(VLOOKUP(A1013,#REF!,10,0),0)+IFERROR(VLOOKUP(A1013,#REF!,10,0),0)+IFERROR(VLOOKUP(A1013,#REF!,9,0),0)+IFERROR(VLOOKUP(A1013,#REF!,9,0),0)+IFERROR(VLOOKUP(A1013,#REF!,9,0),0)+IFERROR(VLOOKUP(A1013,#REF!,9,0),0)</f>
        <v>0</v>
      </c>
      <c r="J1013" s="104">
        <f>IFERROR(VLOOKUP(A1013,#REF!,16,0),0)+IFERROR(VLOOKUP(A1013,#REF!,26,0),0)+IFERROR(VLOOKUP(A1013,#REF!,11,0),0)+IFERROR(VLOOKUP(A1013,#REF!,23,0),0)+IFERROR(VLOOKUP(A1013,#REF!,11,0),0)+IFERROR(VLOOKUP(A1013,#REF!,11,0),0)+IFERROR(VLOOKUP(A1013,#REF!,11,0),0)</f>
        <v>0</v>
      </c>
      <c r="K1013" s="96" t="str">
        <f>"07.02.24"</f>
        <v>07.02.24</v>
      </c>
    </row>
    <row r="1014" spans="1:11" ht="11.25" customHeight="1" outlineLevel="1">
      <c r="A1014" s="89" t="n">
        <v>7088860</v>
      </c>
      <c r="B1014" s="114" t="s">
        <v>1201</v>
      </c>
      <c r="C1014" s="89" t="s">
        <v>1532</v>
      </c>
      <c r="D1014" s="89" t="s">
        <v>15</v>
      </c>
      <c r="E1014" s="89" t="s">
        <v>1533</v>
      </c>
      <c r="F1014" s="102" t="n">
        <v>885</v>
      </c>
      <c r="G1014" s="102" t="n">
        <v>1133</v>
      </c>
      <c r="H1014" s="103" t="s">
        <v>17</v>
      </c>
      <c r="I1014" s="103">
        <f>IFERROR(VLOOKUP(A1014,#REF!,15,0),0)+IFERROR(VLOOKUP(A1014,#REF!,25,0),0)+IFERROR(VLOOKUP(A1014,#REF!,10,0),0)+IFERROR(VLOOKUP(A1014,#REF!,14,0),0)+IFERROR(VLOOKUP(A1014,#REF!,11,0),0)+IFERROR(VLOOKUP(A1014,#REF!,10,0),0)+IFERROR(VLOOKUP(A1014,#REF!,10,0),0)+IFERROR(VLOOKUP(A1014,#REF!,9,0),0)+IFERROR(VLOOKUP(A1014,#REF!,9,0),0)+IFERROR(VLOOKUP(A1014,#REF!,9,0),0)+IFERROR(VLOOKUP(A1014,#REF!,9,0),0)</f>
        <v>0</v>
      </c>
      <c r="J1014" s="104">
        <f>IFERROR(VLOOKUP(A1014,#REF!,16,0),0)+IFERROR(VLOOKUP(A1014,#REF!,26,0),0)+IFERROR(VLOOKUP(A1014,#REF!,11,0),0)+IFERROR(VLOOKUP(A1014,#REF!,23,0),0)+IFERROR(VLOOKUP(A1014,#REF!,11,0),0)+IFERROR(VLOOKUP(A1014,#REF!,11,0),0)+IFERROR(VLOOKUP(A1014,#REF!,11,0),0)</f>
        <v>0</v>
      </c>
      <c r="K1014" s="96" t="str">
        <f>"07.02.24"</f>
        <v>07.02.24</v>
      </c>
    </row>
    <row r="1015" spans="1:11" ht="11.25" customHeight="1" outlineLevel="1">
      <c r="A1015" s="89" t="n">
        <v>7088870</v>
      </c>
      <c r="B1015" s="114" t="s">
        <v>1201</v>
      </c>
      <c r="C1015" s="89" t="s">
        <v>1534</v>
      </c>
      <c r="D1015" s="89" t="s">
        <v>15</v>
      </c>
      <c r="E1015" s="89" t="s">
        <v>1535</v>
      </c>
      <c r="F1015" s="102" t="n">
        <v>1026</v>
      </c>
      <c r="G1015" s="102" t="n">
        <v>1313</v>
      </c>
      <c r="H1015" s="103" t="s">
        <v>17</v>
      </c>
      <c r="I1015" s="103">
        <f>IFERROR(VLOOKUP(A1015,#REF!,15,0),0)+IFERROR(VLOOKUP(A1015,#REF!,25,0),0)+IFERROR(VLOOKUP(A1015,#REF!,10,0),0)+IFERROR(VLOOKUP(A1015,#REF!,14,0),0)+IFERROR(VLOOKUP(A1015,#REF!,11,0),0)+IFERROR(VLOOKUP(A1015,#REF!,10,0),0)+IFERROR(VLOOKUP(A1015,#REF!,10,0),0)+IFERROR(VLOOKUP(A1015,#REF!,9,0),0)+IFERROR(VLOOKUP(A1015,#REF!,9,0),0)+IFERROR(VLOOKUP(A1015,#REF!,9,0),0)+IFERROR(VLOOKUP(A1015,#REF!,9,0),0)</f>
        <v>0</v>
      </c>
      <c r="J1015" s="104">
        <f>IFERROR(VLOOKUP(A1015,#REF!,16,0),0)+IFERROR(VLOOKUP(A1015,#REF!,26,0),0)+IFERROR(VLOOKUP(A1015,#REF!,11,0),0)+IFERROR(VLOOKUP(A1015,#REF!,23,0),0)+IFERROR(VLOOKUP(A1015,#REF!,11,0),0)+IFERROR(VLOOKUP(A1015,#REF!,11,0),0)+IFERROR(VLOOKUP(A1015,#REF!,11,0),0)</f>
        <v>0</v>
      </c>
      <c r="K1015" s="96" t="str">
        <f>"07.02.24"</f>
        <v>07.02.24</v>
      </c>
    </row>
    <row r="1016" spans="1:11" ht="11.25" customHeight="1" outlineLevel="1">
      <c r="A1016" s="89" t="n">
        <v>7088880</v>
      </c>
      <c r="B1016" s="114" t="s">
        <v>1201</v>
      </c>
      <c r="C1016" s="89" t="s">
        <v>1536</v>
      </c>
      <c r="D1016" s="89" t="s">
        <v>15</v>
      </c>
      <c r="E1016" s="89" t="s">
        <v>1537</v>
      </c>
      <c r="F1016" s="102" t="n">
        <v>1171</v>
      </c>
      <c r="G1016" s="102" t="n">
        <v>1497</v>
      </c>
      <c r="H1016" s="103" t="s">
        <v>48</v>
      </c>
      <c r="I1016" s="103">
        <f>IFERROR(VLOOKUP(A1016,#REF!,15,0),0)+IFERROR(VLOOKUP(A1016,#REF!,25,0),0)+IFERROR(VLOOKUP(A1016,#REF!,10,0),0)+IFERROR(VLOOKUP(A1016,#REF!,14,0),0)+IFERROR(VLOOKUP(A1016,#REF!,11,0),0)+IFERROR(VLOOKUP(A1016,#REF!,10,0),0)+IFERROR(VLOOKUP(A1016,#REF!,10,0),0)+IFERROR(VLOOKUP(A1016,#REF!,9,0),0)+IFERROR(VLOOKUP(A1016,#REF!,9,0),0)+IFERROR(VLOOKUP(A1016,#REF!,9,0),0)+IFERROR(VLOOKUP(A1016,#REF!,9,0),0)</f>
        <v>0</v>
      </c>
      <c r="J1016" s="104">
        <f>IFERROR(VLOOKUP(A1016,#REF!,16,0),0)+IFERROR(VLOOKUP(A1016,#REF!,26,0),0)+IFERROR(VLOOKUP(A1016,#REF!,11,0),0)+IFERROR(VLOOKUP(A1016,#REF!,23,0),0)+IFERROR(VLOOKUP(A1016,#REF!,11,0),0)+IFERROR(VLOOKUP(A1016,#REF!,11,0),0)+IFERROR(VLOOKUP(A1016,#REF!,11,0),0)</f>
        <v>0</v>
      </c>
      <c r="K1016" s="96" t="str">
        <f>"07.02.24"</f>
        <v>07.02.24</v>
      </c>
    </row>
    <row r="1017" spans="1:11" ht="11.25" customHeight="1" outlineLevel="1">
      <c r="A1017" s="89" t="n">
        <v>7088890</v>
      </c>
      <c r="B1017" s="114" t="s">
        <v>1201</v>
      </c>
      <c r="C1017" s="89" t="s">
        <v>1538</v>
      </c>
      <c r="D1017" s="89" t="s">
        <v>15</v>
      </c>
      <c r="E1017" s="89" t="s">
        <v>1539</v>
      </c>
      <c r="F1017" s="102" t="n">
        <v>1171</v>
      </c>
      <c r="G1017" s="102" t="n">
        <v>1497</v>
      </c>
      <c r="H1017" s="103" t="s">
        <v>17</v>
      </c>
      <c r="I1017" s="103">
        <f>IFERROR(VLOOKUP(A1017,#REF!,15,0),0)+IFERROR(VLOOKUP(A1017,#REF!,25,0),0)+IFERROR(VLOOKUP(A1017,#REF!,10,0),0)+IFERROR(VLOOKUP(A1017,#REF!,14,0),0)+IFERROR(VLOOKUP(A1017,#REF!,11,0),0)+IFERROR(VLOOKUP(A1017,#REF!,10,0),0)+IFERROR(VLOOKUP(A1017,#REF!,10,0),0)+IFERROR(VLOOKUP(A1017,#REF!,9,0),0)+IFERROR(VLOOKUP(A1017,#REF!,9,0),0)+IFERROR(VLOOKUP(A1017,#REF!,9,0),0)+IFERROR(VLOOKUP(A1017,#REF!,9,0),0)</f>
        <v>0</v>
      </c>
      <c r="J1017" s="104">
        <f>IFERROR(VLOOKUP(A1017,#REF!,16,0),0)+IFERROR(VLOOKUP(A1017,#REF!,26,0),0)+IFERROR(VLOOKUP(A1017,#REF!,11,0),0)+IFERROR(VLOOKUP(A1017,#REF!,23,0),0)+IFERROR(VLOOKUP(A1017,#REF!,11,0),0)+IFERROR(VLOOKUP(A1017,#REF!,11,0),0)+IFERROR(VLOOKUP(A1017,#REF!,11,0),0)</f>
        <v>0</v>
      </c>
      <c r="K1017" s="96" t="str">
        <f>"07.02.24"</f>
        <v>07.02.24</v>
      </c>
    </row>
    <row r="1018" spans="1:11" ht="11.25" customHeight="1" outlineLevel="1">
      <c r="A1018" s="89" t="n">
        <v>7088900</v>
      </c>
      <c r="B1018" s="114" t="s">
        <v>1201</v>
      </c>
      <c r="C1018" s="89" t="s">
        <v>1540</v>
      </c>
      <c r="D1018" s="89" t="s">
        <v>15</v>
      </c>
      <c r="E1018" s="89" t="s">
        <v>1541</v>
      </c>
      <c r="F1018" s="102" t="n">
        <v>1171</v>
      </c>
      <c r="G1018" s="102" t="n">
        <v>1497</v>
      </c>
      <c r="H1018" s="103" t="s">
        <v>17</v>
      </c>
      <c r="I1018" s="103">
        <f>IFERROR(VLOOKUP(A1018,#REF!,15,0),0)+IFERROR(VLOOKUP(A1018,#REF!,25,0),0)+IFERROR(VLOOKUP(A1018,#REF!,10,0),0)+IFERROR(VLOOKUP(A1018,#REF!,14,0),0)+IFERROR(VLOOKUP(A1018,#REF!,11,0),0)+IFERROR(VLOOKUP(A1018,#REF!,10,0),0)+IFERROR(VLOOKUP(A1018,#REF!,10,0),0)+IFERROR(VLOOKUP(A1018,#REF!,9,0),0)+IFERROR(VLOOKUP(A1018,#REF!,9,0),0)+IFERROR(VLOOKUP(A1018,#REF!,9,0),0)+IFERROR(VLOOKUP(A1018,#REF!,9,0),0)</f>
        <v>0</v>
      </c>
      <c r="J1018" s="104">
        <f>IFERROR(VLOOKUP(A1018,#REF!,16,0),0)+IFERROR(VLOOKUP(A1018,#REF!,26,0),0)+IFERROR(VLOOKUP(A1018,#REF!,11,0),0)+IFERROR(VLOOKUP(A1018,#REF!,23,0),0)+IFERROR(VLOOKUP(A1018,#REF!,11,0),0)+IFERROR(VLOOKUP(A1018,#REF!,11,0),0)+IFERROR(VLOOKUP(A1018,#REF!,11,0),0)</f>
        <v>0</v>
      </c>
      <c r="K1018" s="96" t="str">
        <f>"07.02.24"</f>
        <v>07.02.24</v>
      </c>
    </row>
    <row r="1019" spans="1:11" ht="11.25" customHeight="1" outlineLevel="1">
      <c r="A1019" s="89" t="n">
        <v>7088910</v>
      </c>
      <c r="B1019" s="114" t="s">
        <v>1201</v>
      </c>
      <c r="C1019" s="89" t="s">
        <v>1542</v>
      </c>
      <c r="D1019" s="89" t="s">
        <v>15</v>
      </c>
      <c r="E1019" s="89" t="s">
        <v>1543</v>
      </c>
      <c r="F1019" s="102" t="n">
        <v>1435</v>
      </c>
      <c r="G1019" s="102" t="n">
        <v>1822</v>
      </c>
      <c r="H1019" s="103" t="s">
        <v>48</v>
      </c>
      <c r="I1019" s="103">
        <f>IFERROR(VLOOKUP(A1019,#REF!,15,0),0)+IFERROR(VLOOKUP(A1019,#REF!,25,0),0)+IFERROR(VLOOKUP(A1019,#REF!,10,0),0)+IFERROR(VLOOKUP(A1019,#REF!,14,0),0)+IFERROR(VLOOKUP(A1019,#REF!,11,0),0)+IFERROR(VLOOKUP(A1019,#REF!,10,0),0)+IFERROR(VLOOKUP(A1019,#REF!,10,0),0)+IFERROR(VLOOKUP(A1019,#REF!,9,0),0)+IFERROR(VLOOKUP(A1019,#REF!,9,0),0)+IFERROR(VLOOKUP(A1019,#REF!,9,0),0)+IFERROR(VLOOKUP(A1019,#REF!,9,0),0)</f>
        <v>0</v>
      </c>
      <c r="J1019" s="104">
        <f>IFERROR(VLOOKUP(A1019,#REF!,16,0),0)+IFERROR(VLOOKUP(A1019,#REF!,26,0),0)+IFERROR(VLOOKUP(A1019,#REF!,11,0),0)+IFERROR(VLOOKUP(A1019,#REF!,23,0),0)+IFERROR(VLOOKUP(A1019,#REF!,11,0),0)+IFERROR(VLOOKUP(A1019,#REF!,11,0),0)+IFERROR(VLOOKUP(A1019,#REF!,11,0),0)</f>
        <v>0</v>
      </c>
      <c r="K1019" s="96" t="str">
        <f>"07.02.24"</f>
        <v>07.02.24</v>
      </c>
    </row>
    <row r="1020" spans="1:11" ht="11.25" customHeight="1" outlineLevel="1">
      <c r="A1020" s="89" t="n">
        <v>7088920</v>
      </c>
      <c r="B1020" s="114" t="s">
        <v>1201</v>
      </c>
      <c r="C1020" s="89" t="s">
        <v>1544</v>
      </c>
      <c r="D1020" s="89" t="s">
        <v>15</v>
      </c>
      <c r="E1020" s="89" t="s">
        <v>1545</v>
      </c>
      <c r="F1020" s="102" t="n">
        <v>1598</v>
      </c>
      <c r="G1020" s="102" t="n">
        <v>2029</v>
      </c>
      <c r="H1020" s="103" t="s">
        <v>48</v>
      </c>
      <c r="I1020" s="103">
        <f>IFERROR(VLOOKUP(A1020,#REF!,15,0),0)+IFERROR(VLOOKUP(A1020,#REF!,25,0),0)+IFERROR(VLOOKUP(A1020,#REF!,10,0),0)+IFERROR(VLOOKUP(A1020,#REF!,14,0),0)+IFERROR(VLOOKUP(A1020,#REF!,11,0),0)+IFERROR(VLOOKUP(A1020,#REF!,10,0),0)+IFERROR(VLOOKUP(A1020,#REF!,10,0),0)+IFERROR(VLOOKUP(A1020,#REF!,9,0),0)+IFERROR(VLOOKUP(A1020,#REF!,9,0),0)+IFERROR(VLOOKUP(A1020,#REF!,9,0),0)+IFERROR(VLOOKUP(A1020,#REF!,9,0),0)</f>
        <v>0</v>
      </c>
      <c r="J1020" s="104">
        <f>IFERROR(VLOOKUP(A1020,#REF!,16,0),0)+IFERROR(VLOOKUP(A1020,#REF!,26,0),0)+IFERROR(VLOOKUP(A1020,#REF!,11,0),0)+IFERROR(VLOOKUP(A1020,#REF!,23,0),0)+IFERROR(VLOOKUP(A1020,#REF!,11,0),0)+IFERROR(VLOOKUP(A1020,#REF!,11,0),0)+IFERROR(VLOOKUP(A1020,#REF!,11,0),0)</f>
        <v>0</v>
      </c>
      <c r="K1020" s="96" t="str">
        <f>"07.02.24"</f>
        <v>07.02.24</v>
      </c>
    </row>
    <row r="1021" spans="1:11" ht="11.25" customHeight="1" outlineLevel="1">
      <c r="A1021" s="89" t="n">
        <v>7088930</v>
      </c>
      <c r="B1021" s="114" t="s">
        <v>1201</v>
      </c>
      <c r="C1021" s="89" t="s">
        <v>1546</v>
      </c>
      <c r="D1021" s="89" t="s">
        <v>15</v>
      </c>
      <c r="E1021" s="89" t="s">
        <v>1547</v>
      </c>
      <c r="F1021" s="102" t="n">
        <v>3057</v>
      </c>
      <c r="G1021" s="102" t="n">
        <v>3879</v>
      </c>
      <c r="H1021" s="103" t="s">
        <v>48</v>
      </c>
      <c r="I1021" s="103">
        <f>IFERROR(VLOOKUP(A1021,#REF!,15,0),0)+IFERROR(VLOOKUP(A1021,#REF!,25,0),0)+IFERROR(VLOOKUP(A1021,#REF!,10,0),0)+IFERROR(VLOOKUP(A1021,#REF!,14,0),0)+IFERROR(VLOOKUP(A1021,#REF!,11,0),0)+IFERROR(VLOOKUP(A1021,#REF!,10,0),0)+IFERROR(VLOOKUP(A1021,#REF!,10,0),0)+IFERROR(VLOOKUP(A1021,#REF!,9,0),0)+IFERROR(VLOOKUP(A1021,#REF!,9,0),0)+IFERROR(VLOOKUP(A1021,#REF!,9,0),0)+IFERROR(VLOOKUP(A1021,#REF!,9,0),0)</f>
        <v>0</v>
      </c>
      <c r="J1021" s="104">
        <f>IFERROR(VLOOKUP(A1021,#REF!,16,0),0)+IFERROR(VLOOKUP(A1021,#REF!,26,0),0)+IFERROR(VLOOKUP(A1021,#REF!,11,0),0)+IFERROR(VLOOKUP(A1021,#REF!,23,0),0)+IFERROR(VLOOKUP(A1021,#REF!,11,0),0)+IFERROR(VLOOKUP(A1021,#REF!,11,0),0)+IFERROR(VLOOKUP(A1021,#REF!,11,0),0)</f>
        <v>0</v>
      </c>
      <c r="K1021" s="96" t="str">
        <f>"07.02.24"</f>
        <v>07.02.24</v>
      </c>
    </row>
    <row r="1022" spans="1:11" ht="11.25" customHeight="1" outlineLevel="1">
      <c r="A1022" s="89" t="n">
        <v>8077760</v>
      </c>
      <c r="B1022" s="114" t="s">
        <v>1201</v>
      </c>
      <c r="C1022" s="89" t="s">
        <v>1548</v>
      </c>
      <c r="D1022" s="89" t="s">
        <v>15</v>
      </c>
      <c r="E1022" s="89" t="s">
        <v>1549</v>
      </c>
      <c r="F1022" s="102" t="n">
        <v>1300</v>
      </c>
      <c r="G1022" s="102" t="n">
        <v>1664</v>
      </c>
      <c r="H1022" s="103" t="s">
        <v>48</v>
      </c>
      <c r="I1022" s="103">
        <f>IFERROR(VLOOKUP(A1022,#REF!,15,0),0)+IFERROR(VLOOKUP(A1022,#REF!,25,0),0)+IFERROR(VLOOKUP(A1022,#REF!,10,0),0)+IFERROR(VLOOKUP(A1022,#REF!,14,0),0)+IFERROR(VLOOKUP(A1022,#REF!,11,0),0)+IFERROR(VLOOKUP(A1022,#REF!,10,0),0)+IFERROR(VLOOKUP(A1022,#REF!,10,0),0)+IFERROR(VLOOKUP(A1022,#REF!,9,0),0)+IFERROR(VLOOKUP(A1022,#REF!,9,0),0)+IFERROR(VLOOKUP(A1022,#REF!,9,0),0)+IFERROR(VLOOKUP(A1022,#REF!,9,0),0)</f>
        <v>0</v>
      </c>
      <c r="J1022" s="104">
        <f>IFERROR(VLOOKUP(A1022,#REF!,16,0),0)+IFERROR(VLOOKUP(A1022,#REF!,26,0),0)+IFERROR(VLOOKUP(A1022,#REF!,11,0),0)+IFERROR(VLOOKUP(A1022,#REF!,23,0),0)+IFERROR(VLOOKUP(A1022,#REF!,11,0),0)+IFERROR(VLOOKUP(A1022,#REF!,11,0),0)+IFERROR(VLOOKUP(A1022,#REF!,11,0),0)</f>
        <v>0</v>
      </c>
      <c r="K1022" s="96" t="str">
        <f>"07.02.24"</f>
        <v>07.02.24</v>
      </c>
    </row>
    <row r="1023" spans="1:11" ht="11.25" customHeight="1" outlineLevel="1">
      <c r="A1023" s="89" t="n">
        <v>8077770</v>
      </c>
      <c r="B1023" s="114" t="s">
        <v>1201</v>
      </c>
      <c r="C1023" s="89" t="s">
        <v>1550</v>
      </c>
      <c r="D1023" s="89" t="s">
        <v>15</v>
      </c>
      <c r="E1023" s="89" t="s">
        <v>1551</v>
      </c>
      <c r="F1023" s="102" t="n">
        <v>1300</v>
      </c>
      <c r="G1023" s="102" t="n">
        <v>1664</v>
      </c>
      <c r="H1023" s="103" t="s">
        <v>17</v>
      </c>
      <c r="I1023" s="103">
        <f>IFERROR(VLOOKUP(A1023,#REF!,15,0),0)+IFERROR(VLOOKUP(A1023,#REF!,25,0),0)+IFERROR(VLOOKUP(A1023,#REF!,10,0),0)+IFERROR(VLOOKUP(A1023,#REF!,14,0),0)+IFERROR(VLOOKUP(A1023,#REF!,11,0),0)+IFERROR(VLOOKUP(A1023,#REF!,10,0),0)+IFERROR(VLOOKUP(A1023,#REF!,10,0),0)+IFERROR(VLOOKUP(A1023,#REF!,9,0),0)+IFERROR(VLOOKUP(A1023,#REF!,9,0),0)+IFERROR(VLOOKUP(A1023,#REF!,9,0),0)+IFERROR(VLOOKUP(A1023,#REF!,9,0),0)</f>
        <v>0</v>
      </c>
      <c r="J1023" s="104">
        <f>IFERROR(VLOOKUP(A1023,#REF!,16,0),0)+IFERROR(VLOOKUP(A1023,#REF!,26,0),0)+IFERROR(VLOOKUP(A1023,#REF!,11,0),0)+IFERROR(VLOOKUP(A1023,#REF!,23,0),0)+IFERROR(VLOOKUP(A1023,#REF!,11,0),0)+IFERROR(VLOOKUP(A1023,#REF!,11,0),0)+IFERROR(VLOOKUP(A1023,#REF!,11,0),0)</f>
        <v>0</v>
      </c>
      <c r="K1023" s="96" t="str">
        <f>"07.02.24"</f>
        <v>07.02.24</v>
      </c>
    </row>
    <row r="1024" spans="1:11" ht="11.25" customHeight="1" outlineLevel="1">
      <c r="A1024" s="89" t="n">
        <v>8077790</v>
      </c>
      <c r="B1024" s="114" t="s">
        <v>1201</v>
      </c>
      <c r="C1024" s="89" t="s">
        <v>1552</v>
      </c>
      <c r="D1024" s="89" t="s">
        <v>15</v>
      </c>
      <c r="E1024" s="89" t="s">
        <v>1553</v>
      </c>
      <c r="F1024" s="102" t="n">
        <v>1346</v>
      </c>
      <c r="G1024" s="102" t="n">
        <v>1720</v>
      </c>
      <c r="H1024" s="103" t="s">
        <v>48</v>
      </c>
      <c r="I1024" s="103">
        <f>IFERROR(VLOOKUP(A1024,#REF!,15,0),0)+IFERROR(VLOOKUP(A1024,#REF!,25,0),0)+IFERROR(VLOOKUP(A1024,#REF!,10,0),0)+IFERROR(VLOOKUP(A1024,#REF!,14,0),0)+IFERROR(VLOOKUP(A1024,#REF!,11,0),0)+IFERROR(VLOOKUP(A1024,#REF!,10,0),0)+IFERROR(VLOOKUP(A1024,#REF!,10,0),0)+IFERROR(VLOOKUP(A1024,#REF!,9,0),0)+IFERROR(VLOOKUP(A1024,#REF!,9,0),0)+IFERROR(VLOOKUP(A1024,#REF!,9,0),0)+IFERROR(VLOOKUP(A1024,#REF!,9,0),0)</f>
        <v>0</v>
      </c>
      <c r="J1024" s="104">
        <f>IFERROR(VLOOKUP(A1024,#REF!,16,0),0)+IFERROR(VLOOKUP(A1024,#REF!,26,0),0)+IFERROR(VLOOKUP(A1024,#REF!,11,0),0)+IFERROR(VLOOKUP(A1024,#REF!,23,0),0)+IFERROR(VLOOKUP(A1024,#REF!,11,0),0)+IFERROR(VLOOKUP(A1024,#REF!,11,0),0)+IFERROR(VLOOKUP(A1024,#REF!,11,0),0)</f>
        <v>0</v>
      </c>
      <c r="K1024" s="96" t="str">
        <f>"07.02.24"</f>
        <v>07.02.24</v>
      </c>
    </row>
    <row r="1025" spans="1:11" ht="11.25" customHeight="1" outlineLevel="1">
      <c r="A1025" s="89" t="n">
        <v>8077800</v>
      </c>
      <c r="B1025" s="114" t="s">
        <v>1201</v>
      </c>
      <c r="C1025" s="89" t="s">
        <v>1554</v>
      </c>
      <c r="D1025" s="89" t="s">
        <v>15</v>
      </c>
      <c r="E1025" s="89" t="s">
        <v>1555</v>
      </c>
      <c r="F1025" s="102" t="n">
        <v>1363</v>
      </c>
      <c r="G1025" s="102" t="n">
        <v>1745</v>
      </c>
      <c r="H1025" s="103" t="s">
        <v>48</v>
      </c>
      <c r="I1025" s="103">
        <f>IFERROR(VLOOKUP(A1025,#REF!,15,0),0)+IFERROR(VLOOKUP(A1025,#REF!,25,0),0)+IFERROR(VLOOKUP(A1025,#REF!,10,0),0)+IFERROR(VLOOKUP(A1025,#REF!,14,0),0)+IFERROR(VLOOKUP(A1025,#REF!,11,0),0)+IFERROR(VLOOKUP(A1025,#REF!,10,0),0)+IFERROR(VLOOKUP(A1025,#REF!,10,0),0)+IFERROR(VLOOKUP(A1025,#REF!,9,0),0)+IFERROR(VLOOKUP(A1025,#REF!,9,0),0)+IFERROR(VLOOKUP(A1025,#REF!,9,0),0)+IFERROR(VLOOKUP(A1025,#REF!,9,0),0)</f>
        <v>0</v>
      </c>
      <c r="J1025" s="104">
        <f>IFERROR(VLOOKUP(A1025,#REF!,16,0),0)+IFERROR(VLOOKUP(A1025,#REF!,26,0),0)+IFERROR(VLOOKUP(A1025,#REF!,11,0),0)+IFERROR(VLOOKUP(A1025,#REF!,23,0),0)+IFERROR(VLOOKUP(A1025,#REF!,11,0),0)+IFERROR(VLOOKUP(A1025,#REF!,11,0),0)+IFERROR(VLOOKUP(A1025,#REF!,11,0),0)</f>
        <v>0</v>
      </c>
      <c r="K1025" s="96" t="str">
        <f>"07.02.24"</f>
        <v>07.02.24</v>
      </c>
    </row>
    <row r="1026" spans="1:11" ht="11.25" customHeight="1" outlineLevel="1">
      <c r="A1026" s="89" t="n">
        <v>8077810</v>
      </c>
      <c r="B1026" s="114" t="s">
        <v>1201</v>
      </c>
      <c r="C1026" s="89" t="s">
        <v>1556</v>
      </c>
      <c r="D1026" s="89" t="s">
        <v>15</v>
      </c>
      <c r="E1026" s="89" t="s">
        <v>1557</v>
      </c>
      <c r="F1026" s="102" t="n">
        <v>1484</v>
      </c>
      <c r="G1026" s="102" t="n">
        <v>1901</v>
      </c>
      <c r="H1026" s="103" t="s">
        <v>17</v>
      </c>
      <c r="I1026" s="103">
        <f>IFERROR(VLOOKUP(A1026,#REF!,15,0),0)+IFERROR(VLOOKUP(A1026,#REF!,25,0),0)+IFERROR(VLOOKUP(A1026,#REF!,10,0),0)+IFERROR(VLOOKUP(A1026,#REF!,14,0),0)+IFERROR(VLOOKUP(A1026,#REF!,11,0),0)+IFERROR(VLOOKUP(A1026,#REF!,10,0),0)+IFERROR(VLOOKUP(A1026,#REF!,10,0),0)+IFERROR(VLOOKUP(A1026,#REF!,9,0),0)+IFERROR(VLOOKUP(A1026,#REF!,9,0),0)+IFERROR(VLOOKUP(A1026,#REF!,9,0),0)+IFERROR(VLOOKUP(A1026,#REF!,9,0),0)</f>
        <v>0</v>
      </c>
      <c r="J1026" s="104">
        <f>IFERROR(VLOOKUP(A1026,#REF!,16,0),0)+IFERROR(VLOOKUP(A1026,#REF!,26,0),0)+IFERROR(VLOOKUP(A1026,#REF!,11,0),0)+IFERROR(VLOOKUP(A1026,#REF!,23,0),0)+IFERROR(VLOOKUP(A1026,#REF!,11,0),0)+IFERROR(VLOOKUP(A1026,#REF!,11,0),0)+IFERROR(VLOOKUP(A1026,#REF!,11,0),0)</f>
        <v>0</v>
      </c>
      <c r="K1026" s="96" t="str">
        <f>"07.02.24"</f>
        <v>07.02.24</v>
      </c>
    </row>
    <row r="1027" spans="1:11" ht="11.25" customHeight="1" outlineLevel="1">
      <c r="A1027" s="89" t="n">
        <v>8077820</v>
      </c>
      <c r="B1027" s="114" t="s">
        <v>1201</v>
      </c>
      <c r="C1027" s="89" t="s">
        <v>1558</v>
      </c>
      <c r="D1027" s="89" t="s">
        <v>15</v>
      </c>
      <c r="E1027" s="89" t="s">
        <v>1559</v>
      </c>
      <c r="F1027" s="102" t="n">
        <v>1871</v>
      </c>
      <c r="G1027" s="102" t="n">
        <v>2394</v>
      </c>
      <c r="H1027" s="103" t="s">
        <v>17</v>
      </c>
      <c r="I1027" s="103">
        <f>IFERROR(VLOOKUP(A1027,#REF!,15,0),0)+IFERROR(VLOOKUP(A1027,#REF!,25,0),0)+IFERROR(VLOOKUP(A1027,#REF!,10,0),0)+IFERROR(VLOOKUP(A1027,#REF!,14,0),0)+IFERROR(VLOOKUP(A1027,#REF!,11,0),0)+IFERROR(VLOOKUP(A1027,#REF!,10,0),0)+IFERROR(VLOOKUP(A1027,#REF!,10,0),0)+IFERROR(VLOOKUP(A1027,#REF!,9,0),0)+IFERROR(VLOOKUP(A1027,#REF!,9,0),0)+IFERROR(VLOOKUP(A1027,#REF!,9,0),0)+IFERROR(VLOOKUP(A1027,#REF!,9,0),0)</f>
        <v>0</v>
      </c>
      <c r="J1027" s="104">
        <f>IFERROR(VLOOKUP(A1027,#REF!,16,0),0)+IFERROR(VLOOKUP(A1027,#REF!,26,0),0)+IFERROR(VLOOKUP(A1027,#REF!,11,0),0)+IFERROR(VLOOKUP(A1027,#REF!,23,0),0)+IFERROR(VLOOKUP(A1027,#REF!,11,0),0)+IFERROR(VLOOKUP(A1027,#REF!,11,0),0)+IFERROR(VLOOKUP(A1027,#REF!,11,0),0)</f>
        <v>0</v>
      </c>
      <c r="K1027" s="96" t="str">
        <f>"07.02.24"</f>
        <v>07.02.24</v>
      </c>
    </row>
    <row r="1028" spans="1:11" ht="11.25" customHeight="1" outlineLevel="1">
      <c r="A1028" s="89" t="n">
        <v>8077830</v>
      </c>
      <c r="B1028" s="114" t="s">
        <v>1201</v>
      </c>
      <c r="C1028" s="89" t="s">
        <v>1560</v>
      </c>
      <c r="D1028" s="89" t="s">
        <v>15</v>
      </c>
      <c r="E1028" s="89" t="s">
        <v>1561</v>
      </c>
      <c r="F1028" s="102" t="n">
        <v>1502</v>
      </c>
      <c r="G1028" s="102" t="n">
        <v>1998</v>
      </c>
      <c r="H1028" s="103" t="s">
        <v>48</v>
      </c>
      <c r="I1028" s="103">
        <f>IFERROR(VLOOKUP(A1028,#REF!,15,0),0)+IFERROR(VLOOKUP(A1028,#REF!,25,0),0)+IFERROR(VLOOKUP(A1028,#REF!,10,0),0)+IFERROR(VLOOKUP(A1028,#REF!,14,0),0)+IFERROR(VLOOKUP(A1028,#REF!,11,0),0)+IFERROR(VLOOKUP(A1028,#REF!,10,0),0)+IFERROR(VLOOKUP(A1028,#REF!,10,0),0)+IFERROR(VLOOKUP(A1028,#REF!,9,0),0)+IFERROR(VLOOKUP(A1028,#REF!,9,0),0)+IFERROR(VLOOKUP(A1028,#REF!,9,0),0)+IFERROR(VLOOKUP(A1028,#REF!,9,0),0)</f>
        <v>0</v>
      </c>
      <c r="J1028" s="104">
        <f>IFERROR(VLOOKUP(A1028,#REF!,16,0),0)+IFERROR(VLOOKUP(A1028,#REF!,26,0),0)+IFERROR(VLOOKUP(A1028,#REF!,11,0),0)+IFERROR(VLOOKUP(A1028,#REF!,23,0),0)+IFERROR(VLOOKUP(A1028,#REF!,11,0),0)+IFERROR(VLOOKUP(A1028,#REF!,11,0),0)+IFERROR(VLOOKUP(A1028,#REF!,11,0),0)</f>
        <v>0</v>
      </c>
      <c r="K1028" s="96" t="str">
        <f>"07.02.24"</f>
        <v>07.02.24</v>
      </c>
    </row>
    <row r="1029" spans="1:11" ht="11.25" customHeight="1" outlineLevel="1">
      <c r="A1029" s="89" t="n">
        <v>8077840</v>
      </c>
      <c r="B1029" s="114" t="s">
        <v>1201</v>
      </c>
      <c r="C1029" s="89" t="s">
        <v>1562</v>
      </c>
      <c r="D1029" s="89" t="s">
        <v>15</v>
      </c>
      <c r="E1029" s="89" t="s">
        <v>1563</v>
      </c>
      <c r="F1029" s="102" t="n">
        <v>1522</v>
      </c>
      <c r="G1029" s="102" t="n">
        <v>1949</v>
      </c>
      <c r="H1029" s="103" t="s">
        <v>48</v>
      </c>
      <c r="I1029" s="103">
        <f>IFERROR(VLOOKUP(A1029,#REF!,15,0),0)+IFERROR(VLOOKUP(A1029,#REF!,25,0),0)+IFERROR(VLOOKUP(A1029,#REF!,10,0),0)+IFERROR(VLOOKUP(A1029,#REF!,14,0),0)+IFERROR(VLOOKUP(A1029,#REF!,11,0),0)+IFERROR(VLOOKUP(A1029,#REF!,10,0),0)+IFERROR(VLOOKUP(A1029,#REF!,10,0),0)+IFERROR(VLOOKUP(A1029,#REF!,9,0),0)+IFERROR(VLOOKUP(A1029,#REF!,9,0),0)+IFERROR(VLOOKUP(A1029,#REF!,9,0),0)+IFERROR(VLOOKUP(A1029,#REF!,9,0),0)</f>
        <v>0</v>
      </c>
      <c r="J1029" s="104">
        <f>IFERROR(VLOOKUP(A1029,#REF!,16,0),0)+IFERROR(VLOOKUP(A1029,#REF!,26,0),0)+IFERROR(VLOOKUP(A1029,#REF!,11,0),0)+IFERROR(VLOOKUP(A1029,#REF!,23,0),0)+IFERROR(VLOOKUP(A1029,#REF!,11,0),0)+IFERROR(VLOOKUP(A1029,#REF!,11,0),0)+IFERROR(VLOOKUP(A1029,#REF!,11,0),0)</f>
        <v>0</v>
      </c>
      <c r="K1029" s="96" t="str">
        <f>"07.02.24"</f>
        <v>07.02.24</v>
      </c>
    </row>
    <row r="1030" spans="1:11" ht="11.25" customHeight="1" outlineLevel="1">
      <c r="A1030" s="89" t="n">
        <v>8077850</v>
      </c>
      <c r="B1030" s="114" t="s">
        <v>1201</v>
      </c>
      <c r="C1030" s="89" t="s">
        <v>1564</v>
      </c>
      <c r="D1030" s="89" t="s">
        <v>15</v>
      </c>
      <c r="E1030" s="89" t="s">
        <v>1565</v>
      </c>
      <c r="F1030" s="102" t="n">
        <v>1776</v>
      </c>
      <c r="G1030" s="102" t="n">
        <v>2360</v>
      </c>
      <c r="H1030" s="103" t="s">
        <v>48</v>
      </c>
      <c r="I1030" s="103">
        <f>IFERROR(VLOOKUP(A1030,#REF!,15,0),0)+IFERROR(VLOOKUP(A1030,#REF!,25,0),0)+IFERROR(VLOOKUP(A1030,#REF!,10,0),0)+IFERROR(VLOOKUP(A1030,#REF!,14,0),0)+IFERROR(VLOOKUP(A1030,#REF!,11,0),0)+IFERROR(VLOOKUP(A1030,#REF!,10,0),0)+IFERROR(VLOOKUP(A1030,#REF!,10,0),0)+IFERROR(VLOOKUP(A1030,#REF!,9,0),0)+IFERROR(VLOOKUP(A1030,#REF!,9,0),0)+IFERROR(VLOOKUP(A1030,#REF!,9,0),0)+IFERROR(VLOOKUP(A1030,#REF!,9,0),0)</f>
        <v>0</v>
      </c>
      <c r="J1030" s="104">
        <f>IFERROR(VLOOKUP(A1030,#REF!,16,0),0)+IFERROR(VLOOKUP(A1030,#REF!,26,0),0)+IFERROR(VLOOKUP(A1030,#REF!,11,0),0)+IFERROR(VLOOKUP(A1030,#REF!,23,0),0)+IFERROR(VLOOKUP(A1030,#REF!,11,0),0)+IFERROR(VLOOKUP(A1030,#REF!,11,0),0)+IFERROR(VLOOKUP(A1030,#REF!,11,0),0)</f>
        <v>0</v>
      </c>
      <c r="K1030" s="96" t="str">
        <f>"07.02.24"</f>
        <v>07.02.24</v>
      </c>
    </row>
    <row r="1031" spans="1:11" ht="11.25" customHeight="1" outlineLevel="1">
      <c r="A1031" s="89" t="n">
        <v>8077860</v>
      </c>
      <c r="B1031" s="114" t="s">
        <v>1201</v>
      </c>
      <c r="C1031" s="89" t="s">
        <v>1566</v>
      </c>
      <c r="D1031" s="89" t="s">
        <v>15</v>
      </c>
      <c r="E1031" s="89" t="s">
        <v>1567</v>
      </c>
      <c r="F1031" s="102" t="n">
        <v>3399</v>
      </c>
      <c r="G1031" s="102" t="n">
        <v>4347</v>
      </c>
      <c r="H1031" s="103" t="s">
        <v>48</v>
      </c>
      <c r="I1031" s="103">
        <f>IFERROR(VLOOKUP(A1031,#REF!,15,0),0)+IFERROR(VLOOKUP(A1031,#REF!,25,0),0)+IFERROR(VLOOKUP(A1031,#REF!,10,0),0)+IFERROR(VLOOKUP(A1031,#REF!,14,0),0)+IFERROR(VLOOKUP(A1031,#REF!,11,0),0)+IFERROR(VLOOKUP(A1031,#REF!,10,0),0)+IFERROR(VLOOKUP(A1031,#REF!,10,0),0)+IFERROR(VLOOKUP(A1031,#REF!,9,0),0)+IFERROR(VLOOKUP(A1031,#REF!,9,0),0)+IFERROR(VLOOKUP(A1031,#REF!,9,0),0)+IFERROR(VLOOKUP(A1031,#REF!,9,0),0)</f>
        <v>0</v>
      </c>
      <c r="J1031" s="104">
        <f>IFERROR(VLOOKUP(A1031,#REF!,16,0),0)+IFERROR(VLOOKUP(A1031,#REF!,26,0),0)+IFERROR(VLOOKUP(A1031,#REF!,11,0),0)+IFERROR(VLOOKUP(A1031,#REF!,23,0),0)+IFERROR(VLOOKUP(A1031,#REF!,11,0),0)+IFERROR(VLOOKUP(A1031,#REF!,11,0),0)+IFERROR(VLOOKUP(A1031,#REF!,11,0),0)</f>
        <v>0</v>
      </c>
      <c r="K1031" s="96" t="str">
        <f>"07.02.24"</f>
        <v>07.02.24</v>
      </c>
    </row>
    <row r="1032" spans="1:11" ht="11.25" customHeight="1" outlineLevel="1">
      <c r="A1032" s="89" t="n">
        <v>8077870</v>
      </c>
      <c r="B1032" s="114" t="s">
        <v>1201</v>
      </c>
      <c r="C1032" s="89" t="s">
        <v>1568</v>
      </c>
      <c r="D1032" s="89" t="s">
        <v>15</v>
      </c>
      <c r="E1032" s="89" t="s">
        <v>1569</v>
      </c>
      <c r="F1032" s="102" t="n">
        <v>3399</v>
      </c>
      <c r="G1032" s="102" t="n">
        <v>4347</v>
      </c>
      <c r="H1032" s="103" t="s">
        <v>17</v>
      </c>
      <c r="I1032" s="103">
        <f>IFERROR(VLOOKUP(A1032,#REF!,15,0),0)+IFERROR(VLOOKUP(A1032,#REF!,25,0),0)+IFERROR(VLOOKUP(A1032,#REF!,10,0),0)+IFERROR(VLOOKUP(A1032,#REF!,14,0),0)+IFERROR(VLOOKUP(A1032,#REF!,11,0),0)+IFERROR(VLOOKUP(A1032,#REF!,10,0),0)+IFERROR(VLOOKUP(A1032,#REF!,10,0),0)+IFERROR(VLOOKUP(A1032,#REF!,9,0),0)+IFERROR(VLOOKUP(A1032,#REF!,9,0),0)+IFERROR(VLOOKUP(A1032,#REF!,9,0),0)+IFERROR(VLOOKUP(A1032,#REF!,9,0),0)</f>
        <v>0</v>
      </c>
      <c r="J1032" s="104">
        <f>IFERROR(VLOOKUP(A1032,#REF!,16,0),0)+IFERROR(VLOOKUP(A1032,#REF!,26,0),0)+IFERROR(VLOOKUP(A1032,#REF!,11,0),0)+IFERROR(VLOOKUP(A1032,#REF!,23,0),0)+IFERROR(VLOOKUP(A1032,#REF!,11,0),0)+IFERROR(VLOOKUP(A1032,#REF!,11,0),0)+IFERROR(VLOOKUP(A1032,#REF!,11,0),0)</f>
        <v>0</v>
      </c>
      <c r="K1032" s="96" t="str">
        <f>"07.02.24"</f>
        <v>07.02.24</v>
      </c>
    </row>
    <row r="1033" spans="1:11" ht="11.25" customHeight="1" outlineLevel="1">
      <c r="A1033" s="89" t="n">
        <v>8077880</v>
      </c>
      <c r="B1033" s="114" t="s">
        <v>1201</v>
      </c>
      <c r="C1033" s="89" t="s">
        <v>1570</v>
      </c>
      <c r="D1033" s="89" t="s">
        <v>15</v>
      </c>
      <c r="E1033" s="89" t="s">
        <v>1571</v>
      </c>
      <c r="F1033" s="102" t="n">
        <v>2952</v>
      </c>
      <c r="G1033" s="102" t="n">
        <v>3779</v>
      </c>
      <c r="H1033" s="103" t="s">
        <v>48</v>
      </c>
      <c r="I1033" s="103">
        <f>IFERROR(VLOOKUP(A1033,#REF!,15,0),0)+IFERROR(VLOOKUP(A1033,#REF!,25,0),0)+IFERROR(VLOOKUP(A1033,#REF!,10,0),0)+IFERROR(VLOOKUP(A1033,#REF!,14,0),0)+IFERROR(VLOOKUP(A1033,#REF!,11,0),0)+IFERROR(VLOOKUP(A1033,#REF!,10,0),0)+IFERROR(VLOOKUP(A1033,#REF!,10,0),0)+IFERROR(VLOOKUP(A1033,#REF!,9,0),0)+IFERROR(VLOOKUP(A1033,#REF!,9,0),0)+IFERROR(VLOOKUP(A1033,#REF!,9,0),0)+IFERROR(VLOOKUP(A1033,#REF!,9,0),0)</f>
        <v>0</v>
      </c>
      <c r="J1033" s="104">
        <f>IFERROR(VLOOKUP(A1033,#REF!,16,0),0)+IFERROR(VLOOKUP(A1033,#REF!,26,0),0)+IFERROR(VLOOKUP(A1033,#REF!,11,0),0)+IFERROR(VLOOKUP(A1033,#REF!,23,0),0)+IFERROR(VLOOKUP(A1033,#REF!,11,0),0)+IFERROR(VLOOKUP(A1033,#REF!,11,0),0)+IFERROR(VLOOKUP(A1033,#REF!,11,0),0)</f>
        <v>0</v>
      </c>
      <c r="K1033" s="96" t="str">
        <f>"07.02.24"</f>
        <v>07.02.24</v>
      </c>
    </row>
    <row r="1034" spans="1:11" ht="11.25" customHeight="1" outlineLevel="1">
      <c r="A1034" s="89" t="n">
        <v>8077890</v>
      </c>
      <c r="B1034" s="114" t="s">
        <v>1201</v>
      </c>
      <c r="C1034" s="89" t="s">
        <v>1572</v>
      </c>
      <c r="D1034" s="89" t="s">
        <v>15</v>
      </c>
      <c r="E1034" s="89" t="s">
        <v>1573</v>
      </c>
      <c r="F1034" s="102" t="n">
        <v>2952</v>
      </c>
      <c r="G1034" s="102" t="n">
        <v>3779</v>
      </c>
      <c r="H1034" s="103" t="s">
        <v>48</v>
      </c>
      <c r="I1034" s="103">
        <f>IFERROR(VLOOKUP(A1034,#REF!,15,0),0)+IFERROR(VLOOKUP(A1034,#REF!,25,0),0)+IFERROR(VLOOKUP(A1034,#REF!,10,0),0)+IFERROR(VLOOKUP(A1034,#REF!,14,0),0)+IFERROR(VLOOKUP(A1034,#REF!,11,0),0)+IFERROR(VLOOKUP(A1034,#REF!,10,0),0)+IFERROR(VLOOKUP(A1034,#REF!,10,0),0)+IFERROR(VLOOKUP(A1034,#REF!,9,0),0)+IFERROR(VLOOKUP(A1034,#REF!,9,0),0)+IFERROR(VLOOKUP(A1034,#REF!,9,0),0)+IFERROR(VLOOKUP(A1034,#REF!,9,0),0)</f>
        <v>0</v>
      </c>
      <c r="J1034" s="104">
        <f>IFERROR(VLOOKUP(A1034,#REF!,16,0),0)+IFERROR(VLOOKUP(A1034,#REF!,26,0),0)+IFERROR(VLOOKUP(A1034,#REF!,11,0),0)+IFERROR(VLOOKUP(A1034,#REF!,23,0),0)+IFERROR(VLOOKUP(A1034,#REF!,11,0),0)+IFERROR(VLOOKUP(A1034,#REF!,11,0),0)+IFERROR(VLOOKUP(A1034,#REF!,11,0),0)</f>
        <v>0</v>
      </c>
      <c r="K1034" s="96" t="str">
        <f>"07.02.24"</f>
        <v>07.02.24</v>
      </c>
    </row>
    <row r="1035" spans="1:11" ht="11.25" customHeight="1" outlineLevel="1">
      <c r="A1035" s="89" t="n">
        <v>8077900</v>
      </c>
      <c r="B1035" s="114" t="s">
        <v>1201</v>
      </c>
      <c r="C1035" s="89" t="s">
        <v>1574</v>
      </c>
      <c r="D1035" s="89" t="s">
        <v>15</v>
      </c>
      <c r="E1035" s="89" t="s">
        <v>1575</v>
      </c>
      <c r="F1035" s="102" t="n">
        <v>2952</v>
      </c>
      <c r="G1035" s="102" t="n">
        <v>3779</v>
      </c>
      <c r="H1035" s="103" t="s">
        <v>17</v>
      </c>
      <c r="I1035" s="103">
        <f>IFERROR(VLOOKUP(A1035,#REF!,15,0),0)+IFERROR(VLOOKUP(A1035,#REF!,25,0),0)+IFERROR(VLOOKUP(A1035,#REF!,10,0),0)+IFERROR(VLOOKUP(A1035,#REF!,14,0),0)+IFERROR(VLOOKUP(A1035,#REF!,11,0),0)+IFERROR(VLOOKUP(A1035,#REF!,10,0),0)+IFERROR(VLOOKUP(A1035,#REF!,10,0),0)+IFERROR(VLOOKUP(A1035,#REF!,9,0),0)+IFERROR(VLOOKUP(A1035,#REF!,9,0),0)+IFERROR(VLOOKUP(A1035,#REF!,9,0),0)+IFERROR(VLOOKUP(A1035,#REF!,9,0),0)</f>
        <v>0</v>
      </c>
      <c r="J1035" s="104">
        <f>IFERROR(VLOOKUP(A1035,#REF!,16,0),0)+IFERROR(VLOOKUP(A1035,#REF!,26,0),0)+IFERROR(VLOOKUP(A1035,#REF!,11,0),0)+IFERROR(VLOOKUP(A1035,#REF!,23,0),0)+IFERROR(VLOOKUP(A1035,#REF!,11,0),0)+IFERROR(VLOOKUP(A1035,#REF!,11,0),0)+IFERROR(VLOOKUP(A1035,#REF!,11,0),0)</f>
        <v>0</v>
      </c>
      <c r="K1035" s="96" t="str">
        <f>"07.02.24"</f>
        <v>07.02.24</v>
      </c>
    </row>
    <row r="1036" spans="1:11" ht="11.25" customHeight="1" outlineLevel="1">
      <c r="A1036" s="89" t="n">
        <v>8077910</v>
      </c>
      <c r="B1036" s="114" t="s">
        <v>1201</v>
      </c>
      <c r="C1036" s="89" t="s">
        <v>1576</v>
      </c>
      <c r="D1036" s="89" t="s">
        <v>15</v>
      </c>
      <c r="E1036" s="89" t="s">
        <v>1577</v>
      </c>
      <c r="F1036" s="102" t="n">
        <v>3263</v>
      </c>
      <c r="G1036" s="102" t="n">
        <v>4172</v>
      </c>
      <c r="H1036" s="103" t="s">
        <v>48</v>
      </c>
      <c r="I1036" s="103">
        <f>IFERROR(VLOOKUP(A1036,#REF!,15,0),0)+IFERROR(VLOOKUP(A1036,#REF!,25,0),0)+IFERROR(VLOOKUP(A1036,#REF!,10,0),0)+IFERROR(VLOOKUP(A1036,#REF!,14,0),0)+IFERROR(VLOOKUP(A1036,#REF!,11,0),0)+IFERROR(VLOOKUP(A1036,#REF!,10,0),0)+IFERROR(VLOOKUP(A1036,#REF!,10,0),0)+IFERROR(VLOOKUP(A1036,#REF!,9,0),0)+IFERROR(VLOOKUP(A1036,#REF!,9,0),0)+IFERROR(VLOOKUP(A1036,#REF!,9,0),0)+IFERROR(VLOOKUP(A1036,#REF!,9,0),0)</f>
        <v>0</v>
      </c>
      <c r="J1036" s="104">
        <f>IFERROR(VLOOKUP(A1036,#REF!,16,0),0)+IFERROR(VLOOKUP(A1036,#REF!,26,0),0)+IFERROR(VLOOKUP(A1036,#REF!,11,0),0)+IFERROR(VLOOKUP(A1036,#REF!,23,0),0)+IFERROR(VLOOKUP(A1036,#REF!,11,0),0)+IFERROR(VLOOKUP(A1036,#REF!,11,0),0)+IFERROR(VLOOKUP(A1036,#REF!,11,0),0)</f>
        <v>0</v>
      </c>
      <c r="K1036" s="96" t="str">
        <f>"07.02.24"</f>
        <v>07.02.24</v>
      </c>
    </row>
    <row r="1037" spans="1:11" ht="11.25" customHeight="1" outlineLevel="1">
      <c r="A1037" s="89" t="n">
        <v>8077920</v>
      </c>
      <c r="B1037" s="114" t="s">
        <v>1201</v>
      </c>
      <c r="C1037" s="89" t="s">
        <v>1578</v>
      </c>
      <c r="D1037" s="89" t="s">
        <v>15</v>
      </c>
      <c r="E1037" s="89" t="s">
        <v>1579</v>
      </c>
      <c r="F1037" s="102" t="n">
        <v>3578</v>
      </c>
      <c r="G1037" s="102" t="n">
        <v>4576</v>
      </c>
      <c r="H1037" s="103" t="s">
        <v>48</v>
      </c>
      <c r="I1037" s="103">
        <f>IFERROR(VLOOKUP(A1037,#REF!,15,0),0)+IFERROR(VLOOKUP(A1037,#REF!,25,0),0)+IFERROR(VLOOKUP(A1037,#REF!,10,0),0)+IFERROR(VLOOKUP(A1037,#REF!,14,0),0)+IFERROR(VLOOKUP(A1037,#REF!,11,0),0)+IFERROR(VLOOKUP(A1037,#REF!,10,0),0)+IFERROR(VLOOKUP(A1037,#REF!,10,0),0)+IFERROR(VLOOKUP(A1037,#REF!,9,0),0)+IFERROR(VLOOKUP(A1037,#REF!,9,0),0)+IFERROR(VLOOKUP(A1037,#REF!,9,0),0)+IFERROR(VLOOKUP(A1037,#REF!,9,0),0)</f>
        <v>0</v>
      </c>
      <c r="J1037" s="104">
        <f>IFERROR(VLOOKUP(A1037,#REF!,16,0),0)+IFERROR(VLOOKUP(A1037,#REF!,26,0),0)+IFERROR(VLOOKUP(A1037,#REF!,11,0),0)+IFERROR(VLOOKUP(A1037,#REF!,23,0),0)+IFERROR(VLOOKUP(A1037,#REF!,11,0),0)+IFERROR(VLOOKUP(A1037,#REF!,11,0),0)+IFERROR(VLOOKUP(A1037,#REF!,11,0),0)</f>
        <v>0</v>
      </c>
      <c r="K1037" s="96" t="str">
        <f>"07.02.24"</f>
        <v>07.02.24</v>
      </c>
    </row>
    <row r="1038" spans="1:11" ht="11.25" customHeight="1" outlineLevel="1">
      <c r="A1038" s="89" t="n">
        <v>8077930</v>
      </c>
      <c r="B1038" s="114" t="s">
        <v>1201</v>
      </c>
      <c r="C1038" s="89" t="s">
        <v>1580</v>
      </c>
      <c r="D1038" s="89" t="s">
        <v>15</v>
      </c>
      <c r="E1038" s="89" t="s">
        <v>1581</v>
      </c>
      <c r="F1038" s="102" t="n">
        <v>2930</v>
      </c>
      <c r="G1038" s="102" t="n">
        <v>3749</v>
      </c>
      <c r="H1038" s="103" t="s">
        <v>48</v>
      </c>
      <c r="I1038" s="103">
        <f>IFERROR(VLOOKUP(A1038,#REF!,15,0),0)+IFERROR(VLOOKUP(A1038,#REF!,25,0),0)+IFERROR(VLOOKUP(A1038,#REF!,10,0),0)+IFERROR(VLOOKUP(A1038,#REF!,14,0),0)+IFERROR(VLOOKUP(A1038,#REF!,11,0),0)+IFERROR(VLOOKUP(A1038,#REF!,10,0),0)+IFERROR(VLOOKUP(A1038,#REF!,10,0),0)+IFERROR(VLOOKUP(A1038,#REF!,9,0),0)+IFERROR(VLOOKUP(A1038,#REF!,9,0),0)+IFERROR(VLOOKUP(A1038,#REF!,9,0),0)+IFERROR(VLOOKUP(A1038,#REF!,9,0),0)</f>
        <v>0</v>
      </c>
      <c r="J1038" s="104">
        <f>IFERROR(VLOOKUP(A1038,#REF!,16,0),0)+IFERROR(VLOOKUP(A1038,#REF!,26,0),0)+IFERROR(VLOOKUP(A1038,#REF!,11,0),0)+IFERROR(VLOOKUP(A1038,#REF!,23,0),0)+IFERROR(VLOOKUP(A1038,#REF!,11,0),0)+IFERROR(VLOOKUP(A1038,#REF!,11,0),0)+IFERROR(VLOOKUP(A1038,#REF!,11,0),0)</f>
        <v>0</v>
      </c>
      <c r="K1038" s="96" t="str">
        <f>"07.02.24"</f>
        <v>07.02.24</v>
      </c>
    </row>
    <row r="1039" spans="1:11" ht="11.25" customHeight="1" outlineLevel="1">
      <c r="A1039" s="89" t="n">
        <v>8077940</v>
      </c>
      <c r="B1039" s="114" t="s">
        <v>1201</v>
      </c>
      <c r="C1039" s="89" t="s">
        <v>1582</v>
      </c>
      <c r="D1039" s="89" t="s">
        <v>15</v>
      </c>
      <c r="E1039" s="89" t="s">
        <v>1583</v>
      </c>
      <c r="F1039" s="102" t="n">
        <v>5076</v>
      </c>
      <c r="G1039" s="102" t="n">
        <v>6497</v>
      </c>
      <c r="H1039" s="103" t="s">
        <v>48</v>
      </c>
      <c r="I1039" s="103">
        <f>IFERROR(VLOOKUP(A1039,#REF!,15,0),0)+IFERROR(VLOOKUP(A1039,#REF!,25,0),0)+IFERROR(VLOOKUP(A1039,#REF!,10,0),0)+IFERROR(VLOOKUP(A1039,#REF!,14,0),0)+IFERROR(VLOOKUP(A1039,#REF!,11,0),0)+IFERROR(VLOOKUP(A1039,#REF!,10,0),0)+IFERROR(VLOOKUP(A1039,#REF!,10,0),0)+IFERROR(VLOOKUP(A1039,#REF!,9,0),0)+IFERROR(VLOOKUP(A1039,#REF!,9,0),0)+IFERROR(VLOOKUP(A1039,#REF!,9,0),0)+IFERROR(VLOOKUP(A1039,#REF!,9,0),0)</f>
        <v>0</v>
      </c>
      <c r="J1039" s="104">
        <f>IFERROR(VLOOKUP(A1039,#REF!,16,0),0)+IFERROR(VLOOKUP(A1039,#REF!,26,0),0)+IFERROR(VLOOKUP(A1039,#REF!,11,0),0)+IFERROR(VLOOKUP(A1039,#REF!,23,0),0)+IFERROR(VLOOKUP(A1039,#REF!,11,0),0)+IFERROR(VLOOKUP(A1039,#REF!,11,0),0)+IFERROR(VLOOKUP(A1039,#REF!,11,0),0)</f>
        <v>0</v>
      </c>
      <c r="K1039" s="96" t="str">
        <f>"07.02.24"</f>
        <v>07.02.24</v>
      </c>
    </row>
    <row r="1040" spans="1:11" ht="11.25" customHeight="1" outlineLevel="1">
      <c r="A1040" s="89" t="n">
        <v>8077950</v>
      </c>
      <c r="B1040" s="114" t="s">
        <v>1201</v>
      </c>
      <c r="C1040" s="89" t="s">
        <v>1584</v>
      </c>
      <c r="D1040" s="89" t="s">
        <v>15</v>
      </c>
      <c r="E1040" s="89" t="s">
        <v>1585</v>
      </c>
      <c r="F1040" s="102" t="n">
        <v>4743</v>
      </c>
      <c r="G1040" s="102" t="n">
        <v>6072</v>
      </c>
      <c r="H1040" s="103" t="s">
        <v>48</v>
      </c>
      <c r="I1040" s="103">
        <f>IFERROR(VLOOKUP(A1040,#REF!,15,0),0)+IFERROR(VLOOKUP(A1040,#REF!,25,0),0)+IFERROR(VLOOKUP(A1040,#REF!,10,0),0)+IFERROR(VLOOKUP(A1040,#REF!,14,0),0)+IFERROR(VLOOKUP(A1040,#REF!,11,0),0)+IFERROR(VLOOKUP(A1040,#REF!,10,0),0)+IFERROR(VLOOKUP(A1040,#REF!,10,0),0)+IFERROR(VLOOKUP(A1040,#REF!,9,0),0)+IFERROR(VLOOKUP(A1040,#REF!,9,0),0)+IFERROR(VLOOKUP(A1040,#REF!,9,0),0)+IFERROR(VLOOKUP(A1040,#REF!,9,0),0)</f>
        <v>0</v>
      </c>
      <c r="J1040" s="104">
        <f>IFERROR(VLOOKUP(A1040,#REF!,16,0),0)+IFERROR(VLOOKUP(A1040,#REF!,26,0),0)+IFERROR(VLOOKUP(A1040,#REF!,11,0),0)+IFERROR(VLOOKUP(A1040,#REF!,23,0),0)+IFERROR(VLOOKUP(A1040,#REF!,11,0),0)+IFERROR(VLOOKUP(A1040,#REF!,11,0),0)+IFERROR(VLOOKUP(A1040,#REF!,11,0),0)</f>
        <v>0</v>
      </c>
      <c r="K1040" s="96" t="str">
        <f>"07.02.24"</f>
        <v>07.02.24</v>
      </c>
    </row>
    <row r="1041" spans="1:11" ht="11.25" customHeight="1" outlineLevel="1">
      <c r="A1041" s="89" t="n">
        <v>8077960</v>
      </c>
      <c r="B1041" s="114" t="s">
        <v>1201</v>
      </c>
      <c r="C1041" s="89" t="s">
        <v>1586</v>
      </c>
      <c r="D1041" s="89" t="s">
        <v>15</v>
      </c>
      <c r="E1041" s="89" t="s">
        <v>1587</v>
      </c>
      <c r="F1041" s="102" t="n">
        <v>6484</v>
      </c>
      <c r="G1041" s="102" t="n">
        <v>8301</v>
      </c>
      <c r="H1041" s="103" t="s">
        <v>48</v>
      </c>
      <c r="I1041" s="103">
        <f>IFERROR(VLOOKUP(A1041,#REF!,15,0),0)+IFERROR(VLOOKUP(A1041,#REF!,25,0),0)+IFERROR(VLOOKUP(A1041,#REF!,10,0),0)+IFERROR(VLOOKUP(A1041,#REF!,14,0),0)+IFERROR(VLOOKUP(A1041,#REF!,11,0),0)+IFERROR(VLOOKUP(A1041,#REF!,10,0),0)+IFERROR(VLOOKUP(A1041,#REF!,10,0),0)+IFERROR(VLOOKUP(A1041,#REF!,9,0),0)+IFERROR(VLOOKUP(A1041,#REF!,9,0),0)+IFERROR(VLOOKUP(A1041,#REF!,9,0),0)+IFERROR(VLOOKUP(A1041,#REF!,9,0),0)</f>
        <v>0</v>
      </c>
      <c r="J1041" s="104">
        <f>IFERROR(VLOOKUP(A1041,#REF!,16,0),0)+IFERROR(VLOOKUP(A1041,#REF!,26,0),0)+IFERROR(VLOOKUP(A1041,#REF!,11,0),0)+IFERROR(VLOOKUP(A1041,#REF!,23,0),0)+IFERROR(VLOOKUP(A1041,#REF!,11,0),0)+IFERROR(VLOOKUP(A1041,#REF!,11,0),0)+IFERROR(VLOOKUP(A1041,#REF!,11,0),0)</f>
        <v>0</v>
      </c>
      <c r="K1041" s="96" t="str">
        <f>"07.02.24"</f>
        <v>07.02.24</v>
      </c>
    </row>
    <row r="1042" spans="1:11" ht="11.25" customHeight="1" outlineLevel="1">
      <c r="A1042" s="89" t="n">
        <v>8077970</v>
      </c>
      <c r="B1042" s="114" t="s">
        <v>1201</v>
      </c>
      <c r="C1042" s="89" t="s">
        <v>1588</v>
      </c>
      <c r="D1042" s="89" t="s">
        <v>15</v>
      </c>
      <c r="E1042" s="89" t="s">
        <v>1589</v>
      </c>
      <c r="F1042" s="102" t="n">
        <v>6454</v>
      </c>
      <c r="G1042" s="102" t="n">
        <v>8260</v>
      </c>
      <c r="H1042" s="103" t="s">
        <v>48</v>
      </c>
      <c r="I1042" s="103">
        <f>IFERROR(VLOOKUP(A1042,#REF!,15,0),0)+IFERROR(VLOOKUP(A1042,#REF!,25,0),0)+IFERROR(VLOOKUP(A1042,#REF!,10,0),0)+IFERROR(VLOOKUP(A1042,#REF!,14,0),0)+IFERROR(VLOOKUP(A1042,#REF!,11,0),0)+IFERROR(VLOOKUP(A1042,#REF!,10,0),0)+IFERROR(VLOOKUP(A1042,#REF!,10,0),0)+IFERROR(VLOOKUP(A1042,#REF!,9,0),0)+IFERROR(VLOOKUP(A1042,#REF!,9,0),0)+IFERROR(VLOOKUP(A1042,#REF!,9,0),0)+IFERROR(VLOOKUP(A1042,#REF!,9,0),0)</f>
        <v>0</v>
      </c>
      <c r="J1042" s="104">
        <f>IFERROR(VLOOKUP(A1042,#REF!,16,0),0)+IFERROR(VLOOKUP(A1042,#REF!,26,0),0)+IFERROR(VLOOKUP(A1042,#REF!,11,0),0)+IFERROR(VLOOKUP(A1042,#REF!,23,0),0)+IFERROR(VLOOKUP(A1042,#REF!,11,0),0)+IFERROR(VLOOKUP(A1042,#REF!,11,0),0)+IFERROR(VLOOKUP(A1042,#REF!,11,0),0)</f>
        <v>0</v>
      </c>
      <c r="K1042" s="96" t="str">
        <f>"07.02.24"</f>
        <v>07.02.24</v>
      </c>
    </row>
    <row r="1043" spans="1:11" ht="11.25" customHeight="1" outlineLevel="1">
      <c r="A1043" s="89" t="n">
        <v>8077980</v>
      </c>
      <c r="B1043" s="114" t="s">
        <v>1201</v>
      </c>
      <c r="C1043" s="89" t="s">
        <v>1590</v>
      </c>
      <c r="D1043" s="89" t="s">
        <v>15</v>
      </c>
      <c r="E1043" s="89" t="s">
        <v>1591</v>
      </c>
      <c r="F1043" s="102" t="n">
        <v>1026</v>
      </c>
      <c r="G1043" s="102" t="n">
        <v>1313</v>
      </c>
      <c r="H1043" s="103" t="s">
        <v>48</v>
      </c>
      <c r="I1043" s="103">
        <f>IFERROR(VLOOKUP(A1043,#REF!,15,0),0)+IFERROR(VLOOKUP(A1043,#REF!,25,0),0)+IFERROR(VLOOKUP(A1043,#REF!,10,0),0)+IFERROR(VLOOKUP(A1043,#REF!,14,0),0)+IFERROR(VLOOKUP(A1043,#REF!,11,0),0)+IFERROR(VLOOKUP(A1043,#REF!,10,0),0)+IFERROR(VLOOKUP(A1043,#REF!,10,0),0)+IFERROR(VLOOKUP(A1043,#REF!,9,0),0)+IFERROR(VLOOKUP(A1043,#REF!,9,0),0)+IFERROR(VLOOKUP(A1043,#REF!,9,0),0)+IFERROR(VLOOKUP(A1043,#REF!,9,0),0)</f>
        <v>0</v>
      </c>
      <c r="J1043" s="104">
        <f>IFERROR(VLOOKUP(A1043,#REF!,16,0),0)+IFERROR(VLOOKUP(A1043,#REF!,26,0),0)+IFERROR(VLOOKUP(A1043,#REF!,11,0),0)+IFERROR(VLOOKUP(A1043,#REF!,23,0),0)+IFERROR(VLOOKUP(A1043,#REF!,11,0),0)+IFERROR(VLOOKUP(A1043,#REF!,11,0),0)+IFERROR(VLOOKUP(A1043,#REF!,11,0),0)</f>
        <v>0</v>
      </c>
      <c r="K1043" s="96" t="str">
        <f>"07.02.24"</f>
        <v>07.02.24</v>
      </c>
    </row>
    <row r="1044" spans="1:11" ht="11.25" customHeight="1" outlineLevel="1">
      <c r="A1044" s="89" t="n">
        <v>8077990</v>
      </c>
      <c r="B1044" s="114" t="s">
        <v>1201</v>
      </c>
      <c r="C1044" s="89" t="s">
        <v>1592</v>
      </c>
      <c r="D1044" s="89" t="s">
        <v>15</v>
      </c>
      <c r="E1044" s="89" t="s">
        <v>1593</v>
      </c>
      <c r="F1044" s="102" t="n">
        <v>1098</v>
      </c>
      <c r="G1044" s="102" t="n">
        <v>1404</v>
      </c>
      <c r="H1044" s="103" t="s">
        <v>48</v>
      </c>
      <c r="I1044" s="103">
        <f>IFERROR(VLOOKUP(A1044,#REF!,15,0),0)+IFERROR(VLOOKUP(A1044,#REF!,25,0),0)+IFERROR(VLOOKUP(A1044,#REF!,10,0),0)+IFERROR(VLOOKUP(A1044,#REF!,14,0),0)+IFERROR(VLOOKUP(A1044,#REF!,11,0),0)+IFERROR(VLOOKUP(A1044,#REF!,10,0),0)+IFERROR(VLOOKUP(A1044,#REF!,10,0),0)+IFERROR(VLOOKUP(A1044,#REF!,9,0),0)+IFERROR(VLOOKUP(A1044,#REF!,9,0),0)+IFERROR(VLOOKUP(A1044,#REF!,9,0),0)+IFERROR(VLOOKUP(A1044,#REF!,9,0),0)</f>
        <v>0</v>
      </c>
      <c r="J1044" s="104">
        <f>IFERROR(VLOOKUP(A1044,#REF!,16,0),0)+IFERROR(VLOOKUP(A1044,#REF!,26,0),0)+IFERROR(VLOOKUP(A1044,#REF!,11,0),0)+IFERROR(VLOOKUP(A1044,#REF!,23,0),0)+IFERROR(VLOOKUP(A1044,#REF!,11,0),0)+IFERROR(VLOOKUP(A1044,#REF!,11,0),0)+IFERROR(VLOOKUP(A1044,#REF!,11,0),0)</f>
        <v>0</v>
      </c>
      <c r="K1044" s="96" t="str">
        <f>"07.02.24"</f>
        <v>07.02.24</v>
      </c>
    </row>
    <row r="1045" spans="1:11" ht="11.25" customHeight="1" outlineLevel="1">
      <c r="A1045" s="89" t="s">
        <v>1594</v>
      </c>
      <c r="B1045" s="114" t="s">
        <v>1201</v>
      </c>
      <c r="C1045" s="89" t="s">
        <v>1595</v>
      </c>
      <c r="D1045" s="89" t="s">
        <v>15</v>
      </c>
      <c r="E1045" s="89" t="s">
        <v>1593</v>
      </c>
      <c r="F1045" s="102" t="n">
        <v>1216</v>
      </c>
      <c r="G1045" s="102" t="n">
        <v>1556</v>
      </c>
      <c r="H1045" s="103" t="s">
        <v>48</v>
      </c>
      <c r="I1045" s="103">
        <f>IFERROR(VLOOKUP(A1045,#REF!,15,0),0)+IFERROR(VLOOKUP(A1045,#REF!,25,0),0)+IFERROR(VLOOKUP(A1045,#REF!,10,0),0)+IFERROR(VLOOKUP(A1045,#REF!,14,0),0)+IFERROR(VLOOKUP(A1045,#REF!,11,0),0)+IFERROR(VLOOKUP(A1045,#REF!,10,0),0)+IFERROR(VLOOKUP(A1045,#REF!,10,0),0)+IFERROR(VLOOKUP(A1045,#REF!,9,0),0)+IFERROR(VLOOKUP(A1045,#REF!,9,0),0)+IFERROR(VLOOKUP(A1045,#REF!,9,0),0)+IFERROR(VLOOKUP(A1045,#REF!,9,0),0)</f>
        <v>0</v>
      </c>
      <c r="J1045" s="104">
        <f>IFERROR(VLOOKUP(A1045,#REF!,16,0),0)+IFERROR(VLOOKUP(A1045,#REF!,26,0),0)+IFERROR(VLOOKUP(A1045,#REF!,11,0),0)+IFERROR(VLOOKUP(A1045,#REF!,23,0),0)+IFERROR(VLOOKUP(A1045,#REF!,11,0),0)+IFERROR(VLOOKUP(A1045,#REF!,11,0),0)+IFERROR(VLOOKUP(A1045,#REF!,11,0),0)</f>
        <v>0</v>
      </c>
      <c r="K1045" s="96" t="str">
        <f>"07.02.24"</f>
        <v>07.02.24</v>
      </c>
    </row>
    <row r="1046" spans="1:11" ht="11.25" customHeight="1" outlineLevel="1">
      <c r="A1046" s="89" t="n">
        <v>8078000</v>
      </c>
      <c r="B1046" s="114" t="s">
        <v>1201</v>
      </c>
      <c r="C1046" s="89" t="s">
        <v>1596</v>
      </c>
      <c r="D1046" s="89" t="s">
        <v>15</v>
      </c>
      <c r="E1046" s="89" t="s">
        <v>1597</v>
      </c>
      <c r="F1046" s="102" t="n">
        <v>1216</v>
      </c>
      <c r="G1046" s="102" t="n">
        <v>1556</v>
      </c>
      <c r="H1046" s="103" t="s">
        <v>48</v>
      </c>
      <c r="I1046" s="103">
        <f>IFERROR(VLOOKUP(A1046,#REF!,15,0),0)+IFERROR(VLOOKUP(A1046,#REF!,25,0),0)+IFERROR(VLOOKUP(A1046,#REF!,10,0),0)+IFERROR(VLOOKUP(A1046,#REF!,14,0),0)+IFERROR(VLOOKUP(A1046,#REF!,11,0),0)+IFERROR(VLOOKUP(A1046,#REF!,10,0),0)+IFERROR(VLOOKUP(A1046,#REF!,10,0),0)+IFERROR(VLOOKUP(A1046,#REF!,9,0),0)+IFERROR(VLOOKUP(A1046,#REF!,9,0),0)+IFERROR(VLOOKUP(A1046,#REF!,9,0),0)+IFERROR(VLOOKUP(A1046,#REF!,9,0),0)</f>
        <v>0</v>
      </c>
      <c r="J1046" s="104">
        <f>IFERROR(VLOOKUP(A1046,#REF!,16,0),0)+IFERROR(VLOOKUP(A1046,#REF!,26,0),0)+IFERROR(VLOOKUP(A1046,#REF!,11,0),0)+IFERROR(VLOOKUP(A1046,#REF!,23,0),0)+IFERROR(VLOOKUP(A1046,#REF!,11,0),0)+IFERROR(VLOOKUP(A1046,#REF!,11,0),0)+IFERROR(VLOOKUP(A1046,#REF!,11,0),0)</f>
        <v>0</v>
      </c>
      <c r="K1046" s="96" t="str">
        <f>"07.02.24"</f>
        <v>07.02.24</v>
      </c>
    </row>
    <row r="1047" spans="1:11" ht="11.25" customHeight="1" outlineLevel="1">
      <c r="A1047" s="89" t="n">
        <v>8078010</v>
      </c>
      <c r="B1047" s="114" t="s">
        <v>1201</v>
      </c>
      <c r="C1047" s="89" t="s">
        <v>1598</v>
      </c>
      <c r="D1047" s="89" t="s">
        <v>15</v>
      </c>
      <c r="E1047" s="89" t="s">
        <v>1599</v>
      </c>
      <c r="F1047" s="102" t="n">
        <v>1537</v>
      </c>
      <c r="G1047" s="102" t="n">
        <v>2044</v>
      </c>
      <c r="H1047" s="103" t="s">
        <v>48</v>
      </c>
      <c r="I1047" s="103">
        <f>IFERROR(VLOOKUP(A1047,#REF!,15,0),0)+IFERROR(VLOOKUP(A1047,#REF!,25,0),0)+IFERROR(VLOOKUP(A1047,#REF!,10,0),0)+IFERROR(VLOOKUP(A1047,#REF!,14,0),0)+IFERROR(VLOOKUP(A1047,#REF!,11,0),0)+IFERROR(VLOOKUP(A1047,#REF!,10,0),0)+IFERROR(VLOOKUP(A1047,#REF!,10,0),0)+IFERROR(VLOOKUP(A1047,#REF!,9,0),0)+IFERROR(VLOOKUP(A1047,#REF!,9,0),0)+IFERROR(VLOOKUP(A1047,#REF!,9,0),0)+IFERROR(VLOOKUP(A1047,#REF!,9,0),0)</f>
        <v>0</v>
      </c>
      <c r="J1047" s="104">
        <f>IFERROR(VLOOKUP(A1047,#REF!,16,0),0)+IFERROR(VLOOKUP(A1047,#REF!,26,0),0)+IFERROR(VLOOKUP(A1047,#REF!,11,0),0)+IFERROR(VLOOKUP(A1047,#REF!,23,0),0)+IFERROR(VLOOKUP(A1047,#REF!,11,0),0)+IFERROR(VLOOKUP(A1047,#REF!,11,0),0)+IFERROR(VLOOKUP(A1047,#REF!,11,0),0)</f>
        <v>0</v>
      </c>
      <c r="K1047" s="96" t="str">
        <f>"07.02.24"</f>
        <v>07.02.24</v>
      </c>
    </row>
    <row r="1048" spans="1:11" ht="11.25" customHeight="1" outlineLevel="1">
      <c r="A1048" s="89" t="n">
        <v>8078020</v>
      </c>
      <c r="B1048" s="114" t="s">
        <v>1201</v>
      </c>
      <c r="C1048" s="89" t="s">
        <v>1600</v>
      </c>
      <c r="D1048" s="89" t="s">
        <v>15</v>
      </c>
      <c r="E1048" s="89" t="s">
        <v>1601</v>
      </c>
      <c r="F1048" s="102" t="n">
        <v>1645</v>
      </c>
      <c r="G1048" s="102" t="n">
        <v>2188</v>
      </c>
      <c r="H1048" s="103" t="s">
        <v>48</v>
      </c>
      <c r="I1048" s="103">
        <f>IFERROR(VLOOKUP(A1048,#REF!,15,0),0)+IFERROR(VLOOKUP(A1048,#REF!,25,0),0)+IFERROR(VLOOKUP(A1048,#REF!,10,0),0)+IFERROR(VLOOKUP(A1048,#REF!,14,0),0)+IFERROR(VLOOKUP(A1048,#REF!,11,0),0)+IFERROR(VLOOKUP(A1048,#REF!,10,0),0)+IFERROR(VLOOKUP(A1048,#REF!,10,0),0)+IFERROR(VLOOKUP(A1048,#REF!,9,0),0)+IFERROR(VLOOKUP(A1048,#REF!,9,0),0)+IFERROR(VLOOKUP(A1048,#REF!,9,0),0)+IFERROR(VLOOKUP(A1048,#REF!,9,0),0)</f>
        <v>0</v>
      </c>
      <c r="J1048" s="104">
        <f>IFERROR(VLOOKUP(A1048,#REF!,16,0),0)+IFERROR(VLOOKUP(A1048,#REF!,26,0),0)+IFERROR(VLOOKUP(A1048,#REF!,11,0),0)+IFERROR(VLOOKUP(A1048,#REF!,23,0),0)+IFERROR(VLOOKUP(A1048,#REF!,11,0),0)+IFERROR(VLOOKUP(A1048,#REF!,11,0),0)+IFERROR(VLOOKUP(A1048,#REF!,11,0),0)</f>
        <v>0</v>
      </c>
      <c r="K1048" s="96" t="str">
        <f>"07.02.24"</f>
        <v>07.02.24</v>
      </c>
    </row>
    <row r="1049" spans="1:11" ht="11.25" customHeight="1" outlineLevel="1">
      <c r="A1049" s="89" t="n">
        <v>8078030</v>
      </c>
      <c r="B1049" s="114" t="s">
        <v>1201</v>
      </c>
      <c r="C1049" s="89" t="s">
        <v>1602</v>
      </c>
      <c r="D1049" s="89" t="s">
        <v>15</v>
      </c>
      <c r="E1049" s="89" t="s">
        <v>1603</v>
      </c>
      <c r="F1049" s="102" t="n">
        <v>1942</v>
      </c>
      <c r="G1049" s="102" t="n">
        <v>2485</v>
      </c>
      <c r="H1049" s="103" t="s">
        <v>17</v>
      </c>
      <c r="I1049" s="103">
        <f>IFERROR(VLOOKUP(A1049,#REF!,15,0),0)+IFERROR(VLOOKUP(A1049,#REF!,25,0),0)+IFERROR(VLOOKUP(A1049,#REF!,10,0),0)+IFERROR(VLOOKUP(A1049,#REF!,14,0),0)+IFERROR(VLOOKUP(A1049,#REF!,11,0),0)+IFERROR(VLOOKUP(A1049,#REF!,10,0),0)+IFERROR(VLOOKUP(A1049,#REF!,10,0),0)+IFERROR(VLOOKUP(A1049,#REF!,9,0),0)+IFERROR(VLOOKUP(A1049,#REF!,9,0),0)+IFERROR(VLOOKUP(A1049,#REF!,9,0),0)+IFERROR(VLOOKUP(A1049,#REF!,9,0),0)</f>
        <v>0</v>
      </c>
      <c r="J1049" s="104">
        <f>IFERROR(VLOOKUP(A1049,#REF!,16,0),0)+IFERROR(VLOOKUP(A1049,#REF!,26,0),0)+IFERROR(VLOOKUP(A1049,#REF!,11,0),0)+IFERROR(VLOOKUP(A1049,#REF!,23,0),0)+IFERROR(VLOOKUP(A1049,#REF!,11,0),0)+IFERROR(VLOOKUP(A1049,#REF!,11,0),0)+IFERROR(VLOOKUP(A1049,#REF!,11,0),0)</f>
        <v>0</v>
      </c>
      <c r="K1049" s="96" t="str">
        <f>"07.02.24"</f>
        <v>07.02.24</v>
      </c>
    </row>
    <row r="1050" spans="1:11" ht="11.25" customHeight="1" outlineLevel="1">
      <c r="A1050" s="89" t="n">
        <v>8078040</v>
      </c>
      <c r="B1050" s="114" t="s">
        <v>1201</v>
      </c>
      <c r="C1050" s="89" t="s">
        <v>1604</v>
      </c>
      <c r="D1050" s="89" t="s">
        <v>15</v>
      </c>
      <c r="E1050" s="89" t="s">
        <v>1605</v>
      </c>
      <c r="F1050" s="102" t="n">
        <v>1942</v>
      </c>
      <c r="G1050" s="102" t="n">
        <v>2485</v>
      </c>
      <c r="H1050" s="103" t="s">
        <v>17</v>
      </c>
      <c r="I1050" s="103">
        <f>IFERROR(VLOOKUP(A1050,#REF!,15,0),0)+IFERROR(VLOOKUP(A1050,#REF!,25,0),0)+IFERROR(VLOOKUP(A1050,#REF!,10,0),0)+IFERROR(VLOOKUP(A1050,#REF!,14,0),0)+IFERROR(VLOOKUP(A1050,#REF!,11,0),0)+IFERROR(VLOOKUP(A1050,#REF!,10,0),0)+IFERROR(VLOOKUP(A1050,#REF!,10,0),0)+IFERROR(VLOOKUP(A1050,#REF!,9,0),0)+IFERROR(VLOOKUP(A1050,#REF!,9,0),0)+IFERROR(VLOOKUP(A1050,#REF!,9,0),0)+IFERROR(VLOOKUP(A1050,#REF!,9,0),0)</f>
        <v>0</v>
      </c>
      <c r="J1050" s="104">
        <f>IFERROR(VLOOKUP(A1050,#REF!,16,0),0)+IFERROR(VLOOKUP(A1050,#REF!,26,0),0)+IFERROR(VLOOKUP(A1050,#REF!,11,0),0)+IFERROR(VLOOKUP(A1050,#REF!,23,0),0)+IFERROR(VLOOKUP(A1050,#REF!,11,0),0)+IFERROR(VLOOKUP(A1050,#REF!,11,0),0)+IFERROR(VLOOKUP(A1050,#REF!,11,0),0)</f>
        <v>0</v>
      </c>
      <c r="K1050" s="96" t="str">
        <f>"07.02.24"</f>
        <v>07.02.24</v>
      </c>
    </row>
    <row r="1051" spans="1:11" ht="11.25" customHeight="1" outlineLevel="1">
      <c r="A1051" s="89" t="n">
        <v>8078050</v>
      </c>
      <c r="B1051" s="114" t="s">
        <v>1201</v>
      </c>
      <c r="C1051" s="89" t="s">
        <v>1606</v>
      </c>
      <c r="D1051" s="89" t="s">
        <v>15</v>
      </c>
      <c r="E1051" s="89" t="s">
        <v>1607</v>
      </c>
      <c r="F1051" s="102" t="n">
        <v>1956</v>
      </c>
      <c r="G1051" s="102" t="n">
        <v>2501</v>
      </c>
      <c r="H1051" s="103" t="s">
        <v>48</v>
      </c>
      <c r="I1051" s="103">
        <f>IFERROR(VLOOKUP(A1051,#REF!,15,0),0)+IFERROR(VLOOKUP(A1051,#REF!,25,0),0)+IFERROR(VLOOKUP(A1051,#REF!,10,0),0)+IFERROR(VLOOKUP(A1051,#REF!,14,0),0)+IFERROR(VLOOKUP(A1051,#REF!,11,0),0)+IFERROR(VLOOKUP(A1051,#REF!,10,0),0)+IFERROR(VLOOKUP(A1051,#REF!,10,0),0)+IFERROR(VLOOKUP(A1051,#REF!,9,0),0)+IFERROR(VLOOKUP(A1051,#REF!,9,0),0)+IFERROR(VLOOKUP(A1051,#REF!,9,0),0)+IFERROR(VLOOKUP(A1051,#REF!,9,0),0)</f>
        <v>0</v>
      </c>
      <c r="J1051" s="104">
        <f>IFERROR(VLOOKUP(A1051,#REF!,16,0),0)+IFERROR(VLOOKUP(A1051,#REF!,26,0),0)+IFERROR(VLOOKUP(A1051,#REF!,11,0),0)+IFERROR(VLOOKUP(A1051,#REF!,23,0),0)+IFERROR(VLOOKUP(A1051,#REF!,11,0),0)+IFERROR(VLOOKUP(A1051,#REF!,11,0),0)+IFERROR(VLOOKUP(A1051,#REF!,11,0),0)</f>
        <v>0</v>
      </c>
      <c r="K1051" s="96" t="str">
        <f>"07.02.24"</f>
        <v>07.02.24</v>
      </c>
    </row>
    <row r="1052" spans="1:11" ht="11.25" customHeight="1" outlineLevel="1">
      <c r="A1052" s="89" t="n">
        <v>8078060</v>
      </c>
      <c r="B1052" s="114" t="s">
        <v>1201</v>
      </c>
      <c r="C1052" s="89" t="s">
        <v>1608</v>
      </c>
      <c r="D1052" s="89" t="s">
        <v>15</v>
      </c>
      <c r="E1052" s="89" t="s">
        <v>1609</v>
      </c>
      <c r="F1052" s="102" t="n">
        <v>2095</v>
      </c>
      <c r="G1052" s="102" t="n">
        <v>2679</v>
      </c>
      <c r="H1052" s="103" t="s">
        <v>17</v>
      </c>
      <c r="I1052" s="103">
        <f>IFERROR(VLOOKUP(A1052,#REF!,15,0),0)+IFERROR(VLOOKUP(A1052,#REF!,25,0),0)+IFERROR(VLOOKUP(A1052,#REF!,10,0),0)+IFERROR(VLOOKUP(A1052,#REF!,14,0),0)+IFERROR(VLOOKUP(A1052,#REF!,11,0),0)+IFERROR(VLOOKUP(A1052,#REF!,10,0),0)+IFERROR(VLOOKUP(A1052,#REF!,10,0),0)+IFERROR(VLOOKUP(A1052,#REF!,9,0),0)+IFERROR(VLOOKUP(A1052,#REF!,9,0),0)+IFERROR(VLOOKUP(A1052,#REF!,9,0),0)+IFERROR(VLOOKUP(A1052,#REF!,9,0),0)</f>
        <v>0</v>
      </c>
      <c r="J1052" s="104">
        <f>IFERROR(VLOOKUP(A1052,#REF!,16,0),0)+IFERROR(VLOOKUP(A1052,#REF!,26,0),0)+IFERROR(VLOOKUP(A1052,#REF!,11,0),0)+IFERROR(VLOOKUP(A1052,#REF!,23,0),0)+IFERROR(VLOOKUP(A1052,#REF!,11,0),0)+IFERROR(VLOOKUP(A1052,#REF!,11,0),0)+IFERROR(VLOOKUP(A1052,#REF!,11,0),0)</f>
        <v>0</v>
      </c>
      <c r="K1052" s="96" t="str">
        <f>"07.02.24"</f>
        <v>07.02.24</v>
      </c>
    </row>
    <row r="1053" spans="1:11" ht="11.25" customHeight="1" outlineLevel="1">
      <c r="A1053" s="89" t="n">
        <v>8078070</v>
      </c>
      <c r="B1053" s="114" t="s">
        <v>1201</v>
      </c>
      <c r="C1053" s="89" t="s">
        <v>1610</v>
      </c>
      <c r="D1053" s="89" t="s">
        <v>15</v>
      </c>
      <c r="E1053" s="89" t="s">
        <v>1611</v>
      </c>
      <c r="F1053" s="102" t="n">
        <v>2468</v>
      </c>
      <c r="G1053" s="102" t="n">
        <v>3159</v>
      </c>
      <c r="H1053" s="103" t="s">
        <v>17</v>
      </c>
      <c r="I1053" s="103">
        <f>IFERROR(VLOOKUP(A1053,#REF!,15,0),0)+IFERROR(VLOOKUP(A1053,#REF!,25,0),0)+IFERROR(VLOOKUP(A1053,#REF!,10,0),0)+IFERROR(VLOOKUP(A1053,#REF!,14,0),0)+IFERROR(VLOOKUP(A1053,#REF!,11,0),0)+IFERROR(VLOOKUP(A1053,#REF!,10,0),0)+IFERROR(VLOOKUP(A1053,#REF!,10,0),0)+IFERROR(VLOOKUP(A1053,#REF!,9,0),0)+IFERROR(VLOOKUP(A1053,#REF!,9,0),0)+IFERROR(VLOOKUP(A1053,#REF!,9,0),0)+IFERROR(VLOOKUP(A1053,#REF!,9,0),0)</f>
        <v>0</v>
      </c>
      <c r="J1053" s="104">
        <f>IFERROR(VLOOKUP(A1053,#REF!,16,0),0)+IFERROR(VLOOKUP(A1053,#REF!,26,0),0)+IFERROR(VLOOKUP(A1053,#REF!,11,0),0)+IFERROR(VLOOKUP(A1053,#REF!,23,0),0)+IFERROR(VLOOKUP(A1053,#REF!,11,0),0)+IFERROR(VLOOKUP(A1053,#REF!,11,0),0)+IFERROR(VLOOKUP(A1053,#REF!,11,0),0)</f>
        <v>0</v>
      </c>
      <c r="K1053" s="96" t="str">
        <f>"07.02.24"</f>
        <v>07.02.24</v>
      </c>
    </row>
    <row r="1054" spans="1:11" ht="11.25" customHeight="1" outlineLevel="1">
      <c r="A1054" s="89" t="n">
        <v>8078080</v>
      </c>
      <c r="B1054" s="114" t="s">
        <v>1201</v>
      </c>
      <c r="C1054" s="89" t="s">
        <v>1612</v>
      </c>
      <c r="D1054" s="89" t="s">
        <v>15</v>
      </c>
      <c r="E1054" s="89" t="s">
        <v>1613</v>
      </c>
      <c r="F1054" s="102" t="n">
        <v>2494</v>
      </c>
      <c r="G1054" s="102" t="n">
        <v>3192</v>
      </c>
      <c r="H1054" s="103" t="s">
        <v>48</v>
      </c>
      <c r="I1054" s="103">
        <f>IFERROR(VLOOKUP(A1054,#REF!,15,0),0)+IFERROR(VLOOKUP(A1054,#REF!,25,0),0)+IFERROR(VLOOKUP(A1054,#REF!,10,0),0)+IFERROR(VLOOKUP(A1054,#REF!,14,0),0)+IFERROR(VLOOKUP(A1054,#REF!,11,0),0)+IFERROR(VLOOKUP(A1054,#REF!,10,0),0)+IFERROR(VLOOKUP(A1054,#REF!,10,0),0)+IFERROR(VLOOKUP(A1054,#REF!,9,0),0)+IFERROR(VLOOKUP(A1054,#REF!,9,0),0)+IFERROR(VLOOKUP(A1054,#REF!,9,0),0)+IFERROR(VLOOKUP(A1054,#REF!,9,0),0)</f>
        <v>0</v>
      </c>
      <c r="J1054" s="104">
        <f>IFERROR(VLOOKUP(A1054,#REF!,16,0),0)+IFERROR(VLOOKUP(A1054,#REF!,26,0),0)+IFERROR(VLOOKUP(A1054,#REF!,11,0),0)+IFERROR(VLOOKUP(A1054,#REF!,23,0),0)+IFERROR(VLOOKUP(A1054,#REF!,11,0),0)+IFERROR(VLOOKUP(A1054,#REF!,11,0),0)+IFERROR(VLOOKUP(A1054,#REF!,11,0),0)</f>
        <v>0</v>
      </c>
      <c r="K1054" s="96" t="str">
        <f>"07.02.24"</f>
        <v>07.02.24</v>
      </c>
    </row>
    <row r="1055" spans="1:11" ht="11.25" customHeight="1" outlineLevel="1">
      <c r="A1055" s="89" t="n">
        <v>8078090</v>
      </c>
      <c r="B1055" s="114" t="s">
        <v>1201</v>
      </c>
      <c r="C1055" s="89" t="s">
        <v>1614</v>
      </c>
      <c r="D1055" s="89" t="s">
        <v>15</v>
      </c>
      <c r="E1055" s="89" t="s">
        <v>1615</v>
      </c>
      <c r="F1055" s="102" t="n">
        <v>3194</v>
      </c>
      <c r="G1055" s="102" t="n">
        <v>4085</v>
      </c>
      <c r="H1055" s="103" t="s">
        <v>48</v>
      </c>
      <c r="I1055" s="103">
        <f>IFERROR(VLOOKUP(A1055,#REF!,15,0),0)+IFERROR(VLOOKUP(A1055,#REF!,25,0),0)+IFERROR(VLOOKUP(A1055,#REF!,10,0),0)+IFERROR(VLOOKUP(A1055,#REF!,14,0),0)+IFERROR(VLOOKUP(A1055,#REF!,11,0),0)+IFERROR(VLOOKUP(A1055,#REF!,10,0),0)+IFERROR(VLOOKUP(A1055,#REF!,10,0),0)+IFERROR(VLOOKUP(A1055,#REF!,9,0),0)+IFERROR(VLOOKUP(A1055,#REF!,9,0),0)+IFERROR(VLOOKUP(A1055,#REF!,9,0),0)+IFERROR(VLOOKUP(A1055,#REF!,9,0),0)</f>
        <v>0</v>
      </c>
      <c r="J1055" s="104">
        <f>IFERROR(VLOOKUP(A1055,#REF!,16,0),0)+IFERROR(VLOOKUP(A1055,#REF!,26,0),0)+IFERROR(VLOOKUP(A1055,#REF!,11,0),0)+IFERROR(VLOOKUP(A1055,#REF!,23,0),0)+IFERROR(VLOOKUP(A1055,#REF!,11,0),0)+IFERROR(VLOOKUP(A1055,#REF!,11,0),0)+IFERROR(VLOOKUP(A1055,#REF!,11,0),0)</f>
        <v>0</v>
      </c>
      <c r="K1055" s="96" t="str">
        <f>"07.02.24"</f>
        <v>07.02.24</v>
      </c>
    </row>
    <row r="1056" spans="1:11" ht="11.25" customHeight="1" outlineLevel="1">
      <c r="A1056" s="89" t="n">
        <v>8078100</v>
      </c>
      <c r="B1056" s="114" t="s">
        <v>1201</v>
      </c>
      <c r="C1056" s="89" t="s">
        <v>1616</v>
      </c>
      <c r="D1056" s="89" t="s">
        <v>15</v>
      </c>
      <c r="E1056" s="89" t="s">
        <v>1617</v>
      </c>
      <c r="F1056" s="102" t="n">
        <v>5411</v>
      </c>
      <c r="G1056" s="102" t="n">
        <v>6925</v>
      </c>
      <c r="H1056" s="103" t="s">
        <v>48</v>
      </c>
      <c r="I1056" s="103">
        <f>IFERROR(VLOOKUP(A1056,#REF!,15,0),0)+IFERROR(VLOOKUP(A1056,#REF!,25,0),0)+IFERROR(VLOOKUP(A1056,#REF!,10,0),0)+IFERROR(VLOOKUP(A1056,#REF!,14,0),0)+IFERROR(VLOOKUP(A1056,#REF!,11,0),0)+IFERROR(VLOOKUP(A1056,#REF!,10,0),0)+IFERROR(VLOOKUP(A1056,#REF!,10,0),0)+IFERROR(VLOOKUP(A1056,#REF!,9,0),0)+IFERROR(VLOOKUP(A1056,#REF!,9,0),0)+IFERROR(VLOOKUP(A1056,#REF!,9,0),0)+IFERROR(VLOOKUP(A1056,#REF!,9,0),0)</f>
        <v>0</v>
      </c>
      <c r="J1056" s="104">
        <f>IFERROR(VLOOKUP(A1056,#REF!,16,0),0)+IFERROR(VLOOKUP(A1056,#REF!,26,0),0)+IFERROR(VLOOKUP(A1056,#REF!,11,0),0)+IFERROR(VLOOKUP(A1056,#REF!,23,0),0)+IFERROR(VLOOKUP(A1056,#REF!,11,0),0)+IFERROR(VLOOKUP(A1056,#REF!,11,0),0)+IFERROR(VLOOKUP(A1056,#REF!,11,0),0)</f>
        <v>0</v>
      </c>
      <c r="K1056" s="96" t="str">
        <f>"07.02.24"</f>
        <v>07.02.24</v>
      </c>
    </row>
    <row r="1057" spans="1:11" ht="11.25" customHeight="1" outlineLevel="1">
      <c r="A1057" s="89" t="n">
        <v>8078110</v>
      </c>
      <c r="B1057" s="114" t="s">
        <v>1201</v>
      </c>
      <c r="C1057" s="89" t="s">
        <v>1618</v>
      </c>
      <c r="D1057" s="89" t="s">
        <v>15</v>
      </c>
      <c r="E1057" s="89" t="s">
        <v>1619</v>
      </c>
      <c r="F1057" s="102" t="n">
        <v>5411</v>
      </c>
      <c r="G1057" s="102" t="n">
        <v>6925</v>
      </c>
      <c r="H1057" s="103" t="s">
        <v>48</v>
      </c>
      <c r="I1057" s="103">
        <f>IFERROR(VLOOKUP(A1057,#REF!,15,0),0)+IFERROR(VLOOKUP(A1057,#REF!,25,0),0)+IFERROR(VLOOKUP(A1057,#REF!,10,0),0)+IFERROR(VLOOKUP(A1057,#REF!,14,0),0)+IFERROR(VLOOKUP(A1057,#REF!,11,0),0)+IFERROR(VLOOKUP(A1057,#REF!,10,0),0)+IFERROR(VLOOKUP(A1057,#REF!,10,0),0)+IFERROR(VLOOKUP(A1057,#REF!,9,0),0)+IFERROR(VLOOKUP(A1057,#REF!,9,0),0)+IFERROR(VLOOKUP(A1057,#REF!,9,0),0)+IFERROR(VLOOKUP(A1057,#REF!,9,0),0)</f>
        <v>0</v>
      </c>
      <c r="J1057" s="104">
        <f>IFERROR(VLOOKUP(A1057,#REF!,16,0),0)+IFERROR(VLOOKUP(A1057,#REF!,26,0),0)+IFERROR(VLOOKUP(A1057,#REF!,11,0),0)+IFERROR(VLOOKUP(A1057,#REF!,23,0),0)+IFERROR(VLOOKUP(A1057,#REF!,11,0),0)+IFERROR(VLOOKUP(A1057,#REF!,11,0),0)+IFERROR(VLOOKUP(A1057,#REF!,11,0),0)</f>
        <v>0</v>
      </c>
      <c r="K1057" s="96" t="str">
        <f>"07.02.24"</f>
        <v>07.02.24</v>
      </c>
    </row>
    <row r="1058" spans="1:11" ht="11.25" customHeight="1" outlineLevel="1">
      <c r="A1058" s="89" t="n">
        <v>8078120</v>
      </c>
      <c r="B1058" s="114" t="s">
        <v>1201</v>
      </c>
      <c r="C1058" s="89" t="s">
        <v>1620</v>
      </c>
      <c r="D1058" s="89" t="s">
        <v>15</v>
      </c>
      <c r="E1058" s="89" t="s">
        <v>1621</v>
      </c>
      <c r="F1058" s="102" t="n">
        <v>5055</v>
      </c>
      <c r="G1058" s="102" t="n">
        <v>6472</v>
      </c>
      <c r="H1058" s="103" t="s">
        <v>48</v>
      </c>
      <c r="I1058" s="103">
        <f>IFERROR(VLOOKUP(A1058,#REF!,15,0),0)+IFERROR(VLOOKUP(A1058,#REF!,25,0),0)+IFERROR(VLOOKUP(A1058,#REF!,10,0),0)+IFERROR(VLOOKUP(A1058,#REF!,14,0),0)+IFERROR(VLOOKUP(A1058,#REF!,11,0),0)+IFERROR(VLOOKUP(A1058,#REF!,10,0),0)+IFERROR(VLOOKUP(A1058,#REF!,10,0),0)+IFERROR(VLOOKUP(A1058,#REF!,9,0),0)+IFERROR(VLOOKUP(A1058,#REF!,9,0),0)+IFERROR(VLOOKUP(A1058,#REF!,9,0),0)+IFERROR(VLOOKUP(A1058,#REF!,9,0),0)</f>
        <v>0</v>
      </c>
      <c r="J1058" s="104">
        <f>IFERROR(VLOOKUP(A1058,#REF!,16,0),0)+IFERROR(VLOOKUP(A1058,#REF!,26,0),0)+IFERROR(VLOOKUP(A1058,#REF!,11,0),0)+IFERROR(VLOOKUP(A1058,#REF!,23,0),0)+IFERROR(VLOOKUP(A1058,#REF!,11,0),0)+IFERROR(VLOOKUP(A1058,#REF!,11,0),0)+IFERROR(VLOOKUP(A1058,#REF!,11,0),0)</f>
        <v>0</v>
      </c>
      <c r="K1058" s="96" t="str">
        <f>"07.02.24"</f>
        <v>07.02.24</v>
      </c>
    </row>
    <row r="1059" spans="1:11" ht="11.25" customHeight="1" outlineLevel="1">
      <c r="A1059" s="89" t="n">
        <v>8078130</v>
      </c>
      <c r="B1059" s="114" t="s">
        <v>1201</v>
      </c>
      <c r="C1059" s="89" t="s">
        <v>1622</v>
      </c>
      <c r="D1059" s="89" t="s">
        <v>15</v>
      </c>
      <c r="E1059" s="89" t="s">
        <v>1623</v>
      </c>
      <c r="F1059" s="102" t="n">
        <v>4279</v>
      </c>
      <c r="G1059" s="102" t="n">
        <v>5477</v>
      </c>
      <c r="H1059" s="103" t="s">
        <v>17</v>
      </c>
      <c r="I1059" s="103">
        <f>IFERROR(VLOOKUP(A1059,#REF!,15,0),0)+IFERROR(VLOOKUP(A1059,#REF!,25,0),0)+IFERROR(VLOOKUP(A1059,#REF!,10,0),0)+IFERROR(VLOOKUP(A1059,#REF!,14,0),0)+IFERROR(VLOOKUP(A1059,#REF!,11,0),0)+IFERROR(VLOOKUP(A1059,#REF!,10,0),0)+IFERROR(VLOOKUP(A1059,#REF!,10,0),0)+IFERROR(VLOOKUP(A1059,#REF!,9,0),0)+IFERROR(VLOOKUP(A1059,#REF!,9,0),0)+IFERROR(VLOOKUP(A1059,#REF!,9,0),0)+IFERROR(VLOOKUP(A1059,#REF!,9,0),0)</f>
        <v>0</v>
      </c>
      <c r="J1059" s="104">
        <f>IFERROR(VLOOKUP(A1059,#REF!,16,0),0)+IFERROR(VLOOKUP(A1059,#REF!,26,0),0)+IFERROR(VLOOKUP(A1059,#REF!,11,0),0)+IFERROR(VLOOKUP(A1059,#REF!,23,0),0)+IFERROR(VLOOKUP(A1059,#REF!,11,0),0)+IFERROR(VLOOKUP(A1059,#REF!,11,0),0)+IFERROR(VLOOKUP(A1059,#REF!,11,0),0)</f>
        <v>0</v>
      </c>
      <c r="K1059" s="96" t="str">
        <f>"07.02.24"</f>
        <v>07.02.24</v>
      </c>
    </row>
    <row r="1060" spans="1:11" ht="11.25" customHeight="1" outlineLevel="1">
      <c r="A1060" s="89" t="n">
        <v>8078140</v>
      </c>
      <c r="B1060" s="114" t="s">
        <v>1201</v>
      </c>
      <c r="C1060" s="89" t="s">
        <v>1624</v>
      </c>
      <c r="D1060" s="89" t="s">
        <v>15</v>
      </c>
      <c r="E1060" s="89" t="s">
        <v>1625</v>
      </c>
      <c r="F1060" s="102" t="n">
        <v>5969</v>
      </c>
      <c r="G1060" s="102" t="n">
        <v>7639</v>
      </c>
      <c r="H1060" s="103" t="s">
        <v>17</v>
      </c>
      <c r="I1060" s="103">
        <f>IFERROR(VLOOKUP(A1060,#REF!,15,0),0)+IFERROR(VLOOKUP(A1060,#REF!,25,0),0)+IFERROR(VLOOKUP(A1060,#REF!,10,0),0)+IFERROR(VLOOKUP(A1060,#REF!,14,0),0)+IFERROR(VLOOKUP(A1060,#REF!,11,0),0)+IFERROR(VLOOKUP(A1060,#REF!,10,0),0)+IFERROR(VLOOKUP(A1060,#REF!,10,0),0)+IFERROR(VLOOKUP(A1060,#REF!,9,0),0)+IFERROR(VLOOKUP(A1060,#REF!,9,0),0)+IFERROR(VLOOKUP(A1060,#REF!,9,0),0)+IFERROR(VLOOKUP(A1060,#REF!,9,0),0)</f>
        <v>0</v>
      </c>
      <c r="J1060" s="104">
        <f>IFERROR(VLOOKUP(A1060,#REF!,16,0),0)+IFERROR(VLOOKUP(A1060,#REF!,26,0),0)+IFERROR(VLOOKUP(A1060,#REF!,11,0),0)+IFERROR(VLOOKUP(A1060,#REF!,23,0),0)+IFERROR(VLOOKUP(A1060,#REF!,11,0),0)+IFERROR(VLOOKUP(A1060,#REF!,11,0),0)+IFERROR(VLOOKUP(A1060,#REF!,11,0),0)</f>
        <v>0</v>
      </c>
      <c r="K1060" s="96" t="str">
        <f>"07.02.24"</f>
        <v>07.02.24</v>
      </c>
    </row>
    <row r="1061" spans="1:11" ht="11.25" customHeight="1" outlineLevel="1">
      <c r="A1061" s="89" t="n">
        <v>8078150</v>
      </c>
      <c r="B1061" s="114" t="s">
        <v>1201</v>
      </c>
      <c r="C1061" s="89" t="s">
        <v>1626</v>
      </c>
      <c r="D1061" s="89" t="s">
        <v>15</v>
      </c>
      <c r="E1061" s="89" t="s">
        <v>1627</v>
      </c>
      <c r="F1061" s="102" t="n">
        <v>5468</v>
      </c>
      <c r="G1061" s="102" t="n">
        <v>6993</v>
      </c>
      <c r="H1061" s="103" t="s">
        <v>17</v>
      </c>
      <c r="I1061" s="103">
        <f>IFERROR(VLOOKUP(A1061,#REF!,15,0),0)+IFERROR(VLOOKUP(A1061,#REF!,25,0),0)+IFERROR(VLOOKUP(A1061,#REF!,10,0),0)+IFERROR(VLOOKUP(A1061,#REF!,14,0),0)+IFERROR(VLOOKUP(A1061,#REF!,11,0),0)+IFERROR(VLOOKUP(A1061,#REF!,10,0),0)+IFERROR(VLOOKUP(A1061,#REF!,10,0),0)+IFERROR(VLOOKUP(A1061,#REF!,9,0),0)+IFERROR(VLOOKUP(A1061,#REF!,9,0),0)+IFERROR(VLOOKUP(A1061,#REF!,9,0),0)+IFERROR(VLOOKUP(A1061,#REF!,9,0),0)</f>
        <v>0</v>
      </c>
      <c r="J1061" s="104">
        <f>IFERROR(VLOOKUP(A1061,#REF!,16,0),0)+IFERROR(VLOOKUP(A1061,#REF!,26,0),0)+IFERROR(VLOOKUP(A1061,#REF!,11,0),0)+IFERROR(VLOOKUP(A1061,#REF!,23,0),0)+IFERROR(VLOOKUP(A1061,#REF!,11,0),0)+IFERROR(VLOOKUP(A1061,#REF!,11,0),0)+IFERROR(VLOOKUP(A1061,#REF!,11,0),0)</f>
        <v>0</v>
      </c>
      <c r="K1061" s="96" t="str">
        <f>"07.02.24"</f>
        <v>07.02.24</v>
      </c>
    </row>
    <row r="1062" spans="1:11" ht="11.25" customHeight="1" outlineLevel="1">
      <c r="A1062" s="89" t="n">
        <v>8078160</v>
      </c>
      <c r="B1062" s="114" t="s">
        <v>1201</v>
      </c>
      <c r="C1062" s="89" t="s">
        <v>1628</v>
      </c>
      <c r="D1062" s="89" t="s">
        <v>15</v>
      </c>
      <c r="E1062" s="89" t="s">
        <v>1629</v>
      </c>
      <c r="F1062" s="102" t="n">
        <v>8740</v>
      </c>
      <c r="G1062" s="102" t="n">
        <v>11185</v>
      </c>
      <c r="H1062" s="103" t="s">
        <v>17</v>
      </c>
      <c r="I1062" s="103">
        <f>IFERROR(VLOOKUP(A1062,#REF!,15,0),0)+IFERROR(VLOOKUP(A1062,#REF!,25,0),0)+IFERROR(VLOOKUP(A1062,#REF!,10,0),0)+IFERROR(VLOOKUP(A1062,#REF!,14,0),0)+IFERROR(VLOOKUP(A1062,#REF!,11,0),0)+IFERROR(VLOOKUP(A1062,#REF!,10,0),0)+IFERROR(VLOOKUP(A1062,#REF!,10,0),0)+IFERROR(VLOOKUP(A1062,#REF!,9,0),0)+IFERROR(VLOOKUP(A1062,#REF!,9,0),0)+IFERROR(VLOOKUP(A1062,#REF!,9,0),0)+IFERROR(VLOOKUP(A1062,#REF!,9,0),0)</f>
        <v>0</v>
      </c>
      <c r="J1062" s="104">
        <f>IFERROR(VLOOKUP(A1062,#REF!,16,0),0)+IFERROR(VLOOKUP(A1062,#REF!,26,0),0)+IFERROR(VLOOKUP(A1062,#REF!,11,0),0)+IFERROR(VLOOKUP(A1062,#REF!,23,0),0)+IFERROR(VLOOKUP(A1062,#REF!,11,0),0)+IFERROR(VLOOKUP(A1062,#REF!,11,0),0)+IFERROR(VLOOKUP(A1062,#REF!,11,0),0)</f>
        <v>0</v>
      </c>
      <c r="K1062" s="96" t="str">
        <f>"07.02.24"</f>
        <v>07.02.24</v>
      </c>
    </row>
    <row r="1063" spans="1:11" ht="11.25" customHeight="1" outlineLevel="1">
      <c r="A1063" s="89" t="n">
        <v>8078170</v>
      </c>
      <c r="B1063" s="114" t="s">
        <v>1201</v>
      </c>
      <c r="C1063" s="89" t="s">
        <v>1630</v>
      </c>
      <c r="D1063" s="89" t="s">
        <v>15</v>
      </c>
      <c r="E1063" s="89" t="s">
        <v>1631</v>
      </c>
      <c r="F1063" s="102" t="n">
        <v>7588</v>
      </c>
      <c r="G1063" s="102" t="n">
        <v>9713</v>
      </c>
      <c r="H1063" s="103" t="s">
        <v>48</v>
      </c>
      <c r="I1063" s="103">
        <f>IFERROR(VLOOKUP(A1063,#REF!,15,0),0)+IFERROR(VLOOKUP(A1063,#REF!,25,0),0)+IFERROR(VLOOKUP(A1063,#REF!,10,0),0)+IFERROR(VLOOKUP(A1063,#REF!,14,0),0)+IFERROR(VLOOKUP(A1063,#REF!,11,0),0)+IFERROR(VLOOKUP(A1063,#REF!,10,0),0)+IFERROR(VLOOKUP(A1063,#REF!,10,0),0)+IFERROR(VLOOKUP(A1063,#REF!,9,0),0)+IFERROR(VLOOKUP(A1063,#REF!,9,0),0)+IFERROR(VLOOKUP(A1063,#REF!,9,0),0)+IFERROR(VLOOKUP(A1063,#REF!,9,0),0)</f>
        <v>0</v>
      </c>
      <c r="J1063" s="104">
        <f>IFERROR(VLOOKUP(A1063,#REF!,16,0),0)+IFERROR(VLOOKUP(A1063,#REF!,26,0),0)+IFERROR(VLOOKUP(A1063,#REF!,11,0),0)+IFERROR(VLOOKUP(A1063,#REF!,23,0),0)+IFERROR(VLOOKUP(A1063,#REF!,11,0),0)+IFERROR(VLOOKUP(A1063,#REF!,11,0),0)+IFERROR(VLOOKUP(A1063,#REF!,11,0),0)</f>
        <v>0</v>
      </c>
      <c r="K1063" s="96" t="str">
        <f>"07.02.24"</f>
        <v>07.02.24</v>
      </c>
    </row>
    <row r="1064" spans="1:11" ht="11.25" customHeight="1" outlineLevel="1">
      <c r="A1064" s="89" t="n">
        <v>8078180</v>
      </c>
      <c r="B1064" s="114" t="s">
        <v>1201</v>
      </c>
      <c r="C1064" s="89" t="s">
        <v>1632</v>
      </c>
      <c r="D1064" s="89" t="s">
        <v>15</v>
      </c>
      <c r="E1064" s="89" t="s">
        <v>1633</v>
      </c>
      <c r="F1064" s="102" t="n">
        <v>1537</v>
      </c>
      <c r="G1064" s="102" t="n">
        <v>2044</v>
      </c>
      <c r="H1064" s="103" t="s">
        <v>17</v>
      </c>
      <c r="I1064" s="103">
        <f>IFERROR(VLOOKUP(A1064,#REF!,15,0),0)+IFERROR(VLOOKUP(A1064,#REF!,25,0),0)+IFERROR(VLOOKUP(A1064,#REF!,10,0),0)+IFERROR(VLOOKUP(A1064,#REF!,14,0),0)+IFERROR(VLOOKUP(A1064,#REF!,11,0),0)+IFERROR(VLOOKUP(A1064,#REF!,10,0),0)+IFERROR(VLOOKUP(A1064,#REF!,10,0),0)+IFERROR(VLOOKUP(A1064,#REF!,9,0),0)+IFERROR(VLOOKUP(A1064,#REF!,9,0),0)+IFERROR(VLOOKUP(A1064,#REF!,9,0),0)+IFERROR(VLOOKUP(A1064,#REF!,9,0),0)</f>
        <v>0</v>
      </c>
      <c r="J1064" s="104">
        <f>IFERROR(VLOOKUP(A1064,#REF!,16,0),0)+IFERROR(VLOOKUP(A1064,#REF!,26,0),0)+IFERROR(VLOOKUP(A1064,#REF!,11,0),0)+IFERROR(VLOOKUP(A1064,#REF!,23,0),0)+IFERROR(VLOOKUP(A1064,#REF!,11,0),0)+IFERROR(VLOOKUP(A1064,#REF!,11,0),0)+IFERROR(VLOOKUP(A1064,#REF!,11,0),0)</f>
        <v>0</v>
      </c>
      <c r="K1064" s="96" t="str">
        <f>"07.02.24"</f>
        <v>07.02.24</v>
      </c>
    </row>
    <row r="1065" spans="1:11" ht="11.25" customHeight="1" outlineLevel="1">
      <c r="A1065" s="89" t="n">
        <v>8078190</v>
      </c>
      <c r="B1065" s="114" t="s">
        <v>1201</v>
      </c>
      <c r="C1065" s="89" t="s">
        <v>1634</v>
      </c>
      <c r="D1065" s="89" t="s">
        <v>15</v>
      </c>
      <c r="E1065" s="89" t="s">
        <v>1635</v>
      </c>
      <c r="F1065" s="102" t="n">
        <v>1537</v>
      </c>
      <c r="G1065" s="102" t="n">
        <v>1966</v>
      </c>
      <c r="H1065" s="103" t="s">
        <v>17</v>
      </c>
      <c r="I1065" s="103">
        <f>IFERROR(VLOOKUP(A1065,#REF!,15,0),0)+IFERROR(VLOOKUP(A1065,#REF!,25,0),0)+IFERROR(VLOOKUP(A1065,#REF!,10,0),0)+IFERROR(VLOOKUP(A1065,#REF!,14,0),0)+IFERROR(VLOOKUP(A1065,#REF!,11,0),0)+IFERROR(VLOOKUP(A1065,#REF!,10,0),0)+IFERROR(VLOOKUP(A1065,#REF!,10,0),0)+IFERROR(VLOOKUP(A1065,#REF!,9,0),0)+IFERROR(VLOOKUP(A1065,#REF!,9,0),0)+IFERROR(VLOOKUP(A1065,#REF!,9,0),0)+IFERROR(VLOOKUP(A1065,#REF!,9,0),0)</f>
        <v>0</v>
      </c>
      <c r="J1065" s="104">
        <f>IFERROR(VLOOKUP(A1065,#REF!,16,0),0)+IFERROR(VLOOKUP(A1065,#REF!,26,0),0)+IFERROR(VLOOKUP(A1065,#REF!,11,0),0)+IFERROR(VLOOKUP(A1065,#REF!,23,0),0)+IFERROR(VLOOKUP(A1065,#REF!,11,0),0)+IFERROR(VLOOKUP(A1065,#REF!,11,0),0)+IFERROR(VLOOKUP(A1065,#REF!,11,0),0)</f>
        <v>0</v>
      </c>
      <c r="K1065" s="96" t="str">
        <f>"07.02.24"</f>
        <v>07.02.24</v>
      </c>
    </row>
    <row r="1066" spans="1:11" ht="11.25" customHeight="1" outlineLevel="1">
      <c r="A1066" s="89" t="n">
        <v>8078200</v>
      </c>
      <c r="B1066" s="114" t="s">
        <v>1201</v>
      </c>
      <c r="C1066" s="89" t="s">
        <v>1636</v>
      </c>
      <c r="D1066" s="89" t="s">
        <v>15</v>
      </c>
      <c r="E1066" s="89" t="s">
        <v>1637</v>
      </c>
      <c r="F1066" s="102" t="n">
        <v>1816</v>
      </c>
      <c r="G1066" s="102" t="n">
        <v>2321</v>
      </c>
      <c r="H1066" s="103" t="s">
        <v>17</v>
      </c>
      <c r="I1066" s="103">
        <f>IFERROR(VLOOKUP(A1066,#REF!,15,0),0)+IFERROR(VLOOKUP(A1066,#REF!,25,0),0)+IFERROR(VLOOKUP(A1066,#REF!,10,0),0)+IFERROR(VLOOKUP(A1066,#REF!,14,0),0)+IFERROR(VLOOKUP(A1066,#REF!,11,0),0)+IFERROR(VLOOKUP(A1066,#REF!,10,0),0)+IFERROR(VLOOKUP(A1066,#REF!,10,0),0)+IFERROR(VLOOKUP(A1066,#REF!,9,0),0)+IFERROR(VLOOKUP(A1066,#REF!,9,0),0)+IFERROR(VLOOKUP(A1066,#REF!,9,0),0)+IFERROR(VLOOKUP(A1066,#REF!,9,0),0)</f>
        <v>0</v>
      </c>
      <c r="J1066" s="104">
        <f>IFERROR(VLOOKUP(A1066,#REF!,16,0),0)+IFERROR(VLOOKUP(A1066,#REF!,26,0),0)+IFERROR(VLOOKUP(A1066,#REF!,11,0),0)+IFERROR(VLOOKUP(A1066,#REF!,23,0),0)+IFERROR(VLOOKUP(A1066,#REF!,11,0),0)+IFERROR(VLOOKUP(A1066,#REF!,11,0),0)+IFERROR(VLOOKUP(A1066,#REF!,11,0),0)</f>
        <v>0</v>
      </c>
      <c r="K1066" s="96" t="str">
        <f>"07.02.24"</f>
        <v>07.02.24</v>
      </c>
    </row>
    <row r="1067" spans="1:11" ht="11.25" customHeight="1" outlineLevel="1">
      <c r="A1067" s="89" t="n">
        <v>8078210</v>
      </c>
      <c r="B1067" s="114" t="s">
        <v>1201</v>
      </c>
      <c r="C1067" s="89" t="s">
        <v>1638</v>
      </c>
      <c r="D1067" s="89" t="s">
        <v>15</v>
      </c>
      <c r="E1067" s="89" t="s">
        <v>1639</v>
      </c>
      <c r="F1067" s="102" t="n">
        <v>1816</v>
      </c>
      <c r="G1067" s="102" t="n">
        <v>2321</v>
      </c>
      <c r="H1067" s="103" t="s">
        <v>17</v>
      </c>
      <c r="I1067" s="103">
        <f>IFERROR(VLOOKUP(A1067,#REF!,15,0),0)+IFERROR(VLOOKUP(A1067,#REF!,25,0),0)+IFERROR(VLOOKUP(A1067,#REF!,10,0),0)+IFERROR(VLOOKUP(A1067,#REF!,14,0),0)+IFERROR(VLOOKUP(A1067,#REF!,11,0),0)+IFERROR(VLOOKUP(A1067,#REF!,10,0),0)+IFERROR(VLOOKUP(A1067,#REF!,10,0),0)+IFERROR(VLOOKUP(A1067,#REF!,9,0),0)+IFERROR(VLOOKUP(A1067,#REF!,9,0),0)+IFERROR(VLOOKUP(A1067,#REF!,9,0),0)+IFERROR(VLOOKUP(A1067,#REF!,9,0),0)</f>
        <v>0</v>
      </c>
      <c r="J1067" s="104">
        <f>IFERROR(VLOOKUP(A1067,#REF!,16,0),0)+IFERROR(VLOOKUP(A1067,#REF!,26,0),0)+IFERROR(VLOOKUP(A1067,#REF!,11,0),0)+IFERROR(VLOOKUP(A1067,#REF!,23,0),0)+IFERROR(VLOOKUP(A1067,#REF!,11,0),0)+IFERROR(VLOOKUP(A1067,#REF!,11,0),0)+IFERROR(VLOOKUP(A1067,#REF!,11,0),0)</f>
        <v>0</v>
      </c>
      <c r="K1067" s="96" t="str">
        <f>"07.02.24"</f>
        <v>07.02.24</v>
      </c>
    </row>
    <row r="1068" spans="1:11" ht="11.25" customHeight="1" outlineLevel="1">
      <c r="A1068" s="89" t="n">
        <v>8078220</v>
      </c>
      <c r="B1068" s="114" t="s">
        <v>1201</v>
      </c>
      <c r="C1068" s="89" t="s">
        <v>1640</v>
      </c>
      <c r="D1068" s="89" t="s">
        <v>15</v>
      </c>
      <c r="E1068" s="89" t="s">
        <v>1641</v>
      </c>
      <c r="F1068" s="102" t="n">
        <v>1956</v>
      </c>
      <c r="G1068" s="102" t="n">
        <v>2501</v>
      </c>
      <c r="H1068" s="103" t="s">
        <v>48</v>
      </c>
      <c r="I1068" s="103">
        <f>IFERROR(VLOOKUP(A1068,#REF!,15,0),0)+IFERROR(VLOOKUP(A1068,#REF!,25,0),0)+IFERROR(VLOOKUP(A1068,#REF!,10,0),0)+IFERROR(VLOOKUP(A1068,#REF!,14,0),0)+IFERROR(VLOOKUP(A1068,#REF!,11,0),0)+IFERROR(VLOOKUP(A1068,#REF!,10,0),0)+IFERROR(VLOOKUP(A1068,#REF!,10,0),0)+IFERROR(VLOOKUP(A1068,#REF!,9,0),0)+IFERROR(VLOOKUP(A1068,#REF!,9,0),0)+IFERROR(VLOOKUP(A1068,#REF!,9,0),0)+IFERROR(VLOOKUP(A1068,#REF!,9,0),0)</f>
        <v>0</v>
      </c>
      <c r="J1068" s="104">
        <f>IFERROR(VLOOKUP(A1068,#REF!,16,0),0)+IFERROR(VLOOKUP(A1068,#REF!,26,0),0)+IFERROR(VLOOKUP(A1068,#REF!,11,0),0)+IFERROR(VLOOKUP(A1068,#REF!,23,0),0)+IFERROR(VLOOKUP(A1068,#REF!,11,0),0)+IFERROR(VLOOKUP(A1068,#REF!,11,0),0)+IFERROR(VLOOKUP(A1068,#REF!,11,0),0)</f>
        <v>0</v>
      </c>
      <c r="K1068" s="96" t="str">
        <f>"07.02.24"</f>
        <v>07.02.24</v>
      </c>
    </row>
    <row r="1069" spans="1:11" ht="11.25" customHeight="1" outlineLevel="1">
      <c r="A1069" s="89" t="n">
        <v>8078230</v>
      </c>
      <c r="B1069" s="114" t="s">
        <v>1201</v>
      </c>
      <c r="C1069" s="89" t="s">
        <v>1642</v>
      </c>
      <c r="D1069" s="89" t="s">
        <v>15</v>
      </c>
      <c r="E1069" s="89" t="s">
        <v>1643</v>
      </c>
      <c r="F1069" s="102" t="n">
        <v>2095</v>
      </c>
      <c r="G1069" s="102" t="n">
        <v>2679</v>
      </c>
      <c r="H1069" s="103" t="s">
        <v>17</v>
      </c>
      <c r="I1069" s="103">
        <f>IFERROR(VLOOKUP(A1069,#REF!,15,0),0)+IFERROR(VLOOKUP(A1069,#REF!,25,0),0)+IFERROR(VLOOKUP(A1069,#REF!,10,0),0)+IFERROR(VLOOKUP(A1069,#REF!,14,0),0)+IFERROR(VLOOKUP(A1069,#REF!,11,0),0)+IFERROR(VLOOKUP(A1069,#REF!,10,0),0)+IFERROR(VLOOKUP(A1069,#REF!,10,0),0)+IFERROR(VLOOKUP(A1069,#REF!,9,0),0)+IFERROR(VLOOKUP(A1069,#REF!,9,0),0)+IFERROR(VLOOKUP(A1069,#REF!,9,0),0)+IFERROR(VLOOKUP(A1069,#REF!,9,0),0)</f>
        <v>0</v>
      </c>
      <c r="J1069" s="104">
        <f>IFERROR(VLOOKUP(A1069,#REF!,16,0),0)+IFERROR(VLOOKUP(A1069,#REF!,26,0),0)+IFERROR(VLOOKUP(A1069,#REF!,11,0),0)+IFERROR(VLOOKUP(A1069,#REF!,23,0),0)+IFERROR(VLOOKUP(A1069,#REF!,11,0),0)+IFERROR(VLOOKUP(A1069,#REF!,11,0),0)+IFERROR(VLOOKUP(A1069,#REF!,11,0),0)</f>
        <v>0</v>
      </c>
      <c r="K1069" s="96" t="str">
        <f>"07.02.24"</f>
        <v>07.02.24</v>
      </c>
    </row>
    <row r="1070" spans="1:11" ht="11.25" customHeight="1" outlineLevel="1">
      <c r="A1070" s="89" t="n">
        <v>8078240</v>
      </c>
      <c r="B1070" s="114" t="s">
        <v>1201</v>
      </c>
      <c r="C1070" s="89" t="s">
        <v>1644</v>
      </c>
      <c r="D1070" s="89" t="s">
        <v>15</v>
      </c>
      <c r="E1070" s="89" t="s">
        <v>1645</v>
      </c>
      <c r="F1070" s="102" t="n">
        <v>2468</v>
      </c>
      <c r="G1070" s="102" t="n">
        <v>3159</v>
      </c>
      <c r="H1070" s="103" t="s">
        <v>17</v>
      </c>
      <c r="I1070" s="103">
        <f>IFERROR(VLOOKUP(A1070,#REF!,15,0),0)+IFERROR(VLOOKUP(A1070,#REF!,25,0),0)+IFERROR(VLOOKUP(A1070,#REF!,10,0),0)+IFERROR(VLOOKUP(A1070,#REF!,14,0),0)+IFERROR(VLOOKUP(A1070,#REF!,11,0),0)+IFERROR(VLOOKUP(A1070,#REF!,10,0),0)+IFERROR(VLOOKUP(A1070,#REF!,10,0),0)+IFERROR(VLOOKUP(A1070,#REF!,9,0),0)+IFERROR(VLOOKUP(A1070,#REF!,9,0),0)+IFERROR(VLOOKUP(A1070,#REF!,9,0),0)+IFERROR(VLOOKUP(A1070,#REF!,9,0),0)</f>
        <v>0</v>
      </c>
      <c r="J1070" s="104">
        <f>IFERROR(VLOOKUP(A1070,#REF!,16,0),0)+IFERROR(VLOOKUP(A1070,#REF!,26,0),0)+IFERROR(VLOOKUP(A1070,#REF!,11,0),0)+IFERROR(VLOOKUP(A1070,#REF!,23,0),0)+IFERROR(VLOOKUP(A1070,#REF!,11,0),0)+IFERROR(VLOOKUP(A1070,#REF!,11,0),0)+IFERROR(VLOOKUP(A1070,#REF!,11,0),0)</f>
        <v>0</v>
      </c>
      <c r="K1070" s="96" t="str">
        <f>"07.02.24"</f>
        <v>07.02.24</v>
      </c>
    </row>
    <row r="1071" spans="1:11" ht="11.25" customHeight="1" outlineLevel="1">
      <c r="A1071" s="89" t="n">
        <v>8078250</v>
      </c>
      <c r="B1071" s="114" t="s">
        <v>1201</v>
      </c>
      <c r="C1071" s="89" t="s">
        <v>1646</v>
      </c>
      <c r="D1071" s="89" t="s">
        <v>15</v>
      </c>
      <c r="E1071" s="89" t="s">
        <v>1647</v>
      </c>
      <c r="F1071" s="102" t="n">
        <v>2415</v>
      </c>
      <c r="G1071" s="102" t="n">
        <v>3092</v>
      </c>
      <c r="H1071" s="103" t="s">
        <v>17</v>
      </c>
      <c r="I1071" s="103">
        <f>IFERROR(VLOOKUP(A1071,#REF!,15,0),0)+IFERROR(VLOOKUP(A1071,#REF!,25,0),0)+IFERROR(VLOOKUP(A1071,#REF!,10,0),0)+IFERROR(VLOOKUP(A1071,#REF!,14,0),0)+IFERROR(VLOOKUP(A1071,#REF!,11,0),0)+IFERROR(VLOOKUP(A1071,#REF!,10,0),0)+IFERROR(VLOOKUP(A1071,#REF!,10,0),0)+IFERROR(VLOOKUP(A1071,#REF!,9,0),0)+IFERROR(VLOOKUP(A1071,#REF!,9,0),0)+IFERROR(VLOOKUP(A1071,#REF!,9,0),0)+IFERROR(VLOOKUP(A1071,#REF!,9,0),0)</f>
        <v>0</v>
      </c>
      <c r="J1071" s="104">
        <f>IFERROR(VLOOKUP(A1071,#REF!,16,0),0)+IFERROR(VLOOKUP(A1071,#REF!,26,0),0)+IFERROR(VLOOKUP(A1071,#REF!,11,0),0)+IFERROR(VLOOKUP(A1071,#REF!,23,0),0)+IFERROR(VLOOKUP(A1071,#REF!,11,0),0)+IFERROR(VLOOKUP(A1071,#REF!,11,0),0)+IFERROR(VLOOKUP(A1071,#REF!,11,0),0)</f>
        <v>0</v>
      </c>
      <c r="K1071" s="96" t="str">
        <f>"07.02.24"</f>
        <v>07.02.24</v>
      </c>
    </row>
    <row r="1072" spans="1:11" ht="11.25" customHeight="1" outlineLevel="1">
      <c r="A1072" s="89" t="n">
        <v>8078260</v>
      </c>
      <c r="B1072" s="114" t="s">
        <v>1201</v>
      </c>
      <c r="C1072" s="89" t="s">
        <v>1648</v>
      </c>
      <c r="D1072" s="89" t="s">
        <v>15</v>
      </c>
      <c r="E1072" s="89" t="s">
        <v>1649</v>
      </c>
      <c r="F1072" s="102" t="n">
        <v>2873</v>
      </c>
      <c r="G1072" s="102" t="n">
        <v>3679</v>
      </c>
      <c r="H1072" s="103" t="s">
        <v>17</v>
      </c>
      <c r="I1072" s="103">
        <f>IFERROR(VLOOKUP(A1072,#REF!,15,0),0)+IFERROR(VLOOKUP(A1072,#REF!,25,0),0)+IFERROR(VLOOKUP(A1072,#REF!,10,0),0)+IFERROR(VLOOKUP(A1072,#REF!,14,0),0)+IFERROR(VLOOKUP(A1072,#REF!,11,0),0)+IFERROR(VLOOKUP(A1072,#REF!,10,0),0)+IFERROR(VLOOKUP(A1072,#REF!,10,0),0)+IFERROR(VLOOKUP(A1072,#REF!,9,0),0)+IFERROR(VLOOKUP(A1072,#REF!,9,0),0)+IFERROR(VLOOKUP(A1072,#REF!,9,0),0)+IFERROR(VLOOKUP(A1072,#REF!,9,0),0)</f>
        <v>0</v>
      </c>
      <c r="J1072" s="104">
        <f>IFERROR(VLOOKUP(A1072,#REF!,16,0),0)+IFERROR(VLOOKUP(A1072,#REF!,26,0),0)+IFERROR(VLOOKUP(A1072,#REF!,11,0),0)+IFERROR(VLOOKUP(A1072,#REF!,23,0),0)+IFERROR(VLOOKUP(A1072,#REF!,11,0),0)+IFERROR(VLOOKUP(A1072,#REF!,11,0),0)+IFERROR(VLOOKUP(A1072,#REF!,11,0),0)</f>
        <v>0</v>
      </c>
      <c r="K1072" s="96" t="str">
        <f>"07.02.24"</f>
        <v>07.02.24</v>
      </c>
    </row>
    <row r="1073" spans="1:11" ht="11.25" customHeight="1" outlineLevel="1">
      <c r="A1073" s="89" t="n">
        <v>8078270</v>
      </c>
      <c r="B1073" s="114" t="s">
        <v>1201</v>
      </c>
      <c r="C1073" s="89" t="s">
        <v>1650</v>
      </c>
      <c r="D1073" s="89" t="s">
        <v>15</v>
      </c>
      <c r="E1073" s="89" t="s">
        <v>1651</v>
      </c>
      <c r="F1073" s="102" t="n">
        <v>4743</v>
      </c>
      <c r="G1073" s="102" t="n">
        <v>6072</v>
      </c>
      <c r="H1073" s="103" t="s">
        <v>17</v>
      </c>
      <c r="I1073" s="103">
        <f>IFERROR(VLOOKUP(A1073,#REF!,15,0),0)+IFERROR(VLOOKUP(A1073,#REF!,25,0),0)+IFERROR(VLOOKUP(A1073,#REF!,10,0),0)+IFERROR(VLOOKUP(A1073,#REF!,14,0),0)+IFERROR(VLOOKUP(A1073,#REF!,11,0),0)+IFERROR(VLOOKUP(A1073,#REF!,10,0),0)+IFERROR(VLOOKUP(A1073,#REF!,10,0),0)+IFERROR(VLOOKUP(A1073,#REF!,9,0),0)+IFERROR(VLOOKUP(A1073,#REF!,9,0),0)+IFERROR(VLOOKUP(A1073,#REF!,9,0),0)+IFERROR(VLOOKUP(A1073,#REF!,9,0),0)</f>
        <v>0</v>
      </c>
      <c r="J1073" s="104">
        <f>IFERROR(VLOOKUP(A1073,#REF!,16,0),0)+IFERROR(VLOOKUP(A1073,#REF!,26,0),0)+IFERROR(VLOOKUP(A1073,#REF!,11,0),0)+IFERROR(VLOOKUP(A1073,#REF!,23,0),0)+IFERROR(VLOOKUP(A1073,#REF!,11,0),0)+IFERROR(VLOOKUP(A1073,#REF!,11,0),0)+IFERROR(VLOOKUP(A1073,#REF!,11,0),0)</f>
        <v>0</v>
      </c>
      <c r="K1073" s="96" t="str">
        <f>"07.02.24"</f>
        <v>07.02.24</v>
      </c>
    </row>
    <row r="1074" spans="1:11" ht="11.25" customHeight="1" outlineLevel="1">
      <c r="A1074" s="89" t="n">
        <v>8078280</v>
      </c>
      <c r="B1074" s="114" t="s">
        <v>1201</v>
      </c>
      <c r="C1074" s="89" t="s">
        <v>1652</v>
      </c>
      <c r="D1074" s="89" t="s">
        <v>15</v>
      </c>
      <c r="E1074" s="89" t="s">
        <v>1653</v>
      </c>
      <c r="F1074" s="102" t="n">
        <v>4743</v>
      </c>
      <c r="G1074" s="102" t="n">
        <v>6072</v>
      </c>
      <c r="H1074" s="103" t="s">
        <v>48</v>
      </c>
      <c r="I1074" s="103">
        <f>IFERROR(VLOOKUP(A1074,#REF!,15,0),0)+IFERROR(VLOOKUP(A1074,#REF!,25,0),0)+IFERROR(VLOOKUP(A1074,#REF!,10,0),0)+IFERROR(VLOOKUP(A1074,#REF!,14,0),0)+IFERROR(VLOOKUP(A1074,#REF!,11,0),0)+IFERROR(VLOOKUP(A1074,#REF!,10,0),0)+IFERROR(VLOOKUP(A1074,#REF!,10,0),0)+IFERROR(VLOOKUP(A1074,#REF!,9,0),0)+IFERROR(VLOOKUP(A1074,#REF!,9,0),0)+IFERROR(VLOOKUP(A1074,#REF!,9,0),0)+IFERROR(VLOOKUP(A1074,#REF!,9,0),0)</f>
        <v>0</v>
      </c>
      <c r="J1074" s="104">
        <f>IFERROR(VLOOKUP(A1074,#REF!,16,0),0)+IFERROR(VLOOKUP(A1074,#REF!,26,0),0)+IFERROR(VLOOKUP(A1074,#REF!,11,0),0)+IFERROR(VLOOKUP(A1074,#REF!,23,0),0)+IFERROR(VLOOKUP(A1074,#REF!,11,0),0)+IFERROR(VLOOKUP(A1074,#REF!,11,0),0)+IFERROR(VLOOKUP(A1074,#REF!,11,0),0)</f>
        <v>0</v>
      </c>
      <c r="K1074" s="96" t="str">
        <f>"07.02.24"</f>
        <v>07.02.24</v>
      </c>
    </row>
    <row r="1075" spans="1:11" ht="11.25" customHeight="1" outlineLevel="1">
      <c r="A1075" s="89" t="n">
        <v>8078290</v>
      </c>
      <c r="B1075" s="114" t="s">
        <v>1201</v>
      </c>
      <c r="C1075" s="89" t="s">
        <v>1654</v>
      </c>
      <c r="D1075" s="89" t="s">
        <v>15</v>
      </c>
      <c r="E1075" s="89" t="s">
        <v>1655</v>
      </c>
      <c r="F1075" s="102" t="n">
        <v>4279</v>
      </c>
      <c r="G1075" s="102" t="n">
        <v>5477</v>
      </c>
      <c r="H1075" s="103" t="s">
        <v>48</v>
      </c>
      <c r="I1075" s="103">
        <f>IFERROR(VLOOKUP(A1075,#REF!,15,0),0)+IFERROR(VLOOKUP(A1075,#REF!,25,0),0)+IFERROR(VLOOKUP(A1075,#REF!,10,0),0)+IFERROR(VLOOKUP(A1075,#REF!,14,0),0)+IFERROR(VLOOKUP(A1075,#REF!,11,0),0)+IFERROR(VLOOKUP(A1075,#REF!,10,0),0)+IFERROR(VLOOKUP(A1075,#REF!,10,0),0)+IFERROR(VLOOKUP(A1075,#REF!,9,0),0)+IFERROR(VLOOKUP(A1075,#REF!,9,0),0)+IFERROR(VLOOKUP(A1075,#REF!,9,0),0)+IFERROR(VLOOKUP(A1075,#REF!,9,0),0)</f>
        <v>0</v>
      </c>
      <c r="J1075" s="104">
        <f>IFERROR(VLOOKUP(A1075,#REF!,16,0),0)+IFERROR(VLOOKUP(A1075,#REF!,26,0),0)+IFERROR(VLOOKUP(A1075,#REF!,11,0),0)+IFERROR(VLOOKUP(A1075,#REF!,23,0),0)+IFERROR(VLOOKUP(A1075,#REF!,11,0),0)+IFERROR(VLOOKUP(A1075,#REF!,11,0),0)+IFERROR(VLOOKUP(A1075,#REF!,11,0),0)</f>
        <v>0</v>
      </c>
      <c r="K1075" s="96" t="str">
        <f>"07.02.24"</f>
        <v>07.02.24</v>
      </c>
    </row>
    <row r="1076" spans="1:11" ht="11.25" customHeight="1" outlineLevel="1">
      <c r="A1076" s="89" t="n">
        <v>8078300</v>
      </c>
      <c r="B1076" s="114" t="s">
        <v>1201</v>
      </c>
      <c r="C1076" s="89" t="s">
        <v>1656</v>
      </c>
      <c r="D1076" s="89" t="s">
        <v>15</v>
      </c>
      <c r="E1076" s="89" t="s">
        <v>1657</v>
      </c>
      <c r="F1076" s="102" t="n">
        <v>5654</v>
      </c>
      <c r="G1076" s="102" t="n">
        <v>7236</v>
      </c>
      <c r="H1076" s="103" t="s">
        <v>17</v>
      </c>
      <c r="I1076" s="103">
        <f>IFERROR(VLOOKUP(A1076,#REF!,15,0),0)+IFERROR(VLOOKUP(A1076,#REF!,25,0),0)+IFERROR(VLOOKUP(A1076,#REF!,10,0),0)+IFERROR(VLOOKUP(A1076,#REF!,14,0),0)+IFERROR(VLOOKUP(A1076,#REF!,11,0),0)+IFERROR(VLOOKUP(A1076,#REF!,10,0),0)+IFERROR(VLOOKUP(A1076,#REF!,10,0),0)+IFERROR(VLOOKUP(A1076,#REF!,9,0),0)+IFERROR(VLOOKUP(A1076,#REF!,9,0),0)+IFERROR(VLOOKUP(A1076,#REF!,9,0),0)+IFERROR(VLOOKUP(A1076,#REF!,9,0),0)</f>
        <v>0</v>
      </c>
      <c r="J1076" s="104">
        <f>IFERROR(VLOOKUP(A1076,#REF!,16,0),0)+IFERROR(VLOOKUP(A1076,#REF!,26,0),0)+IFERROR(VLOOKUP(A1076,#REF!,11,0),0)+IFERROR(VLOOKUP(A1076,#REF!,23,0),0)+IFERROR(VLOOKUP(A1076,#REF!,11,0),0)+IFERROR(VLOOKUP(A1076,#REF!,11,0),0)+IFERROR(VLOOKUP(A1076,#REF!,11,0),0)</f>
        <v>0</v>
      </c>
      <c r="K1076" s="96" t="str">
        <f>"07.02.24"</f>
        <v>07.02.24</v>
      </c>
    </row>
    <row r="1077" spans="1:11" ht="11.25" customHeight="1" outlineLevel="1">
      <c r="A1077" s="89" t="n">
        <v>8078310</v>
      </c>
      <c r="B1077" s="114" t="s">
        <v>1201</v>
      </c>
      <c r="C1077" s="89" t="s">
        <v>1658</v>
      </c>
      <c r="D1077" s="89" t="s">
        <v>15</v>
      </c>
      <c r="E1077" s="89" t="s">
        <v>1659</v>
      </c>
      <c r="F1077" s="102" t="n">
        <v>5654</v>
      </c>
      <c r="G1077" s="102" t="n">
        <v>7236</v>
      </c>
      <c r="H1077" s="103" t="s">
        <v>48</v>
      </c>
      <c r="I1077" s="103">
        <f>IFERROR(VLOOKUP(A1077,#REF!,15,0),0)+IFERROR(VLOOKUP(A1077,#REF!,25,0),0)+IFERROR(VLOOKUP(A1077,#REF!,10,0),0)+IFERROR(VLOOKUP(A1077,#REF!,14,0),0)+IFERROR(VLOOKUP(A1077,#REF!,11,0),0)+IFERROR(VLOOKUP(A1077,#REF!,10,0),0)+IFERROR(VLOOKUP(A1077,#REF!,10,0),0)+IFERROR(VLOOKUP(A1077,#REF!,9,0),0)+IFERROR(VLOOKUP(A1077,#REF!,9,0),0)+IFERROR(VLOOKUP(A1077,#REF!,9,0),0)+IFERROR(VLOOKUP(A1077,#REF!,9,0),0)</f>
        <v>0</v>
      </c>
      <c r="J1077" s="104">
        <f>IFERROR(VLOOKUP(A1077,#REF!,16,0),0)+IFERROR(VLOOKUP(A1077,#REF!,26,0),0)+IFERROR(VLOOKUP(A1077,#REF!,11,0),0)+IFERROR(VLOOKUP(A1077,#REF!,23,0),0)+IFERROR(VLOOKUP(A1077,#REF!,11,0),0)+IFERROR(VLOOKUP(A1077,#REF!,11,0),0)+IFERROR(VLOOKUP(A1077,#REF!,11,0),0)</f>
        <v>0</v>
      </c>
      <c r="K1077" s="96" t="str">
        <f>"07.02.24"</f>
        <v>07.02.24</v>
      </c>
    </row>
    <row r="1078" spans="1:11" ht="11.25" customHeight="1" outlineLevel="1">
      <c r="A1078" s="89" t="n">
        <v>8078320</v>
      </c>
      <c r="B1078" s="114" t="s">
        <v>1201</v>
      </c>
      <c r="C1078" s="89" t="s">
        <v>1660</v>
      </c>
      <c r="D1078" s="89" t="s">
        <v>15</v>
      </c>
      <c r="E1078" s="89" t="s">
        <v>1661</v>
      </c>
      <c r="F1078" s="102" t="n">
        <v>5654</v>
      </c>
      <c r="G1078" s="102" t="n">
        <v>7236</v>
      </c>
      <c r="H1078" s="103" t="s">
        <v>48</v>
      </c>
      <c r="I1078" s="103">
        <f>IFERROR(VLOOKUP(A1078,#REF!,15,0),0)+IFERROR(VLOOKUP(A1078,#REF!,25,0),0)+IFERROR(VLOOKUP(A1078,#REF!,10,0),0)+IFERROR(VLOOKUP(A1078,#REF!,14,0),0)+IFERROR(VLOOKUP(A1078,#REF!,11,0),0)+IFERROR(VLOOKUP(A1078,#REF!,10,0),0)+IFERROR(VLOOKUP(A1078,#REF!,10,0),0)+IFERROR(VLOOKUP(A1078,#REF!,9,0),0)+IFERROR(VLOOKUP(A1078,#REF!,9,0),0)+IFERROR(VLOOKUP(A1078,#REF!,9,0),0)+IFERROR(VLOOKUP(A1078,#REF!,9,0),0)</f>
        <v>0</v>
      </c>
      <c r="J1078" s="104">
        <f>IFERROR(VLOOKUP(A1078,#REF!,16,0),0)+IFERROR(VLOOKUP(A1078,#REF!,26,0),0)+IFERROR(VLOOKUP(A1078,#REF!,11,0),0)+IFERROR(VLOOKUP(A1078,#REF!,23,0),0)+IFERROR(VLOOKUP(A1078,#REF!,11,0),0)+IFERROR(VLOOKUP(A1078,#REF!,11,0),0)+IFERROR(VLOOKUP(A1078,#REF!,11,0),0)</f>
        <v>0</v>
      </c>
      <c r="K1078" s="96" t="str">
        <f>"07.02.24"</f>
        <v>07.02.24</v>
      </c>
    </row>
    <row r="1079" spans="1:11" ht="11.25" customHeight="1" outlineLevel="1">
      <c r="A1079" s="89" t="n">
        <v>8078330</v>
      </c>
      <c r="B1079" s="114" t="s">
        <v>1201</v>
      </c>
      <c r="C1079" s="89" t="s">
        <v>1662</v>
      </c>
      <c r="D1079" s="89" t="s">
        <v>15</v>
      </c>
      <c r="E1079" s="89" t="s">
        <v>1663</v>
      </c>
      <c r="F1079" s="102" t="n">
        <v>8740</v>
      </c>
      <c r="G1079" s="102" t="n">
        <v>11185</v>
      </c>
      <c r="H1079" s="103" t="s">
        <v>48</v>
      </c>
      <c r="I1079" s="103">
        <f>IFERROR(VLOOKUP(A1079,#REF!,15,0),0)+IFERROR(VLOOKUP(A1079,#REF!,25,0),0)+IFERROR(VLOOKUP(A1079,#REF!,10,0),0)+IFERROR(VLOOKUP(A1079,#REF!,14,0),0)+IFERROR(VLOOKUP(A1079,#REF!,11,0),0)+IFERROR(VLOOKUP(A1079,#REF!,10,0),0)+IFERROR(VLOOKUP(A1079,#REF!,10,0),0)+IFERROR(VLOOKUP(A1079,#REF!,9,0),0)+IFERROR(VLOOKUP(A1079,#REF!,9,0),0)+IFERROR(VLOOKUP(A1079,#REF!,9,0),0)+IFERROR(VLOOKUP(A1079,#REF!,9,0),0)</f>
        <v>0</v>
      </c>
      <c r="J1079" s="104">
        <f>IFERROR(VLOOKUP(A1079,#REF!,16,0),0)+IFERROR(VLOOKUP(A1079,#REF!,26,0),0)+IFERROR(VLOOKUP(A1079,#REF!,11,0),0)+IFERROR(VLOOKUP(A1079,#REF!,23,0),0)+IFERROR(VLOOKUP(A1079,#REF!,11,0),0)+IFERROR(VLOOKUP(A1079,#REF!,11,0),0)+IFERROR(VLOOKUP(A1079,#REF!,11,0),0)</f>
        <v>0</v>
      </c>
      <c r="K1079" s="96" t="str">
        <f>"07.02.24"</f>
        <v>07.02.24</v>
      </c>
    </row>
    <row r="1080" spans="1:11" ht="11.25" customHeight="1" outlineLevel="1">
      <c r="A1080" s="89" t="n">
        <v>8078340</v>
      </c>
      <c r="B1080" s="114" t="s">
        <v>1201</v>
      </c>
      <c r="C1080" s="89" t="s">
        <v>1664</v>
      </c>
      <c r="D1080" s="89" t="s">
        <v>15</v>
      </c>
      <c r="E1080" s="89" t="s">
        <v>1665</v>
      </c>
      <c r="F1080" s="102" t="n">
        <v>7254</v>
      </c>
      <c r="G1080" s="102" t="n">
        <v>9286</v>
      </c>
      <c r="H1080" s="103" t="s">
        <v>48</v>
      </c>
      <c r="I1080" s="103">
        <f>IFERROR(VLOOKUP(A1080,#REF!,15,0),0)+IFERROR(VLOOKUP(A1080,#REF!,25,0),0)+IFERROR(VLOOKUP(A1080,#REF!,10,0),0)+IFERROR(VLOOKUP(A1080,#REF!,14,0),0)+IFERROR(VLOOKUP(A1080,#REF!,11,0),0)+IFERROR(VLOOKUP(A1080,#REF!,10,0),0)+IFERROR(VLOOKUP(A1080,#REF!,10,0),0)+IFERROR(VLOOKUP(A1080,#REF!,9,0),0)+IFERROR(VLOOKUP(A1080,#REF!,9,0),0)+IFERROR(VLOOKUP(A1080,#REF!,9,0),0)+IFERROR(VLOOKUP(A1080,#REF!,9,0),0)</f>
        <v>0</v>
      </c>
      <c r="J1080" s="104">
        <f>IFERROR(VLOOKUP(A1080,#REF!,16,0),0)+IFERROR(VLOOKUP(A1080,#REF!,26,0),0)+IFERROR(VLOOKUP(A1080,#REF!,11,0),0)+IFERROR(VLOOKUP(A1080,#REF!,23,0),0)+IFERROR(VLOOKUP(A1080,#REF!,11,0),0)+IFERROR(VLOOKUP(A1080,#REF!,11,0),0)+IFERROR(VLOOKUP(A1080,#REF!,11,0),0)</f>
        <v>0</v>
      </c>
      <c r="K1080" s="96" t="str">
        <f>"07.02.24"</f>
        <v>07.02.24</v>
      </c>
    </row>
    <row r="1081" spans="1:11" ht="11.25" customHeight="1" outlineLevel="1">
      <c r="A1081" s="89" t="n">
        <v>8078350</v>
      </c>
      <c r="B1081" s="114" t="s">
        <v>1201</v>
      </c>
      <c r="C1081" s="89" t="s">
        <v>1666</v>
      </c>
      <c r="D1081" s="89" t="s">
        <v>15</v>
      </c>
      <c r="E1081" s="89" t="s">
        <v>1667</v>
      </c>
      <c r="F1081" s="102" t="n">
        <v>74</v>
      </c>
      <c r="G1081" s="102" t="n">
        <v>95</v>
      </c>
      <c r="H1081" s="103" t="s">
        <v>17</v>
      </c>
      <c r="I1081" s="103">
        <f>IFERROR(VLOOKUP(A1081,#REF!,15,0),0)+IFERROR(VLOOKUP(A1081,#REF!,25,0),0)+IFERROR(VLOOKUP(A1081,#REF!,10,0),0)+IFERROR(VLOOKUP(A1081,#REF!,14,0),0)+IFERROR(VLOOKUP(A1081,#REF!,11,0),0)+IFERROR(VLOOKUP(A1081,#REF!,10,0),0)+IFERROR(VLOOKUP(A1081,#REF!,10,0),0)+IFERROR(VLOOKUP(A1081,#REF!,9,0),0)+IFERROR(VLOOKUP(A1081,#REF!,9,0),0)+IFERROR(VLOOKUP(A1081,#REF!,9,0),0)+IFERROR(VLOOKUP(A1081,#REF!,9,0),0)</f>
        <v>0</v>
      </c>
      <c r="J1081" s="104">
        <f>IFERROR(VLOOKUP(A1081,#REF!,16,0),0)+IFERROR(VLOOKUP(A1081,#REF!,26,0),0)+IFERROR(VLOOKUP(A1081,#REF!,11,0),0)+IFERROR(VLOOKUP(A1081,#REF!,23,0),0)+IFERROR(VLOOKUP(A1081,#REF!,11,0),0)+IFERROR(VLOOKUP(A1081,#REF!,11,0),0)+IFERROR(VLOOKUP(A1081,#REF!,11,0),0)</f>
        <v>0</v>
      </c>
      <c r="K1081" s="96" t="str">
        <f>"07.02.24"</f>
        <v>07.02.24</v>
      </c>
    </row>
    <row r="1082" spans="1:11" ht="11.25" customHeight="1" outlineLevel="1">
      <c r="A1082" s="89" t="n">
        <v>8078360</v>
      </c>
      <c r="B1082" s="114" t="s">
        <v>1201</v>
      </c>
      <c r="C1082" s="89" t="s">
        <v>1668</v>
      </c>
      <c r="D1082" s="89" t="s">
        <v>15</v>
      </c>
      <c r="E1082" s="89" t="s">
        <v>1669</v>
      </c>
      <c r="F1082" s="102" t="n">
        <v>74</v>
      </c>
      <c r="G1082" s="102" t="n">
        <v>95</v>
      </c>
      <c r="H1082" s="103" t="s">
        <v>48</v>
      </c>
      <c r="I1082" s="103">
        <f>IFERROR(VLOOKUP(A1082,#REF!,15,0),0)+IFERROR(VLOOKUP(A1082,#REF!,25,0),0)+IFERROR(VLOOKUP(A1082,#REF!,10,0),0)+IFERROR(VLOOKUP(A1082,#REF!,14,0),0)+IFERROR(VLOOKUP(A1082,#REF!,11,0),0)+IFERROR(VLOOKUP(A1082,#REF!,10,0),0)+IFERROR(VLOOKUP(A1082,#REF!,10,0),0)+IFERROR(VLOOKUP(A1082,#REF!,9,0),0)+IFERROR(VLOOKUP(A1082,#REF!,9,0),0)+IFERROR(VLOOKUP(A1082,#REF!,9,0),0)+IFERROR(VLOOKUP(A1082,#REF!,9,0),0)</f>
        <v>0</v>
      </c>
      <c r="J1082" s="104">
        <f>IFERROR(VLOOKUP(A1082,#REF!,16,0),0)+IFERROR(VLOOKUP(A1082,#REF!,26,0),0)+IFERROR(VLOOKUP(A1082,#REF!,11,0),0)+IFERROR(VLOOKUP(A1082,#REF!,23,0),0)+IFERROR(VLOOKUP(A1082,#REF!,11,0),0)+IFERROR(VLOOKUP(A1082,#REF!,11,0),0)+IFERROR(VLOOKUP(A1082,#REF!,11,0),0)</f>
        <v>0</v>
      </c>
      <c r="K1082" s="96" t="str">
        <f>"07.02.24"</f>
        <v>07.02.24</v>
      </c>
    </row>
    <row r="1083" spans="1:11" ht="11.25" customHeight="1" outlineLevel="1">
      <c r="A1083" s="89" t="n">
        <v>8078370</v>
      </c>
      <c r="B1083" s="114" t="s">
        <v>1201</v>
      </c>
      <c r="C1083" s="89" t="s">
        <v>1670</v>
      </c>
      <c r="D1083" s="89" t="s">
        <v>15</v>
      </c>
      <c r="E1083" s="89" t="s">
        <v>1671</v>
      </c>
      <c r="F1083" s="102" t="n">
        <v>74</v>
      </c>
      <c r="G1083" s="102" t="n">
        <v>95</v>
      </c>
      <c r="H1083" s="103" t="s">
        <v>48</v>
      </c>
      <c r="I1083" s="103">
        <f>IFERROR(VLOOKUP(A1083,#REF!,15,0),0)+IFERROR(VLOOKUP(A1083,#REF!,25,0),0)+IFERROR(VLOOKUP(A1083,#REF!,10,0),0)+IFERROR(VLOOKUP(A1083,#REF!,14,0),0)+IFERROR(VLOOKUP(A1083,#REF!,11,0),0)+IFERROR(VLOOKUP(A1083,#REF!,10,0),0)+IFERROR(VLOOKUP(A1083,#REF!,10,0),0)+IFERROR(VLOOKUP(A1083,#REF!,9,0),0)+IFERROR(VLOOKUP(A1083,#REF!,9,0),0)+IFERROR(VLOOKUP(A1083,#REF!,9,0),0)+IFERROR(VLOOKUP(A1083,#REF!,9,0),0)</f>
        <v>0</v>
      </c>
      <c r="J1083" s="104">
        <f>IFERROR(VLOOKUP(A1083,#REF!,16,0),0)+IFERROR(VLOOKUP(A1083,#REF!,26,0),0)+IFERROR(VLOOKUP(A1083,#REF!,11,0),0)+IFERROR(VLOOKUP(A1083,#REF!,23,0),0)+IFERROR(VLOOKUP(A1083,#REF!,11,0),0)+IFERROR(VLOOKUP(A1083,#REF!,11,0),0)+IFERROR(VLOOKUP(A1083,#REF!,11,0),0)</f>
        <v>0</v>
      </c>
      <c r="K1083" s="96" t="str">
        <f>"07.02.24"</f>
        <v>07.02.24</v>
      </c>
    </row>
    <row r="1084" spans="1:11" ht="11.25" customHeight="1" outlineLevel="1">
      <c r="A1084" s="89" t="n">
        <v>8078380</v>
      </c>
      <c r="B1084" s="114" t="s">
        <v>1201</v>
      </c>
      <c r="C1084" s="89" t="s">
        <v>1672</v>
      </c>
      <c r="D1084" s="89" t="s">
        <v>15</v>
      </c>
      <c r="E1084" s="89" t="s">
        <v>1673</v>
      </c>
      <c r="F1084" s="102" t="n">
        <v>74</v>
      </c>
      <c r="G1084" s="102" t="n">
        <v>95</v>
      </c>
      <c r="H1084" s="103" t="s">
        <v>48</v>
      </c>
      <c r="I1084" s="103">
        <f>IFERROR(VLOOKUP(A1084,#REF!,15,0),0)+IFERROR(VLOOKUP(A1084,#REF!,25,0),0)+IFERROR(VLOOKUP(A1084,#REF!,10,0),0)+IFERROR(VLOOKUP(A1084,#REF!,14,0),0)+IFERROR(VLOOKUP(A1084,#REF!,11,0),0)+IFERROR(VLOOKUP(A1084,#REF!,10,0),0)+IFERROR(VLOOKUP(A1084,#REF!,10,0),0)+IFERROR(VLOOKUP(A1084,#REF!,9,0),0)+IFERROR(VLOOKUP(A1084,#REF!,9,0),0)+IFERROR(VLOOKUP(A1084,#REF!,9,0),0)+IFERROR(VLOOKUP(A1084,#REF!,9,0),0)</f>
        <v>0</v>
      </c>
      <c r="J1084" s="104">
        <f>IFERROR(VLOOKUP(A1084,#REF!,16,0),0)+IFERROR(VLOOKUP(A1084,#REF!,26,0),0)+IFERROR(VLOOKUP(A1084,#REF!,11,0),0)+IFERROR(VLOOKUP(A1084,#REF!,23,0),0)+IFERROR(VLOOKUP(A1084,#REF!,11,0),0)+IFERROR(VLOOKUP(A1084,#REF!,11,0),0)+IFERROR(VLOOKUP(A1084,#REF!,11,0),0)</f>
        <v>0</v>
      </c>
      <c r="K1084" s="96" t="str">
        <f>"07.02.24"</f>
        <v>07.02.24</v>
      </c>
    </row>
    <row r="1085" spans="1:11" ht="11.25" customHeight="1" outlineLevel="1">
      <c r="A1085" s="89" t="n">
        <v>8078390</v>
      </c>
      <c r="B1085" s="114" t="s">
        <v>1201</v>
      </c>
      <c r="C1085" s="89" t="s">
        <v>1674</v>
      </c>
      <c r="D1085" s="89" t="s">
        <v>15</v>
      </c>
      <c r="E1085" s="89" t="s">
        <v>1675</v>
      </c>
      <c r="F1085" s="102" t="n">
        <v>180</v>
      </c>
      <c r="G1085" s="102" t="n">
        <v>237</v>
      </c>
      <c r="H1085" s="103" t="s">
        <v>48</v>
      </c>
      <c r="I1085" s="103">
        <f>IFERROR(VLOOKUP(A1085,#REF!,15,0),0)+IFERROR(VLOOKUP(A1085,#REF!,25,0),0)+IFERROR(VLOOKUP(A1085,#REF!,10,0),0)+IFERROR(VLOOKUP(A1085,#REF!,14,0),0)+IFERROR(VLOOKUP(A1085,#REF!,11,0),0)+IFERROR(VLOOKUP(A1085,#REF!,10,0),0)+IFERROR(VLOOKUP(A1085,#REF!,10,0),0)+IFERROR(VLOOKUP(A1085,#REF!,9,0),0)+IFERROR(VLOOKUP(A1085,#REF!,9,0),0)+IFERROR(VLOOKUP(A1085,#REF!,9,0),0)+IFERROR(VLOOKUP(A1085,#REF!,9,0),0)</f>
        <v>0</v>
      </c>
      <c r="J1085" s="104">
        <f>IFERROR(VLOOKUP(A1085,#REF!,16,0),0)+IFERROR(VLOOKUP(A1085,#REF!,26,0),0)+IFERROR(VLOOKUP(A1085,#REF!,11,0),0)+IFERROR(VLOOKUP(A1085,#REF!,23,0),0)+IFERROR(VLOOKUP(A1085,#REF!,11,0),0)+IFERROR(VLOOKUP(A1085,#REF!,11,0),0)+IFERROR(VLOOKUP(A1085,#REF!,11,0),0)</f>
        <v>0</v>
      </c>
      <c r="K1085" s="96" t="str">
        <f>"07.02.24"</f>
        <v>07.02.24</v>
      </c>
    </row>
    <row r="1086" spans="1:11" ht="11.25" customHeight="1" outlineLevel="1">
      <c r="A1086" s="89" t="n">
        <v>8078400</v>
      </c>
      <c r="B1086" s="114" t="s">
        <v>1201</v>
      </c>
      <c r="C1086" s="89" t="s">
        <v>1676</v>
      </c>
      <c r="D1086" s="89" t="s">
        <v>15</v>
      </c>
      <c r="E1086" s="89" t="s">
        <v>1677</v>
      </c>
      <c r="F1086" s="102" t="n">
        <v>475</v>
      </c>
      <c r="G1086" s="102" t="n">
        <v>630</v>
      </c>
      <c r="H1086" s="103" t="s">
        <v>48</v>
      </c>
      <c r="I1086" s="103">
        <f>IFERROR(VLOOKUP(A1086,#REF!,15,0),0)+IFERROR(VLOOKUP(A1086,#REF!,25,0),0)+IFERROR(VLOOKUP(A1086,#REF!,10,0),0)+IFERROR(VLOOKUP(A1086,#REF!,14,0),0)+IFERROR(VLOOKUP(A1086,#REF!,11,0),0)+IFERROR(VLOOKUP(A1086,#REF!,10,0),0)+IFERROR(VLOOKUP(A1086,#REF!,10,0),0)+IFERROR(VLOOKUP(A1086,#REF!,9,0),0)+IFERROR(VLOOKUP(A1086,#REF!,9,0),0)+IFERROR(VLOOKUP(A1086,#REF!,9,0),0)+IFERROR(VLOOKUP(A1086,#REF!,9,0),0)</f>
        <v>0</v>
      </c>
      <c r="J1086" s="104">
        <f>IFERROR(VLOOKUP(A1086,#REF!,16,0),0)+IFERROR(VLOOKUP(A1086,#REF!,26,0),0)+IFERROR(VLOOKUP(A1086,#REF!,11,0),0)+IFERROR(VLOOKUP(A1086,#REF!,23,0),0)+IFERROR(VLOOKUP(A1086,#REF!,11,0),0)+IFERROR(VLOOKUP(A1086,#REF!,11,0),0)+IFERROR(VLOOKUP(A1086,#REF!,11,0),0)</f>
        <v>0</v>
      </c>
      <c r="K1086" s="96" t="str">
        <f>"07.02.24"</f>
        <v>07.02.24</v>
      </c>
    </row>
    <row r="1087" spans="1:11" ht="11.25" customHeight="1" outlineLevel="1">
      <c r="A1087" s="89" t="n">
        <v>8078410</v>
      </c>
      <c r="B1087" s="114" t="s">
        <v>1201</v>
      </c>
      <c r="C1087" s="89" t="s">
        <v>1678</v>
      </c>
      <c r="D1087" s="89" t="s">
        <v>15</v>
      </c>
      <c r="E1087" s="89" t="s">
        <v>1679</v>
      </c>
      <c r="F1087" s="102" t="n">
        <v>532</v>
      </c>
      <c r="G1087" s="102" t="n">
        <v>680</v>
      </c>
      <c r="H1087" s="103" t="s">
        <v>17</v>
      </c>
      <c r="I1087" s="103">
        <f>IFERROR(VLOOKUP(A1087,#REF!,15,0),0)+IFERROR(VLOOKUP(A1087,#REF!,25,0),0)+IFERROR(VLOOKUP(A1087,#REF!,10,0),0)+IFERROR(VLOOKUP(A1087,#REF!,14,0),0)+IFERROR(VLOOKUP(A1087,#REF!,11,0),0)+IFERROR(VLOOKUP(A1087,#REF!,10,0),0)+IFERROR(VLOOKUP(A1087,#REF!,10,0),0)+IFERROR(VLOOKUP(A1087,#REF!,9,0),0)+IFERROR(VLOOKUP(A1087,#REF!,9,0),0)+IFERROR(VLOOKUP(A1087,#REF!,9,0),0)+IFERROR(VLOOKUP(A1087,#REF!,9,0),0)</f>
        <v>0</v>
      </c>
      <c r="J1087" s="104">
        <f>IFERROR(VLOOKUP(A1087,#REF!,16,0),0)+IFERROR(VLOOKUP(A1087,#REF!,26,0),0)+IFERROR(VLOOKUP(A1087,#REF!,11,0),0)+IFERROR(VLOOKUP(A1087,#REF!,23,0),0)+IFERROR(VLOOKUP(A1087,#REF!,11,0),0)+IFERROR(VLOOKUP(A1087,#REF!,11,0),0)+IFERROR(VLOOKUP(A1087,#REF!,11,0),0)</f>
        <v>0</v>
      </c>
      <c r="K1087" s="96" t="str">
        <f>"07.02.24"</f>
        <v>07.02.24</v>
      </c>
    </row>
    <row r="1088" spans="1:11" ht="11.25" customHeight="1" outlineLevel="1">
      <c r="A1088" s="89" t="n">
        <v>8078420</v>
      </c>
      <c r="B1088" s="114" t="s">
        <v>1201</v>
      </c>
      <c r="C1088" s="89" t="s">
        <v>1680</v>
      </c>
      <c r="D1088" s="89" t="s">
        <v>15</v>
      </c>
      <c r="E1088" s="89" t="s">
        <v>1681</v>
      </c>
      <c r="F1088" s="102" t="n">
        <v>570</v>
      </c>
      <c r="G1088" s="102" t="n">
        <v>728</v>
      </c>
      <c r="H1088" s="103" t="s">
        <v>48</v>
      </c>
      <c r="I1088" s="103">
        <f>IFERROR(VLOOKUP(A1088,#REF!,15,0),0)+IFERROR(VLOOKUP(A1088,#REF!,25,0),0)+IFERROR(VLOOKUP(A1088,#REF!,10,0),0)+IFERROR(VLOOKUP(A1088,#REF!,14,0),0)+IFERROR(VLOOKUP(A1088,#REF!,11,0),0)+IFERROR(VLOOKUP(A1088,#REF!,10,0),0)+IFERROR(VLOOKUP(A1088,#REF!,10,0),0)+IFERROR(VLOOKUP(A1088,#REF!,9,0),0)+IFERROR(VLOOKUP(A1088,#REF!,9,0),0)+IFERROR(VLOOKUP(A1088,#REF!,9,0),0)+IFERROR(VLOOKUP(A1088,#REF!,9,0),0)</f>
        <v>0</v>
      </c>
      <c r="J1088" s="104">
        <f>IFERROR(VLOOKUP(A1088,#REF!,16,0),0)+IFERROR(VLOOKUP(A1088,#REF!,26,0),0)+IFERROR(VLOOKUP(A1088,#REF!,11,0),0)+IFERROR(VLOOKUP(A1088,#REF!,23,0),0)+IFERROR(VLOOKUP(A1088,#REF!,11,0),0)+IFERROR(VLOOKUP(A1088,#REF!,11,0),0)+IFERROR(VLOOKUP(A1088,#REF!,11,0),0)</f>
        <v>0</v>
      </c>
      <c r="K1088" s="96" t="str">
        <f>"07.02.24"</f>
        <v>07.02.24</v>
      </c>
    </row>
    <row r="1089" spans="1:11" ht="11.25" customHeight="1" outlineLevel="1">
      <c r="A1089" s="89" t="n">
        <v>8078430</v>
      </c>
      <c r="B1089" s="114" t="s">
        <v>1201</v>
      </c>
      <c r="C1089" s="89" t="s">
        <v>1682</v>
      </c>
      <c r="D1089" s="89" t="s">
        <v>15</v>
      </c>
      <c r="E1089" s="89" t="s">
        <v>1683</v>
      </c>
      <c r="F1089" s="102" t="n">
        <v>520</v>
      </c>
      <c r="G1089" s="102" t="n">
        <v>663</v>
      </c>
      <c r="H1089" s="103" t="s">
        <v>48</v>
      </c>
      <c r="I1089" s="103">
        <f>IFERROR(VLOOKUP(A1089,#REF!,15,0),0)+IFERROR(VLOOKUP(A1089,#REF!,25,0),0)+IFERROR(VLOOKUP(A1089,#REF!,10,0),0)+IFERROR(VLOOKUP(A1089,#REF!,14,0),0)+IFERROR(VLOOKUP(A1089,#REF!,11,0),0)+IFERROR(VLOOKUP(A1089,#REF!,10,0),0)+IFERROR(VLOOKUP(A1089,#REF!,10,0),0)+IFERROR(VLOOKUP(A1089,#REF!,9,0),0)+IFERROR(VLOOKUP(A1089,#REF!,9,0),0)+IFERROR(VLOOKUP(A1089,#REF!,9,0),0)+IFERROR(VLOOKUP(A1089,#REF!,9,0),0)</f>
        <v>0</v>
      </c>
      <c r="J1089" s="104">
        <f>IFERROR(VLOOKUP(A1089,#REF!,16,0),0)+IFERROR(VLOOKUP(A1089,#REF!,26,0),0)+IFERROR(VLOOKUP(A1089,#REF!,11,0),0)+IFERROR(VLOOKUP(A1089,#REF!,23,0),0)+IFERROR(VLOOKUP(A1089,#REF!,11,0),0)+IFERROR(VLOOKUP(A1089,#REF!,11,0),0)+IFERROR(VLOOKUP(A1089,#REF!,11,0),0)</f>
        <v>0</v>
      </c>
      <c r="K1089" s="96" t="str">
        <f>"07.02.24"</f>
        <v>07.02.24</v>
      </c>
    </row>
    <row r="1090" spans="1:11" ht="11.25" customHeight="1" outlineLevel="1">
      <c r="A1090" s="89" t="n">
        <v>8078440</v>
      </c>
      <c r="B1090" s="114" t="s">
        <v>1201</v>
      </c>
      <c r="C1090" s="89" t="s">
        <v>1684</v>
      </c>
      <c r="D1090" s="89" t="s">
        <v>15</v>
      </c>
      <c r="E1090" s="89" t="s">
        <v>1685</v>
      </c>
      <c r="F1090" s="102" t="n">
        <v>550</v>
      </c>
      <c r="G1090" s="102" t="n">
        <v>701</v>
      </c>
      <c r="H1090" s="103" t="s">
        <v>48</v>
      </c>
      <c r="I1090" s="103">
        <f>IFERROR(VLOOKUP(A1090,#REF!,15,0),0)+IFERROR(VLOOKUP(A1090,#REF!,25,0),0)+IFERROR(VLOOKUP(A1090,#REF!,10,0),0)+IFERROR(VLOOKUP(A1090,#REF!,14,0),0)+IFERROR(VLOOKUP(A1090,#REF!,11,0),0)+IFERROR(VLOOKUP(A1090,#REF!,10,0),0)+IFERROR(VLOOKUP(A1090,#REF!,10,0),0)+IFERROR(VLOOKUP(A1090,#REF!,9,0),0)+IFERROR(VLOOKUP(A1090,#REF!,9,0),0)+IFERROR(VLOOKUP(A1090,#REF!,9,0),0)+IFERROR(VLOOKUP(A1090,#REF!,9,0),0)</f>
        <v>0</v>
      </c>
      <c r="J1090" s="104">
        <f>IFERROR(VLOOKUP(A1090,#REF!,16,0),0)+IFERROR(VLOOKUP(A1090,#REF!,26,0),0)+IFERROR(VLOOKUP(A1090,#REF!,11,0),0)+IFERROR(VLOOKUP(A1090,#REF!,23,0),0)+IFERROR(VLOOKUP(A1090,#REF!,11,0),0)+IFERROR(VLOOKUP(A1090,#REF!,11,0),0)+IFERROR(VLOOKUP(A1090,#REF!,11,0),0)</f>
        <v>0</v>
      </c>
      <c r="K1090" s="96" t="str">
        <f>"07.02.24"</f>
        <v>07.02.24</v>
      </c>
    </row>
    <row r="1091" spans="1:11" ht="11.25" customHeight="1" outlineLevel="1">
      <c r="A1091" s="89" t="n">
        <v>8078450</v>
      </c>
      <c r="B1091" s="114" t="s">
        <v>1201</v>
      </c>
      <c r="C1091" s="89" t="s">
        <v>1686</v>
      </c>
      <c r="D1091" s="89" t="s">
        <v>15</v>
      </c>
      <c r="E1091" s="89" t="s">
        <v>1687</v>
      </c>
      <c r="F1091" s="102" t="n">
        <v>417</v>
      </c>
      <c r="G1091" s="102" t="n">
        <v>534</v>
      </c>
      <c r="H1091" s="103" t="s">
        <v>48</v>
      </c>
      <c r="I1091" s="103">
        <f>IFERROR(VLOOKUP(A1091,#REF!,15,0),0)+IFERROR(VLOOKUP(A1091,#REF!,25,0),0)+IFERROR(VLOOKUP(A1091,#REF!,10,0),0)+IFERROR(VLOOKUP(A1091,#REF!,14,0),0)+IFERROR(VLOOKUP(A1091,#REF!,11,0),0)+IFERROR(VLOOKUP(A1091,#REF!,10,0),0)+IFERROR(VLOOKUP(A1091,#REF!,10,0),0)+IFERROR(VLOOKUP(A1091,#REF!,9,0),0)+IFERROR(VLOOKUP(A1091,#REF!,9,0),0)+IFERROR(VLOOKUP(A1091,#REF!,9,0),0)+IFERROR(VLOOKUP(A1091,#REF!,9,0),0)</f>
        <v>0</v>
      </c>
      <c r="J1091" s="104">
        <f>IFERROR(VLOOKUP(A1091,#REF!,16,0),0)+IFERROR(VLOOKUP(A1091,#REF!,26,0),0)+IFERROR(VLOOKUP(A1091,#REF!,11,0),0)+IFERROR(VLOOKUP(A1091,#REF!,23,0),0)+IFERROR(VLOOKUP(A1091,#REF!,11,0),0)+IFERROR(VLOOKUP(A1091,#REF!,11,0),0)+IFERROR(VLOOKUP(A1091,#REF!,11,0),0)</f>
        <v>0</v>
      </c>
      <c r="K1091" s="96" t="str">
        <f>"07.02.24"</f>
        <v>07.02.24</v>
      </c>
    </row>
    <row r="1092" spans="1:11" ht="11.25" customHeight="1" outlineLevel="1">
      <c r="A1092" s="89" t="n">
        <v>8078460</v>
      </c>
      <c r="B1092" s="114" t="s">
        <v>1201</v>
      </c>
      <c r="C1092" s="89" t="s">
        <v>1688</v>
      </c>
      <c r="D1092" s="89" t="s">
        <v>15</v>
      </c>
      <c r="E1092" s="89" t="s">
        <v>1689</v>
      </c>
      <c r="F1092" s="102" t="n">
        <v>448</v>
      </c>
      <c r="G1092" s="102" t="n">
        <v>597</v>
      </c>
      <c r="H1092" s="103" t="s">
        <v>48</v>
      </c>
      <c r="I1092" s="103">
        <f>IFERROR(VLOOKUP(A1092,#REF!,15,0),0)+IFERROR(VLOOKUP(A1092,#REF!,25,0),0)+IFERROR(VLOOKUP(A1092,#REF!,10,0),0)+IFERROR(VLOOKUP(A1092,#REF!,14,0),0)+IFERROR(VLOOKUP(A1092,#REF!,11,0),0)+IFERROR(VLOOKUP(A1092,#REF!,10,0),0)+IFERROR(VLOOKUP(A1092,#REF!,10,0),0)+IFERROR(VLOOKUP(A1092,#REF!,9,0),0)+IFERROR(VLOOKUP(A1092,#REF!,9,0),0)+IFERROR(VLOOKUP(A1092,#REF!,9,0),0)+IFERROR(VLOOKUP(A1092,#REF!,9,0),0)</f>
        <v>0</v>
      </c>
      <c r="J1092" s="104">
        <f>IFERROR(VLOOKUP(A1092,#REF!,16,0),0)+IFERROR(VLOOKUP(A1092,#REF!,26,0),0)+IFERROR(VLOOKUP(A1092,#REF!,11,0),0)+IFERROR(VLOOKUP(A1092,#REF!,23,0),0)+IFERROR(VLOOKUP(A1092,#REF!,11,0),0)+IFERROR(VLOOKUP(A1092,#REF!,11,0),0)+IFERROR(VLOOKUP(A1092,#REF!,11,0),0)</f>
        <v>0</v>
      </c>
      <c r="K1092" s="96" t="str">
        <f>"07.02.24"</f>
        <v>07.02.24</v>
      </c>
    </row>
    <row r="1093" spans="1:11" ht="11.25" customHeight="1" outlineLevel="1">
      <c r="A1093" s="89" t="n">
        <v>8078470</v>
      </c>
      <c r="B1093" s="114" t="s">
        <v>1201</v>
      </c>
      <c r="C1093" s="89" t="s">
        <v>1690</v>
      </c>
      <c r="D1093" s="89" t="s">
        <v>15</v>
      </c>
      <c r="E1093" s="89" t="s">
        <v>1691</v>
      </c>
      <c r="F1093" s="102" t="n">
        <v>566</v>
      </c>
      <c r="G1093" s="102" t="n">
        <v>752</v>
      </c>
      <c r="H1093" s="103" t="s">
        <v>17</v>
      </c>
      <c r="I1093" s="103">
        <f>IFERROR(VLOOKUP(A1093,#REF!,15,0),0)+IFERROR(VLOOKUP(A1093,#REF!,25,0),0)+IFERROR(VLOOKUP(A1093,#REF!,10,0),0)+IFERROR(VLOOKUP(A1093,#REF!,14,0),0)+IFERROR(VLOOKUP(A1093,#REF!,11,0),0)+IFERROR(VLOOKUP(A1093,#REF!,10,0),0)+IFERROR(VLOOKUP(A1093,#REF!,10,0),0)+IFERROR(VLOOKUP(A1093,#REF!,9,0),0)+IFERROR(VLOOKUP(A1093,#REF!,9,0),0)+IFERROR(VLOOKUP(A1093,#REF!,9,0),0)+IFERROR(VLOOKUP(A1093,#REF!,9,0),0)</f>
        <v>0</v>
      </c>
      <c r="J1093" s="104">
        <f>IFERROR(VLOOKUP(A1093,#REF!,16,0),0)+IFERROR(VLOOKUP(A1093,#REF!,26,0),0)+IFERROR(VLOOKUP(A1093,#REF!,11,0),0)+IFERROR(VLOOKUP(A1093,#REF!,23,0),0)+IFERROR(VLOOKUP(A1093,#REF!,11,0),0)+IFERROR(VLOOKUP(A1093,#REF!,11,0),0)+IFERROR(VLOOKUP(A1093,#REF!,11,0),0)</f>
        <v>0</v>
      </c>
      <c r="K1093" s="96" t="str">
        <f>"07.02.24"</f>
        <v>07.02.24</v>
      </c>
    </row>
    <row r="1094" spans="1:11" ht="11.25" customHeight="1" outlineLevel="1">
      <c r="A1094" s="89" t="n">
        <v>8078480</v>
      </c>
      <c r="B1094" s="114" t="s">
        <v>1201</v>
      </c>
      <c r="C1094" s="89" t="s">
        <v>1692</v>
      </c>
      <c r="D1094" s="89" t="s">
        <v>15</v>
      </c>
      <c r="E1094" s="89" t="s">
        <v>1693</v>
      </c>
      <c r="F1094" s="102" t="n">
        <v>514</v>
      </c>
      <c r="G1094" s="102" t="n">
        <v>684</v>
      </c>
      <c r="H1094" s="103" t="s">
        <v>48</v>
      </c>
      <c r="I1094" s="103">
        <f>IFERROR(VLOOKUP(A1094,#REF!,15,0),0)+IFERROR(VLOOKUP(A1094,#REF!,25,0),0)+IFERROR(VLOOKUP(A1094,#REF!,10,0),0)+IFERROR(VLOOKUP(A1094,#REF!,14,0),0)+IFERROR(VLOOKUP(A1094,#REF!,11,0),0)+IFERROR(VLOOKUP(A1094,#REF!,10,0),0)+IFERROR(VLOOKUP(A1094,#REF!,10,0),0)+IFERROR(VLOOKUP(A1094,#REF!,9,0),0)+IFERROR(VLOOKUP(A1094,#REF!,9,0),0)+IFERROR(VLOOKUP(A1094,#REF!,9,0),0)+IFERROR(VLOOKUP(A1094,#REF!,9,0),0)</f>
        <v>0</v>
      </c>
      <c r="J1094" s="104">
        <f>IFERROR(VLOOKUP(A1094,#REF!,16,0),0)+IFERROR(VLOOKUP(A1094,#REF!,26,0),0)+IFERROR(VLOOKUP(A1094,#REF!,11,0),0)+IFERROR(VLOOKUP(A1094,#REF!,23,0),0)+IFERROR(VLOOKUP(A1094,#REF!,11,0),0)+IFERROR(VLOOKUP(A1094,#REF!,11,0),0)+IFERROR(VLOOKUP(A1094,#REF!,11,0),0)</f>
        <v>0</v>
      </c>
      <c r="K1094" s="96" t="str">
        <f>"07.02.24"</f>
        <v>07.02.24</v>
      </c>
    </row>
    <row r="1095" spans="1:11" ht="11.25" customHeight="1" outlineLevel="1">
      <c r="A1095" s="89" t="n">
        <v>8078500</v>
      </c>
      <c r="B1095" s="114" t="s">
        <v>1201</v>
      </c>
      <c r="C1095" s="89" t="s">
        <v>1694</v>
      </c>
      <c r="D1095" s="89" t="s">
        <v>15</v>
      </c>
      <c r="E1095" s="89" t="s">
        <v>1695</v>
      </c>
      <c r="F1095" s="102" t="n">
        <v>810</v>
      </c>
      <c r="G1095" s="102" t="n">
        <v>1079</v>
      </c>
      <c r="H1095" s="103" t="s">
        <v>17</v>
      </c>
      <c r="I1095" s="103">
        <f>IFERROR(VLOOKUP(A1095,#REF!,15,0),0)+IFERROR(VLOOKUP(A1095,#REF!,25,0),0)+IFERROR(VLOOKUP(A1095,#REF!,10,0),0)+IFERROR(VLOOKUP(A1095,#REF!,14,0),0)+IFERROR(VLOOKUP(A1095,#REF!,11,0),0)+IFERROR(VLOOKUP(A1095,#REF!,10,0),0)+IFERROR(VLOOKUP(A1095,#REF!,10,0),0)+IFERROR(VLOOKUP(A1095,#REF!,9,0),0)+IFERROR(VLOOKUP(A1095,#REF!,9,0),0)+IFERROR(VLOOKUP(A1095,#REF!,9,0),0)+IFERROR(VLOOKUP(A1095,#REF!,9,0),0)</f>
        <v>0</v>
      </c>
      <c r="J1095" s="104">
        <f>IFERROR(VLOOKUP(A1095,#REF!,16,0),0)+IFERROR(VLOOKUP(A1095,#REF!,26,0),0)+IFERROR(VLOOKUP(A1095,#REF!,11,0),0)+IFERROR(VLOOKUP(A1095,#REF!,23,0),0)+IFERROR(VLOOKUP(A1095,#REF!,11,0),0)+IFERROR(VLOOKUP(A1095,#REF!,11,0),0)+IFERROR(VLOOKUP(A1095,#REF!,11,0),0)</f>
        <v>0</v>
      </c>
      <c r="K1095" s="96" t="str">
        <f>"07.02.24"</f>
        <v>07.02.24</v>
      </c>
    </row>
    <row r="1096" spans="1:11" ht="11.25" customHeight="1" outlineLevel="1">
      <c r="A1096" s="89" t="n">
        <v>8078510</v>
      </c>
      <c r="B1096" s="114" t="s">
        <v>1201</v>
      </c>
      <c r="C1096" s="89" t="s">
        <v>1696</v>
      </c>
      <c r="D1096" s="89" t="s">
        <v>15</v>
      </c>
      <c r="E1096" s="89" t="s">
        <v>1697</v>
      </c>
      <c r="F1096" s="102" t="n">
        <v>829</v>
      </c>
      <c r="G1096" s="102" t="n">
        <v>1062</v>
      </c>
      <c r="H1096" s="103" t="s">
        <v>48</v>
      </c>
      <c r="I1096" s="103">
        <f>IFERROR(VLOOKUP(A1096,#REF!,15,0),0)+IFERROR(VLOOKUP(A1096,#REF!,25,0),0)+IFERROR(VLOOKUP(A1096,#REF!,10,0),0)+IFERROR(VLOOKUP(A1096,#REF!,14,0),0)+IFERROR(VLOOKUP(A1096,#REF!,11,0),0)+IFERROR(VLOOKUP(A1096,#REF!,10,0),0)+IFERROR(VLOOKUP(A1096,#REF!,10,0),0)+IFERROR(VLOOKUP(A1096,#REF!,9,0),0)+IFERROR(VLOOKUP(A1096,#REF!,9,0),0)+IFERROR(VLOOKUP(A1096,#REF!,9,0),0)+IFERROR(VLOOKUP(A1096,#REF!,9,0),0)</f>
        <v>0</v>
      </c>
      <c r="J1096" s="104">
        <f>IFERROR(VLOOKUP(A1096,#REF!,16,0),0)+IFERROR(VLOOKUP(A1096,#REF!,26,0),0)+IFERROR(VLOOKUP(A1096,#REF!,11,0),0)+IFERROR(VLOOKUP(A1096,#REF!,23,0),0)+IFERROR(VLOOKUP(A1096,#REF!,11,0),0)+IFERROR(VLOOKUP(A1096,#REF!,11,0),0)+IFERROR(VLOOKUP(A1096,#REF!,11,0),0)</f>
        <v>0</v>
      </c>
      <c r="K1096" s="96" t="str">
        <f>"07.02.24"</f>
        <v>07.02.24</v>
      </c>
    </row>
    <row r="1097" spans="1:11" ht="11.25" customHeight="1" outlineLevel="1">
      <c r="A1097" s="89" t="n">
        <v>8078520</v>
      </c>
      <c r="B1097" s="114" t="s">
        <v>1201</v>
      </c>
      <c r="C1097" s="89" t="s">
        <v>1698</v>
      </c>
      <c r="D1097" s="89" t="s">
        <v>15</v>
      </c>
      <c r="E1097" s="89" t="s">
        <v>1699</v>
      </c>
      <c r="F1097" s="102" t="n">
        <v>888</v>
      </c>
      <c r="G1097" s="102" t="n">
        <v>1136</v>
      </c>
      <c r="H1097" s="103" t="s">
        <v>48</v>
      </c>
      <c r="I1097" s="103">
        <f>IFERROR(VLOOKUP(A1097,#REF!,15,0),0)+IFERROR(VLOOKUP(A1097,#REF!,25,0),0)+IFERROR(VLOOKUP(A1097,#REF!,10,0),0)+IFERROR(VLOOKUP(A1097,#REF!,14,0),0)+IFERROR(VLOOKUP(A1097,#REF!,11,0),0)+IFERROR(VLOOKUP(A1097,#REF!,10,0),0)+IFERROR(VLOOKUP(A1097,#REF!,10,0),0)+IFERROR(VLOOKUP(A1097,#REF!,9,0),0)+IFERROR(VLOOKUP(A1097,#REF!,9,0),0)+IFERROR(VLOOKUP(A1097,#REF!,9,0),0)+IFERROR(VLOOKUP(A1097,#REF!,9,0),0)</f>
        <v>0</v>
      </c>
      <c r="J1097" s="104">
        <f>IFERROR(VLOOKUP(A1097,#REF!,16,0),0)+IFERROR(VLOOKUP(A1097,#REF!,26,0),0)+IFERROR(VLOOKUP(A1097,#REF!,11,0),0)+IFERROR(VLOOKUP(A1097,#REF!,23,0),0)+IFERROR(VLOOKUP(A1097,#REF!,11,0),0)+IFERROR(VLOOKUP(A1097,#REF!,11,0),0)+IFERROR(VLOOKUP(A1097,#REF!,11,0),0)</f>
        <v>0</v>
      </c>
      <c r="K1097" s="96" t="str">
        <f>"07.02.24"</f>
        <v>07.02.24</v>
      </c>
    </row>
    <row r="1098" spans="1:11" ht="11.25" customHeight="1" outlineLevel="1">
      <c r="A1098" s="89" t="n">
        <v>8078530</v>
      </c>
      <c r="B1098" s="114" t="s">
        <v>1201</v>
      </c>
      <c r="C1098" s="89" t="s">
        <v>1700</v>
      </c>
      <c r="D1098" s="89" t="s">
        <v>15</v>
      </c>
      <c r="E1098" s="89" t="s">
        <v>1701</v>
      </c>
      <c r="F1098" s="102" t="n">
        <v>594</v>
      </c>
      <c r="G1098" s="102" t="n">
        <v>789</v>
      </c>
      <c r="H1098" s="103" t="s">
        <v>48</v>
      </c>
      <c r="I1098" s="103">
        <f>IFERROR(VLOOKUP(A1098,#REF!,15,0),0)+IFERROR(VLOOKUP(A1098,#REF!,25,0),0)+IFERROR(VLOOKUP(A1098,#REF!,10,0),0)+IFERROR(VLOOKUP(A1098,#REF!,14,0),0)+IFERROR(VLOOKUP(A1098,#REF!,11,0),0)+IFERROR(VLOOKUP(A1098,#REF!,10,0),0)+IFERROR(VLOOKUP(A1098,#REF!,10,0),0)+IFERROR(VLOOKUP(A1098,#REF!,9,0),0)+IFERROR(VLOOKUP(A1098,#REF!,9,0),0)+IFERROR(VLOOKUP(A1098,#REF!,9,0),0)+IFERROR(VLOOKUP(A1098,#REF!,9,0),0)</f>
        <v>0</v>
      </c>
      <c r="J1098" s="104">
        <f>IFERROR(VLOOKUP(A1098,#REF!,16,0),0)+IFERROR(VLOOKUP(A1098,#REF!,26,0),0)+IFERROR(VLOOKUP(A1098,#REF!,11,0),0)+IFERROR(VLOOKUP(A1098,#REF!,23,0),0)+IFERROR(VLOOKUP(A1098,#REF!,11,0),0)+IFERROR(VLOOKUP(A1098,#REF!,11,0),0)+IFERROR(VLOOKUP(A1098,#REF!,11,0),0)</f>
        <v>0</v>
      </c>
      <c r="K1098" s="96" t="str">
        <f>"07.02.24"</f>
        <v>07.02.24</v>
      </c>
    </row>
    <row r="1099" spans="1:11" ht="11.25" customHeight="1" outlineLevel="1">
      <c r="A1099" s="89" t="n">
        <v>8078540</v>
      </c>
      <c r="B1099" s="114" t="s">
        <v>1201</v>
      </c>
      <c r="C1099" s="89" t="s">
        <v>1702</v>
      </c>
      <c r="D1099" s="89" t="s">
        <v>15</v>
      </c>
      <c r="E1099" s="89" t="s">
        <v>1703</v>
      </c>
      <c r="F1099" s="102" t="n">
        <v>617</v>
      </c>
      <c r="G1099" s="102" t="n">
        <v>789</v>
      </c>
      <c r="H1099" s="103" t="s">
        <v>17</v>
      </c>
      <c r="I1099" s="103">
        <f>IFERROR(VLOOKUP(A1099,#REF!,15,0),0)+IFERROR(VLOOKUP(A1099,#REF!,25,0),0)+IFERROR(VLOOKUP(A1099,#REF!,10,0),0)+IFERROR(VLOOKUP(A1099,#REF!,14,0),0)+IFERROR(VLOOKUP(A1099,#REF!,11,0),0)+IFERROR(VLOOKUP(A1099,#REF!,10,0),0)+IFERROR(VLOOKUP(A1099,#REF!,10,0),0)+IFERROR(VLOOKUP(A1099,#REF!,9,0),0)+IFERROR(VLOOKUP(A1099,#REF!,9,0),0)+IFERROR(VLOOKUP(A1099,#REF!,9,0),0)+IFERROR(VLOOKUP(A1099,#REF!,9,0),0)</f>
        <v>0</v>
      </c>
      <c r="J1099" s="104">
        <f>IFERROR(VLOOKUP(A1099,#REF!,16,0),0)+IFERROR(VLOOKUP(A1099,#REF!,26,0),0)+IFERROR(VLOOKUP(A1099,#REF!,11,0),0)+IFERROR(VLOOKUP(A1099,#REF!,23,0),0)+IFERROR(VLOOKUP(A1099,#REF!,11,0),0)+IFERROR(VLOOKUP(A1099,#REF!,11,0),0)+IFERROR(VLOOKUP(A1099,#REF!,11,0),0)</f>
        <v>0</v>
      </c>
      <c r="K1099" s="96" t="str">
        <f>"07.02.24"</f>
        <v>07.02.24</v>
      </c>
    </row>
    <row r="1100" spans="1:11" ht="11.25" customHeight="1" outlineLevel="1">
      <c r="A1100" s="89" t="n">
        <v>8078550</v>
      </c>
      <c r="B1100" s="114" t="s">
        <v>1201</v>
      </c>
      <c r="C1100" s="89" t="s">
        <v>1704</v>
      </c>
      <c r="D1100" s="89" t="s">
        <v>15</v>
      </c>
      <c r="E1100" s="89" t="s">
        <v>1705</v>
      </c>
      <c r="F1100" s="102" t="n">
        <v>667</v>
      </c>
      <c r="G1100" s="102" t="n">
        <v>856</v>
      </c>
      <c r="H1100" s="103" t="s">
        <v>17</v>
      </c>
      <c r="I1100" s="103">
        <f>IFERROR(VLOOKUP(A1100,#REF!,15,0),0)+IFERROR(VLOOKUP(A1100,#REF!,25,0),0)+IFERROR(VLOOKUP(A1100,#REF!,10,0),0)+IFERROR(VLOOKUP(A1100,#REF!,14,0),0)+IFERROR(VLOOKUP(A1100,#REF!,11,0),0)+IFERROR(VLOOKUP(A1100,#REF!,10,0),0)+IFERROR(VLOOKUP(A1100,#REF!,10,0),0)+IFERROR(VLOOKUP(A1100,#REF!,9,0),0)+IFERROR(VLOOKUP(A1100,#REF!,9,0),0)+IFERROR(VLOOKUP(A1100,#REF!,9,0),0)+IFERROR(VLOOKUP(A1100,#REF!,9,0),0)</f>
        <v>0</v>
      </c>
      <c r="J1100" s="104">
        <f>IFERROR(VLOOKUP(A1100,#REF!,16,0),0)+IFERROR(VLOOKUP(A1100,#REF!,26,0),0)+IFERROR(VLOOKUP(A1100,#REF!,11,0),0)+IFERROR(VLOOKUP(A1100,#REF!,23,0),0)+IFERROR(VLOOKUP(A1100,#REF!,11,0),0)+IFERROR(VLOOKUP(A1100,#REF!,11,0),0)+IFERROR(VLOOKUP(A1100,#REF!,11,0),0)</f>
        <v>0</v>
      </c>
      <c r="K1100" s="96" t="str">
        <f>"07.02.24"</f>
        <v>07.02.24</v>
      </c>
    </row>
    <row r="1101" spans="1:11" ht="11.25" customHeight="1" outlineLevel="1">
      <c r="A1101" s="89" t="n">
        <v>8078560</v>
      </c>
      <c r="B1101" s="114" t="s">
        <v>1201</v>
      </c>
      <c r="C1101" s="89" t="s">
        <v>1706</v>
      </c>
      <c r="D1101" s="89" t="s">
        <v>15</v>
      </c>
      <c r="E1101" s="89" t="s">
        <v>1707</v>
      </c>
      <c r="F1101" s="102" t="n">
        <v>714</v>
      </c>
      <c r="G1101" s="102" t="n">
        <v>915</v>
      </c>
      <c r="H1101" s="103" t="s">
        <v>17</v>
      </c>
      <c r="I1101" s="103">
        <f>IFERROR(VLOOKUP(A1101,#REF!,15,0),0)+IFERROR(VLOOKUP(A1101,#REF!,25,0),0)+IFERROR(VLOOKUP(A1101,#REF!,10,0),0)+IFERROR(VLOOKUP(A1101,#REF!,14,0),0)+IFERROR(VLOOKUP(A1101,#REF!,11,0),0)+IFERROR(VLOOKUP(A1101,#REF!,10,0),0)+IFERROR(VLOOKUP(A1101,#REF!,10,0),0)+IFERROR(VLOOKUP(A1101,#REF!,9,0),0)+IFERROR(VLOOKUP(A1101,#REF!,9,0),0)+IFERROR(VLOOKUP(A1101,#REF!,9,0),0)+IFERROR(VLOOKUP(A1101,#REF!,9,0),0)</f>
        <v>0</v>
      </c>
      <c r="J1101" s="104">
        <f>IFERROR(VLOOKUP(A1101,#REF!,16,0),0)+IFERROR(VLOOKUP(A1101,#REF!,26,0),0)+IFERROR(VLOOKUP(A1101,#REF!,11,0),0)+IFERROR(VLOOKUP(A1101,#REF!,23,0),0)+IFERROR(VLOOKUP(A1101,#REF!,11,0),0)+IFERROR(VLOOKUP(A1101,#REF!,11,0),0)+IFERROR(VLOOKUP(A1101,#REF!,11,0),0)</f>
        <v>0</v>
      </c>
      <c r="K1101" s="96" t="str">
        <f>"07.02.24"</f>
        <v>07.02.24</v>
      </c>
    </row>
    <row r="1102" spans="1:11" ht="11.25" customHeight="1" outlineLevel="1">
      <c r="A1102" s="89" t="n">
        <v>8078570</v>
      </c>
      <c r="B1102" s="114" t="s">
        <v>1201</v>
      </c>
      <c r="C1102" s="89" t="s">
        <v>1708</v>
      </c>
      <c r="D1102" s="89" t="s">
        <v>15</v>
      </c>
      <c r="E1102" s="89" t="s">
        <v>1709</v>
      </c>
      <c r="F1102" s="102" t="n">
        <v>781</v>
      </c>
      <c r="G1102" s="102" t="n">
        <v>1035</v>
      </c>
      <c r="H1102" s="103" t="s">
        <v>17</v>
      </c>
      <c r="I1102" s="103">
        <f>IFERROR(VLOOKUP(A1102,#REF!,15,0),0)+IFERROR(VLOOKUP(A1102,#REF!,25,0),0)+IFERROR(VLOOKUP(A1102,#REF!,10,0),0)+IFERROR(VLOOKUP(A1102,#REF!,14,0),0)+IFERROR(VLOOKUP(A1102,#REF!,11,0),0)+IFERROR(VLOOKUP(A1102,#REF!,10,0),0)+IFERROR(VLOOKUP(A1102,#REF!,10,0),0)+IFERROR(VLOOKUP(A1102,#REF!,9,0),0)+IFERROR(VLOOKUP(A1102,#REF!,9,0),0)+IFERROR(VLOOKUP(A1102,#REF!,9,0),0)+IFERROR(VLOOKUP(A1102,#REF!,9,0),0)</f>
        <v>0</v>
      </c>
      <c r="J1102" s="104">
        <f>IFERROR(VLOOKUP(A1102,#REF!,16,0),0)+IFERROR(VLOOKUP(A1102,#REF!,26,0),0)+IFERROR(VLOOKUP(A1102,#REF!,11,0),0)+IFERROR(VLOOKUP(A1102,#REF!,23,0),0)+IFERROR(VLOOKUP(A1102,#REF!,11,0),0)+IFERROR(VLOOKUP(A1102,#REF!,11,0),0)+IFERROR(VLOOKUP(A1102,#REF!,11,0),0)</f>
        <v>0</v>
      </c>
      <c r="K1102" s="96" t="str">
        <f>"07.02.24"</f>
        <v>07.02.24</v>
      </c>
    </row>
    <row r="1103" spans="1:11" ht="11.25" customHeight="1" outlineLevel="1">
      <c r="A1103" s="89" t="n">
        <v>8078580</v>
      </c>
      <c r="B1103" s="114" t="s">
        <v>1201</v>
      </c>
      <c r="C1103" s="89" t="s">
        <v>1710</v>
      </c>
      <c r="D1103" s="89" t="s">
        <v>15</v>
      </c>
      <c r="E1103" s="89" t="s">
        <v>1711</v>
      </c>
      <c r="F1103" s="102" t="n">
        <v>701</v>
      </c>
      <c r="G1103" s="102" t="n">
        <v>895</v>
      </c>
      <c r="H1103" s="103" t="s">
        <v>17</v>
      </c>
      <c r="I1103" s="103">
        <f>IFERROR(VLOOKUP(A1103,#REF!,15,0),0)+IFERROR(VLOOKUP(A1103,#REF!,25,0),0)+IFERROR(VLOOKUP(A1103,#REF!,10,0),0)+IFERROR(VLOOKUP(A1103,#REF!,14,0),0)+IFERROR(VLOOKUP(A1103,#REF!,11,0),0)+IFERROR(VLOOKUP(A1103,#REF!,10,0),0)+IFERROR(VLOOKUP(A1103,#REF!,10,0),0)+IFERROR(VLOOKUP(A1103,#REF!,9,0),0)+IFERROR(VLOOKUP(A1103,#REF!,9,0),0)+IFERROR(VLOOKUP(A1103,#REF!,9,0),0)+IFERROR(VLOOKUP(A1103,#REF!,9,0),0)</f>
        <v>0</v>
      </c>
      <c r="J1103" s="104">
        <f>IFERROR(VLOOKUP(A1103,#REF!,16,0),0)+IFERROR(VLOOKUP(A1103,#REF!,26,0),0)+IFERROR(VLOOKUP(A1103,#REF!,11,0),0)+IFERROR(VLOOKUP(A1103,#REF!,23,0),0)+IFERROR(VLOOKUP(A1103,#REF!,11,0),0)+IFERROR(VLOOKUP(A1103,#REF!,11,0),0)+IFERROR(VLOOKUP(A1103,#REF!,11,0),0)</f>
        <v>0</v>
      </c>
      <c r="K1103" s="96" t="str">
        <f>"07.02.24"</f>
        <v>07.02.24</v>
      </c>
    </row>
    <row r="1104" spans="1:11" ht="11.25" customHeight="1" outlineLevel="1">
      <c r="A1104" s="89" t="n">
        <v>8078590</v>
      </c>
      <c r="B1104" s="114" t="s">
        <v>1201</v>
      </c>
      <c r="C1104" s="89" t="s">
        <v>1712</v>
      </c>
      <c r="D1104" s="89" t="s">
        <v>15</v>
      </c>
      <c r="E1104" s="89" t="s">
        <v>1713</v>
      </c>
      <c r="F1104" s="102" t="n">
        <v>742</v>
      </c>
      <c r="G1104" s="102" t="n">
        <v>947</v>
      </c>
      <c r="H1104" s="103" t="s">
        <v>48</v>
      </c>
      <c r="I1104" s="103">
        <f>IFERROR(VLOOKUP(A1104,#REF!,15,0),0)+IFERROR(VLOOKUP(A1104,#REF!,25,0),0)+IFERROR(VLOOKUP(A1104,#REF!,10,0),0)+IFERROR(VLOOKUP(A1104,#REF!,14,0),0)+IFERROR(VLOOKUP(A1104,#REF!,11,0),0)+IFERROR(VLOOKUP(A1104,#REF!,10,0),0)+IFERROR(VLOOKUP(A1104,#REF!,10,0),0)+IFERROR(VLOOKUP(A1104,#REF!,9,0),0)+IFERROR(VLOOKUP(A1104,#REF!,9,0),0)+IFERROR(VLOOKUP(A1104,#REF!,9,0),0)+IFERROR(VLOOKUP(A1104,#REF!,9,0),0)</f>
        <v>0</v>
      </c>
      <c r="J1104" s="104">
        <f>IFERROR(VLOOKUP(A1104,#REF!,16,0),0)+IFERROR(VLOOKUP(A1104,#REF!,26,0),0)+IFERROR(VLOOKUP(A1104,#REF!,11,0),0)+IFERROR(VLOOKUP(A1104,#REF!,23,0),0)+IFERROR(VLOOKUP(A1104,#REF!,11,0),0)+IFERROR(VLOOKUP(A1104,#REF!,11,0),0)+IFERROR(VLOOKUP(A1104,#REF!,11,0),0)</f>
        <v>0</v>
      </c>
      <c r="K1104" s="96" t="str">
        <f>"07.02.24"</f>
        <v>07.02.24</v>
      </c>
    </row>
    <row r="1105" spans="1:11" ht="11.25" customHeight="1" outlineLevel="1">
      <c r="A1105" s="89" t="n">
        <v>8078610</v>
      </c>
      <c r="B1105" s="114" t="s">
        <v>1201</v>
      </c>
      <c r="C1105" s="89" t="s">
        <v>1714</v>
      </c>
      <c r="D1105" s="89" t="s">
        <v>15</v>
      </c>
      <c r="E1105" s="89" t="s">
        <v>1715</v>
      </c>
      <c r="F1105" s="102" t="n">
        <v>952</v>
      </c>
      <c r="G1105" s="102" t="n">
        <v>1217</v>
      </c>
      <c r="H1105" s="103" t="s">
        <v>48</v>
      </c>
      <c r="I1105" s="103">
        <f>IFERROR(VLOOKUP(A1105,#REF!,15,0),0)+IFERROR(VLOOKUP(A1105,#REF!,25,0),0)+IFERROR(VLOOKUP(A1105,#REF!,10,0),0)+IFERROR(VLOOKUP(A1105,#REF!,14,0),0)+IFERROR(VLOOKUP(A1105,#REF!,11,0),0)+IFERROR(VLOOKUP(A1105,#REF!,10,0),0)+IFERROR(VLOOKUP(A1105,#REF!,10,0),0)+IFERROR(VLOOKUP(A1105,#REF!,9,0),0)+IFERROR(VLOOKUP(A1105,#REF!,9,0),0)+IFERROR(VLOOKUP(A1105,#REF!,9,0),0)+IFERROR(VLOOKUP(A1105,#REF!,9,0),0)</f>
        <v>0</v>
      </c>
      <c r="J1105" s="104">
        <f>IFERROR(VLOOKUP(A1105,#REF!,16,0),0)+IFERROR(VLOOKUP(A1105,#REF!,26,0),0)+IFERROR(VLOOKUP(A1105,#REF!,11,0),0)+IFERROR(VLOOKUP(A1105,#REF!,23,0),0)+IFERROR(VLOOKUP(A1105,#REF!,11,0),0)+IFERROR(VLOOKUP(A1105,#REF!,11,0),0)+IFERROR(VLOOKUP(A1105,#REF!,11,0),0)</f>
        <v>0</v>
      </c>
      <c r="K1105" s="96" t="str">
        <f>"07.02.24"</f>
        <v>07.02.24</v>
      </c>
    </row>
    <row r="1106" spans="1:11" ht="11.25" customHeight="1" outlineLevel="1">
      <c r="A1106" s="89" t="n">
        <v>8078620</v>
      </c>
      <c r="B1106" s="114" t="s">
        <v>1201</v>
      </c>
      <c r="C1106" s="89" t="s">
        <v>1716</v>
      </c>
      <c r="D1106" s="89" t="s">
        <v>15</v>
      </c>
      <c r="E1106" s="89" t="s">
        <v>1717</v>
      </c>
      <c r="F1106" s="102" t="n">
        <v>604</v>
      </c>
      <c r="G1106" s="102" t="n">
        <v>773</v>
      </c>
      <c r="H1106" s="103" t="s">
        <v>48</v>
      </c>
      <c r="I1106" s="103">
        <f>IFERROR(VLOOKUP(A1106,#REF!,15,0),0)+IFERROR(VLOOKUP(A1106,#REF!,25,0),0)+IFERROR(VLOOKUP(A1106,#REF!,10,0),0)+IFERROR(VLOOKUP(A1106,#REF!,14,0),0)+IFERROR(VLOOKUP(A1106,#REF!,11,0),0)+IFERROR(VLOOKUP(A1106,#REF!,10,0),0)+IFERROR(VLOOKUP(A1106,#REF!,10,0),0)+IFERROR(VLOOKUP(A1106,#REF!,9,0),0)+IFERROR(VLOOKUP(A1106,#REF!,9,0),0)+IFERROR(VLOOKUP(A1106,#REF!,9,0),0)+IFERROR(VLOOKUP(A1106,#REF!,9,0),0)</f>
        <v>0</v>
      </c>
      <c r="J1106" s="104">
        <f>IFERROR(VLOOKUP(A1106,#REF!,16,0),0)+IFERROR(VLOOKUP(A1106,#REF!,26,0),0)+IFERROR(VLOOKUP(A1106,#REF!,11,0),0)+IFERROR(VLOOKUP(A1106,#REF!,23,0),0)+IFERROR(VLOOKUP(A1106,#REF!,11,0),0)+IFERROR(VLOOKUP(A1106,#REF!,11,0),0)+IFERROR(VLOOKUP(A1106,#REF!,11,0),0)</f>
        <v>0</v>
      </c>
      <c r="K1106" s="96" t="str">
        <f>"07.02.24"</f>
        <v>07.02.24</v>
      </c>
    </row>
    <row r="1107" spans="1:11" ht="11.25" customHeight="1" outlineLevel="1">
      <c r="A1107" s="89" t="n">
        <v>8078630</v>
      </c>
      <c r="B1107" s="114" t="s">
        <v>1201</v>
      </c>
      <c r="C1107" s="89" t="s">
        <v>1718</v>
      </c>
      <c r="D1107" s="89" t="s">
        <v>15</v>
      </c>
      <c r="E1107" s="89" t="s">
        <v>1719</v>
      </c>
      <c r="F1107" s="102" t="n">
        <v>801</v>
      </c>
      <c r="G1107" s="102" t="n">
        <v>1063</v>
      </c>
      <c r="H1107" s="103" t="s">
        <v>48</v>
      </c>
      <c r="I1107" s="103">
        <f>IFERROR(VLOOKUP(A1107,#REF!,15,0),0)+IFERROR(VLOOKUP(A1107,#REF!,25,0),0)+IFERROR(VLOOKUP(A1107,#REF!,10,0),0)+IFERROR(VLOOKUP(A1107,#REF!,14,0),0)+IFERROR(VLOOKUP(A1107,#REF!,11,0),0)+IFERROR(VLOOKUP(A1107,#REF!,10,0),0)+IFERROR(VLOOKUP(A1107,#REF!,10,0),0)+IFERROR(VLOOKUP(A1107,#REF!,9,0),0)+IFERROR(VLOOKUP(A1107,#REF!,9,0),0)+IFERROR(VLOOKUP(A1107,#REF!,9,0),0)+IFERROR(VLOOKUP(A1107,#REF!,9,0),0)</f>
        <v>0</v>
      </c>
      <c r="J1107" s="104">
        <f>IFERROR(VLOOKUP(A1107,#REF!,16,0),0)+IFERROR(VLOOKUP(A1107,#REF!,26,0),0)+IFERROR(VLOOKUP(A1107,#REF!,11,0),0)+IFERROR(VLOOKUP(A1107,#REF!,23,0),0)+IFERROR(VLOOKUP(A1107,#REF!,11,0),0)+IFERROR(VLOOKUP(A1107,#REF!,11,0),0)+IFERROR(VLOOKUP(A1107,#REF!,11,0),0)</f>
        <v>0</v>
      </c>
      <c r="K1107" s="96" t="str">
        <f>"07.02.24"</f>
        <v>07.02.24</v>
      </c>
    </row>
    <row r="1108" spans="1:11" ht="11.25" customHeight="1" outlineLevel="1">
      <c r="A1108" s="89" t="n">
        <v>8078640</v>
      </c>
      <c r="B1108" s="114" t="s">
        <v>1201</v>
      </c>
      <c r="C1108" s="89" t="s">
        <v>1720</v>
      </c>
      <c r="D1108" s="89" t="s">
        <v>15</v>
      </c>
      <c r="E1108" s="89" t="s">
        <v>1721</v>
      </c>
      <c r="F1108" s="102" t="n">
        <v>732</v>
      </c>
      <c r="G1108" s="102" t="n">
        <v>970</v>
      </c>
      <c r="H1108" s="103" t="s">
        <v>48</v>
      </c>
      <c r="I1108" s="103">
        <f>IFERROR(VLOOKUP(A1108,#REF!,15,0),0)+IFERROR(VLOOKUP(A1108,#REF!,25,0),0)+IFERROR(VLOOKUP(A1108,#REF!,10,0),0)+IFERROR(VLOOKUP(A1108,#REF!,14,0),0)+IFERROR(VLOOKUP(A1108,#REF!,11,0),0)+IFERROR(VLOOKUP(A1108,#REF!,10,0),0)+IFERROR(VLOOKUP(A1108,#REF!,10,0),0)+IFERROR(VLOOKUP(A1108,#REF!,9,0),0)+IFERROR(VLOOKUP(A1108,#REF!,9,0),0)+IFERROR(VLOOKUP(A1108,#REF!,9,0),0)+IFERROR(VLOOKUP(A1108,#REF!,9,0),0)</f>
        <v>0</v>
      </c>
      <c r="J1108" s="104">
        <f>IFERROR(VLOOKUP(A1108,#REF!,16,0),0)+IFERROR(VLOOKUP(A1108,#REF!,26,0),0)+IFERROR(VLOOKUP(A1108,#REF!,11,0),0)+IFERROR(VLOOKUP(A1108,#REF!,23,0),0)+IFERROR(VLOOKUP(A1108,#REF!,11,0),0)+IFERROR(VLOOKUP(A1108,#REF!,11,0),0)+IFERROR(VLOOKUP(A1108,#REF!,11,0),0)</f>
        <v>0</v>
      </c>
      <c r="K1108" s="96" t="str">
        <f>"07.02.24"</f>
        <v>07.02.24</v>
      </c>
    </row>
    <row r="1109" spans="1:11" ht="11.25" customHeight="1" outlineLevel="1">
      <c r="A1109" s="89" t="n">
        <v>8078670</v>
      </c>
      <c r="B1109" s="114" t="s">
        <v>1201</v>
      </c>
      <c r="C1109" s="89" t="s">
        <v>1722</v>
      </c>
      <c r="D1109" s="89" t="s">
        <v>15</v>
      </c>
      <c r="E1109" s="89" t="s">
        <v>1723</v>
      </c>
      <c r="F1109" s="102" t="n">
        <v>732</v>
      </c>
      <c r="G1109" s="102" t="n">
        <v>970</v>
      </c>
      <c r="H1109" s="103" t="s">
        <v>48</v>
      </c>
      <c r="I1109" s="103">
        <f>IFERROR(VLOOKUP(A1109,#REF!,15,0),0)+IFERROR(VLOOKUP(A1109,#REF!,25,0),0)+IFERROR(VLOOKUP(A1109,#REF!,10,0),0)+IFERROR(VLOOKUP(A1109,#REF!,14,0),0)+IFERROR(VLOOKUP(A1109,#REF!,11,0),0)+IFERROR(VLOOKUP(A1109,#REF!,10,0),0)+IFERROR(VLOOKUP(A1109,#REF!,10,0),0)+IFERROR(VLOOKUP(A1109,#REF!,9,0),0)+IFERROR(VLOOKUP(A1109,#REF!,9,0),0)+IFERROR(VLOOKUP(A1109,#REF!,9,0),0)+IFERROR(VLOOKUP(A1109,#REF!,9,0),0)</f>
        <v>0</v>
      </c>
      <c r="J1109" s="104">
        <f>IFERROR(VLOOKUP(A1109,#REF!,16,0),0)+IFERROR(VLOOKUP(A1109,#REF!,26,0),0)+IFERROR(VLOOKUP(A1109,#REF!,11,0),0)+IFERROR(VLOOKUP(A1109,#REF!,23,0),0)+IFERROR(VLOOKUP(A1109,#REF!,11,0),0)+IFERROR(VLOOKUP(A1109,#REF!,11,0),0)+IFERROR(VLOOKUP(A1109,#REF!,11,0),0)</f>
        <v>0</v>
      </c>
      <c r="K1109" s="96" t="str">
        <f>"07.02.24"</f>
        <v>07.02.24</v>
      </c>
    </row>
    <row r="1110" spans="1:11" ht="11.25" customHeight="1" outlineLevel="1">
      <c r="A1110" s="89" t="n">
        <v>8078690</v>
      </c>
      <c r="B1110" s="114" t="s">
        <v>1201</v>
      </c>
      <c r="C1110" s="89" t="s">
        <v>1724</v>
      </c>
      <c r="D1110" s="89" t="s">
        <v>15</v>
      </c>
      <c r="E1110" s="89" t="s">
        <v>1725</v>
      </c>
      <c r="F1110" s="102" t="n">
        <v>1055</v>
      </c>
      <c r="G1110" s="102" t="n">
        <v>1348</v>
      </c>
      <c r="H1110" s="103" t="s">
        <v>48</v>
      </c>
      <c r="I1110" s="103">
        <f>IFERROR(VLOOKUP(A1110,#REF!,15,0),0)+IFERROR(VLOOKUP(A1110,#REF!,25,0),0)+IFERROR(VLOOKUP(A1110,#REF!,10,0),0)+IFERROR(VLOOKUP(A1110,#REF!,14,0),0)+IFERROR(VLOOKUP(A1110,#REF!,11,0),0)+IFERROR(VLOOKUP(A1110,#REF!,10,0),0)+IFERROR(VLOOKUP(A1110,#REF!,10,0),0)+IFERROR(VLOOKUP(A1110,#REF!,9,0),0)+IFERROR(VLOOKUP(A1110,#REF!,9,0),0)+IFERROR(VLOOKUP(A1110,#REF!,9,0),0)+IFERROR(VLOOKUP(A1110,#REF!,9,0),0)</f>
        <v>0</v>
      </c>
      <c r="J1110" s="104">
        <f>IFERROR(VLOOKUP(A1110,#REF!,16,0),0)+IFERROR(VLOOKUP(A1110,#REF!,26,0),0)+IFERROR(VLOOKUP(A1110,#REF!,11,0),0)+IFERROR(VLOOKUP(A1110,#REF!,23,0),0)+IFERROR(VLOOKUP(A1110,#REF!,11,0),0)+IFERROR(VLOOKUP(A1110,#REF!,11,0),0)+IFERROR(VLOOKUP(A1110,#REF!,11,0),0)</f>
        <v>0</v>
      </c>
      <c r="K1110" s="96" t="str">
        <f>"07.02.24"</f>
        <v>07.02.24</v>
      </c>
    </row>
    <row r="1111" spans="1:11" ht="11.25" customHeight="1" outlineLevel="1">
      <c r="A1111" s="89" t="n">
        <v>8078700</v>
      </c>
      <c r="B1111" s="114" t="s">
        <v>1201</v>
      </c>
      <c r="C1111" s="89" t="s">
        <v>1726</v>
      </c>
      <c r="D1111" s="89" t="s">
        <v>15</v>
      </c>
      <c r="E1111" s="89" t="s">
        <v>1727</v>
      </c>
      <c r="F1111" s="102" t="n">
        <v>663</v>
      </c>
      <c r="G1111" s="102" t="n">
        <v>848</v>
      </c>
      <c r="H1111" s="103" t="s">
        <v>48</v>
      </c>
      <c r="I1111" s="103">
        <f>IFERROR(VLOOKUP(A1111,#REF!,15,0),0)+IFERROR(VLOOKUP(A1111,#REF!,25,0),0)+IFERROR(VLOOKUP(A1111,#REF!,10,0),0)+IFERROR(VLOOKUP(A1111,#REF!,14,0),0)+IFERROR(VLOOKUP(A1111,#REF!,11,0),0)+IFERROR(VLOOKUP(A1111,#REF!,10,0),0)+IFERROR(VLOOKUP(A1111,#REF!,10,0),0)+IFERROR(VLOOKUP(A1111,#REF!,9,0),0)+IFERROR(VLOOKUP(A1111,#REF!,9,0),0)+IFERROR(VLOOKUP(A1111,#REF!,9,0),0)+IFERROR(VLOOKUP(A1111,#REF!,9,0),0)</f>
        <v>0</v>
      </c>
      <c r="J1111" s="104">
        <f>IFERROR(VLOOKUP(A1111,#REF!,16,0),0)+IFERROR(VLOOKUP(A1111,#REF!,26,0),0)+IFERROR(VLOOKUP(A1111,#REF!,11,0),0)+IFERROR(VLOOKUP(A1111,#REF!,23,0),0)+IFERROR(VLOOKUP(A1111,#REF!,11,0),0)+IFERROR(VLOOKUP(A1111,#REF!,11,0),0)+IFERROR(VLOOKUP(A1111,#REF!,11,0),0)</f>
        <v>0</v>
      </c>
      <c r="K1111" s="96" t="str">
        <f>"07.02.24"</f>
        <v>07.02.24</v>
      </c>
    </row>
    <row r="1112" spans="1:11" ht="11.25" customHeight="1" outlineLevel="1">
      <c r="A1112" s="89" t="n">
        <v>8078710</v>
      </c>
      <c r="B1112" s="114" t="s">
        <v>1201</v>
      </c>
      <c r="C1112" s="89" t="s">
        <v>1728</v>
      </c>
      <c r="D1112" s="89" t="s">
        <v>15</v>
      </c>
      <c r="E1112" s="89" t="s">
        <v>1729</v>
      </c>
      <c r="F1112" s="102" t="n">
        <v>663</v>
      </c>
      <c r="G1112" s="102" t="n">
        <v>848</v>
      </c>
      <c r="H1112" s="103" t="s">
        <v>48</v>
      </c>
      <c r="I1112" s="103">
        <f>IFERROR(VLOOKUP(A1112,#REF!,15,0),0)+IFERROR(VLOOKUP(A1112,#REF!,25,0),0)+IFERROR(VLOOKUP(A1112,#REF!,10,0),0)+IFERROR(VLOOKUP(A1112,#REF!,14,0),0)+IFERROR(VLOOKUP(A1112,#REF!,11,0),0)+IFERROR(VLOOKUP(A1112,#REF!,10,0),0)+IFERROR(VLOOKUP(A1112,#REF!,10,0),0)+IFERROR(VLOOKUP(A1112,#REF!,9,0),0)+IFERROR(VLOOKUP(A1112,#REF!,9,0),0)+IFERROR(VLOOKUP(A1112,#REF!,9,0),0)+IFERROR(VLOOKUP(A1112,#REF!,9,0),0)</f>
        <v>0</v>
      </c>
      <c r="J1112" s="104">
        <f>IFERROR(VLOOKUP(A1112,#REF!,16,0),0)+IFERROR(VLOOKUP(A1112,#REF!,26,0),0)+IFERROR(VLOOKUP(A1112,#REF!,11,0),0)+IFERROR(VLOOKUP(A1112,#REF!,23,0),0)+IFERROR(VLOOKUP(A1112,#REF!,11,0),0)+IFERROR(VLOOKUP(A1112,#REF!,11,0),0)+IFERROR(VLOOKUP(A1112,#REF!,11,0),0)</f>
        <v>0</v>
      </c>
      <c r="K1112" s="96" t="str">
        <f>"07.02.24"</f>
        <v>07.02.24</v>
      </c>
    </row>
    <row r="1113" spans="1:11" ht="11.25" customHeight="1" outlineLevel="1">
      <c r="A1113" s="89" t="n">
        <v>8078740</v>
      </c>
      <c r="B1113" s="114" t="s">
        <v>1201</v>
      </c>
      <c r="C1113" s="89" t="s">
        <v>1730</v>
      </c>
      <c r="D1113" s="89" t="s">
        <v>15</v>
      </c>
      <c r="E1113" s="89" t="s">
        <v>1731</v>
      </c>
      <c r="F1113" s="102" t="n">
        <v>1021</v>
      </c>
      <c r="G1113" s="102" t="n">
        <v>1307</v>
      </c>
      <c r="H1113" s="103" t="s">
        <v>48</v>
      </c>
      <c r="I1113" s="103">
        <f>IFERROR(VLOOKUP(A1113,#REF!,15,0),0)+IFERROR(VLOOKUP(A1113,#REF!,25,0),0)+IFERROR(VLOOKUP(A1113,#REF!,10,0),0)+IFERROR(VLOOKUP(A1113,#REF!,14,0),0)+IFERROR(VLOOKUP(A1113,#REF!,11,0),0)+IFERROR(VLOOKUP(A1113,#REF!,10,0),0)+IFERROR(VLOOKUP(A1113,#REF!,10,0),0)+IFERROR(VLOOKUP(A1113,#REF!,9,0),0)+IFERROR(VLOOKUP(A1113,#REF!,9,0),0)+IFERROR(VLOOKUP(A1113,#REF!,9,0),0)+IFERROR(VLOOKUP(A1113,#REF!,9,0),0)</f>
        <v>0</v>
      </c>
      <c r="J1113" s="104">
        <f>IFERROR(VLOOKUP(A1113,#REF!,16,0),0)+IFERROR(VLOOKUP(A1113,#REF!,26,0),0)+IFERROR(VLOOKUP(A1113,#REF!,11,0),0)+IFERROR(VLOOKUP(A1113,#REF!,23,0),0)+IFERROR(VLOOKUP(A1113,#REF!,11,0),0)+IFERROR(VLOOKUP(A1113,#REF!,11,0),0)+IFERROR(VLOOKUP(A1113,#REF!,11,0),0)</f>
        <v>0</v>
      </c>
      <c r="K1113" s="96" t="str">
        <f>"07.02.24"</f>
        <v>07.02.24</v>
      </c>
    </row>
    <row r="1114" spans="1:11" ht="11.25" customHeight="1" outlineLevel="1">
      <c r="A1114" s="89" t="n">
        <v>8078750</v>
      </c>
      <c r="B1114" s="114" t="s">
        <v>1201</v>
      </c>
      <c r="C1114" s="89" t="s">
        <v>1732</v>
      </c>
      <c r="D1114" s="89" t="s">
        <v>15</v>
      </c>
      <c r="E1114" s="89" t="s">
        <v>1733</v>
      </c>
      <c r="F1114" s="102" t="n">
        <v>1041</v>
      </c>
      <c r="G1114" s="102" t="n">
        <v>1332</v>
      </c>
      <c r="H1114" s="103" t="s">
        <v>48</v>
      </c>
      <c r="I1114" s="103">
        <f>IFERROR(VLOOKUP(A1114,#REF!,15,0),0)+IFERROR(VLOOKUP(A1114,#REF!,25,0),0)+IFERROR(VLOOKUP(A1114,#REF!,10,0),0)+IFERROR(VLOOKUP(A1114,#REF!,14,0),0)+IFERROR(VLOOKUP(A1114,#REF!,11,0),0)+IFERROR(VLOOKUP(A1114,#REF!,10,0),0)+IFERROR(VLOOKUP(A1114,#REF!,10,0),0)+IFERROR(VLOOKUP(A1114,#REF!,9,0),0)+IFERROR(VLOOKUP(A1114,#REF!,9,0),0)+IFERROR(VLOOKUP(A1114,#REF!,9,0),0)+IFERROR(VLOOKUP(A1114,#REF!,9,0),0)</f>
        <v>0</v>
      </c>
      <c r="J1114" s="104">
        <f>IFERROR(VLOOKUP(A1114,#REF!,16,0),0)+IFERROR(VLOOKUP(A1114,#REF!,26,0),0)+IFERROR(VLOOKUP(A1114,#REF!,11,0),0)+IFERROR(VLOOKUP(A1114,#REF!,23,0),0)+IFERROR(VLOOKUP(A1114,#REF!,11,0),0)+IFERROR(VLOOKUP(A1114,#REF!,11,0),0)+IFERROR(VLOOKUP(A1114,#REF!,11,0),0)</f>
        <v>0</v>
      </c>
      <c r="K1114" s="96" t="str">
        <f>"07.02.24"</f>
        <v>07.02.24</v>
      </c>
    </row>
    <row r="1115" spans="1:11" ht="11.25" customHeight="1" outlineLevel="1">
      <c r="A1115" s="89" t="n">
        <v>8078760</v>
      </c>
      <c r="B1115" s="114" t="s">
        <v>1201</v>
      </c>
      <c r="C1115" s="89" t="s">
        <v>1734</v>
      </c>
      <c r="D1115" s="89" t="s">
        <v>15</v>
      </c>
      <c r="E1115" s="89" t="s">
        <v>1735</v>
      </c>
      <c r="F1115" s="102" t="n">
        <v>1194</v>
      </c>
      <c r="G1115" s="102" t="n">
        <v>1584</v>
      </c>
      <c r="H1115" s="103" t="s">
        <v>48</v>
      </c>
      <c r="I1115" s="103">
        <f>IFERROR(VLOOKUP(A1115,#REF!,15,0),0)+IFERROR(VLOOKUP(A1115,#REF!,25,0),0)+IFERROR(VLOOKUP(A1115,#REF!,10,0),0)+IFERROR(VLOOKUP(A1115,#REF!,14,0),0)+IFERROR(VLOOKUP(A1115,#REF!,11,0),0)+IFERROR(VLOOKUP(A1115,#REF!,10,0),0)+IFERROR(VLOOKUP(A1115,#REF!,10,0),0)+IFERROR(VLOOKUP(A1115,#REF!,9,0),0)+IFERROR(VLOOKUP(A1115,#REF!,9,0),0)+IFERROR(VLOOKUP(A1115,#REF!,9,0),0)+IFERROR(VLOOKUP(A1115,#REF!,9,0),0)</f>
        <v>0</v>
      </c>
      <c r="J1115" s="104">
        <f>IFERROR(VLOOKUP(A1115,#REF!,16,0),0)+IFERROR(VLOOKUP(A1115,#REF!,26,0),0)+IFERROR(VLOOKUP(A1115,#REF!,11,0),0)+IFERROR(VLOOKUP(A1115,#REF!,23,0),0)+IFERROR(VLOOKUP(A1115,#REF!,11,0),0)+IFERROR(VLOOKUP(A1115,#REF!,11,0),0)+IFERROR(VLOOKUP(A1115,#REF!,11,0),0)</f>
        <v>0</v>
      </c>
      <c r="K1115" s="96" t="str">
        <f>"07.02.24"</f>
        <v>07.02.24</v>
      </c>
    </row>
    <row r="1116" spans="1:11" ht="11.25" customHeight="1" outlineLevel="1">
      <c r="A1116" s="89" t="n">
        <v>8078770</v>
      </c>
      <c r="B1116" s="114" t="s">
        <v>1201</v>
      </c>
      <c r="C1116" s="89" t="s">
        <v>1736</v>
      </c>
      <c r="D1116" s="89" t="s">
        <v>15</v>
      </c>
      <c r="E1116" s="89" t="s">
        <v>1737</v>
      </c>
      <c r="F1116" s="102" t="n">
        <v>815</v>
      </c>
      <c r="G1116" s="102" t="n">
        <v>1041</v>
      </c>
      <c r="H1116" s="103" t="s">
        <v>48</v>
      </c>
      <c r="I1116" s="103">
        <f>IFERROR(VLOOKUP(A1116,#REF!,15,0),0)+IFERROR(VLOOKUP(A1116,#REF!,25,0),0)+IFERROR(VLOOKUP(A1116,#REF!,10,0),0)+IFERROR(VLOOKUP(A1116,#REF!,14,0),0)+IFERROR(VLOOKUP(A1116,#REF!,11,0),0)+IFERROR(VLOOKUP(A1116,#REF!,10,0),0)+IFERROR(VLOOKUP(A1116,#REF!,10,0),0)+IFERROR(VLOOKUP(A1116,#REF!,9,0),0)+IFERROR(VLOOKUP(A1116,#REF!,9,0),0)+IFERROR(VLOOKUP(A1116,#REF!,9,0),0)+IFERROR(VLOOKUP(A1116,#REF!,9,0),0)</f>
        <v>0</v>
      </c>
      <c r="J1116" s="104">
        <f>IFERROR(VLOOKUP(A1116,#REF!,16,0),0)+IFERROR(VLOOKUP(A1116,#REF!,26,0),0)+IFERROR(VLOOKUP(A1116,#REF!,11,0),0)+IFERROR(VLOOKUP(A1116,#REF!,23,0),0)+IFERROR(VLOOKUP(A1116,#REF!,11,0),0)+IFERROR(VLOOKUP(A1116,#REF!,11,0),0)+IFERROR(VLOOKUP(A1116,#REF!,11,0),0)</f>
        <v>0</v>
      </c>
      <c r="K1116" s="96" t="str">
        <f>"07.02.24"</f>
        <v>07.02.24</v>
      </c>
    </row>
    <row r="1117" spans="1:11" ht="11.25" customHeight="1" outlineLevel="1">
      <c r="A1117" s="89" t="n">
        <v>8078780</v>
      </c>
      <c r="B1117" s="114" t="s">
        <v>1201</v>
      </c>
      <c r="C1117" s="89" t="s">
        <v>1738</v>
      </c>
      <c r="D1117" s="89" t="s">
        <v>15</v>
      </c>
      <c r="E1117" s="89" t="s">
        <v>1739</v>
      </c>
      <c r="F1117" s="102" t="n">
        <v>1469</v>
      </c>
      <c r="G1117" s="102" t="n">
        <v>1880</v>
      </c>
      <c r="H1117" s="103" t="s">
        <v>48</v>
      </c>
      <c r="I1117" s="103">
        <f>IFERROR(VLOOKUP(A1117,#REF!,15,0),0)+IFERROR(VLOOKUP(A1117,#REF!,25,0),0)+IFERROR(VLOOKUP(A1117,#REF!,10,0),0)+IFERROR(VLOOKUP(A1117,#REF!,14,0),0)+IFERROR(VLOOKUP(A1117,#REF!,11,0),0)+IFERROR(VLOOKUP(A1117,#REF!,10,0),0)+IFERROR(VLOOKUP(A1117,#REF!,10,0),0)+IFERROR(VLOOKUP(A1117,#REF!,9,0),0)+IFERROR(VLOOKUP(A1117,#REF!,9,0),0)+IFERROR(VLOOKUP(A1117,#REF!,9,0),0)+IFERROR(VLOOKUP(A1117,#REF!,9,0),0)</f>
        <v>0</v>
      </c>
      <c r="J1117" s="104">
        <f>IFERROR(VLOOKUP(A1117,#REF!,16,0),0)+IFERROR(VLOOKUP(A1117,#REF!,26,0),0)+IFERROR(VLOOKUP(A1117,#REF!,11,0),0)+IFERROR(VLOOKUP(A1117,#REF!,23,0),0)+IFERROR(VLOOKUP(A1117,#REF!,11,0),0)+IFERROR(VLOOKUP(A1117,#REF!,11,0),0)+IFERROR(VLOOKUP(A1117,#REF!,11,0),0)</f>
        <v>0</v>
      </c>
      <c r="K1117" s="96" t="str">
        <f>"07.02.24"</f>
        <v>07.02.24</v>
      </c>
    </row>
    <row r="1118" spans="1:11" ht="11.25" customHeight="1" outlineLevel="1">
      <c r="A1118" s="89" t="n">
        <v>8078790</v>
      </c>
      <c r="B1118" s="114" t="s">
        <v>1201</v>
      </c>
      <c r="C1118" s="89" t="s">
        <v>1740</v>
      </c>
      <c r="D1118" s="89" t="s">
        <v>15</v>
      </c>
      <c r="E1118" s="89" t="s">
        <v>1741</v>
      </c>
      <c r="F1118" s="102" t="n">
        <v>974</v>
      </c>
      <c r="G1118" s="102" t="n">
        <v>1245</v>
      </c>
      <c r="H1118" s="103" t="s">
        <v>17</v>
      </c>
      <c r="I1118" s="103">
        <f>IFERROR(VLOOKUP(A1118,#REF!,15,0),0)+IFERROR(VLOOKUP(A1118,#REF!,25,0),0)+IFERROR(VLOOKUP(A1118,#REF!,10,0),0)+IFERROR(VLOOKUP(A1118,#REF!,14,0),0)+IFERROR(VLOOKUP(A1118,#REF!,11,0),0)+IFERROR(VLOOKUP(A1118,#REF!,10,0),0)+IFERROR(VLOOKUP(A1118,#REF!,10,0),0)+IFERROR(VLOOKUP(A1118,#REF!,9,0),0)+IFERROR(VLOOKUP(A1118,#REF!,9,0),0)+IFERROR(VLOOKUP(A1118,#REF!,9,0),0)+IFERROR(VLOOKUP(A1118,#REF!,9,0),0)</f>
        <v>0</v>
      </c>
      <c r="J1118" s="104">
        <f>IFERROR(VLOOKUP(A1118,#REF!,16,0),0)+IFERROR(VLOOKUP(A1118,#REF!,26,0),0)+IFERROR(VLOOKUP(A1118,#REF!,11,0),0)+IFERROR(VLOOKUP(A1118,#REF!,23,0),0)+IFERROR(VLOOKUP(A1118,#REF!,11,0),0)+IFERROR(VLOOKUP(A1118,#REF!,11,0),0)+IFERROR(VLOOKUP(A1118,#REF!,11,0),0)</f>
        <v>0</v>
      </c>
      <c r="K1118" s="96" t="str">
        <f>"07.02.24"</f>
        <v>07.02.24</v>
      </c>
    </row>
    <row r="1119" spans="1:11" ht="11.25" customHeight="1" outlineLevel="1">
      <c r="A1119" s="89" t="n">
        <v>8078800</v>
      </c>
      <c r="B1119" s="114" t="s">
        <v>1201</v>
      </c>
      <c r="C1119" s="89" t="s">
        <v>1742</v>
      </c>
      <c r="D1119" s="89" t="s">
        <v>15</v>
      </c>
      <c r="E1119" s="89" t="s">
        <v>1743</v>
      </c>
      <c r="F1119" s="102" t="n">
        <v>1789</v>
      </c>
      <c r="G1119" s="102" t="n">
        <v>2288</v>
      </c>
      <c r="H1119" s="103" t="s">
        <v>48</v>
      </c>
      <c r="I1119" s="103">
        <f>IFERROR(VLOOKUP(A1119,#REF!,15,0),0)+IFERROR(VLOOKUP(A1119,#REF!,25,0),0)+IFERROR(VLOOKUP(A1119,#REF!,10,0),0)+IFERROR(VLOOKUP(A1119,#REF!,14,0),0)+IFERROR(VLOOKUP(A1119,#REF!,11,0),0)+IFERROR(VLOOKUP(A1119,#REF!,10,0),0)+IFERROR(VLOOKUP(A1119,#REF!,10,0),0)+IFERROR(VLOOKUP(A1119,#REF!,9,0),0)+IFERROR(VLOOKUP(A1119,#REF!,9,0),0)+IFERROR(VLOOKUP(A1119,#REF!,9,0),0)+IFERROR(VLOOKUP(A1119,#REF!,9,0),0)</f>
        <v>0</v>
      </c>
      <c r="J1119" s="104">
        <f>IFERROR(VLOOKUP(A1119,#REF!,16,0),0)+IFERROR(VLOOKUP(A1119,#REF!,26,0),0)+IFERROR(VLOOKUP(A1119,#REF!,11,0),0)+IFERROR(VLOOKUP(A1119,#REF!,23,0),0)+IFERROR(VLOOKUP(A1119,#REF!,11,0),0)+IFERROR(VLOOKUP(A1119,#REF!,11,0),0)+IFERROR(VLOOKUP(A1119,#REF!,11,0),0)</f>
        <v>0</v>
      </c>
      <c r="K1119" s="96" t="str">
        <f>"07.02.24"</f>
        <v>07.02.24</v>
      </c>
    </row>
    <row r="1120" spans="1:11" ht="11.25" customHeight="1" outlineLevel="1">
      <c r="A1120" s="89" t="n">
        <v>8078810</v>
      </c>
      <c r="B1120" s="114" t="s">
        <v>1201</v>
      </c>
      <c r="C1120" s="89" t="s">
        <v>1744</v>
      </c>
      <c r="D1120" s="89" t="s">
        <v>15</v>
      </c>
      <c r="E1120" s="89" t="s">
        <v>1745</v>
      </c>
      <c r="F1120" s="102" t="n">
        <v>955</v>
      </c>
      <c r="G1120" s="102" t="n">
        <v>1223</v>
      </c>
      <c r="H1120" s="103" t="s">
        <v>17</v>
      </c>
      <c r="I1120" s="103">
        <f>IFERROR(VLOOKUP(A1120,#REF!,15,0),0)+IFERROR(VLOOKUP(A1120,#REF!,25,0),0)+IFERROR(VLOOKUP(A1120,#REF!,10,0),0)+IFERROR(VLOOKUP(A1120,#REF!,14,0),0)+IFERROR(VLOOKUP(A1120,#REF!,11,0),0)+IFERROR(VLOOKUP(A1120,#REF!,10,0),0)+IFERROR(VLOOKUP(A1120,#REF!,10,0),0)+IFERROR(VLOOKUP(A1120,#REF!,9,0),0)+IFERROR(VLOOKUP(A1120,#REF!,9,0),0)+IFERROR(VLOOKUP(A1120,#REF!,9,0),0)+IFERROR(VLOOKUP(A1120,#REF!,9,0),0)</f>
        <v>0</v>
      </c>
      <c r="J1120" s="104">
        <f>IFERROR(VLOOKUP(A1120,#REF!,16,0),0)+IFERROR(VLOOKUP(A1120,#REF!,26,0),0)+IFERROR(VLOOKUP(A1120,#REF!,11,0),0)+IFERROR(VLOOKUP(A1120,#REF!,23,0),0)+IFERROR(VLOOKUP(A1120,#REF!,11,0),0)+IFERROR(VLOOKUP(A1120,#REF!,11,0),0)+IFERROR(VLOOKUP(A1120,#REF!,11,0),0)</f>
        <v>0</v>
      </c>
      <c r="K1120" s="96" t="str">
        <f>"07.02.24"</f>
        <v>07.02.24</v>
      </c>
    </row>
    <row r="1121" spans="1:11" ht="11.25" customHeight="1" outlineLevel="1">
      <c r="A1121" s="89" t="n">
        <v>8078820</v>
      </c>
      <c r="B1121" s="114" t="s">
        <v>1201</v>
      </c>
      <c r="C1121" s="89" t="s">
        <v>1746</v>
      </c>
      <c r="D1121" s="89" t="s">
        <v>15</v>
      </c>
      <c r="E1121" s="89" t="s">
        <v>1747</v>
      </c>
      <c r="F1121" s="102" t="n">
        <v>955</v>
      </c>
      <c r="G1121" s="102" t="n">
        <v>1223</v>
      </c>
      <c r="H1121" s="103" t="s">
        <v>48</v>
      </c>
      <c r="I1121" s="103">
        <f>IFERROR(VLOOKUP(A1121,#REF!,15,0),0)+IFERROR(VLOOKUP(A1121,#REF!,25,0),0)+IFERROR(VLOOKUP(A1121,#REF!,10,0),0)+IFERROR(VLOOKUP(A1121,#REF!,14,0),0)+IFERROR(VLOOKUP(A1121,#REF!,11,0),0)+IFERROR(VLOOKUP(A1121,#REF!,10,0),0)+IFERROR(VLOOKUP(A1121,#REF!,10,0),0)+IFERROR(VLOOKUP(A1121,#REF!,9,0),0)+IFERROR(VLOOKUP(A1121,#REF!,9,0),0)+IFERROR(VLOOKUP(A1121,#REF!,9,0),0)+IFERROR(VLOOKUP(A1121,#REF!,9,0),0)</f>
        <v>0</v>
      </c>
      <c r="J1121" s="104">
        <f>IFERROR(VLOOKUP(A1121,#REF!,16,0),0)+IFERROR(VLOOKUP(A1121,#REF!,26,0),0)+IFERROR(VLOOKUP(A1121,#REF!,11,0),0)+IFERROR(VLOOKUP(A1121,#REF!,23,0),0)+IFERROR(VLOOKUP(A1121,#REF!,11,0),0)+IFERROR(VLOOKUP(A1121,#REF!,11,0),0)+IFERROR(VLOOKUP(A1121,#REF!,11,0),0)</f>
        <v>0</v>
      </c>
      <c r="K1121" s="96" t="str">
        <f>"07.02.24"</f>
        <v>07.02.24</v>
      </c>
    </row>
    <row r="1122" spans="1:11" ht="11.25" customHeight="1" outlineLevel="1">
      <c r="A1122" s="89" t="n">
        <v>8078830</v>
      </c>
      <c r="B1122" s="114" t="s">
        <v>1201</v>
      </c>
      <c r="C1122" s="89" t="s">
        <v>1748</v>
      </c>
      <c r="D1122" s="89" t="s">
        <v>15</v>
      </c>
      <c r="E1122" s="89" t="s">
        <v>1749</v>
      </c>
      <c r="F1122" s="102" t="n">
        <v>955</v>
      </c>
      <c r="G1122" s="102" t="n">
        <v>1223</v>
      </c>
      <c r="H1122" s="103" t="s">
        <v>48</v>
      </c>
      <c r="I1122" s="103">
        <f>IFERROR(VLOOKUP(A1122,#REF!,15,0),0)+IFERROR(VLOOKUP(A1122,#REF!,25,0),0)+IFERROR(VLOOKUP(A1122,#REF!,10,0),0)+IFERROR(VLOOKUP(A1122,#REF!,14,0),0)+IFERROR(VLOOKUP(A1122,#REF!,11,0),0)+IFERROR(VLOOKUP(A1122,#REF!,10,0),0)+IFERROR(VLOOKUP(A1122,#REF!,10,0),0)+IFERROR(VLOOKUP(A1122,#REF!,9,0),0)+IFERROR(VLOOKUP(A1122,#REF!,9,0),0)+IFERROR(VLOOKUP(A1122,#REF!,9,0),0)+IFERROR(VLOOKUP(A1122,#REF!,9,0),0)</f>
        <v>0</v>
      </c>
      <c r="J1122" s="104">
        <f>IFERROR(VLOOKUP(A1122,#REF!,16,0),0)+IFERROR(VLOOKUP(A1122,#REF!,26,0),0)+IFERROR(VLOOKUP(A1122,#REF!,11,0),0)+IFERROR(VLOOKUP(A1122,#REF!,23,0),0)+IFERROR(VLOOKUP(A1122,#REF!,11,0),0)+IFERROR(VLOOKUP(A1122,#REF!,11,0),0)+IFERROR(VLOOKUP(A1122,#REF!,11,0),0)</f>
        <v>0</v>
      </c>
      <c r="K1122" s="96" t="str">
        <f>"07.02.24"</f>
        <v>07.02.24</v>
      </c>
    </row>
    <row r="1123" spans="1:11" ht="11.25" customHeight="1" outlineLevel="1">
      <c r="A1123" s="89" t="n">
        <v>8078840</v>
      </c>
      <c r="B1123" s="114" t="s">
        <v>1201</v>
      </c>
      <c r="C1123" s="89" t="s">
        <v>1750</v>
      </c>
      <c r="D1123" s="89" t="s">
        <v>15</v>
      </c>
      <c r="E1123" s="89" t="s">
        <v>1751</v>
      </c>
      <c r="F1123" s="102" t="n">
        <v>1291</v>
      </c>
      <c r="G1123" s="102" t="n">
        <v>1715</v>
      </c>
      <c r="H1123" s="103" t="s">
        <v>48</v>
      </c>
      <c r="I1123" s="103">
        <f>IFERROR(VLOOKUP(A1123,#REF!,15,0),0)+IFERROR(VLOOKUP(A1123,#REF!,25,0),0)+IFERROR(VLOOKUP(A1123,#REF!,10,0),0)+IFERROR(VLOOKUP(A1123,#REF!,14,0),0)+IFERROR(VLOOKUP(A1123,#REF!,11,0),0)+IFERROR(VLOOKUP(A1123,#REF!,10,0),0)+IFERROR(VLOOKUP(A1123,#REF!,10,0),0)+IFERROR(VLOOKUP(A1123,#REF!,9,0),0)+IFERROR(VLOOKUP(A1123,#REF!,9,0),0)+IFERROR(VLOOKUP(A1123,#REF!,9,0),0)+IFERROR(VLOOKUP(A1123,#REF!,9,0),0)</f>
        <v>0</v>
      </c>
      <c r="J1123" s="104">
        <f>IFERROR(VLOOKUP(A1123,#REF!,16,0),0)+IFERROR(VLOOKUP(A1123,#REF!,26,0),0)+IFERROR(VLOOKUP(A1123,#REF!,11,0),0)+IFERROR(VLOOKUP(A1123,#REF!,23,0),0)+IFERROR(VLOOKUP(A1123,#REF!,11,0),0)+IFERROR(VLOOKUP(A1123,#REF!,11,0),0)+IFERROR(VLOOKUP(A1123,#REF!,11,0),0)</f>
        <v>0</v>
      </c>
      <c r="K1123" s="96" t="str">
        <f>"07.02.24"</f>
        <v>07.02.24</v>
      </c>
    </row>
    <row r="1124" spans="1:11" ht="11.25" customHeight="1" outlineLevel="1">
      <c r="A1124" s="89" t="n">
        <v>8078850</v>
      </c>
      <c r="B1124" s="114" t="s">
        <v>1201</v>
      </c>
      <c r="C1124" s="89" t="s">
        <v>1752</v>
      </c>
      <c r="D1124" s="89" t="s">
        <v>15</v>
      </c>
      <c r="E1124" s="89" t="s">
        <v>1753</v>
      </c>
      <c r="F1124" s="102" t="n">
        <v>1155</v>
      </c>
      <c r="G1124" s="102" t="n">
        <v>1536</v>
      </c>
      <c r="H1124" s="103" t="s">
        <v>17</v>
      </c>
      <c r="I1124" s="103">
        <f>IFERROR(VLOOKUP(A1124,#REF!,15,0),0)+IFERROR(VLOOKUP(A1124,#REF!,25,0),0)+IFERROR(VLOOKUP(A1124,#REF!,10,0),0)+IFERROR(VLOOKUP(A1124,#REF!,14,0),0)+IFERROR(VLOOKUP(A1124,#REF!,11,0),0)+IFERROR(VLOOKUP(A1124,#REF!,10,0),0)+IFERROR(VLOOKUP(A1124,#REF!,10,0),0)+IFERROR(VLOOKUP(A1124,#REF!,9,0),0)+IFERROR(VLOOKUP(A1124,#REF!,9,0),0)+IFERROR(VLOOKUP(A1124,#REF!,9,0),0)+IFERROR(VLOOKUP(A1124,#REF!,9,0),0)</f>
        <v>0</v>
      </c>
      <c r="J1124" s="104">
        <f>IFERROR(VLOOKUP(A1124,#REF!,16,0),0)+IFERROR(VLOOKUP(A1124,#REF!,26,0),0)+IFERROR(VLOOKUP(A1124,#REF!,11,0),0)+IFERROR(VLOOKUP(A1124,#REF!,23,0),0)+IFERROR(VLOOKUP(A1124,#REF!,11,0),0)+IFERROR(VLOOKUP(A1124,#REF!,11,0),0)+IFERROR(VLOOKUP(A1124,#REF!,11,0),0)</f>
        <v>0</v>
      </c>
      <c r="K1124" s="96" t="str">
        <f>"07.02.24"</f>
        <v>07.02.24</v>
      </c>
    </row>
    <row r="1125" spans="1:11" ht="11.25" customHeight="1" outlineLevel="1">
      <c r="A1125" s="89" t="n">
        <v>8078860</v>
      </c>
      <c r="B1125" s="114" t="s">
        <v>1201</v>
      </c>
      <c r="C1125" s="89" t="s">
        <v>1754</v>
      </c>
      <c r="D1125" s="89" t="s">
        <v>15</v>
      </c>
      <c r="E1125" s="89" t="s">
        <v>1755</v>
      </c>
      <c r="F1125" s="102" t="n">
        <v>1406</v>
      </c>
      <c r="G1125" s="102" t="n">
        <v>1868</v>
      </c>
      <c r="H1125" s="103" t="s">
        <v>17</v>
      </c>
      <c r="I1125" s="103">
        <f>IFERROR(VLOOKUP(A1125,#REF!,15,0),0)+IFERROR(VLOOKUP(A1125,#REF!,25,0),0)+IFERROR(VLOOKUP(A1125,#REF!,10,0),0)+IFERROR(VLOOKUP(A1125,#REF!,14,0),0)+IFERROR(VLOOKUP(A1125,#REF!,11,0),0)+IFERROR(VLOOKUP(A1125,#REF!,10,0),0)+IFERROR(VLOOKUP(A1125,#REF!,10,0),0)+IFERROR(VLOOKUP(A1125,#REF!,9,0),0)+IFERROR(VLOOKUP(A1125,#REF!,9,0),0)+IFERROR(VLOOKUP(A1125,#REF!,9,0),0)+IFERROR(VLOOKUP(A1125,#REF!,9,0),0)</f>
        <v>0</v>
      </c>
      <c r="J1125" s="104">
        <f>IFERROR(VLOOKUP(A1125,#REF!,16,0),0)+IFERROR(VLOOKUP(A1125,#REF!,26,0),0)+IFERROR(VLOOKUP(A1125,#REF!,11,0),0)+IFERROR(VLOOKUP(A1125,#REF!,23,0),0)+IFERROR(VLOOKUP(A1125,#REF!,11,0),0)+IFERROR(VLOOKUP(A1125,#REF!,11,0),0)+IFERROR(VLOOKUP(A1125,#REF!,11,0),0)</f>
        <v>0</v>
      </c>
      <c r="K1125" s="96" t="str">
        <f>"07.02.24"</f>
        <v>07.02.24</v>
      </c>
    </row>
    <row r="1126" spans="1:11" ht="11.25" customHeight="1" outlineLevel="1">
      <c r="A1126" s="89" t="n">
        <v>8078870</v>
      </c>
      <c r="B1126" s="114" t="s">
        <v>1201</v>
      </c>
      <c r="C1126" s="89" t="s">
        <v>1756</v>
      </c>
      <c r="D1126" s="89" t="s">
        <v>15</v>
      </c>
      <c r="E1126" s="89" t="s">
        <v>1757</v>
      </c>
      <c r="F1126" s="102" t="n">
        <v>1344</v>
      </c>
      <c r="G1126" s="102" t="n">
        <v>1720</v>
      </c>
      <c r="H1126" s="103" t="s">
        <v>48</v>
      </c>
      <c r="I1126" s="103">
        <f>IFERROR(VLOOKUP(A1126,#REF!,15,0),0)+IFERROR(VLOOKUP(A1126,#REF!,25,0),0)+IFERROR(VLOOKUP(A1126,#REF!,10,0),0)+IFERROR(VLOOKUP(A1126,#REF!,14,0),0)+IFERROR(VLOOKUP(A1126,#REF!,11,0),0)+IFERROR(VLOOKUP(A1126,#REF!,10,0),0)+IFERROR(VLOOKUP(A1126,#REF!,10,0),0)+IFERROR(VLOOKUP(A1126,#REF!,9,0),0)+IFERROR(VLOOKUP(A1126,#REF!,9,0),0)+IFERROR(VLOOKUP(A1126,#REF!,9,0),0)+IFERROR(VLOOKUP(A1126,#REF!,9,0),0)</f>
        <v>0</v>
      </c>
      <c r="J1126" s="104">
        <f>IFERROR(VLOOKUP(A1126,#REF!,16,0),0)+IFERROR(VLOOKUP(A1126,#REF!,26,0),0)+IFERROR(VLOOKUP(A1126,#REF!,11,0),0)+IFERROR(VLOOKUP(A1126,#REF!,23,0),0)+IFERROR(VLOOKUP(A1126,#REF!,11,0),0)+IFERROR(VLOOKUP(A1126,#REF!,11,0),0)+IFERROR(VLOOKUP(A1126,#REF!,11,0),0)</f>
        <v>0</v>
      </c>
      <c r="K1126" s="96" t="str">
        <f>"07.02.24"</f>
        <v>07.02.24</v>
      </c>
    </row>
    <row r="1127" spans="1:11" ht="11.25" customHeight="1" outlineLevel="1">
      <c r="A1127" s="89" t="n">
        <v>8078880</v>
      </c>
      <c r="B1127" s="114" t="s">
        <v>1201</v>
      </c>
      <c r="C1127" s="89" t="s">
        <v>1758</v>
      </c>
      <c r="D1127" s="89" t="s">
        <v>15</v>
      </c>
      <c r="E1127" s="89" t="s">
        <v>1759</v>
      </c>
      <c r="F1127" s="102" t="n">
        <v>1406</v>
      </c>
      <c r="G1127" s="102" t="n">
        <v>1868</v>
      </c>
      <c r="H1127" s="103" t="s">
        <v>48</v>
      </c>
      <c r="I1127" s="103">
        <f>IFERROR(VLOOKUP(A1127,#REF!,15,0),0)+IFERROR(VLOOKUP(A1127,#REF!,25,0),0)+IFERROR(VLOOKUP(A1127,#REF!,10,0),0)+IFERROR(VLOOKUP(A1127,#REF!,14,0),0)+IFERROR(VLOOKUP(A1127,#REF!,11,0),0)+IFERROR(VLOOKUP(A1127,#REF!,10,0),0)+IFERROR(VLOOKUP(A1127,#REF!,10,0),0)+IFERROR(VLOOKUP(A1127,#REF!,9,0),0)+IFERROR(VLOOKUP(A1127,#REF!,9,0),0)+IFERROR(VLOOKUP(A1127,#REF!,9,0),0)+IFERROR(VLOOKUP(A1127,#REF!,9,0),0)</f>
        <v>0</v>
      </c>
      <c r="J1127" s="104">
        <f>IFERROR(VLOOKUP(A1127,#REF!,16,0),0)+IFERROR(VLOOKUP(A1127,#REF!,26,0),0)+IFERROR(VLOOKUP(A1127,#REF!,11,0),0)+IFERROR(VLOOKUP(A1127,#REF!,23,0),0)+IFERROR(VLOOKUP(A1127,#REF!,11,0),0)+IFERROR(VLOOKUP(A1127,#REF!,11,0),0)+IFERROR(VLOOKUP(A1127,#REF!,11,0),0)</f>
        <v>0</v>
      </c>
      <c r="K1127" s="96" t="str">
        <f>"07.02.24"</f>
        <v>07.02.24</v>
      </c>
    </row>
    <row r="1128" spans="1:11" ht="11.25" customHeight="1" outlineLevel="1">
      <c r="A1128" s="89" t="n">
        <v>8078890</v>
      </c>
      <c r="B1128" s="114" t="s">
        <v>1201</v>
      </c>
      <c r="C1128" s="89" t="s">
        <v>1760</v>
      </c>
      <c r="D1128" s="89" t="s">
        <v>15</v>
      </c>
      <c r="E1128" s="89" t="s">
        <v>1761</v>
      </c>
      <c r="F1128" s="102" t="n">
        <v>1501</v>
      </c>
      <c r="G1128" s="102" t="n">
        <v>1922</v>
      </c>
      <c r="H1128" s="103" t="s">
        <v>48</v>
      </c>
      <c r="I1128" s="103">
        <f>IFERROR(VLOOKUP(A1128,#REF!,15,0),0)+IFERROR(VLOOKUP(A1128,#REF!,25,0),0)+IFERROR(VLOOKUP(A1128,#REF!,10,0),0)+IFERROR(VLOOKUP(A1128,#REF!,14,0),0)+IFERROR(VLOOKUP(A1128,#REF!,11,0),0)+IFERROR(VLOOKUP(A1128,#REF!,10,0),0)+IFERROR(VLOOKUP(A1128,#REF!,10,0),0)+IFERROR(VLOOKUP(A1128,#REF!,9,0),0)+IFERROR(VLOOKUP(A1128,#REF!,9,0),0)+IFERROR(VLOOKUP(A1128,#REF!,9,0),0)+IFERROR(VLOOKUP(A1128,#REF!,9,0),0)</f>
        <v>0</v>
      </c>
      <c r="J1128" s="104">
        <f>IFERROR(VLOOKUP(A1128,#REF!,16,0),0)+IFERROR(VLOOKUP(A1128,#REF!,26,0),0)+IFERROR(VLOOKUP(A1128,#REF!,11,0),0)+IFERROR(VLOOKUP(A1128,#REF!,23,0),0)+IFERROR(VLOOKUP(A1128,#REF!,11,0),0)+IFERROR(VLOOKUP(A1128,#REF!,11,0),0)+IFERROR(VLOOKUP(A1128,#REF!,11,0),0)</f>
        <v>0</v>
      </c>
      <c r="K1128" s="96" t="str">
        <f>"07.02.24"</f>
        <v>07.02.24</v>
      </c>
    </row>
    <row r="1129" spans="1:11" ht="11.25" customHeight="1" outlineLevel="1">
      <c r="A1129" s="89" t="n">
        <v>8078910</v>
      </c>
      <c r="B1129" s="114" t="s">
        <v>1201</v>
      </c>
      <c r="C1129" s="89" t="s">
        <v>1762</v>
      </c>
      <c r="D1129" s="89" t="s">
        <v>15</v>
      </c>
      <c r="E1129" s="89" t="s">
        <v>1763</v>
      </c>
      <c r="F1129" s="102" t="n">
        <v>2257</v>
      </c>
      <c r="G1129" s="102" t="n">
        <v>2888</v>
      </c>
      <c r="H1129" s="103" t="s">
        <v>48</v>
      </c>
      <c r="I1129" s="103">
        <f>IFERROR(VLOOKUP(A1129,#REF!,15,0),0)+IFERROR(VLOOKUP(A1129,#REF!,25,0),0)+IFERROR(VLOOKUP(A1129,#REF!,10,0),0)+IFERROR(VLOOKUP(A1129,#REF!,14,0),0)+IFERROR(VLOOKUP(A1129,#REF!,11,0),0)+IFERROR(VLOOKUP(A1129,#REF!,10,0),0)+IFERROR(VLOOKUP(A1129,#REF!,10,0),0)+IFERROR(VLOOKUP(A1129,#REF!,9,0),0)+IFERROR(VLOOKUP(A1129,#REF!,9,0),0)+IFERROR(VLOOKUP(A1129,#REF!,9,0),0)+IFERROR(VLOOKUP(A1129,#REF!,9,0),0)</f>
        <v>0</v>
      </c>
      <c r="J1129" s="104">
        <f>IFERROR(VLOOKUP(A1129,#REF!,16,0),0)+IFERROR(VLOOKUP(A1129,#REF!,26,0),0)+IFERROR(VLOOKUP(A1129,#REF!,11,0),0)+IFERROR(VLOOKUP(A1129,#REF!,23,0),0)+IFERROR(VLOOKUP(A1129,#REF!,11,0),0)+IFERROR(VLOOKUP(A1129,#REF!,11,0),0)+IFERROR(VLOOKUP(A1129,#REF!,11,0),0)</f>
        <v>0</v>
      </c>
      <c r="K1129" s="96" t="str">
        <f>"07.02.24"</f>
        <v>07.02.24</v>
      </c>
    </row>
    <row r="1130" spans="1:11" ht="11.25" customHeight="1" outlineLevel="1">
      <c r="A1130" s="89" t="n">
        <v>8078920</v>
      </c>
      <c r="B1130" s="114" t="s">
        <v>1201</v>
      </c>
      <c r="C1130" s="89" t="s">
        <v>1764</v>
      </c>
      <c r="D1130" s="89" t="s">
        <v>15</v>
      </c>
      <c r="E1130" s="89" t="s">
        <v>1765</v>
      </c>
      <c r="F1130" s="102" t="n">
        <v>2257</v>
      </c>
      <c r="G1130" s="102" t="n">
        <v>2888</v>
      </c>
      <c r="H1130" s="103" t="s">
        <v>48</v>
      </c>
      <c r="I1130" s="103">
        <f>IFERROR(VLOOKUP(A1130,#REF!,15,0),0)+IFERROR(VLOOKUP(A1130,#REF!,25,0),0)+IFERROR(VLOOKUP(A1130,#REF!,10,0),0)+IFERROR(VLOOKUP(A1130,#REF!,14,0),0)+IFERROR(VLOOKUP(A1130,#REF!,11,0),0)+IFERROR(VLOOKUP(A1130,#REF!,10,0),0)+IFERROR(VLOOKUP(A1130,#REF!,10,0),0)+IFERROR(VLOOKUP(A1130,#REF!,9,0),0)+IFERROR(VLOOKUP(A1130,#REF!,9,0),0)+IFERROR(VLOOKUP(A1130,#REF!,9,0),0)+IFERROR(VLOOKUP(A1130,#REF!,9,0),0)</f>
        <v>0</v>
      </c>
      <c r="J1130" s="104">
        <f>IFERROR(VLOOKUP(A1130,#REF!,16,0),0)+IFERROR(VLOOKUP(A1130,#REF!,26,0),0)+IFERROR(VLOOKUP(A1130,#REF!,11,0),0)+IFERROR(VLOOKUP(A1130,#REF!,23,0),0)+IFERROR(VLOOKUP(A1130,#REF!,11,0),0)+IFERROR(VLOOKUP(A1130,#REF!,11,0),0)+IFERROR(VLOOKUP(A1130,#REF!,11,0),0)</f>
        <v>0</v>
      </c>
      <c r="K1130" s="96" t="str">
        <f>"07.02.24"</f>
        <v>07.02.24</v>
      </c>
    </row>
    <row r="1131" spans="1:11" ht="11.25" customHeight="1" outlineLevel="1">
      <c r="A1131" s="89" t="n">
        <v>8078930</v>
      </c>
      <c r="B1131" s="114" t="s">
        <v>1201</v>
      </c>
      <c r="C1131" s="89" t="s">
        <v>1766</v>
      </c>
      <c r="D1131" s="89" t="s">
        <v>15</v>
      </c>
      <c r="E1131" s="89" t="s">
        <v>1767</v>
      </c>
      <c r="F1131" s="102" t="n">
        <v>2585</v>
      </c>
      <c r="G1131" s="102" t="n">
        <v>3310</v>
      </c>
      <c r="H1131" s="103" t="s">
        <v>48</v>
      </c>
      <c r="I1131" s="103">
        <f>IFERROR(VLOOKUP(A1131,#REF!,15,0),0)+IFERROR(VLOOKUP(A1131,#REF!,25,0),0)+IFERROR(VLOOKUP(A1131,#REF!,10,0),0)+IFERROR(VLOOKUP(A1131,#REF!,14,0),0)+IFERROR(VLOOKUP(A1131,#REF!,11,0),0)+IFERROR(VLOOKUP(A1131,#REF!,10,0),0)+IFERROR(VLOOKUP(A1131,#REF!,10,0),0)+IFERROR(VLOOKUP(A1131,#REF!,9,0),0)+IFERROR(VLOOKUP(A1131,#REF!,9,0),0)+IFERROR(VLOOKUP(A1131,#REF!,9,0),0)+IFERROR(VLOOKUP(A1131,#REF!,9,0),0)</f>
        <v>0</v>
      </c>
      <c r="J1131" s="104">
        <f>IFERROR(VLOOKUP(A1131,#REF!,16,0),0)+IFERROR(VLOOKUP(A1131,#REF!,26,0),0)+IFERROR(VLOOKUP(A1131,#REF!,11,0),0)+IFERROR(VLOOKUP(A1131,#REF!,23,0),0)+IFERROR(VLOOKUP(A1131,#REF!,11,0),0)+IFERROR(VLOOKUP(A1131,#REF!,11,0),0)+IFERROR(VLOOKUP(A1131,#REF!,11,0),0)</f>
        <v>0</v>
      </c>
      <c r="K1131" s="96" t="str">
        <f>"07.02.24"</f>
        <v>07.02.24</v>
      </c>
    </row>
    <row r="1132" spans="1:11" ht="11.25" customHeight="1" outlineLevel="1">
      <c r="A1132" s="89" t="n">
        <v>8078940</v>
      </c>
      <c r="B1132" s="114" t="s">
        <v>1201</v>
      </c>
      <c r="C1132" s="89" t="s">
        <v>1768</v>
      </c>
      <c r="D1132" s="89" t="s">
        <v>15</v>
      </c>
      <c r="E1132" s="89" t="s">
        <v>1769</v>
      </c>
      <c r="F1132" s="102" t="n">
        <v>2585</v>
      </c>
      <c r="G1132" s="102" t="n">
        <v>3310</v>
      </c>
      <c r="H1132" s="103" t="s">
        <v>48</v>
      </c>
      <c r="I1132" s="103">
        <f>IFERROR(VLOOKUP(A1132,#REF!,15,0),0)+IFERROR(VLOOKUP(A1132,#REF!,25,0),0)+IFERROR(VLOOKUP(A1132,#REF!,10,0),0)+IFERROR(VLOOKUP(A1132,#REF!,14,0),0)+IFERROR(VLOOKUP(A1132,#REF!,11,0),0)+IFERROR(VLOOKUP(A1132,#REF!,10,0),0)+IFERROR(VLOOKUP(A1132,#REF!,10,0),0)+IFERROR(VLOOKUP(A1132,#REF!,9,0),0)+IFERROR(VLOOKUP(A1132,#REF!,9,0),0)+IFERROR(VLOOKUP(A1132,#REF!,9,0),0)+IFERROR(VLOOKUP(A1132,#REF!,9,0),0)</f>
        <v>0</v>
      </c>
      <c r="J1132" s="104">
        <f>IFERROR(VLOOKUP(A1132,#REF!,16,0),0)+IFERROR(VLOOKUP(A1132,#REF!,26,0),0)+IFERROR(VLOOKUP(A1132,#REF!,11,0),0)+IFERROR(VLOOKUP(A1132,#REF!,23,0),0)+IFERROR(VLOOKUP(A1132,#REF!,11,0),0)+IFERROR(VLOOKUP(A1132,#REF!,11,0),0)+IFERROR(VLOOKUP(A1132,#REF!,11,0),0)</f>
        <v>0</v>
      </c>
      <c r="K1132" s="96" t="str">
        <f>"07.02.24"</f>
        <v>07.02.24</v>
      </c>
    </row>
    <row r="1133" spans="1:11" ht="11.25" customHeight="1" outlineLevel="1">
      <c r="A1133" s="89" t="n">
        <v>8078950</v>
      </c>
      <c r="B1133" s="114" t="s">
        <v>1201</v>
      </c>
      <c r="C1133" s="89" t="s">
        <v>1770</v>
      </c>
      <c r="D1133" s="89" t="s">
        <v>15</v>
      </c>
      <c r="E1133" s="89" t="s">
        <v>1771</v>
      </c>
      <c r="F1133" s="102" t="n">
        <v>1860</v>
      </c>
      <c r="G1133" s="102" t="n">
        <v>2382</v>
      </c>
      <c r="H1133" s="103" t="s">
        <v>48</v>
      </c>
      <c r="I1133" s="103">
        <f>IFERROR(VLOOKUP(A1133,#REF!,15,0),0)+IFERROR(VLOOKUP(A1133,#REF!,25,0),0)+IFERROR(VLOOKUP(A1133,#REF!,10,0),0)+IFERROR(VLOOKUP(A1133,#REF!,14,0),0)+IFERROR(VLOOKUP(A1133,#REF!,11,0),0)+IFERROR(VLOOKUP(A1133,#REF!,10,0),0)+IFERROR(VLOOKUP(A1133,#REF!,10,0),0)+IFERROR(VLOOKUP(A1133,#REF!,9,0),0)+IFERROR(VLOOKUP(A1133,#REF!,9,0),0)+IFERROR(VLOOKUP(A1133,#REF!,9,0),0)+IFERROR(VLOOKUP(A1133,#REF!,9,0),0)</f>
        <v>0</v>
      </c>
      <c r="J1133" s="104">
        <f>IFERROR(VLOOKUP(A1133,#REF!,16,0),0)+IFERROR(VLOOKUP(A1133,#REF!,26,0),0)+IFERROR(VLOOKUP(A1133,#REF!,11,0),0)+IFERROR(VLOOKUP(A1133,#REF!,23,0),0)+IFERROR(VLOOKUP(A1133,#REF!,11,0),0)+IFERROR(VLOOKUP(A1133,#REF!,11,0),0)+IFERROR(VLOOKUP(A1133,#REF!,11,0),0)</f>
        <v>0</v>
      </c>
      <c r="K1133" s="96" t="str">
        <f>"07.02.24"</f>
        <v>07.02.24</v>
      </c>
    </row>
    <row r="1134" spans="1:11" ht="11.25" customHeight="1" outlineLevel="1">
      <c r="A1134" s="89" t="n">
        <v>8078960</v>
      </c>
      <c r="B1134" s="114" t="s">
        <v>1201</v>
      </c>
      <c r="C1134" s="89" t="s">
        <v>1772</v>
      </c>
      <c r="D1134" s="89" t="s">
        <v>15</v>
      </c>
      <c r="E1134" s="89" t="s">
        <v>1773</v>
      </c>
      <c r="F1134" s="102" t="n">
        <v>2279</v>
      </c>
      <c r="G1134" s="102" t="n">
        <v>2916</v>
      </c>
      <c r="H1134" s="103" t="s">
        <v>17</v>
      </c>
      <c r="I1134" s="103">
        <f>IFERROR(VLOOKUP(A1134,#REF!,15,0),0)+IFERROR(VLOOKUP(A1134,#REF!,25,0),0)+IFERROR(VLOOKUP(A1134,#REF!,10,0),0)+IFERROR(VLOOKUP(A1134,#REF!,14,0),0)+IFERROR(VLOOKUP(A1134,#REF!,11,0),0)+IFERROR(VLOOKUP(A1134,#REF!,10,0),0)+IFERROR(VLOOKUP(A1134,#REF!,10,0),0)+IFERROR(VLOOKUP(A1134,#REF!,9,0),0)+IFERROR(VLOOKUP(A1134,#REF!,9,0),0)+IFERROR(VLOOKUP(A1134,#REF!,9,0),0)+IFERROR(VLOOKUP(A1134,#REF!,9,0),0)</f>
        <v>0</v>
      </c>
      <c r="J1134" s="104">
        <f>IFERROR(VLOOKUP(A1134,#REF!,16,0),0)+IFERROR(VLOOKUP(A1134,#REF!,26,0),0)+IFERROR(VLOOKUP(A1134,#REF!,11,0),0)+IFERROR(VLOOKUP(A1134,#REF!,23,0),0)+IFERROR(VLOOKUP(A1134,#REF!,11,0),0)+IFERROR(VLOOKUP(A1134,#REF!,11,0),0)+IFERROR(VLOOKUP(A1134,#REF!,11,0),0)</f>
        <v>0</v>
      </c>
      <c r="K1134" s="96" t="str">
        <f>"07.02.24"</f>
        <v>07.02.24</v>
      </c>
    </row>
    <row r="1135" spans="1:11" ht="11.25" customHeight="1" outlineLevel="1">
      <c r="A1135" s="89" t="n">
        <v>8078970</v>
      </c>
      <c r="B1135" s="114" t="s">
        <v>1201</v>
      </c>
      <c r="C1135" s="89" t="s">
        <v>1774</v>
      </c>
      <c r="D1135" s="89" t="s">
        <v>15</v>
      </c>
      <c r="E1135" s="89" t="s">
        <v>1775</v>
      </c>
      <c r="F1135" s="102" t="n">
        <v>2320</v>
      </c>
      <c r="G1135" s="102" t="n">
        <v>2969</v>
      </c>
      <c r="H1135" s="103" t="s">
        <v>48</v>
      </c>
      <c r="I1135" s="103">
        <f>IFERROR(VLOOKUP(A1135,#REF!,15,0),0)+IFERROR(VLOOKUP(A1135,#REF!,25,0),0)+IFERROR(VLOOKUP(A1135,#REF!,10,0),0)+IFERROR(VLOOKUP(A1135,#REF!,14,0),0)+IFERROR(VLOOKUP(A1135,#REF!,11,0),0)+IFERROR(VLOOKUP(A1135,#REF!,10,0),0)+IFERROR(VLOOKUP(A1135,#REF!,10,0),0)+IFERROR(VLOOKUP(A1135,#REF!,9,0),0)+IFERROR(VLOOKUP(A1135,#REF!,9,0),0)+IFERROR(VLOOKUP(A1135,#REF!,9,0),0)+IFERROR(VLOOKUP(A1135,#REF!,9,0),0)</f>
        <v>0</v>
      </c>
      <c r="J1135" s="104">
        <f>IFERROR(VLOOKUP(A1135,#REF!,16,0),0)+IFERROR(VLOOKUP(A1135,#REF!,26,0),0)+IFERROR(VLOOKUP(A1135,#REF!,11,0),0)+IFERROR(VLOOKUP(A1135,#REF!,23,0),0)+IFERROR(VLOOKUP(A1135,#REF!,11,0),0)+IFERROR(VLOOKUP(A1135,#REF!,11,0),0)+IFERROR(VLOOKUP(A1135,#REF!,11,0),0)</f>
        <v>0</v>
      </c>
      <c r="K1135" s="96" t="str">
        <f>"07.02.24"</f>
        <v>07.02.24</v>
      </c>
    </row>
    <row r="1136" spans="1:11" ht="11.25" customHeight="1" outlineLevel="1">
      <c r="A1136" s="89" t="n">
        <v>8078980</v>
      </c>
      <c r="B1136" s="114" t="s">
        <v>1201</v>
      </c>
      <c r="C1136" s="89" t="s">
        <v>1776</v>
      </c>
      <c r="D1136" s="89" t="s">
        <v>15</v>
      </c>
      <c r="E1136" s="89" t="s">
        <v>1777</v>
      </c>
      <c r="F1136" s="102" t="n">
        <v>2541</v>
      </c>
      <c r="G1136" s="102" t="n">
        <v>3255</v>
      </c>
      <c r="H1136" s="103" t="s">
        <v>48</v>
      </c>
      <c r="I1136" s="103">
        <f>IFERROR(VLOOKUP(A1136,#REF!,15,0),0)+IFERROR(VLOOKUP(A1136,#REF!,25,0),0)+IFERROR(VLOOKUP(A1136,#REF!,10,0),0)+IFERROR(VLOOKUP(A1136,#REF!,14,0),0)+IFERROR(VLOOKUP(A1136,#REF!,11,0),0)+IFERROR(VLOOKUP(A1136,#REF!,10,0),0)+IFERROR(VLOOKUP(A1136,#REF!,10,0),0)+IFERROR(VLOOKUP(A1136,#REF!,9,0),0)+IFERROR(VLOOKUP(A1136,#REF!,9,0),0)+IFERROR(VLOOKUP(A1136,#REF!,9,0),0)+IFERROR(VLOOKUP(A1136,#REF!,9,0),0)</f>
        <v>0</v>
      </c>
      <c r="J1136" s="104">
        <f>IFERROR(VLOOKUP(A1136,#REF!,16,0),0)+IFERROR(VLOOKUP(A1136,#REF!,26,0),0)+IFERROR(VLOOKUP(A1136,#REF!,11,0),0)+IFERROR(VLOOKUP(A1136,#REF!,23,0),0)+IFERROR(VLOOKUP(A1136,#REF!,11,0),0)+IFERROR(VLOOKUP(A1136,#REF!,11,0),0)+IFERROR(VLOOKUP(A1136,#REF!,11,0),0)</f>
        <v>0</v>
      </c>
      <c r="K1136" s="96" t="str">
        <f>"07.02.24"</f>
        <v>07.02.24</v>
      </c>
    </row>
    <row r="1137" spans="1:11" ht="11.25" customHeight="1" outlineLevel="1">
      <c r="A1137" s="89" t="n">
        <v>8078990</v>
      </c>
      <c r="B1137" s="114" t="s">
        <v>1201</v>
      </c>
      <c r="C1137" s="89" t="s">
        <v>1778</v>
      </c>
      <c r="D1137" s="89" t="s">
        <v>15</v>
      </c>
      <c r="E1137" s="89" t="s">
        <v>1779</v>
      </c>
      <c r="F1137" s="102" t="n">
        <v>3106</v>
      </c>
      <c r="G1137" s="102" t="n">
        <v>3976</v>
      </c>
      <c r="H1137" s="103" t="s">
        <v>48</v>
      </c>
      <c r="I1137" s="103">
        <f>IFERROR(VLOOKUP(A1137,#REF!,15,0),0)+IFERROR(VLOOKUP(A1137,#REF!,25,0),0)+IFERROR(VLOOKUP(A1137,#REF!,10,0),0)+IFERROR(VLOOKUP(A1137,#REF!,14,0),0)+IFERROR(VLOOKUP(A1137,#REF!,11,0),0)+IFERROR(VLOOKUP(A1137,#REF!,10,0),0)+IFERROR(VLOOKUP(A1137,#REF!,10,0),0)+IFERROR(VLOOKUP(A1137,#REF!,9,0),0)+IFERROR(VLOOKUP(A1137,#REF!,9,0),0)+IFERROR(VLOOKUP(A1137,#REF!,9,0),0)+IFERROR(VLOOKUP(A1137,#REF!,9,0),0)</f>
        <v>0</v>
      </c>
      <c r="J1137" s="104">
        <f>IFERROR(VLOOKUP(A1137,#REF!,16,0),0)+IFERROR(VLOOKUP(A1137,#REF!,26,0),0)+IFERROR(VLOOKUP(A1137,#REF!,11,0),0)+IFERROR(VLOOKUP(A1137,#REF!,23,0),0)+IFERROR(VLOOKUP(A1137,#REF!,11,0),0)+IFERROR(VLOOKUP(A1137,#REF!,11,0),0)+IFERROR(VLOOKUP(A1137,#REF!,11,0),0)</f>
        <v>0</v>
      </c>
      <c r="K1137" s="96" t="str">
        <f>"07.02.24"</f>
        <v>07.02.24</v>
      </c>
    </row>
    <row r="1138" spans="1:11" ht="11.25" customHeight="1" outlineLevel="1">
      <c r="A1138" s="89" t="n">
        <v>8079000</v>
      </c>
      <c r="B1138" s="114" t="s">
        <v>1201</v>
      </c>
      <c r="C1138" s="89" t="s">
        <v>1780</v>
      </c>
      <c r="D1138" s="89" t="s">
        <v>15</v>
      </c>
      <c r="E1138" s="89" t="s">
        <v>1781</v>
      </c>
      <c r="F1138" s="102" t="n">
        <v>3023</v>
      </c>
      <c r="G1138" s="102" t="n">
        <v>3873</v>
      </c>
      <c r="H1138" s="103" t="s">
        <v>48</v>
      </c>
      <c r="I1138" s="103">
        <f>IFERROR(VLOOKUP(A1138,#REF!,15,0),0)+IFERROR(VLOOKUP(A1138,#REF!,25,0),0)+IFERROR(VLOOKUP(A1138,#REF!,10,0),0)+IFERROR(VLOOKUP(A1138,#REF!,14,0),0)+IFERROR(VLOOKUP(A1138,#REF!,11,0),0)+IFERROR(VLOOKUP(A1138,#REF!,10,0),0)+IFERROR(VLOOKUP(A1138,#REF!,10,0),0)+IFERROR(VLOOKUP(A1138,#REF!,9,0),0)+IFERROR(VLOOKUP(A1138,#REF!,9,0),0)+IFERROR(VLOOKUP(A1138,#REF!,9,0),0)+IFERROR(VLOOKUP(A1138,#REF!,9,0),0)</f>
        <v>0</v>
      </c>
      <c r="J1138" s="104">
        <f>IFERROR(VLOOKUP(A1138,#REF!,16,0),0)+IFERROR(VLOOKUP(A1138,#REF!,26,0),0)+IFERROR(VLOOKUP(A1138,#REF!,11,0),0)+IFERROR(VLOOKUP(A1138,#REF!,23,0),0)+IFERROR(VLOOKUP(A1138,#REF!,11,0),0)+IFERROR(VLOOKUP(A1138,#REF!,11,0),0)+IFERROR(VLOOKUP(A1138,#REF!,11,0),0)</f>
        <v>0</v>
      </c>
      <c r="K1138" s="96" t="str">
        <f>"07.02.24"</f>
        <v>07.02.24</v>
      </c>
    </row>
    <row r="1139" spans="1:11" ht="11.25" customHeight="1" outlineLevel="1">
      <c r="A1139" s="89" t="n">
        <v>8079010</v>
      </c>
      <c r="B1139" s="114" t="s">
        <v>1201</v>
      </c>
      <c r="C1139" s="89" t="s">
        <v>1782</v>
      </c>
      <c r="D1139" s="89" t="s">
        <v>15</v>
      </c>
      <c r="E1139" s="89" t="s">
        <v>1783</v>
      </c>
      <c r="F1139" s="102" t="n">
        <v>4669</v>
      </c>
      <c r="G1139" s="102" t="n">
        <v>5976</v>
      </c>
      <c r="H1139" s="103" t="s">
        <v>48</v>
      </c>
      <c r="I1139" s="103">
        <f>IFERROR(VLOOKUP(A1139,#REF!,15,0),0)+IFERROR(VLOOKUP(A1139,#REF!,25,0),0)+IFERROR(VLOOKUP(A1139,#REF!,10,0),0)+IFERROR(VLOOKUP(A1139,#REF!,14,0),0)+IFERROR(VLOOKUP(A1139,#REF!,11,0),0)+IFERROR(VLOOKUP(A1139,#REF!,10,0),0)+IFERROR(VLOOKUP(A1139,#REF!,10,0),0)+IFERROR(VLOOKUP(A1139,#REF!,9,0),0)+IFERROR(VLOOKUP(A1139,#REF!,9,0),0)+IFERROR(VLOOKUP(A1139,#REF!,9,0),0)+IFERROR(VLOOKUP(A1139,#REF!,9,0),0)</f>
        <v>0</v>
      </c>
      <c r="J1139" s="104">
        <f>IFERROR(VLOOKUP(A1139,#REF!,16,0),0)+IFERROR(VLOOKUP(A1139,#REF!,26,0),0)+IFERROR(VLOOKUP(A1139,#REF!,11,0),0)+IFERROR(VLOOKUP(A1139,#REF!,23,0),0)+IFERROR(VLOOKUP(A1139,#REF!,11,0),0)+IFERROR(VLOOKUP(A1139,#REF!,11,0),0)+IFERROR(VLOOKUP(A1139,#REF!,11,0),0)</f>
        <v>0</v>
      </c>
      <c r="K1139" s="96" t="str">
        <f>"07.02.24"</f>
        <v>07.02.24</v>
      </c>
    </row>
    <row r="1140" spans="1:11" ht="11.25" customHeight="1" outlineLevel="1">
      <c r="A1140" s="89" t="n">
        <v>8079020</v>
      </c>
      <c r="B1140" s="114" t="s">
        <v>1201</v>
      </c>
      <c r="C1140" s="89" t="s">
        <v>1784</v>
      </c>
      <c r="D1140" s="89" t="s">
        <v>15</v>
      </c>
      <c r="E1140" s="89" t="s">
        <v>1785</v>
      </c>
      <c r="F1140" s="102" t="n">
        <v>5787</v>
      </c>
      <c r="G1140" s="102" t="n">
        <v>7406</v>
      </c>
      <c r="H1140" s="103" t="s">
        <v>48</v>
      </c>
      <c r="I1140" s="103">
        <f>IFERROR(VLOOKUP(A1140,#REF!,15,0),0)+IFERROR(VLOOKUP(A1140,#REF!,25,0),0)+IFERROR(VLOOKUP(A1140,#REF!,10,0),0)+IFERROR(VLOOKUP(A1140,#REF!,14,0),0)+IFERROR(VLOOKUP(A1140,#REF!,11,0),0)+IFERROR(VLOOKUP(A1140,#REF!,10,0),0)+IFERROR(VLOOKUP(A1140,#REF!,10,0),0)+IFERROR(VLOOKUP(A1140,#REF!,9,0),0)+IFERROR(VLOOKUP(A1140,#REF!,9,0),0)+IFERROR(VLOOKUP(A1140,#REF!,9,0),0)+IFERROR(VLOOKUP(A1140,#REF!,9,0),0)</f>
        <v>0</v>
      </c>
      <c r="J1140" s="104">
        <f>IFERROR(VLOOKUP(A1140,#REF!,16,0),0)+IFERROR(VLOOKUP(A1140,#REF!,26,0),0)+IFERROR(VLOOKUP(A1140,#REF!,11,0),0)+IFERROR(VLOOKUP(A1140,#REF!,23,0),0)+IFERROR(VLOOKUP(A1140,#REF!,11,0),0)+IFERROR(VLOOKUP(A1140,#REF!,11,0),0)+IFERROR(VLOOKUP(A1140,#REF!,11,0),0)</f>
        <v>0</v>
      </c>
      <c r="K1140" s="96" t="str">
        <f>"07.02.24"</f>
        <v>07.02.24</v>
      </c>
    </row>
    <row r="1141" spans="1:11" ht="11.25" customHeight="1" outlineLevel="1">
      <c r="A1141" s="89" t="n">
        <v>8079030</v>
      </c>
      <c r="B1141" s="114" t="s">
        <v>1201</v>
      </c>
      <c r="C1141" s="89" t="s">
        <v>1786</v>
      </c>
      <c r="D1141" s="89" t="s">
        <v>15</v>
      </c>
      <c r="E1141" s="89" t="s">
        <v>1787</v>
      </c>
      <c r="F1141" s="102" t="n">
        <v>635</v>
      </c>
      <c r="G1141" s="102" t="n">
        <v>813</v>
      </c>
      <c r="H1141" s="103" t="s">
        <v>48</v>
      </c>
      <c r="I1141" s="103">
        <f>IFERROR(VLOOKUP(A1141,#REF!,15,0),0)+IFERROR(VLOOKUP(A1141,#REF!,25,0),0)+IFERROR(VLOOKUP(A1141,#REF!,10,0),0)+IFERROR(VLOOKUP(A1141,#REF!,14,0),0)+IFERROR(VLOOKUP(A1141,#REF!,11,0),0)+IFERROR(VLOOKUP(A1141,#REF!,10,0),0)+IFERROR(VLOOKUP(A1141,#REF!,10,0),0)+IFERROR(VLOOKUP(A1141,#REF!,9,0),0)+IFERROR(VLOOKUP(A1141,#REF!,9,0),0)+IFERROR(VLOOKUP(A1141,#REF!,9,0),0)+IFERROR(VLOOKUP(A1141,#REF!,9,0),0)</f>
        <v>0</v>
      </c>
      <c r="J1141" s="104">
        <f>IFERROR(VLOOKUP(A1141,#REF!,16,0),0)+IFERROR(VLOOKUP(A1141,#REF!,26,0),0)+IFERROR(VLOOKUP(A1141,#REF!,11,0),0)+IFERROR(VLOOKUP(A1141,#REF!,23,0),0)+IFERROR(VLOOKUP(A1141,#REF!,11,0),0)+IFERROR(VLOOKUP(A1141,#REF!,11,0),0)+IFERROR(VLOOKUP(A1141,#REF!,11,0),0)</f>
        <v>0</v>
      </c>
      <c r="K1141" s="96" t="str">
        <f>"07.02.24"</f>
        <v>07.02.24</v>
      </c>
    </row>
    <row r="1142" spans="1:11" ht="11.25" customHeight="1" outlineLevel="1">
      <c r="A1142" s="89" t="n">
        <v>8079040</v>
      </c>
      <c r="B1142" s="114" t="s">
        <v>1201</v>
      </c>
      <c r="C1142" s="89" t="s">
        <v>1788</v>
      </c>
      <c r="D1142" s="89" t="s">
        <v>15</v>
      </c>
      <c r="E1142" s="89" t="s">
        <v>1789</v>
      </c>
      <c r="F1142" s="102" t="n">
        <v>634</v>
      </c>
      <c r="G1142" s="102" t="n">
        <v>840</v>
      </c>
      <c r="H1142" s="103" t="s">
        <v>48</v>
      </c>
      <c r="I1142" s="103">
        <f>IFERROR(VLOOKUP(A1142,#REF!,15,0),0)+IFERROR(VLOOKUP(A1142,#REF!,25,0),0)+IFERROR(VLOOKUP(A1142,#REF!,10,0),0)+IFERROR(VLOOKUP(A1142,#REF!,14,0),0)+IFERROR(VLOOKUP(A1142,#REF!,11,0),0)+IFERROR(VLOOKUP(A1142,#REF!,10,0),0)+IFERROR(VLOOKUP(A1142,#REF!,10,0),0)+IFERROR(VLOOKUP(A1142,#REF!,9,0),0)+IFERROR(VLOOKUP(A1142,#REF!,9,0),0)+IFERROR(VLOOKUP(A1142,#REF!,9,0),0)+IFERROR(VLOOKUP(A1142,#REF!,9,0),0)</f>
        <v>0</v>
      </c>
      <c r="J1142" s="104">
        <f>IFERROR(VLOOKUP(A1142,#REF!,16,0),0)+IFERROR(VLOOKUP(A1142,#REF!,26,0),0)+IFERROR(VLOOKUP(A1142,#REF!,11,0),0)+IFERROR(VLOOKUP(A1142,#REF!,23,0),0)+IFERROR(VLOOKUP(A1142,#REF!,11,0),0)+IFERROR(VLOOKUP(A1142,#REF!,11,0),0)+IFERROR(VLOOKUP(A1142,#REF!,11,0),0)</f>
        <v>0</v>
      </c>
      <c r="K1142" s="96" t="str">
        <f>"07.02.24"</f>
        <v>07.02.24</v>
      </c>
    </row>
    <row r="1143" spans="1:11" ht="11.25" customHeight="1" outlineLevel="1">
      <c r="A1143" s="89" t="n">
        <v>8079050</v>
      </c>
      <c r="B1143" s="114" t="s">
        <v>1201</v>
      </c>
      <c r="C1143" s="89" t="s">
        <v>1790</v>
      </c>
      <c r="D1143" s="89" t="s">
        <v>15</v>
      </c>
      <c r="E1143" s="89" t="s">
        <v>1791</v>
      </c>
      <c r="F1143" s="102" t="n">
        <v>774</v>
      </c>
      <c r="G1143" s="102" t="n">
        <v>991</v>
      </c>
      <c r="H1143" s="103" t="s">
        <v>48</v>
      </c>
      <c r="I1143" s="103">
        <f>IFERROR(VLOOKUP(A1143,#REF!,15,0),0)+IFERROR(VLOOKUP(A1143,#REF!,25,0),0)+IFERROR(VLOOKUP(A1143,#REF!,10,0),0)+IFERROR(VLOOKUP(A1143,#REF!,14,0),0)+IFERROR(VLOOKUP(A1143,#REF!,11,0),0)+IFERROR(VLOOKUP(A1143,#REF!,10,0),0)+IFERROR(VLOOKUP(A1143,#REF!,10,0),0)+IFERROR(VLOOKUP(A1143,#REF!,9,0),0)+IFERROR(VLOOKUP(A1143,#REF!,9,0),0)+IFERROR(VLOOKUP(A1143,#REF!,9,0),0)+IFERROR(VLOOKUP(A1143,#REF!,9,0),0)</f>
        <v>0</v>
      </c>
      <c r="J1143" s="104">
        <f>IFERROR(VLOOKUP(A1143,#REF!,16,0),0)+IFERROR(VLOOKUP(A1143,#REF!,26,0),0)+IFERROR(VLOOKUP(A1143,#REF!,11,0),0)+IFERROR(VLOOKUP(A1143,#REF!,23,0),0)+IFERROR(VLOOKUP(A1143,#REF!,11,0),0)+IFERROR(VLOOKUP(A1143,#REF!,11,0),0)+IFERROR(VLOOKUP(A1143,#REF!,11,0),0)</f>
        <v>0</v>
      </c>
      <c r="K1143" s="96" t="str">
        <f>"07.02.24"</f>
        <v>07.02.24</v>
      </c>
    </row>
    <row r="1144" spans="1:11" ht="11.25" customHeight="1" outlineLevel="1">
      <c r="A1144" s="89" t="n">
        <v>8079060</v>
      </c>
      <c r="B1144" s="114" t="s">
        <v>1201</v>
      </c>
      <c r="C1144" s="89" t="s">
        <v>1792</v>
      </c>
      <c r="D1144" s="89" t="s">
        <v>15</v>
      </c>
      <c r="E1144" s="89" t="s">
        <v>1793</v>
      </c>
      <c r="F1144" s="102" t="n">
        <v>861</v>
      </c>
      <c r="G1144" s="102" t="n">
        <v>1144</v>
      </c>
      <c r="H1144" s="103" t="s">
        <v>48</v>
      </c>
      <c r="I1144" s="103">
        <f>IFERROR(VLOOKUP(A1144,#REF!,15,0),0)+IFERROR(VLOOKUP(A1144,#REF!,25,0),0)+IFERROR(VLOOKUP(A1144,#REF!,10,0),0)+IFERROR(VLOOKUP(A1144,#REF!,14,0),0)+IFERROR(VLOOKUP(A1144,#REF!,11,0),0)+IFERROR(VLOOKUP(A1144,#REF!,10,0),0)+IFERROR(VLOOKUP(A1144,#REF!,10,0),0)+IFERROR(VLOOKUP(A1144,#REF!,9,0),0)+IFERROR(VLOOKUP(A1144,#REF!,9,0),0)+IFERROR(VLOOKUP(A1144,#REF!,9,0),0)+IFERROR(VLOOKUP(A1144,#REF!,9,0),0)</f>
        <v>0</v>
      </c>
      <c r="J1144" s="104">
        <f>IFERROR(VLOOKUP(A1144,#REF!,16,0),0)+IFERROR(VLOOKUP(A1144,#REF!,26,0),0)+IFERROR(VLOOKUP(A1144,#REF!,11,0),0)+IFERROR(VLOOKUP(A1144,#REF!,23,0),0)+IFERROR(VLOOKUP(A1144,#REF!,11,0),0)+IFERROR(VLOOKUP(A1144,#REF!,11,0),0)+IFERROR(VLOOKUP(A1144,#REF!,11,0),0)</f>
        <v>0</v>
      </c>
      <c r="K1144" s="96" t="str">
        <f>"07.02.24"</f>
        <v>07.02.24</v>
      </c>
    </row>
    <row r="1145" spans="1:11" ht="11.25" customHeight="1" outlineLevel="1">
      <c r="A1145" s="89" t="n">
        <v>8079070</v>
      </c>
      <c r="B1145" s="114" t="s">
        <v>1201</v>
      </c>
      <c r="C1145" s="89" t="s">
        <v>1794</v>
      </c>
      <c r="D1145" s="89" t="s">
        <v>15</v>
      </c>
      <c r="E1145" s="89" t="s">
        <v>1795</v>
      </c>
      <c r="F1145" s="102" t="n">
        <v>952</v>
      </c>
      <c r="G1145" s="102" t="n">
        <v>1216</v>
      </c>
      <c r="H1145" s="103" t="s">
        <v>48</v>
      </c>
      <c r="I1145" s="103">
        <f>IFERROR(VLOOKUP(A1145,#REF!,15,0),0)+IFERROR(VLOOKUP(A1145,#REF!,25,0),0)+IFERROR(VLOOKUP(A1145,#REF!,10,0),0)+IFERROR(VLOOKUP(A1145,#REF!,14,0),0)+IFERROR(VLOOKUP(A1145,#REF!,11,0),0)+IFERROR(VLOOKUP(A1145,#REF!,10,0),0)+IFERROR(VLOOKUP(A1145,#REF!,10,0),0)+IFERROR(VLOOKUP(A1145,#REF!,9,0),0)+IFERROR(VLOOKUP(A1145,#REF!,9,0),0)+IFERROR(VLOOKUP(A1145,#REF!,9,0),0)+IFERROR(VLOOKUP(A1145,#REF!,9,0),0)</f>
        <v>0</v>
      </c>
      <c r="J1145" s="104">
        <f>IFERROR(VLOOKUP(A1145,#REF!,16,0),0)+IFERROR(VLOOKUP(A1145,#REF!,26,0),0)+IFERROR(VLOOKUP(A1145,#REF!,11,0),0)+IFERROR(VLOOKUP(A1145,#REF!,23,0),0)+IFERROR(VLOOKUP(A1145,#REF!,11,0),0)+IFERROR(VLOOKUP(A1145,#REF!,11,0),0)+IFERROR(VLOOKUP(A1145,#REF!,11,0),0)</f>
        <v>0</v>
      </c>
      <c r="K1145" s="96" t="str">
        <f>"07.02.24"</f>
        <v>07.02.24</v>
      </c>
    </row>
    <row r="1146" spans="1:11" ht="11.25" customHeight="1" outlineLevel="1">
      <c r="A1146" s="89" t="n">
        <v>8079080</v>
      </c>
      <c r="B1146" s="114" t="s">
        <v>1201</v>
      </c>
      <c r="C1146" s="89" t="s">
        <v>1796</v>
      </c>
      <c r="D1146" s="89" t="s">
        <v>15</v>
      </c>
      <c r="E1146" s="89" t="s">
        <v>1797</v>
      </c>
      <c r="F1146" s="102" t="n">
        <v>974</v>
      </c>
      <c r="G1146" s="102" t="n">
        <v>1291</v>
      </c>
      <c r="H1146" s="103" t="s">
        <v>48</v>
      </c>
      <c r="I1146" s="103">
        <f>IFERROR(VLOOKUP(A1146,#REF!,15,0),0)+IFERROR(VLOOKUP(A1146,#REF!,25,0),0)+IFERROR(VLOOKUP(A1146,#REF!,10,0),0)+IFERROR(VLOOKUP(A1146,#REF!,14,0),0)+IFERROR(VLOOKUP(A1146,#REF!,11,0),0)+IFERROR(VLOOKUP(A1146,#REF!,10,0),0)+IFERROR(VLOOKUP(A1146,#REF!,10,0),0)+IFERROR(VLOOKUP(A1146,#REF!,9,0),0)+IFERROR(VLOOKUP(A1146,#REF!,9,0),0)+IFERROR(VLOOKUP(A1146,#REF!,9,0),0)+IFERROR(VLOOKUP(A1146,#REF!,9,0),0)</f>
        <v>0</v>
      </c>
      <c r="J1146" s="104">
        <f>IFERROR(VLOOKUP(A1146,#REF!,16,0),0)+IFERROR(VLOOKUP(A1146,#REF!,26,0),0)+IFERROR(VLOOKUP(A1146,#REF!,11,0),0)+IFERROR(VLOOKUP(A1146,#REF!,23,0),0)+IFERROR(VLOOKUP(A1146,#REF!,11,0),0)+IFERROR(VLOOKUP(A1146,#REF!,11,0),0)+IFERROR(VLOOKUP(A1146,#REF!,11,0),0)</f>
        <v>0</v>
      </c>
      <c r="K1146" s="96" t="str">
        <f>"07.02.24"</f>
        <v>07.02.24</v>
      </c>
    </row>
    <row r="1147" spans="1:11" ht="11.25" customHeight="1" outlineLevel="1">
      <c r="A1147" s="89" t="n">
        <v>8079090</v>
      </c>
      <c r="B1147" s="114" t="s">
        <v>1201</v>
      </c>
      <c r="C1147" s="89" t="s">
        <v>1798</v>
      </c>
      <c r="D1147" s="89" t="s">
        <v>15</v>
      </c>
      <c r="E1147" s="89" t="s">
        <v>1799</v>
      </c>
      <c r="F1147" s="102" t="n">
        <v>959</v>
      </c>
      <c r="G1147" s="102" t="n">
        <v>1227</v>
      </c>
      <c r="H1147" s="103" t="s">
        <v>48</v>
      </c>
      <c r="I1147" s="103">
        <f>IFERROR(VLOOKUP(A1147,#REF!,15,0),0)+IFERROR(VLOOKUP(A1147,#REF!,25,0),0)+IFERROR(VLOOKUP(A1147,#REF!,10,0),0)+IFERROR(VLOOKUP(A1147,#REF!,14,0),0)+IFERROR(VLOOKUP(A1147,#REF!,11,0),0)+IFERROR(VLOOKUP(A1147,#REF!,10,0),0)+IFERROR(VLOOKUP(A1147,#REF!,10,0),0)+IFERROR(VLOOKUP(A1147,#REF!,9,0),0)+IFERROR(VLOOKUP(A1147,#REF!,9,0),0)+IFERROR(VLOOKUP(A1147,#REF!,9,0),0)+IFERROR(VLOOKUP(A1147,#REF!,9,0),0)</f>
        <v>0</v>
      </c>
      <c r="J1147" s="104">
        <f>IFERROR(VLOOKUP(A1147,#REF!,16,0),0)+IFERROR(VLOOKUP(A1147,#REF!,26,0),0)+IFERROR(VLOOKUP(A1147,#REF!,11,0),0)+IFERROR(VLOOKUP(A1147,#REF!,23,0),0)+IFERROR(VLOOKUP(A1147,#REF!,11,0),0)+IFERROR(VLOOKUP(A1147,#REF!,11,0),0)+IFERROR(VLOOKUP(A1147,#REF!,11,0),0)</f>
        <v>0</v>
      </c>
      <c r="K1147" s="96" t="str">
        <f>"07.02.24"</f>
        <v>07.02.24</v>
      </c>
    </row>
    <row r="1148" spans="1:11" ht="11.25" customHeight="1" outlineLevel="1">
      <c r="A1148" s="89" t="n">
        <v>8079100</v>
      </c>
      <c r="B1148" s="114" t="s">
        <v>1201</v>
      </c>
      <c r="C1148" s="89" t="s">
        <v>1800</v>
      </c>
      <c r="D1148" s="89" t="s">
        <v>15</v>
      </c>
      <c r="E1148" s="89" t="s">
        <v>1801</v>
      </c>
      <c r="F1148" s="102" t="n">
        <v>1052</v>
      </c>
      <c r="G1148" s="102" t="n">
        <v>1396</v>
      </c>
      <c r="H1148" s="103" t="s">
        <v>48</v>
      </c>
      <c r="I1148" s="103">
        <f>IFERROR(VLOOKUP(A1148,#REF!,15,0),0)+IFERROR(VLOOKUP(A1148,#REF!,25,0),0)+IFERROR(VLOOKUP(A1148,#REF!,10,0),0)+IFERROR(VLOOKUP(A1148,#REF!,14,0),0)+IFERROR(VLOOKUP(A1148,#REF!,11,0),0)+IFERROR(VLOOKUP(A1148,#REF!,10,0),0)+IFERROR(VLOOKUP(A1148,#REF!,10,0),0)+IFERROR(VLOOKUP(A1148,#REF!,9,0),0)+IFERROR(VLOOKUP(A1148,#REF!,9,0),0)+IFERROR(VLOOKUP(A1148,#REF!,9,0),0)+IFERROR(VLOOKUP(A1148,#REF!,9,0),0)</f>
        <v>0</v>
      </c>
      <c r="J1148" s="104">
        <f>IFERROR(VLOOKUP(A1148,#REF!,16,0),0)+IFERROR(VLOOKUP(A1148,#REF!,26,0),0)+IFERROR(VLOOKUP(A1148,#REF!,11,0),0)+IFERROR(VLOOKUP(A1148,#REF!,23,0),0)+IFERROR(VLOOKUP(A1148,#REF!,11,0),0)+IFERROR(VLOOKUP(A1148,#REF!,11,0),0)+IFERROR(VLOOKUP(A1148,#REF!,11,0),0)</f>
        <v>0</v>
      </c>
      <c r="K1148" s="96" t="str">
        <f>"07.02.24"</f>
        <v>07.02.24</v>
      </c>
    </row>
    <row r="1149" spans="1:11" ht="11.25" customHeight="1" outlineLevel="1">
      <c r="A1149" s="89" t="n">
        <v>8079110</v>
      </c>
      <c r="B1149" s="114" t="s">
        <v>1201</v>
      </c>
      <c r="C1149" s="89" t="s">
        <v>1802</v>
      </c>
      <c r="D1149" s="89" t="s">
        <v>15</v>
      </c>
      <c r="E1149" s="89" t="s">
        <v>1803</v>
      </c>
      <c r="F1149" s="102" t="n">
        <v>1128</v>
      </c>
      <c r="G1149" s="102" t="n">
        <v>1442</v>
      </c>
      <c r="H1149" s="103" t="s">
        <v>48</v>
      </c>
      <c r="I1149" s="103">
        <f>IFERROR(VLOOKUP(A1149,#REF!,15,0),0)+IFERROR(VLOOKUP(A1149,#REF!,25,0),0)+IFERROR(VLOOKUP(A1149,#REF!,10,0),0)+IFERROR(VLOOKUP(A1149,#REF!,14,0),0)+IFERROR(VLOOKUP(A1149,#REF!,11,0),0)+IFERROR(VLOOKUP(A1149,#REF!,10,0),0)+IFERROR(VLOOKUP(A1149,#REF!,10,0),0)+IFERROR(VLOOKUP(A1149,#REF!,9,0),0)+IFERROR(VLOOKUP(A1149,#REF!,9,0),0)+IFERROR(VLOOKUP(A1149,#REF!,9,0),0)+IFERROR(VLOOKUP(A1149,#REF!,9,0),0)</f>
        <v>0</v>
      </c>
      <c r="J1149" s="104">
        <f>IFERROR(VLOOKUP(A1149,#REF!,16,0),0)+IFERROR(VLOOKUP(A1149,#REF!,26,0),0)+IFERROR(VLOOKUP(A1149,#REF!,11,0),0)+IFERROR(VLOOKUP(A1149,#REF!,23,0),0)+IFERROR(VLOOKUP(A1149,#REF!,11,0),0)+IFERROR(VLOOKUP(A1149,#REF!,11,0),0)+IFERROR(VLOOKUP(A1149,#REF!,11,0),0)</f>
        <v>0</v>
      </c>
      <c r="K1149" s="96" t="str">
        <f>"07.02.24"</f>
        <v>07.02.24</v>
      </c>
    </row>
    <row r="1150" spans="1:11" ht="11.25" customHeight="1" outlineLevel="1">
      <c r="A1150" s="89" t="n">
        <v>8079120</v>
      </c>
      <c r="B1150" s="114" t="s">
        <v>1201</v>
      </c>
      <c r="C1150" s="89" t="s">
        <v>1804</v>
      </c>
      <c r="D1150" s="89" t="s">
        <v>15</v>
      </c>
      <c r="E1150" s="89" t="s">
        <v>1805</v>
      </c>
      <c r="F1150" s="102" t="n">
        <v>1085</v>
      </c>
      <c r="G1150" s="102" t="n">
        <v>1386</v>
      </c>
      <c r="H1150" s="103" t="s">
        <v>48</v>
      </c>
      <c r="I1150" s="103">
        <f>IFERROR(VLOOKUP(A1150,#REF!,15,0),0)+IFERROR(VLOOKUP(A1150,#REF!,25,0),0)+IFERROR(VLOOKUP(A1150,#REF!,10,0),0)+IFERROR(VLOOKUP(A1150,#REF!,14,0),0)+IFERROR(VLOOKUP(A1150,#REF!,11,0),0)+IFERROR(VLOOKUP(A1150,#REF!,10,0),0)+IFERROR(VLOOKUP(A1150,#REF!,10,0),0)+IFERROR(VLOOKUP(A1150,#REF!,9,0),0)+IFERROR(VLOOKUP(A1150,#REF!,9,0),0)+IFERROR(VLOOKUP(A1150,#REF!,9,0),0)+IFERROR(VLOOKUP(A1150,#REF!,9,0),0)</f>
        <v>0</v>
      </c>
      <c r="J1150" s="104">
        <f>IFERROR(VLOOKUP(A1150,#REF!,16,0),0)+IFERROR(VLOOKUP(A1150,#REF!,26,0),0)+IFERROR(VLOOKUP(A1150,#REF!,11,0),0)+IFERROR(VLOOKUP(A1150,#REF!,23,0),0)+IFERROR(VLOOKUP(A1150,#REF!,11,0),0)+IFERROR(VLOOKUP(A1150,#REF!,11,0),0)+IFERROR(VLOOKUP(A1150,#REF!,11,0),0)</f>
        <v>0</v>
      </c>
      <c r="K1150" s="96" t="str">
        <f>"07.02.24"</f>
        <v>07.02.24</v>
      </c>
    </row>
    <row r="1151" spans="1:11" ht="11.25" customHeight="1" outlineLevel="1">
      <c r="A1151" s="89" t="n">
        <v>8079130</v>
      </c>
      <c r="B1151" s="114" t="s">
        <v>1201</v>
      </c>
      <c r="C1151" s="89" t="s">
        <v>1806</v>
      </c>
      <c r="D1151" s="89" t="s">
        <v>15</v>
      </c>
      <c r="E1151" s="89" t="s">
        <v>1807</v>
      </c>
      <c r="F1151" s="102" t="n">
        <v>1206</v>
      </c>
      <c r="G1151" s="102" t="n">
        <v>1540</v>
      </c>
      <c r="H1151" s="103" t="s">
        <v>48</v>
      </c>
      <c r="I1151" s="103">
        <f>IFERROR(VLOOKUP(A1151,#REF!,15,0),0)+IFERROR(VLOOKUP(A1151,#REF!,25,0),0)+IFERROR(VLOOKUP(A1151,#REF!,10,0),0)+IFERROR(VLOOKUP(A1151,#REF!,14,0),0)+IFERROR(VLOOKUP(A1151,#REF!,11,0),0)+IFERROR(VLOOKUP(A1151,#REF!,10,0),0)+IFERROR(VLOOKUP(A1151,#REF!,10,0),0)+IFERROR(VLOOKUP(A1151,#REF!,9,0),0)+IFERROR(VLOOKUP(A1151,#REF!,9,0),0)+IFERROR(VLOOKUP(A1151,#REF!,9,0),0)+IFERROR(VLOOKUP(A1151,#REF!,9,0),0)</f>
        <v>0</v>
      </c>
      <c r="J1151" s="104">
        <f>IFERROR(VLOOKUP(A1151,#REF!,16,0),0)+IFERROR(VLOOKUP(A1151,#REF!,26,0),0)+IFERROR(VLOOKUP(A1151,#REF!,11,0),0)+IFERROR(VLOOKUP(A1151,#REF!,23,0),0)+IFERROR(VLOOKUP(A1151,#REF!,11,0),0)+IFERROR(VLOOKUP(A1151,#REF!,11,0),0)+IFERROR(VLOOKUP(A1151,#REF!,11,0),0)</f>
        <v>0</v>
      </c>
      <c r="K1151" s="96" t="str">
        <f>"07.02.24"</f>
        <v>07.02.24</v>
      </c>
    </row>
    <row r="1152" spans="1:11" ht="11.25" customHeight="1" outlineLevel="1">
      <c r="A1152" s="89" t="n">
        <v>8079140</v>
      </c>
      <c r="B1152" s="114" t="s">
        <v>1201</v>
      </c>
      <c r="C1152" s="89" t="s">
        <v>1808</v>
      </c>
      <c r="D1152" s="89" t="s">
        <v>15</v>
      </c>
      <c r="E1152" s="89" t="s">
        <v>1809</v>
      </c>
      <c r="F1152" s="102" t="n">
        <v>1504</v>
      </c>
      <c r="G1152" s="102" t="n">
        <v>2001</v>
      </c>
      <c r="H1152" s="103" t="s">
        <v>48</v>
      </c>
      <c r="I1152" s="103">
        <f>IFERROR(VLOOKUP(A1152,#REF!,15,0),0)+IFERROR(VLOOKUP(A1152,#REF!,25,0),0)+IFERROR(VLOOKUP(A1152,#REF!,10,0),0)+IFERROR(VLOOKUP(A1152,#REF!,14,0),0)+IFERROR(VLOOKUP(A1152,#REF!,11,0),0)+IFERROR(VLOOKUP(A1152,#REF!,10,0),0)+IFERROR(VLOOKUP(A1152,#REF!,10,0),0)+IFERROR(VLOOKUP(A1152,#REF!,9,0),0)+IFERROR(VLOOKUP(A1152,#REF!,9,0),0)+IFERROR(VLOOKUP(A1152,#REF!,9,0),0)+IFERROR(VLOOKUP(A1152,#REF!,9,0),0)</f>
        <v>0</v>
      </c>
      <c r="J1152" s="104">
        <f>IFERROR(VLOOKUP(A1152,#REF!,16,0),0)+IFERROR(VLOOKUP(A1152,#REF!,26,0),0)+IFERROR(VLOOKUP(A1152,#REF!,11,0),0)+IFERROR(VLOOKUP(A1152,#REF!,23,0),0)+IFERROR(VLOOKUP(A1152,#REF!,11,0),0)+IFERROR(VLOOKUP(A1152,#REF!,11,0),0)+IFERROR(VLOOKUP(A1152,#REF!,11,0),0)</f>
        <v>0</v>
      </c>
      <c r="K1152" s="96" t="str">
        <f>"07.02.24"</f>
        <v>07.02.24</v>
      </c>
    </row>
    <row r="1153" spans="1:11" ht="11.25" customHeight="1" outlineLevel="1">
      <c r="A1153" s="89" t="n">
        <v>8079150</v>
      </c>
      <c r="B1153" s="114" t="s">
        <v>1201</v>
      </c>
      <c r="C1153" s="89" t="s">
        <v>1810</v>
      </c>
      <c r="D1153" s="89" t="s">
        <v>15</v>
      </c>
      <c r="E1153" s="89" t="s">
        <v>1811</v>
      </c>
      <c r="F1153" s="102" t="n">
        <v>1656</v>
      </c>
      <c r="G1153" s="102" t="n">
        <v>2120</v>
      </c>
      <c r="H1153" s="103" t="s">
        <v>48</v>
      </c>
      <c r="I1153" s="103">
        <f>IFERROR(VLOOKUP(A1153,#REF!,15,0),0)+IFERROR(VLOOKUP(A1153,#REF!,25,0),0)+IFERROR(VLOOKUP(A1153,#REF!,10,0),0)+IFERROR(VLOOKUP(A1153,#REF!,14,0),0)+IFERROR(VLOOKUP(A1153,#REF!,11,0),0)+IFERROR(VLOOKUP(A1153,#REF!,10,0),0)+IFERROR(VLOOKUP(A1153,#REF!,10,0),0)+IFERROR(VLOOKUP(A1153,#REF!,9,0),0)+IFERROR(VLOOKUP(A1153,#REF!,9,0),0)+IFERROR(VLOOKUP(A1153,#REF!,9,0),0)+IFERROR(VLOOKUP(A1153,#REF!,9,0),0)</f>
        <v>0</v>
      </c>
      <c r="J1153" s="104">
        <f>IFERROR(VLOOKUP(A1153,#REF!,16,0),0)+IFERROR(VLOOKUP(A1153,#REF!,26,0),0)+IFERROR(VLOOKUP(A1153,#REF!,11,0),0)+IFERROR(VLOOKUP(A1153,#REF!,23,0),0)+IFERROR(VLOOKUP(A1153,#REF!,11,0),0)+IFERROR(VLOOKUP(A1153,#REF!,11,0),0)+IFERROR(VLOOKUP(A1153,#REF!,11,0),0)</f>
        <v>0</v>
      </c>
      <c r="K1153" s="96" t="str">
        <f>"07.02.24"</f>
        <v>07.02.24</v>
      </c>
    </row>
    <row r="1154" spans="1:11" ht="11.25" customHeight="1" outlineLevel="1">
      <c r="A1154" s="89" t="n">
        <v>8079160</v>
      </c>
      <c r="B1154" s="114" t="s">
        <v>1201</v>
      </c>
      <c r="C1154" s="89" t="s">
        <v>1812</v>
      </c>
      <c r="D1154" s="89" t="s">
        <v>15</v>
      </c>
      <c r="E1154" s="89" t="s">
        <v>1813</v>
      </c>
      <c r="F1154" s="102" t="n">
        <v>1515</v>
      </c>
      <c r="G1154" s="102" t="n">
        <v>1936</v>
      </c>
      <c r="H1154" s="103" t="s">
        <v>48</v>
      </c>
      <c r="I1154" s="103">
        <f>IFERROR(VLOOKUP(A1154,#REF!,15,0),0)+IFERROR(VLOOKUP(A1154,#REF!,25,0),0)+IFERROR(VLOOKUP(A1154,#REF!,10,0),0)+IFERROR(VLOOKUP(A1154,#REF!,14,0),0)+IFERROR(VLOOKUP(A1154,#REF!,11,0),0)+IFERROR(VLOOKUP(A1154,#REF!,10,0),0)+IFERROR(VLOOKUP(A1154,#REF!,10,0),0)+IFERROR(VLOOKUP(A1154,#REF!,9,0),0)+IFERROR(VLOOKUP(A1154,#REF!,9,0),0)+IFERROR(VLOOKUP(A1154,#REF!,9,0),0)+IFERROR(VLOOKUP(A1154,#REF!,9,0),0)</f>
        <v>0</v>
      </c>
      <c r="J1154" s="104">
        <f>IFERROR(VLOOKUP(A1154,#REF!,16,0),0)+IFERROR(VLOOKUP(A1154,#REF!,26,0),0)+IFERROR(VLOOKUP(A1154,#REF!,11,0),0)+IFERROR(VLOOKUP(A1154,#REF!,23,0),0)+IFERROR(VLOOKUP(A1154,#REF!,11,0),0)+IFERROR(VLOOKUP(A1154,#REF!,11,0),0)+IFERROR(VLOOKUP(A1154,#REF!,11,0),0)</f>
        <v>0</v>
      </c>
      <c r="K1154" s="96" t="str">
        <f>"07.02.24"</f>
        <v>07.02.24</v>
      </c>
    </row>
    <row r="1155" spans="1:11" ht="11.25" customHeight="1" outlineLevel="1">
      <c r="A1155" s="89" t="n">
        <v>8079170</v>
      </c>
      <c r="B1155" s="114" t="s">
        <v>1201</v>
      </c>
      <c r="C1155" s="89" t="s">
        <v>1814</v>
      </c>
      <c r="D1155" s="89" t="s">
        <v>15</v>
      </c>
      <c r="E1155" s="89" t="s">
        <v>1815</v>
      </c>
      <c r="F1155" s="102" t="n">
        <v>2222</v>
      </c>
      <c r="G1155" s="102" t="n">
        <v>2847</v>
      </c>
      <c r="H1155" s="103" t="s">
        <v>48</v>
      </c>
      <c r="I1155" s="103">
        <f>IFERROR(VLOOKUP(A1155,#REF!,15,0),0)+IFERROR(VLOOKUP(A1155,#REF!,25,0),0)+IFERROR(VLOOKUP(A1155,#REF!,10,0),0)+IFERROR(VLOOKUP(A1155,#REF!,14,0),0)+IFERROR(VLOOKUP(A1155,#REF!,11,0),0)+IFERROR(VLOOKUP(A1155,#REF!,10,0),0)+IFERROR(VLOOKUP(A1155,#REF!,10,0),0)+IFERROR(VLOOKUP(A1155,#REF!,9,0),0)+IFERROR(VLOOKUP(A1155,#REF!,9,0),0)+IFERROR(VLOOKUP(A1155,#REF!,9,0),0)+IFERROR(VLOOKUP(A1155,#REF!,9,0),0)</f>
        <v>0</v>
      </c>
      <c r="J1155" s="104">
        <f>IFERROR(VLOOKUP(A1155,#REF!,16,0),0)+IFERROR(VLOOKUP(A1155,#REF!,26,0),0)+IFERROR(VLOOKUP(A1155,#REF!,11,0),0)+IFERROR(VLOOKUP(A1155,#REF!,23,0),0)+IFERROR(VLOOKUP(A1155,#REF!,11,0),0)+IFERROR(VLOOKUP(A1155,#REF!,11,0),0)+IFERROR(VLOOKUP(A1155,#REF!,11,0),0)</f>
        <v>0</v>
      </c>
      <c r="K1155" s="96" t="str">
        <f>"07.02.24"</f>
        <v>07.02.24</v>
      </c>
    </row>
    <row r="1156" spans="1:11" ht="11.25" customHeight="1" outlineLevel="1">
      <c r="A1156" s="89" t="n">
        <v>8079180</v>
      </c>
      <c r="B1156" s="114" t="s">
        <v>1201</v>
      </c>
      <c r="C1156" s="89" t="s">
        <v>1816</v>
      </c>
      <c r="D1156" s="89" t="s">
        <v>15</v>
      </c>
      <c r="E1156" s="89" t="s">
        <v>1817</v>
      </c>
      <c r="F1156" s="102" t="n">
        <v>3573</v>
      </c>
      <c r="G1156" s="102" t="n">
        <v>4572</v>
      </c>
      <c r="H1156" s="103" t="s">
        <v>48</v>
      </c>
      <c r="I1156" s="103">
        <f>IFERROR(VLOOKUP(A1156,#REF!,15,0),0)+IFERROR(VLOOKUP(A1156,#REF!,25,0),0)+IFERROR(VLOOKUP(A1156,#REF!,10,0),0)+IFERROR(VLOOKUP(A1156,#REF!,14,0),0)+IFERROR(VLOOKUP(A1156,#REF!,11,0),0)+IFERROR(VLOOKUP(A1156,#REF!,10,0),0)+IFERROR(VLOOKUP(A1156,#REF!,10,0),0)+IFERROR(VLOOKUP(A1156,#REF!,9,0),0)+IFERROR(VLOOKUP(A1156,#REF!,9,0),0)+IFERROR(VLOOKUP(A1156,#REF!,9,0),0)+IFERROR(VLOOKUP(A1156,#REF!,9,0),0)</f>
        <v>0</v>
      </c>
      <c r="J1156" s="104">
        <f>IFERROR(VLOOKUP(A1156,#REF!,16,0),0)+IFERROR(VLOOKUP(A1156,#REF!,26,0),0)+IFERROR(VLOOKUP(A1156,#REF!,11,0),0)+IFERROR(VLOOKUP(A1156,#REF!,23,0),0)+IFERROR(VLOOKUP(A1156,#REF!,11,0),0)+IFERROR(VLOOKUP(A1156,#REF!,11,0),0)+IFERROR(VLOOKUP(A1156,#REF!,11,0),0)</f>
        <v>0</v>
      </c>
      <c r="K1156" s="96" t="str">
        <f>"07.02.24"</f>
        <v>07.02.24</v>
      </c>
    </row>
    <row r="1157" spans="1:11" ht="11.25" customHeight="1" outlineLevel="1">
      <c r="A1157" s="89" t="n">
        <v>8079190</v>
      </c>
      <c r="B1157" s="114" t="s">
        <v>1201</v>
      </c>
      <c r="C1157" s="89" t="s">
        <v>1818</v>
      </c>
      <c r="D1157" s="89" t="s">
        <v>15</v>
      </c>
      <c r="E1157" s="89" t="s">
        <v>1819</v>
      </c>
      <c r="F1157" s="102" t="n">
        <v>4236</v>
      </c>
      <c r="G1157" s="102" t="n">
        <v>5423</v>
      </c>
      <c r="H1157" s="103" t="s">
        <v>48</v>
      </c>
      <c r="I1157" s="103">
        <f>IFERROR(VLOOKUP(A1157,#REF!,15,0),0)+IFERROR(VLOOKUP(A1157,#REF!,25,0),0)+IFERROR(VLOOKUP(A1157,#REF!,10,0),0)+IFERROR(VLOOKUP(A1157,#REF!,14,0),0)+IFERROR(VLOOKUP(A1157,#REF!,11,0),0)+IFERROR(VLOOKUP(A1157,#REF!,10,0),0)+IFERROR(VLOOKUP(A1157,#REF!,10,0),0)+IFERROR(VLOOKUP(A1157,#REF!,9,0),0)+IFERROR(VLOOKUP(A1157,#REF!,9,0),0)+IFERROR(VLOOKUP(A1157,#REF!,9,0),0)+IFERROR(VLOOKUP(A1157,#REF!,9,0),0)</f>
        <v>0</v>
      </c>
      <c r="J1157" s="104">
        <f>IFERROR(VLOOKUP(A1157,#REF!,16,0),0)+IFERROR(VLOOKUP(A1157,#REF!,26,0),0)+IFERROR(VLOOKUP(A1157,#REF!,11,0),0)+IFERROR(VLOOKUP(A1157,#REF!,23,0),0)+IFERROR(VLOOKUP(A1157,#REF!,11,0),0)+IFERROR(VLOOKUP(A1157,#REF!,11,0),0)+IFERROR(VLOOKUP(A1157,#REF!,11,0),0)</f>
        <v>0</v>
      </c>
      <c r="K1157" s="96" t="str">
        <f>"07.02.24"</f>
        <v>07.02.24</v>
      </c>
    </row>
    <row r="1158" spans="1:11" ht="11.25" customHeight="1" outlineLevel="1">
      <c r="A1158" s="89" t="n">
        <v>8079200</v>
      </c>
      <c r="B1158" s="114" t="s">
        <v>1201</v>
      </c>
      <c r="C1158" s="89" t="s">
        <v>1820</v>
      </c>
      <c r="D1158" s="89" t="s">
        <v>15</v>
      </c>
      <c r="E1158" s="89" t="s">
        <v>1821</v>
      </c>
      <c r="F1158" s="102" t="n">
        <v>3048</v>
      </c>
      <c r="G1158" s="102" t="n">
        <v>3897</v>
      </c>
      <c r="H1158" s="103" t="s">
        <v>48</v>
      </c>
      <c r="I1158" s="103">
        <f>IFERROR(VLOOKUP(A1158,#REF!,15,0),0)+IFERROR(VLOOKUP(A1158,#REF!,25,0),0)+IFERROR(VLOOKUP(A1158,#REF!,10,0),0)+IFERROR(VLOOKUP(A1158,#REF!,14,0),0)+IFERROR(VLOOKUP(A1158,#REF!,11,0),0)+IFERROR(VLOOKUP(A1158,#REF!,10,0),0)+IFERROR(VLOOKUP(A1158,#REF!,10,0),0)+IFERROR(VLOOKUP(A1158,#REF!,9,0),0)+IFERROR(VLOOKUP(A1158,#REF!,9,0),0)+IFERROR(VLOOKUP(A1158,#REF!,9,0),0)+IFERROR(VLOOKUP(A1158,#REF!,9,0),0)</f>
        <v>0</v>
      </c>
      <c r="J1158" s="104">
        <f>IFERROR(VLOOKUP(A1158,#REF!,16,0),0)+IFERROR(VLOOKUP(A1158,#REF!,26,0),0)+IFERROR(VLOOKUP(A1158,#REF!,11,0),0)+IFERROR(VLOOKUP(A1158,#REF!,23,0),0)+IFERROR(VLOOKUP(A1158,#REF!,11,0),0)+IFERROR(VLOOKUP(A1158,#REF!,11,0),0)+IFERROR(VLOOKUP(A1158,#REF!,11,0),0)</f>
        <v>0</v>
      </c>
      <c r="K1158" s="96" t="str">
        <f>"07.02.24"</f>
        <v>07.02.24</v>
      </c>
    </row>
    <row r="1159" spans="1:11" ht="11.25" customHeight="1" outlineLevel="1">
      <c r="A1159" s="89" t="n">
        <v>8079210</v>
      </c>
      <c r="B1159" s="114" t="s">
        <v>1201</v>
      </c>
      <c r="C1159" s="89" t="s">
        <v>1822</v>
      </c>
      <c r="D1159" s="89" t="s">
        <v>15</v>
      </c>
      <c r="E1159" s="89" t="s">
        <v>1823</v>
      </c>
      <c r="F1159" s="102" t="n">
        <v>3790</v>
      </c>
      <c r="G1159" s="102" t="n">
        <v>4846</v>
      </c>
      <c r="H1159" s="103" t="s">
        <v>48</v>
      </c>
      <c r="I1159" s="103">
        <f>IFERROR(VLOOKUP(A1159,#REF!,15,0),0)+IFERROR(VLOOKUP(A1159,#REF!,25,0),0)+IFERROR(VLOOKUP(A1159,#REF!,10,0),0)+IFERROR(VLOOKUP(A1159,#REF!,14,0),0)+IFERROR(VLOOKUP(A1159,#REF!,11,0),0)+IFERROR(VLOOKUP(A1159,#REF!,10,0),0)+IFERROR(VLOOKUP(A1159,#REF!,10,0),0)+IFERROR(VLOOKUP(A1159,#REF!,9,0),0)+IFERROR(VLOOKUP(A1159,#REF!,9,0),0)+IFERROR(VLOOKUP(A1159,#REF!,9,0),0)+IFERROR(VLOOKUP(A1159,#REF!,9,0),0)</f>
        <v>0</v>
      </c>
      <c r="J1159" s="104">
        <f>IFERROR(VLOOKUP(A1159,#REF!,16,0),0)+IFERROR(VLOOKUP(A1159,#REF!,26,0),0)+IFERROR(VLOOKUP(A1159,#REF!,11,0),0)+IFERROR(VLOOKUP(A1159,#REF!,23,0),0)+IFERROR(VLOOKUP(A1159,#REF!,11,0),0)+IFERROR(VLOOKUP(A1159,#REF!,11,0),0)+IFERROR(VLOOKUP(A1159,#REF!,11,0),0)</f>
        <v>0</v>
      </c>
      <c r="K1159" s="96" t="str">
        <f>"07.02.24"</f>
        <v>07.02.24</v>
      </c>
    </row>
    <row r="1160" spans="1:11" ht="11.25" customHeight="1" outlineLevel="1">
      <c r="A1160" s="89" t="n">
        <v>8079220</v>
      </c>
      <c r="B1160" s="114" t="s">
        <v>1201</v>
      </c>
      <c r="C1160" s="89" t="s">
        <v>1824</v>
      </c>
      <c r="D1160" s="89" t="s">
        <v>15</v>
      </c>
      <c r="E1160" s="89" t="s">
        <v>1825</v>
      </c>
      <c r="F1160" s="102" t="n">
        <v>5039</v>
      </c>
      <c r="G1160" s="102" t="n">
        <v>6451</v>
      </c>
      <c r="H1160" s="103" t="s">
        <v>48</v>
      </c>
      <c r="I1160" s="103">
        <f>IFERROR(VLOOKUP(A1160,#REF!,15,0),0)+IFERROR(VLOOKUP(A1160,#REF!,25,0),0)+IFERROR(VLOOKUP(A1160,#REF!,10,0),0)+IFERROR(VLOOKUP(A1160,#REF!,14,0),0)+IFERROR(VLOOKUP(A1160,#REF!,11,0),0)+IFERROR(VLOOKUP(A1160,#REF!,10,0),0)+IFERROR(VLOOKUP(A1160,#REF!,10,0),0)+IFERROR(VLOOKUP(A1160,#REF!,9,0),0)+IFERROR(VLOOKUP(A1160,#REF!,9,0),0)+IFERROR(VLOOKUP(A1160,#REF!,9,0),0)+IFERROR(VLOOKUP(A1160,#REF!,9,0),0)</f>
        <v>0</v>
      </c>
      <c r="J1160" s="104">
        <f>IFERROR(VLOOKUP(A1160,#REF!,16,0),0)+IFERROR(VLOOKUP(A1160,#REF!,26,0),0)+IFERROR(VLOOKUP(A1160,#REF!,11,0),0)+IFERROR(VLOOKUP(A1160,#REF!,23,0),0)+IFERROR(VLOOKUP(A1160,#REF!,11,0),0)+IFERROR(VLOOKUP(A1160,#REF!,11,0),0)+IFERROR(VLOOKUP(A1160,#REF!,11,0),0)</f>
        <v>0</v>
      </c>
      <c r="K1160" s="96" t="str">
        <f>"07.02.24"</f>
        <v>07.02.24</v>
      </c>
    </row>
    <row r="1161" spans="1:11" ht="11.25" customHeight="1" outlineLevel="1">
      <c r="A1161" s="89" t="n">
        <v>8079230</v>
      </c>
      <c r="B1161" s="114" t="s">
        <v>1201</v>
      </c>
      <c r="C1161" s="89" t="s">
        <v>1826</v>
      </c>
      <c r="D1161" s="89" t="s">
        <v>15</v>
      </c>
      <c r="E1161" s="89" t="s">
        <v>1827</v>
      </c>
      <c r="F1161" s="102" t="n">
        <v>6361</v>
      </c>
      <c r="G1161" s="102" t="n">
        <v>8142</v>
      </c>
      <c r="H1161" s="103" t="s">
        <v>48</v>
      </c>
      <c r="I1161" s="103">
        <f>IFERROR(VLOOKUP(A1161,#REF!,15,0),0)+IFERROR(VLOOKUP(A1161,#REF!,25,0),0)+IFERROR(VLOOKUP(A1161,#REF!,10,0),0)+IFERROR(VLOOKUP(A1161,#REF!,14,0),0)+IFERROR(VLOOKUP(A1161,#REF!,11,0),0)+IFERROR(VLOOKUP(A1161,#REF!,10,0),0)+IFERROR(VLOOKUP(A1161,#REF!,10,0),0)+IFERROR(VLOOKUP(A1161,#REF!,9,0),0)+IFERROR(VLOOKUP(A1161,#REF!,9,0),0)+IFERROR(VLOOKUP(A1161,#REF!,9,0),0)+IFERROR(VLOOKUP(A1161,#REF!,9,0),0)</f>
        <v>0</v>
      </c>
      <c r="J1161" s="104">
        <f>IFERROR(VLOOKUP(A1161,#REF!,16,0),0)+IFERROR(VLOOKUP(A1161,#REF!,26,0),0)+IFERROR(VLOOKUP(A1161,#REF!,11,0),0)+IFERROR(VLOOKUP(A1161,#REF!,23,0),0)+IFERROR(VLOOKUP(A1161,#REF!,11,0),0)+IFERROR(VLOOKUP(A1161,#REF!,11,0),0)+IFERROR(VLOOKUP(A1161,#REF!,11,0),0)</f>
        <v>0</v>
      </c>
      <c r="K1161" s="96" t="str">
        <f>"07.02.24"</f>
        <v>07.02.24</v>
      </c>
    </row>
    <row r="1162" spans="1:11" ht="11.25" customHeight="1" outlineLevel="1">
      <c r="A1162" s="89" t="n">
        <v>8079240</v>
      </c>
      <c r="B1162" s="114" t="s">
        <v>1201</v>
      </c>
      <c r="C1162" s="89" t="s">
        <v>1828</v>
      </c>
      <c r="D1162" s="89" t="s">
        <v>15</v>
      </c>
      <c r="E1162" s="89" t="s">
        <v>1829</v>
      </c>
      <c r="F1162" s="102" t="n">
        <v>1666</v>
      </c>
      <c r="G1162" s="102" t="n">
        <v>2134</v>
      </c>
      <c r="H1162" s="103" t="s">
        <v>48</v>
      </c>
      <c r="I1162" s="103">
        <f>IFERROR(VLOOKUP(A1162,#REF!,15,0),0)+IFERROR(VLOOKUP(A1162,#REF!,25,0),0)+IFERROR(VLOOKUP(A1162,#REF!,10,0),0)+IFERROR(VLOOKUP(A1162,#REF!,14,0),0)+IFERROR(VLOOKUP(A1162,#REF!,11,0),0)+IFERROR(VLOOKUP(A1162,#REF!,10,0),0)+IFERROR(VLOOKUP(A1162,#REF!,10,0),0)+IFERROR(VLOOKUP(A1162,#REF!,9,0),0)+IFERROR(VLOOKUP(A1162,#REF!,9,0),0)+IFERROR(VLOOKUP(A1162,#REF!,9,0),0)+IFERROR(VLOOKUP(A1162,#REF!,9,0),0)</f>
        <v>0</v>
      </c>
      <c r="J1162" s="104">
        <f>IFERROR(VLOOKUP(A1162,#REF!,16,0),0)+IFERROR(VLOOKUP(A1162,#REF!,26,0),0)+IFERROR(VLOOKUP(A1162,#REF!,11,0),0)+IFERROR(VLOOKUP(A1162,#REF!,23,0),0)+IFERROR(VLOOKUP(A1162,#REF!,11,0),0)+IFERROR(VLOOKUP(A1162,#REF!,11,0),0)+IFERROR(VLOOKUP(A1162,#REF!,11,0),0)</f>
        <v>0</v>
      </c>
      <c r="K1162" s="96" t="str">
        <f>"07.02.24"</f>
        <v>07.02.24</v>
      </c>
    </row>
    <row r="1163" spans="1:11" ht="11.25" customHeight="1" outlineLevel="1">
      <c r="A1163" s="89" t="n">
        <v>8079250</v>
      </c>
      <c r="B1163" s="114" t="s">
        <v>1201</v>
      </c>
      <c r="C1163" s="89" t="s">
        <v>1830</v>
      </c>
      <c r="D1163" s="89" t="s">
        <v>15</v>
      </c>
      <c r="E1163" s="89" t="s">
        <v>1831</v>
      </c>
      <c r="F1163" s="102" t="n">
        <v>2222</v>
      </c>
      <c r="G1163" s="102" t="n">
        <v>2847</v>
      </c>
      <c r="H1163" s="103" t="s">
        <v>48</v>
      </c>
      <c r="I1163" s="103">
        <f>IFERROR(VLOOKUP(A1163,#REF!,15,0),0)+IFERROR(VLOOKUP(A1163,#REF!,25,0),0)+IFERROR(VLOOKUP(A1163,#REF!,10,0),0)+IFERROR(VLOOKUP(A1163,#REF!,14,0),0)+IFERROR(VLOOKUP(A1163,#REF!,11,0),0)+IFERROR(VLOOKUP(A1163,#REF!,10,0),0)+IFERROR(VLOOKUP(A1163,#REF!,10,0),0)+IFERROR(VLOOKUP(A1163,#REF!,9,0),0)+IFERROR(VLOOKUP(A1163,#REF!,9,0),0)+IFERROR(VLOOKUP(A1163,#REF!,9,0),0)+IFERROR(VLOOKUP(A1163,#REF!,9,0),0)</f>
        <v>0</v>
      </c>
      <c r="J1163" s="104">
        <f>IFERROR(VLOOKUP(A1163,#REF!,16,0),0)+IFERROR(VLOOKUP(A1163,#REF!,26,0),0)+IFERROR(VLOOKUP(A1163,#REF!,11,0),0)+IFERROR(VLOOKUP(A1163,#REF!,23,0),0)+IFERROR(VLOOKUP(A1163,#REF!,11,0),0)+IFERROR(VLOOKUP(A1163,#REF!,11,0),0)+IFERROR(VLOOKUP(A1163,#REF!,11,0),0)</f>
        <v>0</v>
      </c>
      <c r="K1163" s="96" t="str">
        <f>"07.02.24"</f>
        <v>07.02.24</v>
      </c>
    </row>
    <row r="1164" spans="1:11" ht="11.25" customHeight="1" outlineLevel="1">
      <c r="A1164" s="89" t="n">
        <v>8079420</v>
      </c>
      <c r="B1164" s="114" t="s">
        <v>1201</v>
      </c>
      <c r="C1164" s="89" t="s">
        <v>1832</v>
      </c>
      <c r="D1164" s="89" t="s">
        <v>15</v>
      </c>
      <c r="E1164" s="89" t="s">
        <v>1833</v>
      </c>
      <c r="F1164" s="102" t="n">
        <v>1640</v>
      </c>
      <c r="G1164" s="102" t="n">
        <v>2098</v>
      </c>
      <c r="H1164" s="103" t="s">
        <v>48</v>
      </c>
      <c r="I1164" s="103">
        <f>IFERROR(VLOOKUP(A1164,#REF!,15,0),0)+IFERROR(VLOOKUP(A1164,#REF!,25,0),0)+IFERROR(VLOOKUP(A1164,#REF!,10,0),0)+IFERROR(VLOOKUP(A1164,#REF!,14,0),0)+IFERROR(VLOOKUP(A1164,#REF!,11,0),0)+IFERROR(VLOOKUP(A1164,#REF!,10,0),0)+IFERROR(VLOOKUP(A1164,#REF!,10,0),0)+IFERROR(VLOOKUP(A1164,#REF!,9,0),0)+IFERROR(VLOOKUP(A1164,#REF!,9,0),0)+IFERROR(VLOOKUP(A1164,#REF!,9,0),0)+IFERROR(VLOOKUP(A1164,#REF!,9,0),0)</f>
        <v>0</v>
      </c>
      <c r="J1164" s="104">
        <f>IFERROR(VLOOKUP(A1164,#REF!,16,0),0)+IFERROR(VLOOKUP(A1164,#REF!,26,0),0)+IFERROR(VLOOKUP(A1164,#REF!,11,0),0)+IFERROR(VLOOKUP(A1164,#REF!,23,0),0)+IFERROR(VLOOKUP(A1164,#REF!,11,0),0)+IFERROR(VLOOKUP(A1164,#REF!,11,0),0)+IFERROR(VLOOKUP(A1164,#REF!,11,0),0)</f>
        <v>0</v>
      </c>
      <c r="K1164" s="96" t="str">
        <f>"07.02.24"</f>
        <v>07.02.24</v>
      </c>
    </row>
    <row r="1165" spans="1:11" ht="11.25" customHeight="1" outlineLevel="1">
      <c r="A1165" s="89" t="n">
        <v>8079430</v>
      </c>
      <c r="B1165" s="114" t="s">
        <v>1201</v>
      </c>
      <c r="C1165" s="89" t="s">
        <v>1834</v>
      </c>
      <c r="D1165" s="89" t="s">
        <v>15</v>
      </c>
      <c r="E1165" s="89" t="s">
        <v>1835</v>
      </c>
      <c r="F1165" s="102" t="n">
        <v>3023</v>
      </c>
      <c r="G1165" s="102" t="n">
        <v>3873</v>
      </c>
      <c r="H1165" s="103" t="s">
        <v>48</v>
      </c>
      <c r="I1165" s="103">
        <f>IFERROR(VLOOKUP(A1165,#REF!,15,0),0)+IFERROR(VLOOKUP(A1165,#REF!,25,0),0)+IFERROR(VLOOKUP(A1165,#REF!,10,0),0)+IFERROR(VLOOKUP(A1165,#REF!,14,0),0)+IFERROR(VLOOKUP(A1165,#REF!,11,0),0)+IFERROR(VLOOKUP(A1165,#REF!,10,0),0)+IFERROR(VLOOKUP(A1165,#REF!,10,0),0)+IFERROR(VLOOKUP(A1165,#REF!,9,0),0)+IFERROR(VLOOKUP(A1165,#REF!,9,0),0)+IFERROR(VLOOKUP(A1165,#REF!,9,0),0)+IFERROR(VLOOKUP(A1165,#REF!,9,0),0)</f>
        <v>0</v>
      </c>
      <c r="J1165" s="104">
        <f>IFERROR(VLOOKUP(A1165,#REF!,16,0),0)+IFERROR(VLOOKUP(A1165,#REF!,26,0),0)+IFERROR(VLOOKUP(A1165,#REF!,11,0),0)+IFERROR(VLOOKUP(A1165,#REF!,23,0),0)+IFERROR(VLOOKUP(A1165,#REF!,11,0),0)+IFERROR(VLOOKUP(A1165,#REF!,11,0),0)+IFERROR(VLOOKUP(A1165,#REF!,11,0),0)</f>
        <v>0</v>
      </c>
      <c r="K1165" s="96" t="str">
        <f>"07.02.24"</f>
        <v>07.02.24</v>
      </c>
    </row>
    <row r="1166" spans="1:11" ht="11.25" customHeight="1" outlineLevel="1">
      <c r="A1166" s="89" t="n">
        <v>8079440</v>
      </c>
      <c r="B1166" s="114" t="s">
        <v>1201</v>
      </c>
      <c r="C1166" s="89" t="s">
        <v>1836</v>
      </c>
      <c r="D1166" s="89" t="s">
        <v>15</v>
      </c>
      <c r="E1166" s="89" t="s">
        <v>1837</v>
      </c>
      <c r="F1166" s="102" t="n">
        <v>4296</v>
      </c>
      <c r="G1166" s="102" t="n">
        <v>5498</v>
      </c>
      <c r="H1166" s="103" t="s">
        <v>48</v>
      </c>
      <c r="I1166" s="103">
        <f>IFERROR(VLOOKUP(A1166,#REF!,15,0),0)+IFERROR(VLOOKUP(A1166,#REF!,25,0),0)+IFERROR(VLOOKUP(A1166,#REF!,10,0),0)+IFERROR(VLOOKUP(A1166,#REF!,14,0),0)+IFERROR(VLOOKUP(A1166,#REF!,11,0),0)+IFERROR(VLOOKUP(A1166,#REF!,10,0),0)+IFERROR(VLOOKUP(A1166,#REF!,10,0),0)+IFERROR(VLOOKUP(A1166,#REF!,9,0),0)+IFERROR(VLOOKUP(A1166,#REF!,9,0),0)+IFERROR(VLOOKUP(A1166,#REF!,9,0),0)+IFERROR(VLOOKUP(A1166,#REF!,9,0),0)</f>
        <v>0</v>
      </c>
      <c r="J1166" s="104">
        <f>IFERROR(VLOOKUP(A1166,#REF!,16,0),0)+IFERROR(VLOOKUP(A1166,#REF!,26,0),0)+IFERROR(VLOOKUP(A1166,#REF!,11,0),0)+IFERROR(VLOOKUP(A1166,#REF!,23,0),0)+IFERROR(VLOOKUP(A1166,#REF!,11,0),0)+IFERROR(VLOOKUP(A1166,#REF!,11,0),0)+IFERROR(VLOOKUP(A1166,#REF!,11,0),0)</f>
        <v>0</v>
      </c>
      <c r="K1166" s="96" t="str">
        <f>"07.02.24"</f>
        <v>07.02.24</v>
      </c>
    </row>
    <row r="1167" spans="1:11" ht="11.25" customHeight="1" outlineLevel="1">
      <c r="A1167" s="89" t="n">
        <v>8079450</v>
      </c>
      <c r="B1167" s="114" t="s">
        <v>1201</v>
      </c>
      <c r="C1167" s="89" t="s">
        <v>1838</v>
      </c>
      <c r="D1167" s="89" t="s">
        <v>15</v>
      </c>
      <c r="E1167" s="89" t="s">
        <v>1839</v>
      </c>
      <c r="F1167" s="102" t="n">
        <v>4669</v>
      </c>
      <c r="G1167" s="102" t="n">
        <v>5976</v>
      </c>
      <c r="H1167" s="103" t="s">
        <v>48</v>
      </c>
      <c r="I1167" s="103">
        <f>IFERROR(VLOOKUP(A1167,#REF!,15,0),0)+IFERROR(VLOOKUP(A1167,#REF!,25,0),0)+IFERROR(VLOOKUP(A1167,#REF!,10,0),0)+IFERROR(VLOOKUP(A1167,#REF!,14,0),0)+IFERROR(VLOOKUP(A1167,#REF!,11,0),0)+IFERROR(VLOOKUP(A1167,#REF!,10,0),0)+IFERROR(VLOOKUP(A1167,#REF!,10,0),0)+IFERROR(VLOOKUP(A1167,#REF!,9,0),0)+IFERROR(VLOOKUP(A1167,#REF!,9,0),0)+IFERROR(VLOOKUP(A1167,#REF!,9,0),0)+IFERROR(VLOOKUP(A1167,#REF!,9,0),0)</f>
        <v>0</v>
      </c>
      <c r="J1167" s="104">
        <f>IFERROR(VLOOKUP(A1167,#REF!,16,0),0)+IFERROR(VLOOKUP(A1167,#REF!,26,0),0)+IFERROR(VLOOKUP(A1167,#REF!,11,0),0)+IFERROR(VLOOKUP(A1167,#REF!,23,0),0)+IFERROR(VLOOKUP(A1167,#REF!,11,0),0)+IFERROR(VLOOKUP(A1167,#REF!,11,0),0)+IFERROR(VLOOKUP(A1167,#REF!,11,0),0)</f>
        <v>0</v>
      </c>
      <c r="K1167" s="96" t="str">
        <f>"07.02.24"</f>
        <v>07.02.24</v>
      </c>
    </row>
    <row r="1168" spans="1:11" ht="11.25" customHeight="1" outlineLevel="1">
      <c r="A1168" s="89" t="n">
        <v>8079460</v>
      </c>
      <c r="B1168" s="114" t="s">
        <v>1201</v>
      </c>
      <c r="C1168" s="89" t="s">
        <v>1840</v>
      </c>
      <c r="D1168" s="89" t="s">
        <v>15</v>
      </c>
      <c r="E1168" s="89" t="s">
        <v>1841</v>
      </c>
      <c r="F1168" s="102" t="n">
        <v>8340</v>
      </c>
      <c r="G1168" s="102" t="n">
        <v>10676</v>
      </c>
      <c r="H1168" s="103" t="s">
        <v>48</v>
      </c>
      <c r="I1168" s="103">
        <f>IFERROR(VLOOKUP(A1168,#REF!,15,0),0)+IFERROR(VLOOKUP(A1168,#REF!,25,0),0)+IFERROR(VLOOKUP(A1168,#REF!,10,0),0)+IFERROR(VLOOKUP(A1168,#REF!,14,0),0)+IFERROR(VLOOKUP(A1168,#REF!,11,0),0)+IFERROR(VLOOKUP(A1168,#REF!,10,0),0)+IFERROR(VLOOKUP(A1168,#REF!,10,0),0)+IFERROR(VLOOKUP(A1168,#REF!,9,0),0)+IFERROR(VLOOKUP(A1168,#REF!,9,0),0)+IFERROR(VLOOKUP(A1168,#REF!,9,0),0)+IFERROR(VLOOKUP(A1168,#REF!,9,0),0)</f>
        <v>0</v>
      </c>
      <c r="J1168" s="104">
        <f>IFERROR(VLOOKUP(A1168,#REF!,16,0),0)+IFERROR(VLOOKUP(A1168,#REF!,26,0),0)+IFERROR(VLOOKUP(A1168,#REF!,11,0),0)+IFERROR(VLOOKUP(A1168,#REF!,23,0),0)+IFERROR(VLOOKUP(A1168,#REF!,11,0),0)+IFERROR(VLOOKUP(A1168,#REF!,11,0),0)+IFERROR(VLOOKUP(A1168,#REF!,11,0),0)</f>
        <v>0</v>
      </c>
      <c r="K1168" s="96" t="str">
        <f>"07.02.24"</f>
        <v>07.02.24</v>
      </c>
    </row>
    <row r="1169" spans="1:11" ht="11.25" customHeight="1" outlineLevel="1">
      <c r="A1169" s="89" t="n">
        <v>8079470</v>
      </c>
      <c r="B1169" s="114" t="s">
        <v>1201</v>
      </c>
      <c r="C1169" s="89" t="s">
        <v>1842</v>
      </c>
      <c r="D1169" s="89" t="s">
        <v>15</v>
      </c>
      <c r="E1169" s="89" t="s">
        <v>1843</v>
      </c>
      <c r="F1169" s="102" t="n">
        <v>9395</v>
      </c>
      <c r="G1169" s="102" t="n">
        <v>12025</v>
      </c>
      <c r="H1169" s="103" t="s">
        <v>48</v>
      </c>
      <c r="I1169" s="103">
        <f>IFERROR(VLOOKUP(A1169,#REF!,15,0),0)+IFERROR(VLOOKUP(A1169,#REF!,25,0),0)+IFERROR(VLOOKUP(A1169,#REF!,10,0),0)+IFERROR(VLOOKUP(A1169,#REF!,14,0),0)+IFERROR(VLOOKUP(A1169,#REF!,11,0),0)+IFERROR(VLOOKUP(A1169,#REF!,10,0),0)+IFERROR(VLOOKUP(A1169,#REF!,10,0),0)+IFERROR(VLOOKUP(A1169,#REF!,9,0),0)+IFERROR(VLOOKUP(A1169,#REF!,9,0),0)+IFERROR(VLOOKUP(A1169,#REF!,9,0),0)+IFERROR(VLOOKUP(A1169,#REF!,9,0),0)</f>
        <v>0</v>
      </c>
      <c r="J1169" s="104">
        <f>IFERROR(VLOOKUP(A1169,#REF!,16,0),0)+IFERROR(VLOOKUP(A1169,#REF!,26,0),0)+IFERROR(VLOOKUP(A1169,#REF!,11,0),0)+IFERROR(VLOOKUP(A1169,#REF!,23,0),0)+IFERROR(VLOOKUP(A1169,#REF!,11,0),0)+IFERROR(VLOOKUP(A1169,#REF!,11,0),0)+IFERROR(VLOOKUP(A1169,#REF!,11,0),0)</f>
        <v>0</v>
      </c>
      <c r="K1169" s="96" t="str">
        <f>"07.02.24"</f>
        <v>07.02.24</v>
      </c>
    </row>
    <row r="1170" spans="1:11" ht="11.25" customHeight="1" outlineLevel="1">
      <c r="A1170" s="89" t="n">
        <v>8079480</v>
      </c>
      <c r="B1170" s="114" t="s">
        <v>1201</v>
      </c>
      <c r="C1170" s="89" t="s">
        <v>1844</v>
      </c>
      <c r="D1170" s="89" t="s">
        <v>15</v>
      </c>
      <c r="E1170" s="89" t="s">
        <v>1845</v>
      </c>
      <c r="F1170" s="102" t="n">
        <v>10452</v>
      </c>
      <c r="G1170" s="102" t="n">
        <v>13379</v>
      </c>
      <c r="H1170" s="103" t="s">
        <v>48</v>
      </c>
      <c r="I1170" s="103">
        <f>IFERROR(VLOOKUP(A1170,#REF!,15,0),0)+IFERROR(VLOOKUP(A1170,#REF!,25,0),0)+IFERROR(VLOOKUP(A1170,#REF!,10,0),0)+IFERROR(VLOOKUP(A1170,#REF!,14,0),0)+IFERROR(VLOOKUP(A1170,#REF!,11,0),0)+IFERROR(VLOOKUP(A1170,#REF!,10,0),0)+IFERROR(VLOOKUP(A1170,#REF!,10,0),0)+IFERROR(VLOOKUP(A1170,#REF!,9,0),0)+IFERROR(VLOOKUP(A1170,#REF!,9,0),0)+IFERROR(VLOOKUP(A1170,#REF!,9,0),0)+IFERROR(VLOOKUP(A1170,#REF!,9,0),0)</f>
        <v>0</v>
      </c>
      <c r="J1170" s="104">
        <f>IFERROR(VLOOKUP(A1170,#REF!,16,0),0)+IFERROR(VLOOKUP(A1170,#REF!,26,0),0)+IFERROR(VLOOKUP(A1170,#REF!,11,0),0)+IFERROR(VLOOKUP(A1170,#REF!,23,0),0)+IFERROR(VLOOKUP(A1170,#REF!,11,0),0)+IFERROR(VLOOKUP(A1170,#REF!,11,0),0)+IFERROR(VLOOKUP(A1170,#REF!,11,0),0)</f>
        <v>0</v>
      </c>
      <c r="K1170" s="96" t="str">
        <f>"07.02.24"</f>
        <v>07.02.24</v>
      </c>
    </row>
    <row r="1171" spans="1:11" ht="11.25" customHeight="1" outlineLevel="1">
      <c r="A1171" s="89" t="n">
        <v>8079490</v>
      </c>
      <c r="B1171" s="114" t="s">
        <v>1201</v>
      </c>
      <c r="C1171" s="89" t="s">
        <v>1846</v>
      </c>
      <c r="D1171" s="89" t="s">
        <v>15</v>
      </c>
      <c r="E1171" s="89" t="s">
        <v>1847</v>
      </c>
      <c r="F1171" s="102" t="n">
        <v>13181</v>
      </c>
      <c r="G1171" s="102" t="n">
        <v>16871</v>
      </c>
      <c r="H1171" s="103" t="s">
        <v>48</v>
      </c>
      <c r="I1171" s="103">
        <f>IFERROR(VLOOKUP(A1171,#REF!,15,0),0)+IFERROR(VLOOKUP(A1171,#REF!,25,0),0)+IFERROR(VLOOKUP(A1171,#REF!,10,0),0)+IFERROR(VLOOKUP(A1171,#REF!,14,0),0)+IFERROR(VLOOKUP(A1171,#REF!,11,0),0)+IFERROR(VLOOKUP(A1171,#REF!,10,0),0)+IFERROR(VLOOKUP(A1171,#REF!,10,0),0)+IFERROR(VLOOKUP(A1171,#REF!,9,0),0)+IFERROR(VLOOKUP(A1171,#REF!,9,0),0)+IFERROR(VLOOKUP(A1171,#REF!,9,0),0)+IFERROR(VLOOKUP(A1171,#REF!,9,0),0)</f>
        <v>0</v>
      </c>
      <c r="J1171" s="104">
        <f>IFERROR(VLOOKUP(A1171,#REF!,16,0),0)+IFERROR(VLOOKUP(A1171,#REF!,26,0),0)+IFERROR(VLOOKUP(A1171,#REF!,11,0),0)+IFERROR(VLOOKUP(A1171,#REF!,23,0),0)+IFERROR(VLOOKUP(A1171,#REF!,11,0),0)+IFERROR(VLOOKUP(A1171,#REF!,11,0),0)+IFERROR(VLOOKUP(A1171,#REF!,11,0),0)</f>
        <v>0</v>
      </c>
      <c r="K1171" s="96" t="str">
        <f>"07.02.24"</f>
        <v>07.02.24</v>
      </c>
    </row>
    <row r="1172" spans="1:11" ht="11.25" customHeight="1" outlineLevel="1">
      <c r="A1172" s="89" t="n">
        <v>8079500</v>
      </c>
      <c r="B1172" s="114" t="s">
        <v>1201</v>
      </c>
      <c r="C1172" s="89" t="s">
        <v>1848</v>
      </c>
      <c r="D1172" s="89" t="s">
        <v>15</v>
      </c>
      <c r="E1172" s="89" t="s">
        <v>1849</v>
      </c>
      <c r="F1172" s="102" t="n">
        <v>617</v>
      </c>
      <c r="G1172" s="102" t="n">
        <v>789</v>
      </c>
      <c r="H1172" s="103" t="s">
        <v>48</v>
      </c>
      <c r="I1172" s="103">
        <f>IFERROR(VLOOKUP(A1172,#REF!,15,0),0)+IFERROR(VLOOKUP(A1172,#REF!,25,0),0)+IFERROR(VLOOKUP(A1172,#REF!,10,0),0)+IFERROR(VLOOKUP(A1172,#REF!,14,0),0)+IFERROR(VLOOKUP(A1172,#REF!,11,0),0)+IFERROR(VLOOKUP(A1172,#REF!,10,0),0)+IFERROR(VLOOKUP(A1172,#REF!,10,0),0)+IFERROR(VLOOKUP(A1172,#REF!,9,0),0)+IFERROR(VLOOKUP(A1172,#REF!,9,0),0)+IFERROR(VLOOKUP(A1172,#REF!,9,0),0)+IFERROR(VLOOKUP(A1172,#REF!,9,0),0)</f>
        <v>0</v>
      </c>
      <c r="J1172" s="104">
        <f>IFERROR(VLOOKUP(A1172,#REF!,16,0),0)+IFERROR(VLOOKUP(A1172,#REF!,26,0),0)+IFERROR(VLOOKUP(A1172,#REF!,11,0),0)+IFERROR(VLOOKUP(A1172,#REF!,23,0),0)+IFERROR(VLOOKUP(A1172,#REF!,11,0),0)+IFERROR(VLOOKUP(A1172,#REF!,11,0),0)+IFERROR(VLOOKUP(A1172,#REF!,11,0),0)</f>
        <v>0</v>
      </c>
      <c r="K1172" s="96" t="str">
        <f>"07.02.24"</f>
        <v>07.02.24</v>
      </c>
    </row>
    <row r="1173" spans="1:11" ht="11.25" customHeight="1" outlineLevel="1">
      <c r="A1173" s="89" t="n">
        <v>8079510</v>
      </c>
      <c r="B1173" s="114" t="s">
        <v>1201</v>
      </c>
      <c r="C1173" s="89" t="s">
        <v>1850</v>
      </c>
      <c r="D1173" s="89" t="s">
        <v>15</v>
      </c>
      <c r="E1173" s="89" t="s">
        <v>1851</v>
      </c>
      <c r="F1173" s="102" t="n">
        <v>696</v>
      </c>
      <c r="G1173" s="102" t="n">
        <v>888</v>
      </c>
      <c r="H1173" s="103" t="s">
        <v>48</v>
      </c>
      <c r="I1173" s="103">
        <f>IFERROR(VLOOKUP(A1173,#REF!,15,0),0)+IFERROR(VLOOKUP(A1173,#REF!,25,0),0)+IFERROR(VLOOKUP(A1173,#REF!,10,0),0)+IFERROR(VLOOKUP(A1173,#REF!,14,0),0)+IFERROR(VLOOKUP(A1173,#REF!,11,0),0)+IFERROR(VLOOKUP(A1173,#REF!,10,0),0)+IFERROR(VLOOKUP(A1173,#REF!,10,0),0)+IFERROR(VLOOKUP(A1173,#REF!,9,0),0)+IFERROR(VLOOKUP(A1173,#REF!,9,0),0)+IFERROR(VLOOKUP(A1173,#REF!,9,0),0)+IFERROR(VLOOKUP(A1173,#REF!,9,0),0)</f>
        <v>0</v>
      </c>
      <c r="J1173" s="104">
        <f>IFERROR(VLOOKUP(A1173,#REF!,16,0),0)+IFERROR(VLOOKUP(A1173,#REF!,26,0),0)+IFERROR(VLOOKUP(A1173,#REF!,11,0),0)+IFERROR(VLOOKUP(A1173,#REF!,23,0),0)+IFERROR(VLOOKUP(A1173,#REF!,11,0),0)+IFERROR(VLOOKUP(A1173,#REF!,11,0),0)+IFERROR(VLOOKUP(A1173,#REF!,11,0),0)</f>
        <v>0</v>
      </c>
      <c r="K1173" s="96" t="str">
        <f>"07.02.24"</f>
        <v>07.02.24</v>
      </c>
    </row>
    <row r="1174" spans="1:11" ht="11.25" customHeight="1" outlineLevel="1">
      <c r="A1174" s="89" t="n">
        <v>8079520</v>
      </c>
      <c r="B1174" s="114" t="s">
        <v>1201</v>
      </c>
      <c r="C1174" s="89" t="s">
        <v>1852</v>
      </c>
      <c r="D1174" s="89" t="s">
        <v>15</v>
      </c>
      <c r="E1174" s="89" t="s">
        <v>1853</v>
      </c>
      <c r="F1174" s="102" t="n">
        <v>696</v>
      </c>
      <c r="G1174" s="102" t="n">
        <v>888</v>
      </c>
      <c r="H1174" s="103" t="s">
        <v>48</v>
      </c>
      <c r="I1174" s="103">
        <f>IFERROR(VLOOKUP(A1174,#REF!,15,0),0)+IFERROR(VLOOKUP(A1174,#REF!,25,0),0)+IFERROR(VLOOKUP(A1174,#REF!,10,0),0)+IFERROR(VLOOKUP(A1174,#REF!,14,0),0)+IFERROR(VLOOKUP(A1174,#REF!,11,0),0)+IFERROR(VLOOKUP(A1174,#REF!,10,0),0)+IFERROR(VLOOKUP(A1174,#REF!,10,0),0)+IFERROR(VLOOKUP(A1174,#REF!,9,0),0)+IFERROR(VLOOKUP(A1174,#REF!,9,0),0)+IFERROR(VLOOKUP(A1174,#REF!,9,0),0)+IFERROR(VLOOKUP(A1174,#REF!,9,0),0)</f>
        <v>0</v>
      </c>
      <c r="J1174" s="104">
        <f>IFERROR(VLOOKUP(A1174,#REF!,16,0),0)+IFERROR(VLOOKUP(A1174,#REF!,26,0),0)+IFERROR(VLOOKUP(A1174,#REF!,11,0),0)+IFERROR(VLOOKUP(A1174,#REF!,23,0),0)+IFERROR(VLOOKUP(A1174,#REF!,11,0),0)+IFERROR(VLOOKUP(A1174,#REF!,11,0),0)+IFERROR(VLOOKUP(A1174,#REF!,11,0),0)</f>
        <v>0</v>
      </c>
      <c r="K1174" s="96" t="str">
        <f>"07.02.24"</f>
        <v>07.02.24</v>
      </c>
    </row>
    <row r="1175" spans="1:11" ht="11.25" customHeight="1" outlineLevel="1">
      <c r="A1175" s="89" t="n">
        <v>8079530</v>
      </c>
      <c r="B1175" s="114" t="s">
        <v>1201</v>
      </c>
      <c r="C1175" s="89" t="s">
        <v>1854</v>
      </c>
      <c r="D1175" s="89" t="s">
        <v>15</v>
      </c>
      <c r="E1175" s="89" t="s">
        <v>1855</v>
      </c>
      <c r="F1175" s="102" t="n">
        <v>943</v>
      </c>
      <c r="G1175" s="102" t="n">
        <v>1211</v>
      </c>
      <c r="H1175" s="103" t="s">
        <v>48</v>
      </c>
      <c r="I1175" s="103">
        <f>IFERROR(VLOOKUP(A1175,#REF!,15,0),0)+IFERROR(VLOOKUP(A1175,#REF!,25,0),0)+IFERROR(VLOOKUP(A1175,#REF!,10,0),0)+IFERROR(VLOOKUP(A1175,#REF!,14,0),0)+IFERROR(VLOOKUP(A1175,#REF!,11,0),0)+IFERROR(VLOOKUP(A1175,#REF!,10,0),0)+IFERROR(VLOOKUP(A1175,#REF!,10,0),0)+IFERROR(VLOOKUP(A1175,#REF!,9,0),0)+IFERROR(VLOOKUP(A1175,#REF!,9,0),0)+IFERROR(VLOOKUP(A1175,#REF!,9,0),0)+IFERROR(VLOOKUP(A1175,#REF!,9,0),0)</f>
        <v>0</v>
      </c>
      <c r="J1175" s="104">
        <f>IFERROR(VLOOKUP(A1175,#REF!,16,0),0)+IFERROR(VLOOKUP(A1175,#REF!,26,0),0)+IFERROR(VLOOKUP(A1175,#REF!,11,0),0)+IFERROR(VLOOKUP(A1175,#REF!,23,0),0)+IFERROR(VLOOKUP(A1175,#REF!,11,0),0)+IFERROR(VLOOKUP(A1175,#REF!,11,0),0)+IFERROR(VLOOKUP(A1175,#REF!,11,0),0)</f>
        <v>0</v>
      </c>
      <c r="K1175" s="96" t="str">
        <f>"07.02.24"</f>
        <v>07.02.24</v>
      </c>
    </row>
    <row r="1176" spans="1:11" ht="11.25" customHeight="1" outlineLevel="1">
      <c r="A1176" s="89" t="n">
        <v>8079540</v>
      </c>
      <c r="B1176" s="114" t="s">
        <v>1201</v>
      </c>
      <c r="C1176" s="89" t="s">
        <v>1856</v>
      </c>
      <c r="D1176" s="89" t="s">
        <v>15</v>
      </c>
      <c r="E1176" s="89" t="s">
        <v>1857</v>
      </c>
      <c r="F1176" s="102" t="n">
        <v>696</v>
      </c>
      <c r="G1176" s="102" t="n">
        <v>922</v>
      </c>
      <c r="H1176" s="103" t="s">
        <v>17</v>
      </c>
      <c r="I1176" s="103">
        <f>IFERROR(VLOOKUP(A1176,#REF!,15,0),0)+IFERROR(VLOOKUP(A1176,#REF!,25,0),0)+IFERROR(VLOOKUP(A1176,#REF!,10,0),0)+IFERROR(VLOOKUP(A1176,#REF!,14,0),0)+IFERROR(VLOOKUP(A1176,#REF!,11,0),0)+IFERROR(VLOOKUP(A1176,#REF!,10,0),0)+IFERROR(VLOOKUP(A1176,#REF!,10,0),0)+IFERROR(VLOOKUP(A1176,#REF!,9,0),0)+IFERROR(VLOOKUP(A1176,#REF!,9,0),0)+IFERROR(VLOOKUP(A1176,#REF!,9,0),0)+IFERROR(VLOOKUP(A1176,#REF!,9,0),0)</f>
        <v>0</v>
      </c>
      <c r="J1176" s="104">
        <f>IFERROR(VLOOKUP(A1176,#REF!,16,0),0)+IFERROR(VLOOKUP(A1176,#REF!,26,0),0)+IFERROR(VLOOKUP(A1176,#REF!,11,0),0)+IFERROR(VLOOKUP(A1176,#REF!,23,0),0)+IFERROR(VLOOKUP(A1176,#REF!,11,0),0)+IFERROR(VLOOKUP(A1176,#REF!,11,0),0)+IFERROR(VLOOKUP(A1176,#REF!,11,0),0)</f>
        <v>0</v>
      </c>
      <c r="K1176" s="96" t="str">
        <f>"07.02.24"</f>
        <v>07.02.24</v>
      </c>
    </row>
    <row r="1177" spans="1:11" ht="11.25" customHeight="1" outlineLevel="1">
      <c r="A1177" s="89" t="n">
        <v>8079550</v>
      </c>
      <c r="B1177" s="114" t="s">
        <v>1201</v>
      </c>
      <c r="C1177" s="89" t="s">
        <v>1858</v>
      </c>
      <c r="D1177" s="89" t="s">
        <v>15</v>
      </c>
      <c r="E1177" s="89" t="s">
        <v>1859</v>
      </c>
      <c r="F1177" s="102" t="n">
        <v>1041</v>
      </c>
      <c r="G1177" s="102" t="n">
        <v>1332</v>
      </c>
      <c r="H1177" s="103" t="s">
        <v>17</v>
      </c>
      <c r="I1177" s="103">
        <f>IFERROR(VLOOKUP(A1177,#REF!,15,0),0)+IFERROR(VLOOKUP(A1177,#REF!,25,0),0)+IFERROR(VLOOKUP(A1177,#REF!,10,0),0)+IFERROR(VLOOKUP(A1177,#REF!,14,0),0)+IFERROR(VLOOKUP(A1177,#REF!,11,0),0)+IFERROR(VLOOKUP(A1177,#REF!,10,0),0)+IFERROR(VLOOKUP(A1177,#REF!,10,0),0)+IFERROR(VLOOKUP(A1177,#REF!,9,0),0)+IFERROR(VLOOKUP(A1177,#REF!,9,0),0)+IFERROR(VLOOKUP(A1177,#REF!,9,0),0)+IFERROR(VLOOKUP(A1177,#REF!,9,0),0)</f>
        <v>0</v>
      </c>
      <c r="J1177" s="104">
        <f>IFERROR(VLOOKUP(A1177,#REF!,16,0),0)+IFERROR(VLOOKUP(A1177,#REF!,26,0),0)+IFERROR(VLOOKUP(A1177,#REF!,11,0),0)+IFERROR(VLOOKUP(A1177,#REF!,23,0),0)+IFERROR(VLOOKUP(A1177,#REF!,11,0),0)+IFERROR(VLOOKUP(A1177,#REF!,11,0),0)+IFERROR(VLOOKUP(A1177,#REF!,11,0),0)</f>
        <v>0</v>
      </c>
      <c r="K1177" s="96" t="str">
        <f>"07.02.24"</f>
        <v>07.02.24</v>
      </c>
    </row>
    <row r="1178" spans="1:11" ht="11.25" customHeight="1" outlineLevel="1">
      <c r="A1178" s="89" t="n">
        <v>8079560</v>
      </c>
      <c r="B1178" s="114" t="s">
        <v>1201</v>
      </c>
      <c r="C1178" s="89" t="s">
        <v>1860</v>
      </c>
      <c r="D1178" s="89" t="s">
        <v>15</v>
      </c>
      <c r="E1178" s="89" t="s">
        <v>1861</v>
      </c>
      <c r="F1178" s="102" t="n">
        <v>1372</v>
      </c>
      <c r="G1178" s="102" t="n">
        <v>1754</v>
      </c>
      <c r="H1178" s="103" t="s">
        <v>48</v>
      </c>
      <c r="I1178" s="103">
        <f>IFERROR(VLOOKUP(A1178,#REF!,15,0),0)+IFERROR(VLOOKUP(A1178,#REF!,25,0),0)+IFERROR(VLOOKUP(A1178,#REF!,10,0),0)+IFERROR(VLOOKUP(A1178,#REF!,14,0),0)+IFERROR(VLOOKUP(A1178,#REF!,11,0),0)+IFERROR(VLOOKUP(A1178,#REF!,10,0),0)+IFERROR(VLOOKUP(A1178,#REF!,10,0),0)+IFERROR(VLOOKUP(A1178,#REF!,9,0),0)+IFERROR(VLOOKUP(A1178,#REF!,9,0),0)+IFERROR(VLOOKUP(A1178,#REF!,9,0),0)+IFERROR(VLOOKUP(A1178,#REF!,9,0),0)</f>
        <v>0</v>
      </c>
      <c r="J1178" s="104">
        <f>IFERROR(VLOOKUP(A1178,#REF!,16,0),0)+IFERROR(VLOOKUP(A1178,#REF!,26,0),0)+IFERROR(VLOOKUP(A1178,#REF!,11,0),0)+IFERROR(VLOOKUP(A1178,#REF!,23,0),0)+IFERROR(VLOOKUP(A1178,#REF!,11,0),0)+IFERROR(VLOOKUP(A1178,#REF!,11,0),0)+IFERROR(VLOOKUP(A1178,#REF!,11,0),0)</f>
        <v>0</v>
      </c>
      <c r="K1178" s="96" t="str">
        <f>"07.02.24"</f>
        <v>07.02.24</v>
      </c>
    </row>
    <row r="1179" spans="1:11" ht="11.25" customHeight="1" outlineLevel="1">
      <c r="A1179" s="89" t="n">
        <v>8079570</v>
      </c>
      <c r="B1179" s="114" t="s">
        <v>1201</v>
      </c>
      <c r="C1179" s="89" t="s">
        <v>1862</v>
      </c>
      <c r="D1179" s="89" t="s">
        <v>15</v>
      </c>
      <c r="E1179" s="89" t="s">
        <v>1863</v>
      </c>
      <c r="F1179" s="102" t="n">
        <v>1776</v>
      </c>
      <c r="G1179" s="102" t="n">
        <v>2360</v>
      </c>
      <c r="H1179" s="103" t="s">
        <v>48</v>
      </c>
      <c r="I1179" s="103">
        <f>IFERROR(VLOOKUP(A1179,#REF!,15,0),0)+IFERROR(VLOOKUP(A1179,#REF!,25,0),0)+IFERROR(VLOOKUP(A1179,#REF!,10,0),0)+IFERROR(VLOOKUP(A1179,#REF!,14,0),0)+IFERROR(VLOOKUP(A1179,#REF!,11,0),0)+IFERROR(VLOOKUP(A1179,#REF!,10,0),0)+IFERROR(VLOOKUP(A1179,#REF!,10,0),0)+IFERROR(VLOOKUP(A1179,#REF!,9,0),0)+IFERROR(VLOOKUP(A1179,#REF!,9,0),0)+IFERROR(VLOOKUP(A1179,#REF!,9,0),0)+IFERROR(VLOOKUP(A1179,#REF!,9,0),0)</f>
        <v>0</v>
      </c>
      <c r="J1179" s="104">
        <f>IFERROR(VLOOKUP(A1179,#REF!,16,0),0)+IFERROR(VLOOKUP(A1179,#REF!,26,0),0)+IFERROR(VLOOKUP(A1179,#REF!,11,0),0)+IFERROR(VLOOKUP(A1179,#REF!,23,0),0)+IFERROR(VLOOKUP(A1179,#REF!,11,0),0)+IFERROR(VLOOKUP(A1179,#REF!,11,0),0)+IFERROR(VLOOKUP(A1179,#REF!,11,0),0)</f>
        <v>0</v>
      </c>
      <c r="K1179" s="96" t="str">
        <f>"07.02.24"</f>
        <v>07.02.24</v>
      </c>
    </row>
    <row r="1180" spans="1:11" ht="11.25" customHeight="1" outlineLevel="1">
      <c r="A1180" s="89" t="n">
        <v>8079580</v>
      </c>
      <c r="B1180" s="114" t="s">
        <v>1201</v>
      </c>
      <c r="C1180" s="89" t="s">
        <v>1864</v>
      </c>
      <c r="D1180" s="89" t="s">
        <v>15</v>
      </c>
      <c r="E1180" s="89" t="s">
        <v>1865</v>
      </c>
      <c r="F1180" s="102" t="n">
        <v>1473</v>
      </c>
      <c r="G1180" s="102" t="n">
        <v>1885</v>
      </c>
      <c r="H1180" s="103" t="s">
        <v>48</v>
      </c>
      <c r="I1180" s="103">
        <f>IFERROR(VLOOKUP(A1180,#REF!,15,0),0)+IFERROR(VLOOKUP(A1180,#REF!,25,0),0)+IFERROR(VLOOKUP(A1180,#REF!,10,0),0)+IFERROR(VLOOKUP(A1180,#REF!,14,0),0)+IFERROR(VLOOKUP(A1180,#REF!,11,0),0)+IFERROR(VLOOKUP(A1180,#REF!,10,0),0)+IFERROR(VLOOKUP(A1180,#REF!,10,0),0)+IFERROR(VLOOKUP(A1180,#REF!,9,0),0)+IFERROR(VLOOKUP(A1180,#REF!,9,0),0)+IFERROR(VLOOKUP(A1180,#REF!,9,0),0)+IFERROR(VLOOKUP(A1180,#REF!,9,0),0)</f>
        <v>0</v>
      </c>
      <c r="J1180" s="104">
        <f>IFERROR(VLOOKUP(A1180,#REF!,16,0),0)+IFERROR(VLOOKUP(A1180,#REF!,26,0),0)+IFERROR(VLOOKUP(A1180,#REF!,11,0),0)+IFERROR(VLOOKUP(A1180,#REF!,23,0),0)+IFERROR(VLOOKUP(A1180,#REF!,11,0),0)+IFERROR(VLOOKUP(A1180,#REF!,11,0),0)+IFERROR(VLOOKUP(A1180,#REF!,11,0),0)</f>
        <v>0</v>
      </c>
      <c r="K1180" s="96" t="str">
        <f>"07.02.24"</f>
        <v>07.02.24</v>
      </c>
    </row>
    <row r="1181" spans="1:11" ht="11.25" customHeight="1" outlineLevel="1">
      <c r="A1181" s="89" t="n">
        <v>8079590</v>
      </c>
      <c r="B1181" s="114" t="s">
        <v>1201</v>
      </c>
      <c r="C1181" s="89" t="s">
        <v>1866</v>
      </c>
      <c r="D1181" s="89" t="s">
        <v>15</v>
      </c>
      <c r="E1181" s="89" t="s">
        <v>1867</v>
      </c>
      <c r="F1181" s="102" t="n">
        <v>1659</v>
      </c>
      <c r="G1181" s="102" t="n">
        <v>2123</v>
      </c>
      <c r="H1181" s="103" t="s">
        <v>48</v>
      </c>
      <c r="I1181" s="103">
        <f>IFERROR(VLOOKUP(A1181,#REF!,15,0),0)+IFERROR(VLOOKUP(A1181,#REF!,25,0),0)+IFERROR(VLOOKUP(A1181,#REF!,10,0),0)+IFERROR(VLOOKUP(A1181,#REF!,14,0),0)+IFERROR(VLOOKUP(A1181,#REF!,11,0),0)+IFERROR(VLOOKUP(A1181,#REF!,10,0),0)+IFERROR(VLOOKUP(A1181,#REF!,10,0),0)+IFERROR(VLOOKUP(A1181,#REF!,9,0),0)+IFERROR(VLOOKUP(A1181,#REF!,9,0),0)+IFERROR(VLOOKUP(A1181,#REF!,9,0),0)+IFERROR(VLOOKUP(A1181,#REF!,9,0),0)</f>
        <v>0</v>
      </c>
      <c r="J1181" s="104">
        <f>IFERROR(VLOOKUP(A1181,#REF!,16,0),0)+IFERROR(VLOOKUP(A1181,#REF!,26,0),0)+IFERROR(VLOOKUP(A1181,#REF!,11,0),0)+IFERROR(VLOOKUP(A1181,#REF!,23,0),0)+IFERROR(VLOOKUP(A1181,#REF!,11,0),0)+IFERROR(VLOOKUP(A1181,#REF!,11,0),0)+IFERROR(VLOOKUP(A1181,#REF!,11,0),0)</f>
        <v>0</v>
      </c>
      <c r="K1181" s="96" t="str">
        <f>"07.02.24"</f>
        <v>07.02.24</v>
      </c>
    </row>
    <row r="1182" spans="1:11" ht="11.25" customHeight="1" outlineLevel="1">
      <c r="A1182" s="89" t="n">
        <v>8079600</v>
      </c>
      <c r="B1182" s="114" t="s">
        <v>1201</v>
      </c>
      <c r="C1182" s="89" t="s">
        <v>1868</v>
      </c>
      <c r="D1182" s="89" t="s">
        <v>15</v>
      </c>
      <c r="E1182" s="89" t="s">
        <v>1869</v>
      </c>
      <c r="F1182" s="102" t="n">
        <v>2747</v>
      </c>
      <c r="G1182" s="102" t="n">
        <v>3513</v>
      </c>
      <c r="H1182" s="103" t="s">
        <v>48</v>
      </c>
      <c r="I1182" s="103">
        <f>IFERROR(VLOOKUP(A1182,#REF!,15,0),0)+IFERROR(VLOOKUP(A1182,#REF!,25,0),0)+IFERROR(VLOOKUP(A1182,#REF!,10,0),0)+IFERROR(VLOOKUP(A1182,#REF!,14,0),0)+IFERROR(VLOOKUP(A1182,#REF!,11,0),0)+IFERROR(VLOOKUP(A1182,#REF!,10,0),0)+IFERROR(VLOOKUP(A1182,#REF!,10,0),0)+IFERROR(VLOOKUP(A1182,#REF!,9,0),0)+IFERROR(VLOOKUP(A1182,#REF!,9,0),0)+IFERROR(VLOOKUP(A1182,#REF!,9,0),0)+IFERROR(VLOOKUP(A1182,#REF!,9,0),0)</f>
        <v>0</v>
      </c>
      <c r="J1182" s="104">
        <f>IFERROR(VLOOKUP(A1182,#REF!,16,0),0)+IFERROR(VLOOKUP(A1182,#REF!,26,0),0)+IFERROR(VLOOKUP(A1182,#REF!,11,0),0)+IFERROR(VLOOKUP(A1182,#REF!,23,0),0)+IFERROR(VLOOKUP(A1182,#REF!,11,0),0)+IFERROR(VLOOKUP(A1182,#REF!,11,0),0)+IFERROR(VLOOKUP(A1182,#REF!,11,0),0)</f>
        <v>0</v>
      </c>
      <c r="K1182" s="96" t="str">
        <f>"07.02.24"</f>
        <v>07.02.24</v>
      </c>
    </row>
    <row r="1183" spans="1:11" ht="11.25" customHeight="1" outlineLevel="1">
      <c r="A1183" s="89" t="n">
        <v>8079630</v>
      </c>
      <c r="B1183" s="114" t="s">
        <v>1201</v>
      </c>
      <c r="C1183" s="89" t="s">
        <v>1870</v>
      </c>
      <c r="D1183" s="89" t="s">
        <v>15</v>
      </c>
      <c r="E1183" s="89" t="s">
        <v>1871</v>
      </c>
      <c r="F1183" s="102" t="n">
        <v>2747</v>
      </c>
      <c r="G1183" s="102" t="n">
        <v>3513</v>
      </c>
      <c r="H1183" s="103" t="s">
        <v>48</v>
      </c>
      <c r="I1183" s="103">
        <f>IFERROR(VLOOKUP(A1183,#REF!,15,0),0)+IFERROR(VLOOKUP(A1183,#REF!,25,0),0)+IFERROR(VLOOKUP(A1183,#REF!,10,0),0)+IFERROR(VLOOKUP(A1183,#REF!,14,0),0)+IFERROR(VLOOKUP(A1183,#REF!,11,0),0)+IFERROR(VLOOKUP(A1183,#REF!,10,0),0)+IFERROR(VLOOKUP(A1183,#REF!,10,0),0)+IFERROR(VLOOKUP(A1183,#REF!,9,0),0)+IFERROR(VLOOKUP(A1183,#REF!,9,0),0)+IFERROR(VLOOKUP(A1183,#REF!,9,0),0)+IFERROR(VLOOKUP(A1183,#REF!,9,0),0)</f>
        <v>0</v>
      </c>
      <c r="J1183" s="104">
        <f>IFERROR(VLOOKUP(A1183,#REF!,16,0),0)+IFERROR(VLOOKUP(A1183,#REF!,26,0),0)+IFERROR(VLOOKUP(A1183,#REF!,11,0),0)+IFERROR(VLOOKUP(A1183,#REF!,23,0),0)+IFERROR(VLOOKUP(A1183,#REF!,11,0),0)+IFERROR(VLOOKUP(A1183,#REF!,11,0),0)+IFERROR(VLOOKUP(A1183,#REF!,11,0),0)</f>
        <v>0</v>
      </c>
      <c r="K1183" s="96" t="str">
        <f>"07.02.24"</f>
        <v>07.02.24</v>
      </c>
    </row>
    <row r="1184" spans="1:11" ht="11.25" customHeight="1" outlineLevel="1">
      <c r="A1184" s="89" t="n">
        <v>8079650</v>
      </c>
      <c r="B1184" s="114" t="s">
        <v>1201</v>
      </c>
      <c r="C1184" s="89" t="s">
        <v>1872</v>
      </c>
      <c r="D1184" s="89" t="s">
        <v>15</v>
      </c>
      <c r="E1184" s="89" t="s">
        <v>1873</v>
      </c>
      <c r="F1184" s="102" t="n">
        <v>2592</v>
      </c>
      <c r="G1184" s="102" t="n">
        <v>3316</v>
      </c>
      <c r="H1184" s="103" t="s">
        <v>48</v>
      </c>
      <c r="I1184" s="103">
        <f>IFERROR(VLOOKUP(A1184,#REF!,15,0),0)+IFERROR(VLOOKUP(A1184,#REF!,25,0),0)+IFERROR(VLOOKUP(A1184,#REF!,10,0),0)+IFERROR(VLOOKUP(A1184,#REF!,14,0),0)+IFERROR(VLOOKUP(A1184,#REF!,11,0),0)+IFERROR(VLOOKUP(A1184,#REF!,10,0),0)+IFERROR(VLOOKUP(A1184,#REF!,10,0),0)+IFERROR(VLOOKUP(A1184,#REF!,9,0),0)+IFERROR(VLOOKUP(A1184,#REF!,9,0),0)+IFERROR(VLOOKUP(A1184,#REF!,9,0),0)+IFERROR(VLOOKUP(A1184,#REF!,9,0),0)</f>
        <v>0</v>
      </c>
      <c r="J1184" s="104">
        <f>IFERROR(VLOOKUP(A1184,#REF!,16,0),0)+IFERROR(VLOOKUP(A1184,#REF!,26,0),0)+IFERROR(VLOOKUP(A1184,#REF!,11,0),0)+IFERROR(VLOOKUP(A1184,#REF!,23,0),0)+IFERROR(VLOOKUP(A1184,#REF!,11,0),0)+IFERROR(VLOOKUP(A1184,#REF!,11,0),0)+IFERROR(VLOOKUP(A1184,#REF!,11,0),0)</f>
        <v>0</v>
      </c>
      <c r="K1184" s="96" t="str">
        <f>"07.02.24"</f>
        <v>07.02.24</v>
      </c>
    </row>
    <row r="1185" spans="1:11" ht="11.25" customHeight="1" outlineLevel="1">
      <c r="A1185" s="89" t="n">
        <v>8079670</v>
      </c>
      <c r="B1185" s="114" t="s">
        <v>1201</v>
      </c>
      <c r="C1185" s="89" t="s">
        <v>1874</v>
      </c>
      <c r="D1185" s="89" t="s">
        <v>15</v>
      </c>
      <c r="E1185" s="89" t="s">
        <v>1875</v>
      </c>
      <c r="F1185" s="102" t="n">
        <v>2713</v>
      </c>
      <c r="G1185" s="102" t="n">
        <v>3471</v>
      </c>
      <c r="H1185" s="103" t="s">
        <v>17</v>
      </c>
      <c r="I1185" s="103">
        <f>IFERROR(VLOOKUP(A1185,#REF!,15,0),0)+IFERROR(VLOOKUP(A1185,#REF!,25,0),0)+IFERROR(VLOOKUP(A1185,#REF!,10,0),0)+IFERROR(VLOOKUP(A1185,#REF!,14,0),0)+IFERROR(VLOOKUP(A1185,#REF!,11,0),0)+IFERROR(VLOOKUP(A1185,#REF!,10,0),0)+IFERROR(VLOOKUP(A1185,#REF!,10,0),0)+IFERROR(VLOOKUP(A1185,#REF!,9,0),0)+IFERROR(VLOOKUP(A1185,#REF!,9,0),0)+IFERROR(VLOOKUP(A1185,#REF!,9,0),0)+IFERROR(VLOOKUP(A1185,#REF!,9,0),0)</f>
        <v>0</v>
      </c>
      <c r="J1185" s="104">
        <f>IFERROR(VLOOKUP(A1185,#REF!,16,0),0)+IFERROR(VLOOKUP(A1185,#REF!,26,0),0)+IFERROR(VLOOKUP(A1185,#REF!,11,0),0)+IFERROR(VLOOKUP(A1185,#REF!,23,0),0)+IFERROR(VLOOKUP(A1185,#REF!,11,0),0)+IFERROR(VLOOKUP(A1185,#REF!,11,0),0)+IFERROR(VLOOKUP(A1185,#REF!,11,0),0)</f>
        <v>0</v>
      </c>
      <c r="K1185" s="96" t="str">
        <f>"07.02.24"</f>
        <v>07.02.24</v>
      </c>
    </row>
    <row r="1186" spans="1:11" ht="11.25" customHeight="1" outlineLevel="1">
      <c r="A1186" s="89" t="n">
        <v>8079680</v>
      </c>
      <c r="B1186" s="114" t="s">
        <v>1201</v>
      </c>
      <c r="C1186" s="89" t="s">
        <v>1876</v>
      </c>
      <c r="D1186" s="89" t="s">
        <v>15</v>
      </c>
      <c r="E1186" s="89" t="s">
        <v>1877</v>
      </c>
      <c r="F1186" s="102" t="n">
        <v>3342</v>
      </c>
      <c r="G1186" s="102" t="n">
        <v>4274</v>
      </c>
      <c r="H1186" s="103" t="s">
        <v>48</v>
      </c>
      <c r="I1186" s="103">
        <f>IFERROR(VLOOKUP(A1186,#REF!,15,0),0)+IFERROR(VLOOKUP(A1186,#REF!,25,0),0)+IFERROR(VLOOKUP(A1186,#REF!,10,0),0)+IFERROR(VLOOKUP(A1186,#REF!,14,0),0)+IFERROR(VLOOKUP(A1186,#REF!,11,0),0)+IFERROR(VLOOKUP(A1186,#REF!,10,0),0)+IFERROR(VLOOKUP(A1186,#REF!,10,0),0)+IFERROR(VLOOKUP(A1186,#REF!,9,0),0)+IFERROR(VLOOKUP(A1186,#REF!,9,0),0)+IFERROR(VLOOKUP(A1186,#REF!,9,0),0)+IFERROR(VLOOKUP(A1186,#REF!,9,0),0)</f>
        <v>0</v>
      </c>
      <c r="J1186" s="104">
        <f>IFERROR(VLOOKUP(A1186,#REF!,16,0),0)+IFERROR(VLOOKUP(A1186,#REF!,26,0),0)+IFERROR(VLOOKUP(A1186,#REF!,11,0),0)+IFERROR(VLOOKUP(A1186,#REF!,23,0),0)+IFERROR(VLOOKUP(A1186,#REF!,11,0),0)+IFERROR(VLOOKUP(A1186,#REF!,11,0),0)+IFERROR(VLOOKUP(A1186,#REF!,11,0),0)</f>
        <v>0</v>
      </c>
      <c r="K1186" s="96" t="str">
        <f>"07.02.24"</f>
        <v>07.02.24</v>
      </c>
    </row>
    <row r="1187" spans="1:11" ht="11.25" customHeight="1" outlineLevel="1">
      <c r="A1187" s="89" t="n">
        <v>8079700</v>
      </c>
      <c r="B1187" s="114" t="s">
        <v>1201</v>
      </c>
      <c r="C1187" s="89" t="s">
        <v>1878</v>
      </c>
      <c r="D1187" s="89" t="s">
        <v>15</v>
      </c>
      <c r="E1187" s="89" t="s">
        <v>1879</v>
      </c>
      <c r="F1187" s="102" t="n">
        <v>5783</v>
      </c>
      <c r="G1187" s="102" t="n">
        <v>7402</v>
      </c>
      <c r="H1187" s="103" t="s">
        <v>48</v>
      </c>
      <c r="I1187" s="103">
        <f>IFERROR(VLOOKUP(A1187,#REF!,15,0),0)+IFERROR(VLOOKUP(A1187,#REF!,25,0),0)+IFERROR(VLOOKUP(A1187,#REF!,10,0),0)+IFERROR(VLOOKUP(A1187,#REF!,14,0),0)+IFERROR(VLOOKUP(A1187,#REF!,11,0),0)+IFERROR(VLOOKUP(A1187,#REF!,10,0),0)+IFERROR(VLOOKUP(A1187,#REF!,10,0),0)+IFERROR(VLOOKUP(A1187,#REF!,9,0),0)+IFERROR(VLOOKUP(A1187,#REF!,9,0),0)+IFERROR(VLOOKUP(A1187,#REF!,9,0),0)+IFERROR(VLOOKUP(A1187,#REF!,9,0),0)</f>
        <v>0</v>
      </c>
      <c r="J1187" s="104">
        <f>IFERROR(VLOOKUP(A1187,#REF!,16,0),0)+IFERROR(VLOOKUP(A1187,#REF!,26,0),0)+IFERROR(VLOOKUP(A1187,#REF!,11,0),0)+IFERROR(VLOOKUP(A1187,#REF!,23,0),0)+IFERROR(VLOOKUP(A1187,#REF!,11,0),0)+IFERROR(VLOOKUP(A1187,#REF!,11,0),0)+IFERROR(VLOOKUP(A1187,#REF!,11,0),0)</f>
        <v>0</v>
      </c>
      <c r="K1187" s="96" t="str">
        <f>"07.02.24"</f>
        <v>07.02.24</v>
      </c>
    </row>
    <row r="1188" spans="1:11" ht="11.25" customHeight="1" outlineLevel="1">
      <c r="A1188" s="89" t="n">
        <v>8079730</v>
      </c>
      <c r="B1188" s="114" t="s">
        <v>1201</v>
      </c>
      <c r="C1188" s="89" t="s">
        <v>1880</v>
      </c>
      <c r="D1188" s="89" t="s">
        <v>15</v>
      </c>
      <c r="E1188" s="89" t="s">
        <v>1881</v>
      </c>
      <c r="F1188" s="102" t="n">
        <v>8105</v>
      </c>
      <c r="G1188" s="102" t="n">
        <v>10366</v>
      </c>
      <c r="H1188" s="103" t="s">
        <v>48</v>
      </c>
      <c r="I1188" s="103">
        <f>IFERROR(VLOOKUP(A1188,#REF!,15,0),0)+IFERROR(VLOOKUP(A1188,#REF!,25,0),0)+IFERROR(VLOOKUP(A1188,#REF!,10,0),0)+IFERROR(VLOOKUP(A1188,#REF!,14,0),0)+IFERROR(VLOOKUP(A1188,#REF!,11,0),0)+IFERROR(VLOOKUP(A1188,#REF!,10,0),0)+IFERROR(VLOOKUP(A1188,#REF!,10,0),0)+IFERROR(VLOOKUP(A1188,#REF!,9,0),0)+IFERROR(VLOOKUP(A1188,#REF!,9,0),0)+IFERROR(VLOOKUP(A1188,#REF!,9,0),0)+IFERROR(VLOOKUP(A1188,#REF!,9,0),0)</f>
        <v>0</v>
      </c>
      <c r="J1188" s="104">
        <f>IFERROR(VLOOKUP(A1188,#REF!,16,0),0)+IFERROR(VLOOKUP(A1188,#REF!,26,0),0)+IFERROR(VLOOKUP(A1188,#REF!,11,0),0)+IFERROR(VLOOKUP(A1188,#REF!,23,0),0)+IFERROR(VLOOKUP(A1188,#REF!,11,0),0)+IFERROR(VLOOKUP(A1188,#REF!,11,0),0)+IFERROR(VLOOKUP(A1188,#REF!,11,0),0)</f>
        <v>0</v>
      </c>
      <c r="K1188" s="96" t="str">
        <f>"07.02.24"</f>
        <v>07.02.24</v>
      </c>
    </row>
    <row r="1189" spans="1:11" ht="11.25" customHeight="1" outlineLevel="1">
      <c r="A1189" s="89" t="n">
        <v>8079750</v>
      </c>
      <c r="B1189" s="114" t="s">
        <v>1201</v>
      </c>
      <c r="C1189" s="89" t="s">
        <v>1882</v>
      </c>
      <c r="D1189" s="89" t="s">
        <v>15</v>
      </c>
      <c r="E1189" s="89" t="s">
        <v>1883</v>
      </c>
      <c r="F1189" s="102" t="n">
        <v>7054</v>
      </c>
      <c r="G1189" s="102" t="n">
        <v>9029</v>
      </c>
      <c r="H1189" s="103" t="s">
        <v>48</v>
      </c>
      <c r="I1189" s="103">
        <f>IFERROR(VLOOKUP(A1189,#REF!,15,0),0)+IFERROR(VLOOKUP(A1189,#REF!,25,0),0)+IFERROR(VLOOKUP(A1189,#REF!,10,0),0)+IFERROR(VLOOKUP(A1189,#REF!,14,0),0)+IFERROR(VLOOKUP(A1189,#REF!,11,0),0)+IFERROR(VLOOKUP(A1189,#REF!,10,0),0)+IFERROR(VLOOKUP(A1189,#REF!,10,0),0)+IFERROR(VLOOKUP(A1189,#REF!,9,0),0)+IFERROR(VLOOKUP(A1189,#REF!,9,0),0)+IFERROR(VLOOKUP(A1189,#REF!,9,0),0)+IFERROR(VLOOKUP(A1189,#REF!,9,0),0)</f>
        <v>0</v>
      </c>
      <c r="J1189" s="104">
        <f>IFERROR(VLOOKUP(A1189,#REF!,16,0),0)+IFERROR(VLOOKUP(A1189,#REF!,26,0),0)+IFERROR(VLOOKUP(A1189,#REF!,11,0),0)+IFERROR(VLOOKUP(A1189,#REF!,23,0),0)+IFERROR(VLOOKUP(A1189,#REF!,11,0),0)+IFERROR(VLOOKUP(A1189,#REF!,11,0),0)+IFERROR(VLOOKUP(A1189,#REF!,11,0),0)</f>
        <v>0</v>
      </c>
      <c r="K1189" s="96" t="str">
        <f>"07.02.24"</f>
        <v>07.02.24</v>
      </c>
    </row>
    <row r="1190" spans="1:11" ht="11.25" customHeight="1" outlineLevel="1">
      <c r="A1190" s="89" t="n">
        <v>8079760</v>
      </c>
      <c r="B1190" s="114" t="s">
        <v>1201</v>
      </c>
      <c r="C1190" s="89" t="s">
        <v>1884</v>
      </c>
      <c r="D1190" s="89" t="s">
        <v>15</v>
      </c>
      <c r="E1190" s="89" t="s">
        <v>1881</v>
      </c>
      <c r="F1190" s="102" t="n">
        <v>11494</v>
      </c>
      <c r="G1190" s="102" t="n">
        <v>14711</v>
      </c>
      <c r="H1190" s="103" t="s">
        <v>48</v>
      </c>
      <c r="I1190" s="103">
        <f>IFERROR(VLOOKUP(A1190,#REF!,15,0),0)+IFERROR(VLOOKUP(A1190,#REF!,25,0),0)+IFERROR(VLOOKUP(A1190,#REF!,10,0),0)+IFERROR(VLOOKUP(A1190,#REF!,14,0),0)+IFERROR(VLOOKUP(A1190,#REF!,11,0),0)+IFERROR(VLOOKUP(A1190,#REF!,10,0),0)+IFERROR(VLOOKUP(A1190,#REF!,10,0),0)+IFERROR(VLOOKUP(A1190,#REF!,9,0),0)+IFERROR(VLOOKUP(A1190,#REF!,9,0),0)+IFERROR(VLOOKUP(A1190,#REF!,9,0),0)+IFERROR(VLOOKUP(A1190,#REF!,9,0),0)</f>
        <v>0</v>
      </c>
      <c r="J1190" s="104">
        <f>IFERROR(VLOOKUP(A1190,#REF!,16,0),0)+IFERROR(VLOOKUP(A1190,#REF!,26,0),0)+IFERROR(VLOOKUP(A1190,#REF!,11,0),0)+IFERROR(VLOOKUP(A1190,#REF!,23,0),0)+IFERROR(VLOOKUP(A1190,#REF!,11,0),0)+IFERROR(VLOOKUP(A1190,#REF!,11,0),0)+IFERROR(VLOOKUP(A1190,#REF!,11,0),0)</f>
        <v>0</v>
      </c>
      <c r="K1190" s="96" t="str">
        <f>"07.02.24"</f>
        <v>07.02.24</v>
      </c>
    </row>
    <row r="1191" spans="1:11" ht="11.25" customHeight="1" outlineLevel="1">
      <c r="A1191" s="89" t="n">
        <v>8079770</v>
      </c>
      <c r="B1191" s="114" t="s">
        <v>1201</v>
      </c>
      <c r="C1191" s="89" t="s">
        <v>1885</v>
      </c>
      <c r="D1191" s="89" t="s">
        <v>15</v>
      </c>
      <c r="E1191" s="89" t="s">
        <v>1886</v>
      </c>
      <c r="F1191" s="102" t="n">
        <v>16637</v>
      </c>
      <c r="G1191" s="102" t="n">
        <v>21293</v>
      </c>
      <c r="H1191" s="103" t="s">
        <v>48</v>
      </c>
      <c r="I1191" s="103">
        <f>IFERROR(VLOOKUP(A1191,#REF!,15,0),0)+IFERROR(VLOOKUP(A1191,#REF!,25,0),0)+IFERROR(VLOOKUP(A1191,#REF!,10,0),0)+IFERROR(VLOOKUP(A1191,#REF!,14,0),0)+IFERROR(VLOOKUP(A1191,#REF!,11,0),0)+IFERROR(VLOOKUP(A1191,#REF!,10,0),0)+IFERROR(VLOOKUP(A1191,#REF!,10,0),0)+IFERROR(VLOOKUP(A1191,#REF!,9,0),0)+IFERROR(VLOOKUP(A1191,#REF!,9,0),0)+IFERROR(VLOOKUP(A1191,#REF!,9,0),0)+IFERROR(VLOOKUP(A1191,#REF!,9,0),0)</f>
        <v>0</v>
      </c>
      <c r="J1191" s="104">
        <f>IFERROR(VLOOKUP(A1191,#REF!,16,0),0)+IFERROR(VLOOKUP(A1191,#REF!,26,0),0)+IFERROR(VLOOKUP(A1191,#REF!,11,0),0)+IFERROR(VLOOKUP(A1191,#REF!,23,0),0)+IFERROR(VLOOKUP(A1191,#REF!,11,0),0)+IFERROR(VLOOKUP(A1191,#REF!,11,0),0)+IFERROR(VLOOKUP(A1191,#REF!,11,0),0)</f>
        <v>0</v>
      </c>
      <c r="K1191" s="96" t="str">
        <f>"07.02.24"</f>
        <v>07.02.24</v>
      </c>
    </row>
    <row r="1192" spans="1:11" ht="11.25" customHeight="1" outlineLevel="1">
      <c r="A1192" s="89" t="n">
        <v>8079780</v>
      </c>
      <c r="B1192" s="114" t="s">
        <v>1201</v>
      </c>
      <c r="C1192" s="89" t="s">
        <v>1887</v>
      </c>
      <c r="D1192" s="89" t="s">
        <v>15</v>
      </c>
      <c r="E1192" s="89" t="s">
        <v>1888</v>
      </c>
      <c r="F1192" s="102" t="n">
        <v>16986</v>
      </c>
      <c r="G1192" s="102" t="n">
        <v>21741</v>
      </c>
      <c r="H1192" s="103" t="s">
        <v>48</v>
      </c>
      <c r="I1192" s="103">
        <f>IFERROR(VLOOKUP(A1192,#REF!,15,0),0)+IFERROR(VLOOKUP(A1192,#REF!,25,0),0)+IFERROR(VLOOKUP(A1192,#REF!,10,0),0)+IFERROR(VLOOKUP(A1192,#REF!,14,0),0)+IFERROR(VLOOKUP(A1192,#REF!,11,0),0)+IFERROR(VLOOKUP(A1192,#REF!,10,0),0)+IFERROR(VLOOKUP(A1192,#REF!,10,0),0)+IFERROR(VLOOKUP(A1192,#REF!,9,0),0)+IFERROR(VLOOKUP(A1192,#REF!,9,0),0)+IFERROR(VLOOKUP(A1192,#REF!,9,0),0)+IFERROR(VLOOKUP(A1192,#REF!,9,0),0)</f>
        <v>0</v>
      </c>
      <c r="J1192" s="104">
        <f>IFERROR(VLOOKUP(A1192,#REF!,16,0),0)+IFERROR(VLOOKUP(A1192,#REF!,26,0),0)+IFERROR(VLOOKUP(A1192,#REF!,11,0),0)+IFERROR(VLOOKUP(A1192,#REF!,23,0),0)+IFERROR(VLOOKUP(A1192,#REF!,11,0),0)+IFERROR(VLOOKUP(A1192,#REF!,11,0),0)+IFERROR(VLOOKUP(A1192,#REF!,11,0),0)</f>
        <v>0</v>
      </c>
      <c r="K1192" s="96" t="str">
        <f>"07.02.24"</f>
        <v>07.02.24</v>
      </c>
    </row>
    <row r="1193" spans="1:11" ht="11.25" customHeight="1" outlineLevel="1">
      <c r="A1193" s="89" t="n">
        <v>8079790</v>
      </c>
      <c r="B1193" s="114" t="s">
        <v>1201</v>
      </c>
      <c r="C1193" s="89" t="s">
        <v>1889</v>
      </c>
      <c r="D1193" s="89" t="s">
        <v>15</v>
      </c>
      <c r="E1193" s="89" t="s">
        <v>1890</v>
      </c>
      <c r="F1193" s="102" t="n">
        <v>14657</v>
      </c>
      <c r="G1193" s="102" t="n">
        <v>18761</v>
      </c>
      <c r="H1193" s="103" t="s">
        <v>48</v>
      </c>
      <c r="I1193" s="103">
        <f>IFERROR(VLOOKUP(A1193,#REF!,15,0),0)+IFERROR(VLOOKUP(A1193,#REF!,25,0),0)+IFERROR(VLOOKUP(A1193,#REF!,10,0),0)+IFERROR(VLOOKUP(A1193,#REF!,14,0),0)+IFERROR(VLOOKUP(A1193,#REF!,11,0),0)+IFERROR(VLOOKUP(A1193,#REF!,10,0),0)+IFERROR(VLOOKUP(A1193,#REF!,10,0),0)+IFERROR(VLOOKUP(A1193,#REF!,9,0),0)+IFERROR(VLOOKUP(A1193,#REF!,9,0),0)+IFERROR(VLOOKUP(A1193,#REF!,9,0),0)+IFERROR(VLOOKUP(A1193,#REF!,9,0),0)</f>
        <v>0</v>
      </c>
      <c r="J1193" s="104">
        <f>IFERROR(VLOOKUP(A1193,#REF!,16,0),0)+IFERROR(VLOOKUP(A1193,#REF!,26,0),0)+IFERROR(VLOOKUP(A1193,#REF!,11,0),0)+IFERROR(VLOOKUP(A1193,#REF!,23,0),0)+IFERROR(VLOOKUP(A1193,#REF!,11,0),0)+IFERROR(VLOOKUP(A1193,#REF!,11,0),0)+IFERROR(VLOOKUP(A1193,#REF!,11,0),0)</f>
        <v>0</v>
      </c>
      <c r="K1193" s="96" t="str">
        <f>"07.02.24"</f>
        <v>07.02.24</v>
      </c>
    </row>
    <row r="1194" spans="1:11" ht="11.25" customHeight="1">
      <c r="A1194" s="88" t="s">
        <v>1891</v>
      </c>
      <c r="B1194" s="115"/>
      <c r="C1194" s="88"/>
      <c r="D1194" s="88"/>
      <c r="E1194" s="88"/>
      <c r="F1194" s="105"/>
      <c r="G1194" s="105"/>
      <c r="H1194" s="106"/>
      <c r="I1194" s="106"/>
      <c r="J1194" s="107"/>
      <c r="K1194" s="96" t="str">
        <f>"07.02.24"</f>
        <v>07.02.24</v>
      </c>
    </row>
    <row r="1195" spans="1:11" ht="11.25" customHeight="1" outlineLevel="1">
      <c r="A1195" s="89" t="n">
        <v>1154550</v>
      </c>
      <c r="B1195" s="114" t="s">
        <v>1201</v>
      </c>
      <c r="C1195" s="89" t="s">
        <v>1892</v>
      </c>
      <c r="D1195" s="89" t="s">
        <v>1893</v>
      </c>
      <c r="E1195" s="89" t="s">
        <v>1894</v>
      </c>
      <c r="F1195" s="102" t="n">
        <v>842</v>
      </c>
      <c r="G1195" s="102" t="n">
        <v>1119</v>
      </c>
      <c r="H1195" s="103" t="s">
        <v>48</v>
      </c>
      <c r="I1195" s="103">
        <f>IFERROR(VLOOKUP(A1195,#REF!,15,0),0)+IFERROR(VLOOKUP(A1195,#REF!,25,0),0)+IFERROR(VLOOKUP(A1195,#REF!,10,0),0)+IFERROR(VLOOKUP(A1195,#REF!,14,0),0)+IFERROR(VLOOKUP(A1195,#REF!,11,0),0)+IFERROR(VLOOKUP(A1195,#REF!,10,0),0)+IFERROR(VLOOKUP(A1195,#REF!,10,0),0)+IFERROR(VLOOKUP(A1195,#REF!,9,0),0)+IFERROR(VLOOKUP(A1195,#REF!,9,0),0)+IFERROR(VLOOKUP(A1195,#REF!,9,0),0)+IFERROR(VLOOKUP(A1195,#REF!,9,0),0)</f>
        <v>0</v>
      </c>
      <c r="J1195" s="104">
        <f>IFERROR(VLOOKUP(A1195,#REF!,16,0),0)+IFERROR(VLOOKUP(A1195,#REF!,26,0),0)+IFERROR(VLOOKUP(A1195,#REF!,11,0),0)+IFERROR(VLOOKUP(A1195,#REF!,23,0),0)+IFERROR(VLOOKUP(A1195,#REF!,11,0),0)+IFERROR(VLOOKUP(A1195,#REF!,11,0),0)+IFERROR(VLOOKUP(A1195,#REF!,11,0),0)</f>
        <v>0</v>
      </c>
      <c r="K1195" s="96" t="str">
        <f>"07.02.24"</f>
        <v>07.02.24</v>
      </c>
    </row>
    <row r="1196" spans="1:11" ht="11.25" customHeight="1" outlineLevel="1">
      <c r="A1196" s="89" t="n">
        <v>1154580</v>
      </c>
      <c r="B1196" s="114" t="s">
        <v>1201</v>
      </c>
      <c r="C1196" s="89" t="s">
        <v>1895</v>
      </c>
      <c r="D1196" s="89" t="s">
        <v>1893</v>
      </c>
      <c r="E1196" s="89" t="s">
        <v>1896</v>
      </c>
      <c r="F1196" s="102" t="n">
        <v>711</v>
      </c>
      <c r="G1196" s="102" t="n">
        <v>942</v>
      </c>
      <c r="H1196" s="103" t="s">
        <v>17</v>
      </c>
      <c r="I1196" s="103">
        <f>IFERROR(VLOOKUP(A1196,#REF!,15,0),0)+IFERROR(VLOOKUP(A1196,#REF!,25,0),0)+IFERROR(VLOOKUP(A1196,#REF!,10,0),0)+IFERROR(VLOOKUP(A1196,#REF!,14,0),0)+IFERROR(VLOOKUP(A1196,#REF!,11,0),0)+IFERROR(VLOOKUP(A1196,#REF!,10,0),0)+IFERROR(VLOOKUP(A1196,#REF!,10,0),0)+IFERROR(VLOOKUP(A1196,#REF!,9,0),0)+IFERROR(VLOOKUP(A1196,#REF!,9,0),0)+IFERROR(VLOOKUP(A1196,#REF!,9,0),0)+IFERROR(VLOOKUP(A1196,#REF!,9,0),0)</f>
        <v>0</v>
      </c>
      <c r="J1196" s="104">
        <f>IFERROR(VLOOKUP(A1196,#REF!,16,0),0)+IFERROR(VLOOKUP(A1196,#REF!,26,0),0)+IFERROR(VLOOKUP(A1196,#REF!,11,0),0)+IFERROR(VLOOKUP(A1196,#REF!,23,0),0)+IFERROR(VLOOKUP(A1196,#REF!,11,0),0)+IFERROR(VLOOKUP(A1196,#REF!,11,0),0)+IFERROR(VLOOKUP(A1196,#REF!,11,0),0)</f>
        <v>0</v>
      </c>
      <c r="K1196" s="96" t="str">
        <f>"07.02.24"</f>
        <v>07.02.24</v>
      </c>
    </row>
    <row r="1197" spans="1:11" ht="11.25" customHeight="1" outlineLevel="1">
      <c r="A1197" s="89" t="n">
        <v>1154630</v>
      </c>
      <c r="B1197" s="114" t="s">
        <v>1201</v>
      </c>
      <c r="C1197" s="89" t="s">
        <v>1897</v>
      </c>
      <c r="D1197" s="89" t="s">
        <v>1893</v>
      </c>
      <c r="E1197" s="89" t="s">
        <v>1898</v>
      </c>
      <c r="F1197" s="102" t="n">
        <v>245</v>
      </c>
      <c r="G1197" s="102" t="n">
        <v>326</v>
      </c>
      <c r="H1197" s="103" t="s">
        <v>48</v>
      </c>
      <c r="I1197" s="103">
        <f>IFERROR(VLOOKUP(A1197,#REF!,15,0),0)+IFERROR(VLOOKUP(A1197,#REF!,25,0),0)+IFERROR(VLOOKUP(A1197,#REF!,10,0),0)+IFERROR(VLOOKUP(A1197,#REF!,14,0),0)+IFERROR(VLOOKUP(A1197,#REF!,11,0),0)+IFERROR(VLOOKUP(A1197,#REF!,10,0),0)+IFERROR(VLOOKUP(A1197,#REF!,10,0),0)+IFERROR(VLOOKUP(A1197,#REF!,9,0),0)+IFERROR(VLOOKUP(A1197,#REF!,9,0),0)+IFERROR(VLOOKUP(A1197,#REF!,9,0),0)+IFERROR(VLOOKUP(A1197,#REF!,9,0),0)</f>
        <v>0</v>
      </c>
      <c r="J1197" s="104">
        <f>IFERROR(VLOOKUP(A1197,#REF!,16,0),0)+IFERROR(VLOOKUP(A1197,#REF!,26,0),0)+IFERROR(VLOOKUP(A1197,#REF!,11,0),0)+IFERROR(VLOOKUP(A1197,#REF!,23,0),0)+IFERROR(VLOOKUP(A1197,#REF!,11,0),0)+IFERROR(VLOOKUP(A1197,#REF!,11,0),0)+IFERROR(VLOOKUP(A1197,#REF!,11,0),0)</f>
        <v>0</v>
      </c>
      <c r="K1197" s="96" t="str">
        <f>"07.02.24"</f>
        <v>07.02.24</v>
      </c>
    </row>
    <row r="1198" spans="1:11" ht="11.25" customHeight="1" outlineLevel="1">
      <c r="A1198" s="89" t="n">
        <v>1154640</v>
      </c>
      <c r="B1198" s="114" t="s">
        <v>1201</v>
      </c>
      <c r="C1198" s="89" t="s">
        <v>1899</v>
      </c>
      <c r="D1198" s="89" t="s">
        <v>1893</v>
      </c>
      <c r="E1198" s="89" t="s">
        <v>1900</v>
      </c>
      <c r="F1198" s="102" t="n">
        <v>1127</v>
      </c>
      <c r="G1198" s="102" t="n">
        <v>1499</v>
      </c>
      <c r="H1198" s="103" t="s">
        <v>48</v>
      </c>
      <c r="I1198" s="103">
        <f>IFERROR(VLOOKUP(A1198,#REF!,15,0),0)+IFERROR(VLOOKUP(A1198,#REF!,25,0),0)+IFERROR(VLOOKUP(A1198,#REF!,10,0),0)+IFERROR(VLOOKUP(A1198,#REF!,14,0),0)+IFERROR(VLOOKUP(A1198,#REF!,11,0),0)+IFERROR(VLOOKUP(A1198,#REF!,10,0),0)+IFERROR(VLOOKUP(A1198,#REF!,10,0),0)+IFERROR(VLOOKUP(A1198,#REF!,9,0),0)+IFERROR(VLOOKUP(A1198,#REF!,9,0),0)+IFERROR(VLOOKUP(A1198,#REF!,9,0),0)+IFERROR(VLOOKUP(A1198,#REF!,9,0),0)</f>
        <v>0</v>
      </c>
      <c r="J1198" s="104">
        <f>IFERROR(VLOOKUP(A1198,#REF!,16,0),0)+IFERROR(VLOOKUP(A1198,#REF!,26,0),0)+IFERROR(VLOOKUP(A1198,#REF!,11,0),0)+IFERROR(VLOOKUP(A1198,#REF!,23,0),0)+IFERROR(VLOOKUP(A1198,#REF!,11,0),0)+IFERROR(VLOOKUP(A1198,#REF!,11,0),0)+IFERROR(VLOOKUP(A1198,#REF!,11,0),0)</f>
        <v>0</v>
      </c>
      <c r="K1198" s="96" t="str">
        <f>"07.02.24"</f>
        <v>07.02.24</v>
      </c>
    </row>
    <row r="1199" spans="1:11" ht="11.25" customHeight="1" outlineLevel="1">
      <c r="A1199" s="89" t="n">
        <v>1154650</v>
      </c>
      <c r="B1199" s="114" t="s">
        <v>1201</v>
      </c>
      <c r="C1199" s="89" t="s">
        <v>1901</v>
      </c>
      <c r="D1199" s="89" t="s">
        <v>1893</v>
      </c>
      <c r="E1199" s="89" t="s">
        <v>1902</v>
      </c>
      <c r="F1199" s="102" t="n">
        <v>377</v>
      </c>
      <c r="G1199" s="102" t="n">
        <v>501</v>
      </c>
      <c r="H1199" s="103" t="s">
        <v>48</v>
      </c>
      <c r="I1199" s="103">
        <f>IFERROR(VLOOKUP(A1199,#REF!,15,0),0)+IFERROR(VLOOKUP(A1199,#REF!,25,0),0)+IFERROR(VLOOKUP(A1199,#REF!,10,0),0)+IFERROR(VLOOKUP(A1199,#REF!,14,0),0)+IFERROR(VLOOKUP(A1199,#REF!,11,0),0)+IFERROR(VLOOKUP(A1199,#REF!,10,0),0)+IFERROR(VLOOKUP(A1199,#REF!,10,0),0)+IFERROR(VLOOKUP(A1199,#REF!,9,0),0)+IFERROR(VLOOKUP(A1199,#REF!,9,0),0)+IFERROR(VLOOKUP(A1199,#REF!,9,0),0)+IFERROR(VLOOKUP(A1199,#REF!,9,0),0)</f>
        <v>0</v>
      </c>
      <c r="J1199" s="104">
        <f>IFERROR(VLOOKUP(A1199,#REF!,16,0),0)+IFERROR(VLOOKUP(A1199,#REF!,26,0),0)+IFERROR(VLOOKUP(A1199,#REF!,11,0),0)+IFERROR(VLOOKUP(A1199,#REF!,23,0),0)+IFERROR(VLOOKUP(A1199,#REF!,11,0),0)+IFERROR(VLOOKUP(A1199,#REF!,11,0),0)+IFERROR(VLOOKUP(A1199,#REF!,11,0),0)</f>
        <v>0</v>
      </c>
      <c r="K1199" s="96" t="str">
        <f>"07.02.24"</f>
        <v>07.02.24</v>
      </c>
    </row>
    <row r="1200" spans="1:11" ht="11.25" customHeight="1" outlineLevel="1">
      <c r="A1200" s="89" t="n">
        <v>1154660</v>
      </c>
      <c r="B1200" s="114" t="s">
        <v>1201</v>
      </c>
      <c r="C1200" s="89" t="s">
        <v>1903</v>
      </c>
      <c r="D1200" s="89" t="s">
        <v>1893</v>
      </c>
      <c r="E1200" s="89" t="s">
        <v>1904</v>
      </c>
      <c r="F1200" s="102" t="n">
        <v>600</v>
      </c>
      <c r="G1200" s="102" t="n">
        <v>794</v>
      </c>
      <c r="H1200" s="103" t="s">
        <v>48</v>
      </c>
      <c r="I1200" s="103">
        <f>IFERROR(VLOOKUP(A1200,#REF!,15,0),0)+IFERROR(VLOOKUP(A1200,#REF!,25,0),0)+IFERROR(VLOOKUP(A1200,#REF!,10,0),0)+IFERROR(VLOOKUP(A1200,#REF!,14,0),0)+IFERROR(VLOOKUP(A1200,#REF!,11,0),0)+IFERROR(VLOOKUP(A1200,#REF!,10,0),0)+IFERROR(VLOOKUP(A1200,#REF!,10,0),0)+IFERROR(VLOOKUP(A1200,#REF!,9,0),0)+IFERROR(VLOOKUP(A1200,#REF!,9,0),0)+IFERROR(VLOOKUP(A1200,#REF!,9,0),0)+IFERROR(VLOOKUP(A1200,#REF!,9,0),0)</f>
        <v>0</v>
      </c>
      <c r="J1200" s="104">
        <f>IFERROR(VLOOKUP(A1200,#REF!,16,0),0)+IFERROR(VLOOKUP(A1200,#REF!,26,0),0)+IFERROR(VLOOKUP(A1200,#REF!,11,0),0)+IFERROR(VLOOKUP(A1200,#REF!,23,0),0)+IFERROR(VLOOKUP(A1200,#REF!,11,0),0)+IFERROR(VLOOKUP(A1200,#REF!,11,0),0)+IFERROR(VLOOKUP(A1200,#REF!,11,0),0)</f>
        <v>0</v>
      </c>
      <c r="K1200" s="96" t="str">
        <f>"07.02.24"</f>
        <v>07.02.24</v>
      </c>
    </row>
    <row r="1201" spans="1:11" ht="11.25" customHeight="1" outlineLevel="1">
      <c r="A1201" s="89" t="n">
        <v>1154670</v>
      </c>
      <c r="B1201" s="114" t="s">
        <v>1201</v>
      </c>
      <c r="C1201" s="89" t="s">
        <v>1905</v>
      </c>
      <c r="D1201" s="89" t="s">
        <v>1893</v>
      </c>
      <c r="E1201" s="89" t="s">
        <v>1906</v>
      </c>
      <c r="F1201" s="102" t="n">
        <v>197</v>
      </c>
      <c r="G1201" s="102" t="n">
        <v>260</v>
      </c>
      <c r="H1201" s="103" t="s">
        <v>48</v>
      </c>
      <c r="I1201" s="103">
        <f>IFERROR(VLOOKUP(A1201,#REF!,15,0),0)+IFERROR(VLOOKUP(A1201,#REF!,25,0),0)+IFERROR(VLOOKUP(A1201,#REF!,10,0),0)+IFERROR(VLOOKUP(A1201,#REF!,14,0),0)+IFERROR(VLOOKUP(A1201,#REF!,11,0),0)+IFERROR(VLOOKUP(A1201,#REF!,10,0),0)+IFERROR(VLOOKUP(A1201,#REF!,10,0),0)+IFERROR(VLOOKUP(A1201,#REF!,9,0),0)+IFERROR(VLOOKUP(A1201,#REF!,9,0),0)+IFERROR(VLOOKUP(A1201,#REF!,9,0),0)+IFERROR(VLOOKUP(A1201,#REF!,9,0),0)</f>
        <v>0</v>
      </c>
      <c r="J1201" s="104">
        <f>IFERROR(VLOOKUP(A1201,#REF!,16,0),0)+IFERROR(VLOOKUP(A1201,#REF!,26,0),0)+IFERROR(VLOOKUP(A1201,#REF!,11,0),0)+IFERROR(VLOOKUP(A1201,#REF!,23,0),0)+IFERROR(VLOOKUP(A1201,#REF!,11,0),0)+IFERROR(VLOOKUP(A1201,#REF!,11,0),0)+IFERROR(VLOOKUP(A1201,#REF!,11,0),0)</f>
        <v>0</v>
      </c>
      <c r="K1201" s="96" t="str">
        <f>"07.02.24"</f>
        <v>07.02.24</v>
      </c>
    </row>
    <row r="1202" spans="1:11" ht="11.25" customHeight="1" outlineLevel="1">
      <c r="A1202" s="89" t="n">
        <v>1692540</v>
      </c>
      <c r="B1202" s="114" t="s">
        <v>1201</v>
      </c>
      <c r="C1202" s="89" t="s">
        <v>1907</v>
      </c>
      <c r="D1202" s="89" t="s">
        <v>1893</v>
      </c>
      <c r="E1202" s="89" t="s">
        <v>1908</v>
      </c>
      <c r="F1202" s="102" t="n">
        <v>153</v>
      </c>
      <c r="G1202" s="102" t="n">
        <v>201</v>
      </c>
      <c r="H1202" s="103" t="s">
        <v>48</v>
      </c>
      <c r="I1202" s="103">
        <f>IFERROR(VLOOKUP(A1202,#REF!,15,0),0)+IFERROR(VLOOKUP(A1202,#REF!,25,0),0)+IFERROR(VLOOKUP(A1202,#REF!,10,0),0)+IFERROR(VLOOKUP(A1202,#REF!,14,0),0)+IFERROR(VLOOKUP(A1202,#REF!,11,0),0)+IFERROR(VLOOKUP(A1202,#REF!,10,0),0)+IFERROR(VLOOKUP(A1202,#REF!,10,0),0)+IFERROR(VLOOKUP(A1202,#REF!,9,0),0)+IFERROR(VLOOKUP(A1202,#REF!,9,0),0)+IFERROR(VLOOKUP(A1202,#REF!,9,0),0)+IFERROR(VLOOKUP(A1202,#REF!,9,0),0)</f>
        <v>0</v>
      </c>
      <c r="J1202" s="104">
        <f>IFERROR(VLOOKUP(A1202,#REF!,16,0),0)+IFERROR(VLOOKUP(A1202,#REF!,26,0),0)+IFERROR(VLOOKUP(A1202,#REF!,11,0),0)+IFERROR(VLOOKUP(A1202,#REF!,23,0),0)+IFERROR(VLOOKUP(A1202,#REF!,11,0),0)+IFERROR(VLOOKUP(A1202,#REF!,11,0),0)+IFERROR(VLOOKUP(A1202,#REF!,11,0),0)</f>
        <v>0</v>
      </c>
      <c r="K1202" s="96" t="str">
        <f>"07.02.24"</f>
        <v>07.02.24</v>
      </c>
    </row>
    <row r="1203" spans="1:11" ht="11.25" customHeight="1" outlineLevel="1">
      <c r="A1203" s="89" t="n">
        <v>1692580</v>
      </c>
      <c r="B1203" s="114" t="s">
        <v>1201</v>
      </c>
      <c r="C1203" s="89" t="s">
        <v>1909</v>
      </c>
      <c r="D1203" s="89" t="s">
        <v>1893</v>
      </c>
      <c r="E1203" s="89" t="s">
        <v>1910</v>
      </c>
      <c r="F1203" s="102" t="n">
        <v>519</v>
      </c>
      <c r="G1203" s="102" t="n">
        <v>690</v>
      </c>
      <c r="H1203" s="103" t="s">
        <v>48</v>
      </c>
      <c r="I1203" s="103">
        <f>IFERROR(VLOOKUP(A1203,#REF!,15,0),0)+IFERROR(VLOOKUP(A1203,#REF!,25,0),0)+IFERROR(VLOOKUP(A1203,#REF!,10,0),0)+IFERROR(VLOOKUP(A1203,#REF!,14,0),0)+IFERROR(VLOOKUP(A1203,#REF!,11,0),0)+IFERROR(VLOOKUP(A1203,#REF!,10,0),0)+IFERROR(VLOOKUP(A1203,#REF!,10,0),0)+IFERROR(VLOOKUP(A1203,#REF!,9,0),0)+IFERROR(VLOOKUP(A1203,#REF!,9,0),0)+IFERROR(VLOOKUP(A1203,#REF!,9,0),0)+IFERROR(VLOOKUP(A1203,#REF!,9,0),0)</f>
        <v>0</v>
      </c>
      <c r="J1203" s="104">
        <f>IFERROR(VLOOKUP(A1203,#REF!,16,0),0)+IFERROR(VLOOKUP(A1203,#REF!,26,0),0)+IFERROR(VLOOKUP(A1203,#REF!,11,0),0)+IFERROR(VLOOKUP(A1203,#REF!,23,0),0)+IFERROR(VLOOKUP(A1203,#REF!,11,0),0)+IFERROR(VLOOKUP(A1203,#REF!,11,0),0)+IFERROR(VLOOKUP(A1203,#REF!,11,0),0)</f>
        <v>0</v>
      </c>
      <c r="K1203" s="96" t="str">
        <f>"07.02.24"</f>
        <v>07.02.24</v>
      </c>
    </row>
    <row r="1204" spans="1:11" ht="11.25" customHeight="1">
      <c r="A1204" s="88" t="s">
        <v>1911</v>
      </c>
      <c r="B1204" s="115"/>
      <c r="C1204" s="88"/>
      <c r="D1204" s="88"/>
      <c r="E1204" s="88"/>
      <c r="F1204" s="105"/>
      <c r="G1204" s="105"/>
      <c r="H1204" s="106"/>
      <c r="I1204" s="106"/>
      <c r="J1204" s="107"/>
      <c r="K1204" s="96" t="str">
        <f>"07.02.24"</f>
        <v>07.02.24</v>
      </c>
    </row>
    <row r="1205" spans="1:11" ht="11.25" customHeight="1" outlineLevel="1">
      <c r="A1205" s="89" t="n">
        <v>27341</v>
      </c>
      <c r="B1205" s="114" t="s">
        <v>1201</v>
      </c>
      <c r="C1205" s="89" t="s">
        <v>1912</v>
      </c>
      <c r="D1205" s="89" t="s">
        <v>15</v>
      </c>
      <c r="E1205" s="89" t="s">
        <v>1913</v>
      </c>
      <c r="F1205" s="102" t="n">
        <v>155</v>
      </c>
      <c r="G1205" s="102" t="n">
        <v>235</v>
      </c>
      <c r="H1205" s="103" t="s">
        <v>48</v>
      </c>
      <c r="I1205" s="103">
        <f>IFERROR(VLOOKUP(A1205,#REF!,15,0),0)+IFERROR(VLOOKUP(A1205,#REF!,25,0),0)+IFERROR(VLOOKUP(A1205,#REF!,10,0),0)+IFERROR(VLOOKUP(A1205,#REF!,14,0),0)+IFERROR(VLOOKUP(A1205,#REF!,11,0),0)+IFERROR(VLOOKUP(A1205,#REF!,10,0),0)+IFERROR(VLOOKUP(A1205,#REF!,10,0),0)+IFERROR(VLOOKUP(A1205,#REF!,9,0),0)+IFERROR(VLOOKUP(A1205,#REF!,9,0),0)+IFERROR(VLOOKUP(A1205,#REF!,9,0),0)+IFERROR(VLOOKUP(A1205,#REF!,9,0),0)</f>
        <v>0</v>
      </c>
      <c r="J1205" s="104">
        <f>IFERROR(VLOOKUP(A1205,#REF!,16,0),0)+IFERROR(VLOOKUP(A1205,#REF!,26,0),0)+IFERROR(VLOOKUP(A1205,#REF!,11,0),0)+IFERROR(VLOOKUP(A1205,#REF!,23,0),0)+IFERROR(VLOOKUP(A1205,#REF!,11,0),0)+IFERROR(VLOOKUP(A1205,#REF!,11,0),0)+IFERROR(VLOOKUP(A1205,#REF!,11,0),0)</f>
        <v>0</v>
      </c>
      <c r="K1205" s="96" t="str">
        <f>"07.02.24"</f>
        <v>07.02.24</v>
      </c>
    </row>
    <row r="1206" spans="1:11" ht="11.25" customHeight="1" outlineLevel="1">
      <c r="A1206" s="89" t="n">
        <v>7088630</v>
      </c>
      <c r="B1206" s="114" t="s">
        <v>1201</v>
      </c>
      <c r="C1206" s="89" t="s">
        <v>1914</v>
      </c>
      <c r="D1206" s="89" t="s">
        <v>15</v>
      </c>
      <c r="E1206" s="89" t="s">
        <v>1913</v>
      </c>
      <c r="F1206" s="102" t="n">
        <v>206</v>
      </c>
      <c r="G1206" s="102" t="n">
        <v>275</v>
      </c>
      <c r="H1206" s="103" t="s">
        <v>17</v>
      </c>
      <c r="I1206" s="103">
        <f>IFERROR(VLOOKUP(A1206,#REF!,15,0),0)+IFERROR(VLOOKUP(A1206,#REF!,25,0),0)+IFERROR(VLOOKUP(A1206,#REF!,10,0),0)+IFERROR(VLOOKUP(A1206,#REF!,14,0),0)+IFERROR(VLOOKUP(A1206,#REF!,11,0),0)+IFERROR(VLOOKUP(A1206,#REF!,10,0),0)+IFERROR(VLOOKUP(A1206,#REF!,10,0),0)+IFERROR(VLOOKUP(A1206,#REF!,9,0),0)+IFERROR(VLOOKUP(A1206,#REF!,9,0),0)+IFERROR(VLOOKUP(A1206,#REF!,9,0),0)+IFERROR(VLOOKUP(A1206,#REF!,9,0),0)</f>
        <v>0</v>
      </c>
      <c r="J1206" s="104">
        <f>IFERROR(VLOOKUP(A1206,#REF!,16,0),0)+IFERROR(VLOOKUP(A1206,#REF!,26,0),0)+IFERROR(VLOOKUP(A1206,#REF!,11,0),0)+IFERROR(VLOOKUP(A1206,#REF!,23,0),0)+IFERROR(VLOOKUP(A1206,#REF!,11,0),0)+IFERROR(VLOOKUP(A1206,#REF!,11,0),0)+IFERROR(VLOOKUP(A1206,#REF!,11,0),0)</f>
        <v>0</v>
      </c>
      <c r="K1206" s="96" t="str">
        <f>"07.02.24"</f>
        <v>07.02.24</v>
      </c>
    </row>
    <row r="1207" spans="1:11" ht="11.25" customHeight="1" outlineLevel="1">
      <c r="A1207" s="89" t="n">
        <v>7088640</v>
      </c>
      <c r="B1207" s="114" t="s">
        <v>1201</v>
      </c>
      <c r="C1207" s="89" t="s">
        <v>1915</v>
      </c>
      <c r="D1207" s="89" t="s">
        <v>15</v>
      </c>
      <c r="E1207" s="89" t="s">
        <v>1916</v>
      </c>
      <c r="F1207" s="102" t="n">
        <v>212</v>
      </c>
      <c r="G1207" s="102" t="n">
        <v>281</v>
      </c>
      <c r="H1207" s="103" t="s">
        <v>17</v>
      </c>
      <c r="I1207" s="103">
        <f>IFERROR(VLOOKUP(A1207,#REF!,15,0),0)+IFERROR(VLOOKUP(A1207,#REF!,25,0),0)+IFERROR(VLOOKUP(A1207,#REF!,10,0),0)+IFERROR(VLOOKUP(A1207,#REF!,14,0),0)+IFERROR(VLOOKUP(A1207,#REF!,11,0),0)+IFERROR(VLOOKUP(A1207,#REF!,10,0),0)+IFERROR(VLOOKUP(A1207,#REF!,10,0),0)+IFERROR(VLOOKUP(A1207,#REF!,9,0),0)+IFERROR(VLOOKUP(A1207,#REF!,9,0),0)+IFERROR(VLOOKUP(A1207,#REF!,9,0),0)+IFERROR(VLOOKUP(A1207,#REF!,9,0),0)</f>
        <v>0</v>
      </c>
      <c r="J1207" s="104">
        <f>IFERROR(VLOOKUP(A1207,#REF!,16,0),0)+IFERROR(VLOOKUP(A1207,#REF!,26,0),0)+IFERROR(VLOOKUP(A1207,#REF!,11,0),0)+IFERROR(VLOOKUP(A1207,#REF!,23,0),0)+IFERROR(VLOOKUP(A1207,#REF!,11,0),0)+IFERROR(VLOOKUP(A1207,#REF!,11,0),0)+IFERROR(VLOOKUP(A1207,#REF!,11,0),0)</f>
        <v>0</v>
      </c>
      <c r="K1207" s="96" t="str">
        <f>"07.02.24"</f>
        <v>07.02.24</v>
      </c>
    </row>
    <row r="1208" spans="1:11" ht="11.25" customHeight="1" outlineLevel="1">
      <c r="A1208" s="89" t="n">
        <v>7088650</v>
      </c>
      <c r="B1208" s="114" t="s">
        <v>1201</v>
      </c>
      <c r="C1208" s="89" t="s">
        <v>1917</v>
      </c>
      <c r="D1208" s="89" t="s">
        <v>15</v>
      </c>
      <c r="E1208" s="89" t="s">
        <v>1918</v>
      </c>
      <c r="F1208" s="102" t="n">
        <v>254</v>
      </c>
      <c r="G1208" s="102" t="n">
        <v>339</v>
      </c>
      <c r="H1208" s="103" t="s">
        <v>17</v>
      </c>
      <c r="I1208" s="103">
        <f>IFERROR(VLOOKUP(A1208,#REF!,15,0),0)+IFERROR(VLOOKUP(A1208,#REF!,25,0),0)+IFERROR(VLOOKUP(A1208,#REF!,10,0),0)+IFERROR(VLOOKUP(A1208,#REF!,14,0),0)+IFERROR(VLOOKUP(A1208,#REF!,11,0),0)+IFERROR(VLOOKUP(A1208,#REF!,10,0),0)+IFERROR(VLOOKUP(A1208,#REF!,10,0),0)+IFERROR(VLOOKUP(A1208,#REF!,9,0),0)+IFERROR(VLOOKUP(A1208,#REF!,9,0),0)+IFERROR(VLOOKUP(A1208,#REF!,9,0),0)+IFERROR(VLOOKUP(A1208,#REF!,9,0),0)</f>
        <v>0</v>
      </c>
      <c r="J1208" s="104">
        <f>IFERROR(VLOOKUP(A1208,#REF!,16,0),0)+IFERROR(VLOOKUP(A1208,#REF!,26,0),0)+IFERROR(VLOOKUP(A1208,#REF!,11,0),0)+IFERROR(VLOOKUP(A1208,#REF!,23,0),0)+IFERROR(VLOOKUP(A1208,#REF!,11,0),0)+IFERROR(VLOOKUP(A1208,#REF!,11,0),0)+IFERROR(VLOOKUP(A1208,#REF!,11,0),0)</f>
        <v>0</v>
      </c>
      <c r="K1208" s="96" t="str">
        <f>"07.02.24"</f>
        <v>07.02.24</v>
      </c>
    </row>
    <row r="1209" spans="1:11" ht="11.25" customHeight="1" outlineLevel="1">
      <c r="A1209" s="89" t="n">
        <v>7088660</v>
      </c>
      <c r="B1209" s="114" t="s">
        <v>1201</v>
      </c>
      <c r="C1209" s="89" t="s">
        <v>1919</v>
      </c>
      <c r="D1209" s="89" t="s">
        <v>15</v>
      </c>
      <c r="E1209" s="89" t="s">
        <v>1920</v>
      </c>
      <c r="F1209" s="102" t="n">
        <v>252</v>
      </c>
      <c r="G1209" s="102" t="n">
        <v>338</v>
      </c>
      <c r="H1209" s="103" t="s">
        <v>17</v>
      </c>
      <c r="I1209" s="103">
        <f>IFERROR(VLOOKUP(A1209,#REF!,15,0),0)+IFERROR(VLOOKUP(A1209,#REF!,25,0),0)+IFERROR(VLOOKUP(A1209,#REF!,10,0),0)+IFERROR(VLOOKUP(A1209,#REF!,14,0),0)+IFERROR(VLOOKUP(A1209,#REF!,11,0),0)+IFERROR(VLOOKUP(A1209,#REF!,10,0),0)+IFERROR(VLOOKUP(A1209,#REF!,10,0),0)+IFERROR(VLOOKUP(A1209,#REF!,9,0),0)+IFERROR(VLOOKUP(A1209,#REF!,9,0),0)+IFERROR(VLOOKUP(A1209,#REF!,9,0),0)+IFERROR(VLOOKUP(A1209,#REF!,9,0),0)</f>
        <v>0</v>
      </c>
      <c r="J1209" s="104">
        <f>IFERROR(VLOOKUP(A1209,#REF!,16,0),0)+IFERROR(VLOOKUP(A1209,#REF!,26,0),0)+IFERROR(VLOOKUP(A1209,#REF!,11,0),0)+IFERROR(VLOOKUP(A1209,#REF!,23,0),0)+IFERROR(VLOOKUP(A1209,#REF!,11,0),0)+IFERROR(VLOOKUP(A1209,#REF!,11,0),0)+IFERROR(VLOOKUP(A1209,#REF!,11,0),0)</f>
        <v>0</v>
      </c>
      <c r="K1209" s="96" t="str">
        <f>"07.02.24"</f>
        <v>07.02.24</v>
      </c>
    </row>
    <row r="1210" spans="1:11" ht="11.25" customHeight="1" outlineLevel="1">
      <c r="A1210" s="89" t="n">
        <v>7088670</v>
      </c>
      <c r="B1210" s="114" t="s">
        <v>1201</v>
      </c>
      <c r="C1210" s="89" t="s">
        <v>1921</v>
      </c>
      <c r="D1210" s="89" t="s">
        <v>15</v>
      </c>
      <c r="E1210" s="89" t="s">
        <v>1922</v>
      </c>
      <c r="F1210" s="102" t="n">
        <v>531</v>
      </c>
      <c r="G1210" s="102" t="n">
        <v>704</v>
      </c>
      <c r="H1210" s="103" t="s">
        <v>48</v>
      </c>
      <c r="I1210" s="103">
        <f>IFERROR(VLOOKUP(A1210,#REF!,15,0),0)+IFERROR(VLOOKUP(A1210,#REF!,25,0),0)+IFERROR(VLOOKUP(A1210,#REF!,10,0),0)+IFERROR(VLOOKUP(A1210,#REF!,14,0),0)+IFERROR(VLOOKUP(A1210,#REF!,11,0),0)+IFERROR(VLOOKUP(A1210,#REF!,10,0),0)+IFERROR(VLOOKUP(A1210,#REF!,10,0),0)+IFERROR(VLOOKUP(A1210,#REF!,9,0),0)+IFERROR(VLOOKUP(A1210,#REF!,9,0),0)+IFERROR(VLOOKUP(A1210,#REF!,9,0),0)+IFERROR(VLOOKUP(A1210,#REF!,9,0),0)</f>
        <v>0</v>
      </c>
      <c r="J1210" s="104">
        <f>IFERROR(VLOOKUP(A1210,#REF!,16,0),0)+IFERROR(VLOOKUP(A1210,#REF!,26,0),0)+IFERROR(VLOOKUP(A1210,#REF!,11,0),0)+IFERROR(VLOOKUP(A1210,#REF!,23,0),0)+IFERROR(VLOOKUP(A1210,#REF!,11,0),0)+IFERROR(VLOOKUP(A1210,#REF!,11,0),0)+IFERROR(VLOOKUP(A1210,#REF!,11,0),0)</f>
        <v>0</v>
      </c>
      <c r="K1210" s="96" t="str">
        <f>"07.02.24"</f>
        <v>07.02.24</v>
      </c>
    </row>
    <row r="1211" spans="1:11" ht="11.25" customHeight="1" outlineLevel="1">
      <c r="A1211" s="89" t="n">
        <v>7088680</v>
      </c>
      <c r="B1211" s="114" t="s">
        <v>1201</v>
      </c>
      <c r="C1211" s="89" t="s">
        <v>1923</v>
      </c>
      <c r="D1211" s="89" t="s">
        <v>15</v>
      </c>
      <c r="E1211" s="89" t="s">
        <v>1924</v>
      </c>
      <c r="F1211" s="102" t="n">
        <v>531</v>
      </c>
      <c r="G1211" s="102" t="n">
        <v>704</v>
      </c>
      <c r="H1211" s="103" t="s">
        <v>48</v>
      </c>
      <c r="I1211" s="103">
        <f>IFERROR(VLOOKUP(A1211,#REF!,15,0),0)+IFERROR(VLOOKUP(A1211,#REF!,25,0),0)+IFERROR(VLOOKUP(A1211,#REF!,10,0),0)+IFERROR(VLOOKUP(A1211,#REF!,14,0),0)+IFERROR(VLOOKUP(A1211,#REF!,11,0),0)+IFERROR(VLOOKUP(A1211,#REF!,10,0),0)+IFERROR(VLOOKUP(A1211,#REF!,10,0),0)+IFERROR(VLOOKUP(A1211,#REF!,9,0),0)+IFERROR(VLOOKUP(A1211,#REF!,9,0),0)+IFERROR(VLOOKUP(A1211,#REF!,9,0),0)+IFERROR(VLOOKUP(A1211,#REF!,9,0),0)</f>
        <v>0</v>
      </c>
      <c r="J1211" s="104">
        <f>IFERROR(VLOOKUP(A1211,#REF!,16,0),0)+IFERROR(VLOOKUP(A1211,#REF!,26,0),0)+IFERROR(VLOOKUP(A1211,#REF!,11,0),0)+IFERROR(VLOOKUP(A1211,#REF!,23,0),0)+IFERROR(VLOOKUP(A1211,#REF!,11,0),0)+IFERROR(VLOOKUP(A1211,#REF!,11,0),0)+IFERROR(VLOOKUP(A1211,#REF!,11,0),0)</f>
        <v>0</v>
      </c>
      <c r="K1211" s="96" t="str">
        <f>"07.02.24"</f>
        <v>07.02.24</v>
      </c>
    </row>
    <row r="1212" spans="1:11" ht="11.25" customHeight="1" outlineLevel="1">
      <c r="A1212" s="89" t="n">
        <v>7088690</v>
      </c>
      <c r="B1212" s="114" t="s">
        <v>1201</v>
      </c>
      <c r="C1212" s="89" t="s">
        <v>1925</v>
      </c>
      <c r="D1212" s="89" t="s">
        <v>15</v>
      </c>
      <c r="E1212" s="89" t="s">
        <v>1926</v>
      </c>
      <c r="F1212" s="102" t="n">
        <v>275</v>
      </c>
      <c r="G1212" s="102" t="n">
        <v>362</v>
      </c>
      <c r="H1212" s="103" t="s">
        <v>17</v>
      </c>
      <c r="I1212" s="103">
        <f>IFERROR(VLOOKUP(A1212,#REF!,15,0),0)+IFERROR(VLOOKUP(A1212,#REF!,25,0),0)+IFERROR(VLOOKUP(A1212,#REF!,10,0),0)+IFERROR(VLOOKUP(A1212,#REF!,14,0),0)+IFERROR(VLOOKUP(A1212,#REF!,11,0),0)+IFERROR(VLOOKUP(A1212,#REF!,10,0),0)+IFERROR(VLOOKUP(A1212,#REF!,10,0),0)+IFERROR(VLOOKUP(A1212,#REF!,9,0),0)+IFERROR(VLOOKUP(A1212,#REF!,9,0),0)+IFERROR(VLOOKUP(A1212,#REF!,9,0),0)+IFERROR(VLOOKUP(A1212,#REF!,9,0),0)</f>
        <v>0</v>
      </c>
      <c r="J1212" s="104">
        <f>IFERROR(VLOOKUP(A1212,#REF!,16,0),0)+IFERROR(VLOOKUP(A1212,#REF!,26,0),0)+IFERROR(VLOOKUP(A1212,#REF!,11,0),0)+IFERROR(VLOOKUP(A1212,#REF!,23,0),0)+IFERROR(VLOOKUP(A1212,#REF!,11,0),0)+IFERROR(VLOOKUP(A1212,#REF!,11,0),0)+IFERROR(VLOOKUP(A1212,#REF!,11,0),0)</f>
        <v>0</v>
      </c>
      <c r="K1212" s="96" t="str">
        <f>"07.02.24"</f>
        <v>07.02.24</v>
      </c>
    </row>
    <row r="1213" spans="1:11" ht="11.25" customHeight="1" outlineLevel="1">
      <c r="A1213" s="89" t="n">
        <v>7088700</v>
      </c>
      <c r="B1213" s="114" t="s">
        <v>1201</v>
      </c>
      <c r="C1213" s="89" t="s">
        <v>1927</v>
      </c>
      <c r="D1213" s="89" t="s">
        <v>15</v>
      </c>
      <c r="E1213" s="89" t="s">
        <v>1928</v>
      </c>
      <c r="F1213" s="102" t="n">
        <v>296</v>
      </c>
      <c r="G1213" s="102" t="n">
        <v>393</v>
      </c>
      <c r="H1213" s="103" t="s">
        <v>17</v>
      </c>
      <c r="I1213" s="103">
        <f>IFERROR(VLOOKUP(A1213,#REF!,15,0),0)+IFERROR(VLOOKUP(A1213,#REF!,25,0),0)+IFERROR(VLOOKUP(A1213,#REF!,10,0),0)+IFERROR(VLOOKUP(A1213,#REF!,14,0),0)+IFERROR(VLOOKUP(A1213,#REF!,11,0),0)+IFERROR(VLOOKUP(A1213,#REF!,10,0),0)+IFERROR(VLOOKUP(A1213,#REF!,10,0),0)+IFERROR(VLOOKUP(A1213,#REF!,9,0),0)+IFERROR(VLOOKUP(A1213,#REF!,9,0),0)+IFERROR(VLOOKUP(A1213,#REF!,9,0),0)+IFERROR(VLOOKUP(A1213,#REF!,9,0),0)</f>
        <v>0</v>
      </c>
      <c r="J1213" s="104">
        <f>IFERROR(VLOOKUP(A1213,#REF!,16,0),0)+IFERROR(VLOOKUP(A1213,#REF!,26,0),0)+IFERROR(VLOOKUP(A1213,#REF!,11,0),0)+IFERROR(VLOOKUP(A1213,#REF!,23,0),0)+IFERROR(VLOOKUP(A1213,#REF!,11,0),0)+IFERROR(VLOOKUP(A1213,#REF!,11,0),0)+IFERROR(VLOOKUP(A1213,#REF!,11,0),0)</f>
        <v>0</v>
      </c>
      <c r="K1213" s="96" t="str">
        <f>"07.02.24"</f>
        <v>07.02.24</v>
      </c>
    </row>
    <row r="1214" spans="1:11" ht="11.25" customHeight="1" outlineLevel="1">
      <c r="A1214" s="89" t="n">
        <v>7088710</v>
      </c>
      <c r="B1214" s="114" t="s">
        <v>1201</v>
      </c>
      <c r="C1214" s="89" t="s">
        <v>1929</v>
      </c>
      <c r="D1214" s="89" t="s">
        <v>15</v>
      </c>
      <c r="E1214" s="89" t="s">
        <v>1930</v>
      </c>
      <c r="F1214" s="102" t="n">
        <v>365</v>
      </c>
      <c r="G1214" s="102" t="n">
        <v>482</v>
      </c>
      <c r="H1214" s="103" t="s">
        <v>17</v>
      </c>
      <c r="I1214" s="103">
        <f>IFERROR(VLOOKUP(A1214,#REF!,15,0),0)+IFERROR(VLOOKUP(A1214,#REF!,25,0),0)+IFERROR(VLOOKUP(A1214,#REF!,10,0),0)+IFERROR(VLOOKUP(A1214,#REF!,14,0),0)+IFERROR(VLOOKUP(A1214,#REF!,11,0),0)+IFERROR(VLOOKUP(A1214,#REF!,10,0),0)+IFERROR(VLOOKUP(A1214,#REF!,10,0),0)+IFERROR(VLOOKUP(A1214,#REF!,9,0),0)+IFERROR(VLOOKUP(A1214,#REF!,9,0),0)+IFERROR(VLOOKUP(A1214,#REF!,9,0),0)+IFERROR(VLOOKUP(A1214,#REF!,9,0),0)</f>
        <v>0</v>
      </c>
      <c r="J1214" s="104">
        <f>IFERROR(VLOOKUP(A1214,#REF!,16,0),0)+IFERROR(VLOOKUP(A1214,#REF!,26,0),0)+IFERROR(VLOOKUP(A1214,#REF!,11,0),0)+IFERROR(VLOOKUP(A1214,#REF!,23,0),0)+IFERROR(VLOOKUP(A1214,#REF!,11,0),0)+IFERROR(VLOOKUP(A1214,#REF!,11,0),0)+IFERROR(VLOOKUP(A1214,#REF!,11,0),0)</f>
        <v>0</v>
      </c>
      <c r="K1214" s="96" t="str">
        <f>"07.02.24"</f>
        <v>07.02.24</v>
      </c>
    </row>
    <row r="1215" spans="1:11" ht="11.25" customHeight="1" outlineLevel="1">
      <c r="A1215" s="89" t="n">
        <v>8080350</v>
      </c>
      <c r="B1215" s="114" t="s">
        <v>1201</v>
      </c>
      <c r="C1215" s="89" t="s">
        <v>1931</v>
      </c>
      <c r="D1215" s="89" t="s">
        <v>15</v>
      </c>
      <c r="E1215" s="89" t="s">
        <v>1932</v>
      </c>
      <c r="F1215" s="102" t="n">
        <v>1522</v>
      </c>
      <c r="G1215" s="102" t="n">
        <v>2024</v>
      </c>
      <c r="H1215" s="103" t="s">
        <v>17</v>
      </c>
      <c r="I1215" s="103">
        <f>IFERROR(VLOOKUP(A1215,#REF!,15,0),0)+IFERROR(VLOOKUP(A1215,#REF!,25,0),0)+IFERROR(VLOOKUP(A1215,#REF!,10,0),0)+IFERROR(VLOOKUP(A1215,#REF!,14,0),0)+IFERROR(VLOOKUP(A1215,#REF!,11,0),0)+IFERROR(VLOOKUP(A1215,#REF!,10,0),0)+IFERROR(VLOOKUP(A1215,#REF!,10,0),0)+IFERROR(VLOOKUP(A1215,#REF!,9,0),0)+IFERROR(VLOOKUP(A1215,#REF!,9,0),0)+IFERROR(VLOOKUP(A1215,#REF!,9,0),0)+IFERROR(VLOOKUP(A1215,#REF!,9,0),0)</f>
        <v>0</v>
      </c>
      <c r="J1215" s="104">
        <f>IFERROR(VLOOKUP(A1215,#REF!,16,0),0)+IFERROR(VLOOKUP(A1215,#REF!,26,0),0)+IFERROR(VLOOKUP(A1215,#REF!,11,0),0)+IFERROR(VLOOKUP(A1215,#REF!,23,0),0)+IFERROR(VLOOKUP(A1215,#REF!,11,0),0)+IFERROR(VLOOKUP(A1215,#REF!,11,0),0)+IFERROR(VLOOKUP(A1215,#REF!,11,0),0)</f>
        <v>0</v>
      </c>
      <c r="K1215" s="96" t="str">
        <f>"07.02.24"</f>
        <v>07.02.24</v>
      </c>
    </row>
    <row r="1216" spans="1:11" ht="11.25" customHeight="1" outlineLevel="1">
      <c r="A1216" s="89" t="n">
        <v>8080360</v>
      </c>
      <c r="B1216" s="114" t="s">
        <v>1201</v>
      </c>
      <c r="C1216" s="89" t="s">
        <v>1933</v>
      </c>
      <c r="D1216" s="89" t="s">
        <v>15</v>
      </c>
      <c r="E1216" s="89" t="s">
        <v>1934</v>
      </c>
      <c r="F1216" s="102" t="n">
        <v>1522</v>
      </c>
      <c r="G1216" s="102" t="n">
        <v>2024</v>
      </c>
      <c r="H1216" s="103" t="s">
        <v>17</v>
      </c>
      <c r="I1216" s="103">
        <f>IFERROR(VLOOKUP(A1216,#REF!,15,0),0)+IFERROR(VLOOKUP(A1216,#REF!,25,0),0)+IFERROR(VLOOKUP(A1216,#REF!,10,0),0)+IFERROR(VLOOKUP(A1216,#REF!,14,0),0)+IFERROR(VLOOKUP(A1216,#REF!,11,0),0)+IFERROR(VLOOKUP(A1216,#REF!,10,0),0)+IFERROR(VLOOKUP(A1216,#REF!,10,0),0)+IFERROR(VLOOKUP(A1216,#REF!,9,0),0)+IFERROR(VLOOKUP(A1216,#REF!,9,0),0)+IFERROR(VLOOKUP(A1216,#REF!,9,0),0)+IFERROR(VLOOKUP(A1216,#REF!,9,0),0)</f>
        <v>0</v>
      </c>
      <c r="J1216" s="104">
        <f>IFERROR(VLOOKUP(A1216,#REF!,16,0),0)+IFERROR(VLOOKUP(A1216,#REF!,26,0),0)+IFERROR(VLOOKUP(A1216,#REF!,11,0),0)+IFERROR(VLOOKUP(A1216,#REF!,23,0),0)+IFERROR(VLOOKUP(A1216,#REF!,11,0),0)+IFERROR(VLOOKUP(A1216,#REF!,11,0),0)+IFERROR(VLOOKUP(A1216,#REF!,11,0),0)</f>
        <v>0</v>
      </c>
      <c r="K1216" s="96" t="str">
        <f>"07.02.24"</f>
        <v>07.02.24</v>
      </c>
    </row>
    <row r="1217" spans="1:11" ht="11.25" customHeight="1" outlineLevel="1">
      <c r="A1217" s="89" t="n">
        <v>8080370</v>
      </c>
      <c r="B1217" s="114" t="s">
        <v>1201</v>
      </c>
      <c r="C1217" s="89" t="s">
        <v>1935</v>
      </c>
      <c r="D1217" s="89" t="s">
        <v>15</v>
      </c>
      <c r="E1217" s="89" t="s">
        <v>1936</v>
      </c>
      <c r="F1217" s="102" t="n">
        <v>1522</v>
      </c>
      <c r="G1217" s="102" t="n">
        <v>2024</v>
      </c>
      <c r="H1217" s="103" t="s">
        <v>17</v>
      </c>
      <c r="I1217" s="103">
        <f>IFERROR(VLOOKUP(A1217,#REF!,15,0),0)+IFERROR(VLOOKUP(A1217,#REF!,25,0),0)+IFERROR(VLOOKUP(A1217,#REF!,10,0),0)+IFERROR(VLOOKUP(A1217,#REF!,14,0),0)+IFERROR(VLOOKUP(A1217,#REF!,11,0),0)+IFERROR(VLOOKUP(A1217,#REF!,10,0),0)+IFERROR(VLOOKUP(A1217,#REF!,10,0),0)+IFERROR(VLOOKUP(A1217,#REF!,9,0),0)+IFERROR(VLOOKUP(A1217,#REF!,9,0),0)+IFERROR(VLOOKUP(A1217,#REF!,9,0),0)+IFERROR(VLOOKUP(A1217,#REF!,9,0),0)</f>
        <v>0</v>
      </c>
      <c r="J1217" s="104">
        <f>IFERROR(VLOOKUP(A1217,#REF!,16,0),0)+IFERROR(VLOOKUP(A1217,#REF!,26,0),0)+IFERROR(VLOOKUP(A1217,#REF!,11,0),0)+IFERROR(VLOOKUP(A1217,#REF!,23,0),0)+IFERROR(VLOOKUP(A1217,#REF!,11,0),0)+IFERROR(VLOOKUP(A1217,#REF!,11,0),0)+IFERROR(VLOOKUP(A1217,#REF!,11,0),0)</f>
        <v>0</v>
      </c>
      <c r="K1217" s="96" t="str">
        <f>"07.02.24"</f>
        <v>07.02.24</v>
      </c>
    </row>
    <row r="1218" spans="1:11" ht="11.25" customHeight="1" outlineLevel="1">
      <c r="A1218" s="89" t="n">
        <v>8080380</v>
      </c>
      <c r="B1218" s="114" t="s">
        <v>1201</v>
      </c>
      <c r="C1218" s="89" t="s">
        <v>1937</v>
      </c>
      <c r="D1218" s="89" t="s">
        <v>15</v>
      </c>
      <c r="E1218" s="89" t="s">
        <v>1938</v>
      </c>
      <c r="F1218" s="102" t="n">
        <v>1703</v>
      </c>
      <c r="G1218" s="102" t="n">
        <v>2263</v>
      </c>
      <c r="H1218" s="103" t="s">
        <v>17</v>
      </c>
      <c r="I1218" s="103">
        <f>IFERROR(VLOOKUP(A1218,#REF!,15,0),0)+IFERROR(VLOOKUP(A1218,#REF!,25,0),0)+IFERROR(VLOOKUP(A1218,#REF!,10,0),0)+IFERROR(VLOOKUP(A1218,#REF!,14,0),0)+IFERROR(VLOOKUP(A1218,#REF!,11,0),0)+IFERROR(VLOOKUP(A1218,#REF!,10,0),0)+IFERROR(VLOOKUP(A1218,#REF!,10,0),0)+IFERROR(VLOOKUP(A1218,#REF!,9,0),0)+IFERROR(VLOOKUP(A1218,#REF!,9,0),0)+IFERROR(VLOOKUP(A1218,#REF!,9,0),0)+IFERROR(VLOOKUP(A1218,#REF!,9,0),0)</f>
        <v>0</v>
      </c>
      <c r="J1218" s="104">
        <f>IFERROR(VLOOKUP(A1218,#REF!,16,0),0)+IFERROR(VLOOKUP(A1218,#REF!,26,0),0)+IFERROR(VLOOKUP(A1218,#REF!,11,0),0)+IFERROR(VLOOKUP(A1218,#REF!,23,0),0)+IFERROR(VLOOKUP(A1218,#REF!,11,0),0)+IFERROR(VLOOKUP(A1218,#REF!,11,0),0)+IFERROR(VLOOKUP(A1218,#REF!,11,0),0)</f>
        <v>0</v>
      </c>
      <c r="K1218" s="96" t="str">
        <f>"07.02.24"</f>
        <v>07.02.24</v>
      </c>
    </row>
    <row r="1219" spans="1:11" ht="11.25" customHeight="1" outlineLevel="1">
      <c r="A1219" s="89" t="n">
        <v>8080390</v>
      </c>
      <c r="B1219" s="114" t="s">
        <v>1201</v>
      </c>
      <c r="C1219" s="89" t="s">
        <v>1939</v>
      </c>
      <c r="D1219" s="89" t="s">
        <v>15</v>
      </c>
      <c r="E1219" s="89" t="s">
        <v>1940</v>
      </c>
      <c r="F1219" s="102" t="n">
        <v>1706</v>
      </c>
      <c r="G1219" s="102" t="n">
        <v>2268</v>
      </c>
      <c r="H1219" s="103" t="s">
        <v>17</v>
      </c>
      <c r="I1219" s="103">
        <f>IFERROR(VLOOKUP(A1219,#REF!,15,0),0)+IFERROR(VLOOKUP(A1219,#REF!,25,0),0)+IFERROR(VLOOKUP(A1219,#REF!,10,0),0)+IFERROR(VLOOKUP(A1219,#REF!,14,0),0)+IFERROR(VLOOKUP(A1219,#REF!,11,0),0)+IFERROR(VLOOKUP(A1219,#REF!,10,0),0)+IFERROR(VLOOKUP(A1219,#REF!,10,0),0)+IFERROR(VLOOKUP(A1219,#REF!,9,0),0)+IFERROR(VLOOKUP(A1219,#REF!,9,0),0)+IFERROR(VLOOKUP(A1219,#REF!,9,0),0)+IFERROR(VLOOKUP(A1219,#REF!,9,0),0)</f>
        <v>0</v>
      </c>
      <c r="J1219" s="104">
        <f>IFERROR(VLOOKUP(A1219,#REF!,16,0),0)+IFERROR(VLOOKUP(A1219,#REF!,26,0),0)+IFERROR(VLOOKUP(A1219,#REF!,11,0),0)+IFERROR(VLOOKUP(A1219,#REF!,23,0),0)+IFERROR(VLOOKUP(A1219,#REF!,11,0),0)+IFERROR(VLOOKUP(A1219,#REF!,11,0),0)+IFERROR(VLOOKUP(A1219,#REF!,11,0),0)</f>
        <v>0</v>
      </c>
      <c r="K1219" s="96" t="str">
        <f>"07.02.24"</f>
        <v>07.02.24</v>
      </c>
    </row>
    <row r="1220" spans="1:11" ht="11.25" customHeight="1" outlineLevel="1">
      <c r="A1220" s="89" t="n">
        <v>8080400</v>
      </c>
      <c r="B1220" s="114" t="s">
        <v>1201</v>
      </c>
      <c r="C1220" s="89" t="s">
        <v>1941</v>
      </c>
      <c r="D1220" s="89" t="s">
        <v>15</v>
      </c>
      <c r="E1220" s="89" t="s">
        <v>1942</v>
      </c>
      <c r="F1220" s="102" t="n">
        <v>1706</v>
      </c>
      <c r="G1220" s="102" t="n">
        <v>2268</v>
      </c>
      <c r="H1220" s="103" t="s">
        <v>17</v>
      </c>
      <c r="I1220" s="103">
        <f>IFERROR(VLOOKUP(A1220,#REF!,15,0),0)+IFERROR(VLOOKUP(A1220,#REF!,25,0),0)+IFERROR(VLOOKUP(A1220,#REF!,10,0),0)+IFERROR(VLOOKUP(A1220,#REF!,14,0),0)+IFERROR(VLOOKUP(A1220,#REF!,11,0),0)+IFERROR(VLOOKUP(A1220,#REF!,10,0),0)+IFERROR(VLOOKUP(A1220,#REF!,10,0),0)+IFERROR(VLOOKUP(A1220,#REF!,9,0),0)+IFERROR(VLOOKUP(A1220,#REF!,9,0),0)+IFERROR(VLOOKUP(A1220,#REF!,9,0),0)+IFERROR(VLOOKUP(A1220,#REF!,9,0),0)</f>
        <v>0</v>
      </c>
      <c r="J1220" s="104">
        <f>IFERROR(VLOOKUP(A1220,#REF!,16,0),0)+IFERROR(VLOOKUP(A1220,#REF!,26,0),0)+IFERROR(VLOOKUP(A1220,#REF!,11,0),0)+IFERROR(VLOOKUP(A1220,#REF!,23,0),0)+IFERROR(VLOOKUP(A1220,#REF!,11,0),0)+IFERROR(VLOOKUP(A1220,#REF!,11,0),0)+IFERROR(VLOOKUP(A1220,#REF!,11,0),0)</f>
        <v>0</v>
      </c>
      <c r="K1220" s="96" t="str">
        <f>"07.02.24"</f>
        <v>07.02.24</v>
      </c>
    </row>
    <row r="1221" spans="1:11" ht="11.25" customHeight="1" outlineLevel="1">
      <c r="A1221" s="89" t="n">
        <v>8080410</v>
      </c>
      <c r="B1221" s="114" t="s">
        <v>1201</v>
      </c>
      <c r="C1221" s="89" t="s">
        <v>1943</v>
      </c>
      <c r="D1221" s="89" t="s">
        <v>15</v>
      </c>
      <c r="E1221" s="89" t="s">
        <v>1944</v>
      </c>
      <c r="F1221" s="102" t="n">
        <v>641</v>
      </c>
      <c r="G1221" s="102" t="n">
        <v>852</v>
      </c>
      <c r="H1221" s="103" t="s">
        <v>17</v>
      </c>
      <c r="I1221" s="103">
        <f>IFERROR(VLOOKUP(A1221,#REF!,15,0),0)+IFERROR(VLOOKUP(A1221,#REF!,25,0),0)+IFERROR(VLOOKUP(A1221,#REF!,10,0),0)+IFERROR(VLOOKUP(A1221,#REF!,14,0),0)+IFERROR(VLOOKUP(A1221,#REF!,11,0),0)+IFERROR(VLOOKUP(A1221,#REF!,10,0),0)+IFERROR(VLOOKUP(A1221,#REF!,10,0),0)+IFERROR(VLOOKUP(A1221,#REF!,9,0),0)+IFERROR(VLOOKUP(A1221,#REF!,9,0),0)+IFERROR(VLOOKUP(A1221,#REF!,9,0),0)+IFERROR(VLOOKUP(A1221,#REF!,9,0),0)</f>
        <v>0</v>
      </c>
      <c r="J1221" s="104">
        <f>IFERROR(VLOOKUP(A1221,#REF!,16,0),0)+IFERROR(VLOOKUP(A1221,#REF!,26,0),0)+IFERROR(VLOOKUP(A1221,#REF!,11,0),0)+IFERROR(VLOOKUP(A1221,#REF!,23,0),0)+IFERROR(VLOOKUP(A1221,#REF!,11,0),0)+IFERROR(VLOOKUP(A1221,#REF!,11,0),0)+IFERROR(VLOOKUP(A1221,#REF!,11,0),0)</f>
        <v>0</v>
      </c>
      <c r="K1221" s="96" t="str">
        <f>"07.02.24"</f>
        <v>07.02.24</v>
      </c>
    </row>
    <row r="1222" spans="1:11" ht="11.25" customHeight="1" outlineLevel="1">
      <c r="A1222" s="89" t="n">
        <v>8080420</v>
      </c>
      <c r="B1222" s="114" t="s">
        <v>1201</v>
      </c>
      <c r="C1222" s="89" t="s">
        <v>1945</v>
      </c>
      <c r="D1222" s="89" t="s">
        <v>15</v>
      </c>
      <c r="E1222" s="89" t="s">
        <v>1946</v>
      </c>
      <c r="F1222" s="102" t="n">
        <v>733</v>
      </c>
      <c r="G1222" s="102" t="n">
        <v>970</v>
      </c>
      <c r="H1222" s="103" t="s">
        <v>17</v>
      </c>
      <c r="I1222" s="103">
        <f>IFERROR(VLOOKUP(A1222,#REF!,15,0),0)+IFERROR(VLOOKUP(A1222,#REF!,25,0),0)+IFERROR(VLOOKUP(A1222,#REF!,10,0),0)+IFERROR(VLOOKUP(A1222,#REF!,14,0),0)+IFERROR(VLOOKUP(A1222,#REF!,11,0),0)+IFERROR(VLOOKUP(A1222,#REF!,10,0),0)+IFERROR(VLOOKUP(A1222,#REF!,10,0),0)+IFERROR(VLOOKUP(A1222,#REF!,9,0),0)+IFERROR(VLOOKUP(A1222,#REF!,9,0),0)+IFERROR(VLOOKUP(A1222,#REF!,9,0),0)+IFERROR(VLOOKUP(A1222,#REF!,9,0),0)</f>
        <v>0</v>
      </c>
      <c r="J1222" s="104">
        <f>IFERROR(VLOOKUP(A1222,#REF!,16,0),0)+IFERROR(VLOOKUP(A1222,#REF!,26,0),0)+IFERROR(VLOOKUP(A1222,#REF!,11,0),0)+IFERROR(VLOOKUP(A1222,#REF!,23,0),0)+IFERROR(VLOOKUP(A1222,#REF!,11,0),0)+IFERROR(VLOOKUP(A1222,#REF!,11,0),0)+IFERROR(VLOOKUP(A1222,#REF!,11,0),0)</f>
        <v>0</v>
      </c>
      <c r="K1222" s="96" t="str">
        <f>"07.02.24"</f>
        <v>07.02.24</v>
      </c>
    </row>
    <row r="1223" spans="1:11" ht="11.25" customHeight="1" outlineLevel="1">
      <c r="A1223" s="89" t="n">
        <v>8080430</v>
      </c>
      <c r="B1223" s="114" t="s">
        <v>1201</v>
      </c>
      <c r="C1223" s="89" t="s">
        <v>1947</v>
      </c>
      <c r="D1223" s="89" t="s">
        <v>15</v>
      </c>
      <c r="E1223" s="89" t="s">
        <v>1948</v>
      </c>
      <c r="F1223" s="102" t="n">
        <v>806</v>
      </c>
      <c r="G1223" s="102" t="n">
        <v>1069</v>
      </c>
      <c r="H1223" s="103" t="s">
        <v>17</v>
      </c>
      <c r="I1223" s="103">
        <f>IFERROR(VLOOKUP(A1223,#REF!,15,0),0)+IFERROR(VLOOKUP(A1223,#REF!,25,0),0)+IFERROR(VLOOKUP(A1223,#REF!,10,0),0)+IFERROR(VLOOKUP(A1223,#REF!,14,0),0)+IFERROR(VLOOKUP(A1223,#REF!,11,0),0)+IFERROR(VLOOKUP(A1223,#REF!,10,0),0)+IFERROR(VLOOKUP(A1223,#REF!,10,0),0)+IFERROR(VLOOKUP(A1223,#REF!,9,0),0)+IFERROR(VLOOKUP(A1223,#REF!,9,0),0)+IFERROR(VLOOKUP(A1223,#REF!,9,0),0)+IFERROR(VLOOKUP(A1223,#REF!,9,0),0)</f>
        <v>0</v>
      </c>
      <c r="J1223" s="104">
        <f>IFERROR(VLOOKUP(A1223,#REF!,16,0),0)+IFERROR(VLOOKUP(A1223,#REF!,26,0),0)+IFERROR(VLOOKUP(A1223,#REF!,11,0),0)+IFERROR(VLOOKUP(A1223,#REF!,23,0),0)+IFERROR(VLOOKUP(A1223,#REF!,11,0),0)+IFERROR(VLOOKUP(A1223,#REF!,11,0),0)+IFERROR(VLOOKUP(A1223,#REF!,11,0),0)</f>
        <v>0</v>
      </c>
      <c r="K1223" s="96" t="str">
        <f>"07.02.24"</f>
        <v>07.02.24</v>
      </c>
    </row>
    <row r="1224" spans="1:11" ht="11.25" customHeight="1" outlineLevel="1">
      <c r="A1224" s="89" t="n">
        <v>8080440</v>
      </c>
      <c r="B1224" s="114" t="s">
        <v>1201</v>
      </c>
      <c r="C1224" s="89" t="s">
        <v>1949</v>
      </c>
      <c r="D1224" s="89" t="s">
        <v>15</v>
      </c>
      <c r="E1224" s="89" t="s">
        <v>1950</v>
      </c>
      <c r="F1224" s="102" t="n">
        <v>1011</v>
      </c>
      <c r="G1224" s="102" t="n">
        <v>1342</v>
      </c>
      <c r="H1224" s="103" t="s">
        <v>17</v>
      </c>
      <c r="I1224" s="103">
        <f>IFERROR(VLOOKUP(A1224,#REF!,15,0),0)+IFERROR(VLOOKUP(A1224,#REF!,25,0),0)+IFERROR(VLOOKUP(A1224,#REF!,10,0),0)+IFERROR(VLOOKUP(A1224,#REF!,14,0),0)+IFERROR(VLOOKUP(A1224,#REF!,11,0),0)+IFERROR(VLOOKUP(A1224,#REF!,10,0),0)+IFERROR(VLOOKUP(A1224,#REF!,10,0),0)+IFERROR(VLOOKUP(A1224,#REF!,9,0),0)+IFERROR(VLOOKUP(A1224,#REF!,9,0),0)+IFERROR(VLOOKUP(A1224,#REF!,9,0),0)+IFERROR(VLOOKUP(A1224,#REF!,9,0),0)</f>
        <v>0</v>
      </c>
      <c r="J1224" s="104">
        <f>IFERROR(VLOOKUP(A1224,#REF!,16,0),0)+IFERROR(VLOOKUP(A1224,#REF!,26,0),0)+IFERROR(VLOOKUP(A1224,#REF!,11,0),0)+IFERROR(VLOOKUP(A1224,#REF!,23,0),0)+IFERROR(VLOOKUP(A1224,#REF!,11,0),0)+IFERROR(VLOOKUP(A1224,#REF!,11,0),0)+IFERROR(VLOOKUP(A1224,#REF!,11,0),0)</f>
        <v>0</v>
      </c>
      <c r="K1224" s="96" t="str">
        <f>"07.02.24"</f>
        <v>07.02.24</v>
      </c>
    </row>
    <row r="1225" spans="1:11" ht="11.25" customHeight="1" outlineLevel="1">
      <c r="A1225" s="89" t="n">
        <v>8080450</v>
      </c>
      <c r="B1225" s="114" t="s">
        <v>1201</v>
      </c>
      <c r="C1225" s="89" t="s">
        <v>1951</v>
      </c>
      <c r="D1225" s="89" t="s">
        <v>15</v>
      </c>
      <c r="E1225" s="89" t="s">
        <v>1952</v>
      </c>
      <c r="F1225" s="102" t="n">
        <v>224</v>
      </c>
      <c r="G1225" s="102" t="n">
        <v>298</v>
      </c>
      <c r="H1225" s="103" t="s">
        <v>17</v>
      </c>
      <c r="I1225" s="103">
        <f>IFERROR(VLOOKUP(A1225,#REF!,15,0),0)+IFERROR(VLOOKUP(A1225,#REF!,25,0),0)+IFERROR(VLOOKUP(A1225,#REF!,10,0),0)+IFERROR(VLOOKUP(A1225,#REF!,14,0),0)+IFERROR(VLOOKUP(A1225,#REF!,11,0),0)+IFERROR(VLOOKUP(A1225,#REF!,10,0),0)+IFERROR(VLOOKUP(A1225,#REF!,10,0),0)+IFERROR(VLOOKUP(A1225,#REF!,9,0),0)+IFERROR(VLOOKUP(A1225,#REF!,9,0),0)+IFERROR(VLOOKUP(A1225,#REF!,9,0),0)+IFERROR(VLOOKUP(A1225,#REF!,9,0),0)</f>
        <v>0</v>
      </c>
      <c r="J1225" s="104">
        <f>IFERROR(VLOOKUP(A1225,#REF!,16,0),0)+IFERROR(VLOOKUP(A1225,#REF!,26,0),0)+IFERROR(VLOOKUP(A1225,#REF!,11,0),0)+IFERROR(VLOOKUP(A1225,#REF!,23,0),0)+IFERROR(VLOOKUP(A1225,#REF!,11,0),0)+IFERROR(VLOOKUP(A1225,#REF!,11,0),0)+IFERROR(VLOOKUP(A1225,#REF!,11,0),0)</f>
        <v>0</v>
      </c>
      <c r="K1225" s="96" t="str">
        <f>"07.02.24"</f>
        <v>07.02.24</v>
      </c>
    </row>
    <row r="1226" spans="1:11" ht="11.25" customHeight="1" outlineLevel="1">
      <c r="A1226" s="89" t="n">
        <v>8080460</v>
      </c>
      <c r="B1226" s="114" t="s">
        <v>1201</v>
      </c>
      <c r="C1226" s="89" t="s">
        <v>1953</v>
      </c>
      <c r="D1226" s="89" t="s">
        <v>15</v>
      </c>
      <c r="E1226" s="89" t="s">
        <v>1954</v>
      </c>
      <c r="F1226" s="102" t="n">
        <v>210</v>
      </c>
      <c r="G1226" s="102" t="n">
        <v>278</v>
      </c>
      <c r="H1226" s="103" t="s">
        <v>48</v>
      </c>
      <c r="I1226" s="103">
        <f>IFERROR(VLOOKUP(A1226,#REF!,15,0),0)+IFERROR(VLOOKUP(A1226,#REF!,25,0),0)+IFERROR(VLOOKUP(A1226,#REF!,10,0),0)+IFERROR(VLOOKUP(A1226,#REF!,14,0),0)+IFERROR(VLOOKUP(A1226,#REF!,11,0),0)+IFERROR(VLOOKUP(A1226,#REF!,10,0),0)+IFERROR(VLOOKUP(A1226,#REF!,10,0),0)+IFERROR(VLOOKUP(A1226,#REF!,9,0),0)+IFERROR(VLOOKUP(A1226,#REF!,9,0),0)+IFERROR(VLOOKUP(A1226,#REF!,9,0),0)+IFERROR(VLOOKUP(A1226,#REF!,9,0),0)</f>
        <v>0</v>
      </c>
      <c r="J1226" s="104">
        <f>IFERROR(VLOOKUP(A1226,#REF!,16,0),0)+IFERROR(VLOOKUP(A1226,#REF!,26,0),0)+IFERROR(VLOOKUP(A1226,#REF!,11,0),0)+IFERROR(VLOOKUP(A1226,#REF!,23,0),0)+IFERROR(VLOOKUP(A1226,#REF!,11,0),0)+IFERROR(VLOOKUP(A1226,#REF!,11,0),0)+IFERROR(VLOOKUP(A1226,#REF!,11,0),0)</f>
        <v>0</v>
      </c>
      <c r="K1226" s="96" t="str">
        <f>"07.02.24"</f>
        <v>07.02.24</v>
      </c>
    </row>
    <row r="1227" spans="1:11" ht="11.25" customHeight="1" outlineLevel="1">
      <c r="A1227" s="89" t="n">
        <v>8080470</v>
      </c>
      <c r="B1227" s="114" t="s">
        <v>1201</v>
      </c>
      <c r="C1227" s="89" t="s">
        <v>1955</v>
      </c>
      <c r="D1227" s="89" t="s">
        <v>15</v>
      </c>
      <c r="E1227" s="89" t="s">
        <v>1956</v>
      </c>
      <c r="F1227" s="102" t="n">
        <v>269</v>
      </c>
      <c r="G1227" s="102" t="n">
        <v>357</v>
      </c>
      <c r="H1227" s="103" t="s">
        <v>17</v>
      </c>
      <c r="I1227" s="103">
        <f>IFERROR(VLOOKUP(A1227,#REF!,15,0),0)+IFERROR(VLOOKUP(A1227,#REF!,25,0),0)+IFERROR(VLOOKUP(A1227,#REF!,10,0),0)+IFERROR(VLOOKUP(A1227,#REF!,14,0),0)+IFERROR(VLOOKUP(A1227,#REF!,11,0),0)+IFERROR(VLOOKUP(A1227,#REF!,10,0),0)+IFERROR(VLOOKUP(A1227,#REF!,10,0),0)+IFERROR(VLOOKUP(A1227,#REF!,9,0),0)+IFERROR(VLOOKUP(A1227,#REF!,9,0),0)+IFERROR(VLOOKUP(A1227,#REF!,9,0),0)+IFERROR(VLOOKUP(A1227,#REF!,9,0),0)</f>
        <v>0</v>
      </c>
      <c r="J1227" s="104">
        <f>IFERROR(VLOOKUP(A1227,#REF!,16,0),0)+IFERROR(VLOOKUP(A1227,#REF!,26,0),0)+IFERROR(VLOOKUP(A1227,#REF!,11,0),0)+IFERROR(VLOOKUP(A1227,#REF!,23,0),0)+IFERROR(VLOOKUP(A1227,#REF!,11,0),0)+IFERROR(VLOOKUP(A1227,#REF!,11,0),0)+IFERROR(VLOOKUP(A1227,#REF!,11,0),0)</f>
        <v>0</v>
      </c>
      <c r="K1227" s="96" t="str">
        <f>"07.02.24"</f>
        <v>07.02.24</v>
      </c>
    </row>
    <row r="1228" spans="1:11" ht="11.25" customHeight="1" outlineLevel="1">
      <c r="A1228" s="89" t="n">
        <v>8080480</v>
      </c>
      <c r="B1228" s="114" t="s">
        <v>1201</v>
      </c>
      <c r="C1228" s="89" t="s">
        <v>1957</v>
      </c>
      <c r="D1228" s="89" t="s">
        <v>15</v>
      </c>
      <c r="E1228" s="89" t="s">
        <v>1958</v>
      </c>
      <c r="F1228" s="102" t="n">
        <v>266</v>
      </c>
      <c r="G1228" s="102" t="n">
        <v>353</v>
      </c>
      <c r="H1228" s="103" t="s">
        <v>17</v>
      </c>
      <c r="I1228" s="103">
        <f>IFERROR(VLOOKUP(A1228,#REF!,15,0),0)+IFERROR(VLOOKUP(A1228,#REF!,25,0),0)+IFERROR(VLOOKUP(A1228,#REF!,10,0),0)+IFERROR(VLOOKUP(A1228,#REF!,14,0),0)+IFERROR(VLOOKUP(A1228,#REF!,11,0),0)+IFERROR(VLOOKUP(A1228,#REF!,10,0),0)+IFERROR(VLOOKUP(A1228,#REF!,10,0),0)+IFERROR(VLOOKUP(A1228,#REF!,9,0),0)+IFERROR(VLOOKUP(A1228,#REF!,9,0),0)+IFERROR(VLOOKUP(A1228,#REF!,9,0),0)+IFERROR(VLOOKUP(A1228,#REF!,9,0),0)</f>
        <v>0</v>
      </c>
      <c r="J1228" s="104">
        <f>IFERROR(VLOOKUP(A1228,#REF!,16,0),0)+IFERROR(VLOOKUP(A1228,#REF!,26,0),0)+IFERROR(VLOOKUP(A1228,#REF!,11,0),0)+IFERROR(VLOOKUP(A1228,#REF!,23,0),0)+IFERROR(VLOOKUP(A1228,#REF!,11,0),0)+IFERROR(VLOOKUP(A1228,#REF!,11,0),0)+IFERROR(VLOOKUP(A1228,#REF!,11,0),0)</f>
        <v>0</v>
      </c>
      <c r="K1228" s="96" t="str">
        <f>"07.02.24"</f>
        <v>07.02.24</v>
      </c>
    </row>
    <row r="1229" spans="1:11" ht="11.25" customHeight="1" outlineLevel="1">
      <c r="A1229" s="89" t="n">
        <v>8080490</v>
      </c>
      <c r="B1229" s="114" t="s">
        <v>1201</v>
      </c>
      <c r="C1229" s="89" t="s">
        <v>1959</v>
      </c>
      <c r="D1229" s="89" t="s">
        <v>15</v>
      </c>
      <c r="E1229" s="89" t="s">
        <v>1960</v>
      </c>
      <c r="F1229" s="102" t="n">
        <v>275</v>
      </c>
      <c r="G1229" s="102" t="n">
        <v>362</v>
      </c>
      <c r="H1229" s="103" t="s">
        <v>17</v>
      </c>
      <c r="I1229" s="103">
        <f>IFERROR(VLOOKUP(A1229,#REF!,15,0),0)+IFERROR(VLOOKUP(A1229,#REF!,25,0),0)+IFERROR(VLOOKUP(A1229,#REF!,10,0),0)+IFERROR(VLOOKUP(A1229,#REF!,14,0),0)+IFERROR(VLOOKUP(A1229,#REF!,11,0),0)+IFERROR(VLOOKUP(A1229,#REF!,10,0),0)+IFERROR(VLOOKUP(A1229,#REF!,10,0),0)+IFERROR(VLOOKUP(A1229,#REF!,9,0),0)+IFERROR(VLOOKUP(A1229,#REF!,9,0),0)+IFERROR(VLOOKUP(A1229,#REF!,9,0),0)+IFERROR(VLOOKUP(A1229,#REF!,9,0),0)</f>
        <v>0</v>
      </c>
      <c r="J1229" s="104">
        <f>IFERROR(VLOOKUP(A1229,#REF!,16,0),0)+IFERROR(VLOOKUP(A1229,#REF!,26,0),0)+IFERROR(VLOOKUP(A1229,#REF!,11,0),0)+IFERROR(VLOOKUP(A1229,#REF!,23,0),0)+IFERROR(VLOOKUP(A1229,#REF!,11,0),0)+IFERROR(VLOOKUP(A1229,#REF!,11,0),0)+IFERROR(VLOOKUP(A1229,#REF!,11,0),0)</f>
        <v>0</v>
      </c>
      <c r="K1229" s="96" t="str">
        <f>"07.02.24"</f>
        <v>07.02.24</v>
      </c>
    </row>
    <row r="1230" spans="1:11" ht="11.25" customHeight="1" outlineLevel="1">
      <c r="A1230" s="89" t="n">
        <v>8080500</v>
      </c>
      <c r="B1230" s="114" t="s">
        <v>1201</v>
      </c>
      <c r="C1230" s="89" t="s">
        <v>1961</v>
      </c>
      <c r="D1230" s="89" t="s">
        <v>15</v>
      </c>
      <c r="E1230" s="89" t="s">
        <v>1962</v>
      </c>
      <c r="F1230" s="102" t="n">
        <v>275</v>
      </c>
      <c r="G1230" s="102" t="n">
        <v>362</v>
      </c>
      <c r="H1230" s="103" t="s">
        <v>17</v>
      </c>
      <c r="I1230" s="103">
        <f>IFERROR(VLOOKUP(A1230,#REF!,15,0),0)+IFERROR(VLOOKUP(A1230,#REF!,25,0),0)+IFERROR(VLOOKUP(A1230,#REF!,10,0),0)+IFERROR(VLOOKUP(A1230,#REF!,14,0),0)+IFERROR(VLOOKUP(A1230,#REF!,11,0),0)+IFERROR(VLOOKUP(A1230,#REF!,10,0),0)+IFERROR(VLOOKUP(A1230,#REF!,10,0),0)+IFERROR(VLOOKUP(A1230,#REF!,9,0),0)+IFERROR(VLOOKUP(A1230,#REF!,9,0),0)+IFERROR(VLOOKUP(A1230,#REF!,9,0),0)+IFERROR(VLOOKUP(A1230,#REF!,9,0),0)</f>
        <v>0</v>
      </c>
      <c r="J1230" s="104">
        <f>IFERROR(VLOOKUP(A1230,#REF!,16,0),0)+IFERROR(VLOOKUP(A1230,#REF!,26,0),0)+IFERROR(VLOOKUP(A1230,#REF!,11,0),0)+IFERROR(VLOOKUP(A1230,#REF!,23,0),0)+IFERROR(VLOOKUP(A1230,#REF!,11,0),0)+IFERROR(VLOOKUP(A1230,#REF!,11,0),0)+IFERROR(VLOOKUP(A1230,#REF!,11,0),0)</f>
        <v>0</v>
      </c>
      <c r="K1230" s="96" t="str">
        <f>"07.02.24"</f>
        <v>07.02.24</v>
      </c>
    </row>
    <row r="1231" spans="1:11" ht="11.25" customHeight="1" outlineLevel="1">
      <c r="A1231" s="89" t="n">
        <v>8080510</v>
      </c>
      <c r="B1231" s="114" t="s">
        <v>1201</v>
      </c>
      <c r="C1231" s="89" t="s">
        <v>1963</v>
      </c>
      <c r="D1231" s="89" t="s">
        <v>15</v>
      </c>
      <c r="E1231" s="89" t="s">
        <v>1964</v>
      </c>
      <c r="F1231" s="102" t="n">
        <v>296</v>
      </c>
      <c r="G1231" s="102" t="n">
        <v>393</v>
      </c>
      <c r="H1231" s="103" t="s">
        <v>48</v>
      </c>
      <c r="I1231" s="103">
        <f>IFERROR(VLOOKUP(A1231,#REF!,15,0),0)+IFERROR(VLOOKUP(A1231,#REF!,25,0),0)+IFERROR(VLOOKUP(A1231,#REF!,10,0),0)+IFERROR(VLOOKUP(A1231,#REF!,14,0),0)+IFERROR(VLOOKUP(A1231,#REF!,11,0),0)+IFERROR(VLOOKUP(A1231,#REF!,10,0),0)+IFERROR(VLOOKUP(A1231,#REF!,10,0),0)+IFERROR(VLOOKUP(A1231,#REF!,9,0),0)+IFERROR(VLOOKUP(A1231,#REF!,9,0),0)+IFERROR(VLOOKUP(A1231,#REF!,9,0),0)+IFERROR(VLOOKUP(A1231,#REF!,9,0),0)</f>
        <v>0</v>
      </c>
      <c r="J1231" s="104">
        <f>IFERROR(VLOOKUP(A1231,#REF!,16,0),0)+IFERROR(VLOOKUP(A1231,#REF!,26,0),0)+IFERROR(VLOOKUP(A1231,#REF!,11,0),0)+IFERROR(VLOOKUP(A1231,#REF!,23,0),0)+IFERROR(VLOOKUP(A1231,#REF!,11,0),0)+IFERROR(VLOOKUP(A1231,#REF!,11,0),0)+IFERROR(VLOOKUP(A1231,#REF!,11,0),0)</f>
        <v>0</v>
      </c>
      <c r="K1231" s="96" t="str">
        <f>"07.02.24"</f>
        <v>07.02.24</v>
      </c>
    </row>
    <row r="1232" spans="1:11" ht="11.25" customHeight="1" outlineLevel="1">
      <c r="A1232" s="89" t="n">
        <v>8080520</v>
      </c>
      <c r="B1232" s="114" t="s">
        <v>1201</v>
      </c>
      <c r="C1232" s="89" t="s">
        <v>1965</v>
      </c>
      <c r="D1232" s="89" t="s">
        <v>15</v>
      </c>
      <c r="E1232" s="89" t="s">
        <v>1966</v>
      </c>
      <c r="F1232" s="102" t="n">
        <v>69</v>
      </c>
      <c r="G1232" s="102" t="n">
        <v>91</v>
      </c>
      <c r="H1232" s="103" t="s">
        <v>17</v>
      </c>
      <c r="I1232" s="103">
        <f>IFERROR(VLOOKUP(A1232,#REF!,15,0),0)+IFERROR(VLOOKUP(A1232,#REF!,25,0),0)+IFERROR(VLOOKUP(A1232,#REF!,10,0),0)+IFERROR(VLOOKUP(A1232,#REF!,14,0),0)+IFERROR(VLOOKUP(A1232,#REF!,11,0),0)+IFERROR(VLOOKUP(A1232,#REF!,10,0),0)+IFERROR(VLOOKUP(A1232,#REF!,10,0),0)+IFERROR(VLOOKUP(A1232,#REF!,9,0),0)+IFERROR(VLOOKUP(A1232,#REF!,9,0),0)+IFERROR(VLOOKUP(A1232,#REF!,9,0),0)+IFERROR(VLOOKUP(A1232,#REF!,9,0),0)</f>
        <v>0</v>
      </c>
      <c r="J1232" s="104">
        <f>IFERROR(VLOOKUP(A1232,#REF!,16,0),0)+IFERROR(VLOOKUP(A1232,#REF!,26,0),0)+IFERROR(VLOOKUP(A1232,#REF!,11,0),0)+IFERROR(VLOOKUP(A1232,#REF!,23,0),0)+IFERROR(VLOOKUP(A1232,#REF!,11,0),0)+IFERROR(VLOOKUP(A1232,#REF!,11,0),0)+IFERROR(VLOOKUP(A1232,#REF!,11,0),0)</f>
        <v>0</v>
      </c>
      <c r="K1232" s="96" t="str">
        <f>"07.02.24"</f>
        <v>07.02.24</v>
      </c>
    </row>
    <row r="1233" spans="1:11" ht="11.25" customHeight="1" outlineLevel="1">
      <c r="A1233" s="89" t="n">
        <v>8080530</v>
      </c>
      <c r="B1233" s="114" t="s">
        <v>1201</v>
      </c>
      <c r="C1233" s="89" t="s">
        <v>1967</v>
      </c>
      <c r="D1233" s="89" t="s">
        <v>15</v>
      </c>
      <c r="E1233" s="89" t="s">
        <v>1968</v>
      </c>
      <c r="F1233" s="102" t="n">
        <v>78</v>
      </c>
      <c r="G1233" s="102" t="n">
        <v>103</v>
      </c>
      <c r="H1233" s="103" t="s">
        <v>48</v>
      </c>
      <c r="I1233" s="103">
        <f>IFERROR(VLOOKUP(A1233,#REF!,15,0),0)+IFERROR(VLOOKUP(A1233,#REF!,25,0),0)+IFERROR(VLOOKUP(A1233,#REF!,10,0),0)+IFERROR(VLOOKUP(A1233,#REF!,14,0),0)+IFERROR(VLOOKUP(A1233,#REF!,11,0),0)+IFERROR(VLOOKUP(A1233,#REF!,10,0),0)+IFERROR(VLOOKUP(A1233,#REF!,10,0),0)+IFERROR(VLOOKUP(A1233,#REF!,9,0),0)+IFERROR(VLOOKUP(A1233,#REF!,9,0),0)+IFERROR(VLOOKUP(A1233,#REF!,9,0),0)+IFERROR(VLOOKUP(A1233,#REF!,9,0),0)</f>
        <v>0</v>
      </c>
      <c r="J1233" s="104">
        <f>IFERROR(VLOOKUP(A1233,#REF!,16,0),0)+IFERROR(VLOOKUP(A1233,#REF!,26,0),0)+IFERROR(VLOOKUP(A1233,#REF!,11,0),0)+IFERROR(VLOOKUP(A1233,#REF!,23,0),0)+IFERROR(VLOOKUP(A1233,#REF!,11,0),0)+IFERROR(VLOOKUP(A1233,#REF!,11,0),0)+IFERROR(VLOOKUP(A1233,#REF!,11,0),0)</f>
        <v>0</v>
      </c>
      <c r="K1233" s="96" t="str">
        <f>"07.02.24"</f>
        <v>07.02.24</v>
      </c>
    </row>
    <row r="1234" spans="1:11" ht="11.25" customHeight="1" outlineLevel="1">
      <c r="A1234" s="89" t="n">
        <v>8080540</v>
      </c>
      <c r="B1234" s="114" t="s">
        <v>1201</v>
      </c>
      <c r="C1234" s="89" t="s">
        <v>1969</v>
      </c>
      <c r="D1234" s="89" t="s">
        <v>15</v>
      </c>
      <c r="E1234" s="89" t="s">
        <v>1970</v>
      </c>
      <c r="F1234" s="102" t="n">
        <v>97</v>
      </c>
      <c r="G1234" s="102" t="n">
        <v>130</v>
      </c>
      <c r="H1234" s="103" t="s">
        <v>48</v>
      </c>
      <c r="I1234" s="103">
        <f>IFERROR(VLOOKUP(A1234,#REF!,15,0),0)+IFERROR(VLOOKUP(A1234,#REF!,25,0),0)+IFERROR(VLOOKUP(A1234,#REF!,10,0),0)+IFERROR(VLOOKUP(A1234,#REF!,14,0),0)+IFERROR(VLOOKUP(A1234,#REF!,11,0),0)+IFERROR(VLOOKUP(A1234,#REF!,10,0),0)+IFERROR(VLOOKUP(A1234,#REF!,10,0),0)+IFERROR(VLOOKUP(A1234,#REF!,9,0),0)+IFERROR(VLOOKUP(A1234,#REF!,9,0),0)+IFERROR(VLOOKUP(A1234,#REF!,9,0),0)+IFERROR(VLOOKUP(A1234,#REF!,9,0),0)</f>
        <v>0</v>
      </c>
      <c r="J1234" s="104">
        <f>IFERROR(VLOOKUP(A1234,#REF!,16,0),0)+IFERROR(VLOOKUP(A1234,#REF!,26,0),0)+IFERROR(VLOOKUP(A1234,#REF!,11,0),0)+IFERROR(VLOOKUP(A1234,#REF!,23,0),0)+IFERROR(VLOOKUP(A1234,#REF!,11,0),0)+IFERROR(VLOOKUP(A1234,#REF!,11,0),0)+IFERROR(VLOOKUP(A1234,#REF!,11,0),0)</f>
        <v>0</v>
      </c>
      <c r="K1234" s="96" t="str">
        <f>"07.02.24"</f>
        <v>07.02.24</v>
      </c>
    </row>
    <row r="1235" spans="1:11" ht="11.25" customHeight="1">
      <c r="A1235" s="88" t="s">
        <v>1971</v>
      </c>
      <c r="B1235" s="115"/>
      <c r="C1235" s="88"/>
      <c r="D1235" s="88"/>
      <c r="E1235" s="88"/>
      <c r="F1235" s="105"/>
      <c r="G1235" s="105"/>
      <c r="H1235" s="106"/>
      <c r="I1235" s="106"/>
      <c r="J1235" s="107"/>
      <c r="K1235" s="96" t="str">
        <f>"07.02.24"</f>
        <v>07.02.24</v>
      </c>
    </row>
    <row r="1236" spans="1:11" ht="11.25" customHeight="1" outlineLevel="1">
      <c r="A1236" s="89" t="n">
        <v>7088990</v>
      </c>
      <c r="B1236" s="114" t="s">
        <v>1201</v>
      </c>
      <c r="C1236" s="89" t="s">
        <v>1972</v>
      </c>
      <c r="D1236" s="89" t="s">
        <v>407</v>
      </c>
      <c r="E1236" s="89" t="s">
        <v>1973</v>
      </c>
      <c r="F1236" s="102" t="n">
        <v>272</v>
      </c>
      <c r="G1236" s="102" t="n">
        <v>362</v>
      </c>
      <c r="H1236" s="103" t="s">
        <v>48</v>
      </c>
      <c r="I1236" s="103">
        <f>IFERROR(VLOOKUP(A1236,#REF!,15,0),0)+IFERROR(VLOOKUP(A1236,#REF!,25,0),0)+IFERROR(VLOOKUP(A1236,#REF!,10,0),0)+IFERROR(VLOOKUP(A1236,#REF!,14,0),0)+IFERROR(VLOOKUP(A1236,#REF!,11,0),0)+IFERROR(VLOOKUP(A1236,#REF!,10,0),0)+IFERROR(VLOOKUP(A1236,#REF!,10,0),0)+IFERROR(VLOOKUP(A1236,#REF!,9,0),0)+IFERROR(VLOOKUP(A1236,#REF!,9,0),0)+IFERROR(VLOOKUP(A1236,#REF!,9,0),0)+IFERROR(VLOOKUP(A1236,#REF!,9,0),0)</f>
        <v>0</v>
      </c>
      <c r="J1236" s="104">
        <f>IFERROR(VLOOKUP(A1236,#REF!,16,0),0)+IFERROR(VLOOKUP(A1236,#REF!,26,0),0)+IFERROR(VLOOKUP(A1236,#REF!,11,0),0)+IFERROR(VLOOKUP(A1236,#REF!,23,0),0)+IFERROR(VLOOKUP(A1236,#REF!,11,0),0)+IFERROR(VLOOKUP(A1236,#REF!,11,0),0)+IFERROR(VLOOKUP(A1236,#REF!,11,0),0)</f>
        <v>0</v>
      </c>
      <c r="K1236" s="96" t="str">
        <f>"07.02.24"</f>
        <v>07.02.24</v>
      </c>
    </row>
    <row r="1237" spans="1:11" ht="11.25" customHeight="1" outlineLevel="1">
      <c r="A1237" s="89" t="n">
        <v>7089000</v>
      </c>
      <c r="B1237" s="114" t="s">
        <v>1201</v>
      </c>
      <c r="C1237" s="89" t="s">
        <v>1974</v>
      </c>
      <c r="D1237" s="89" t="s">
        <v>407</v>
      </c>
      <c r="E1237" s="89" t="s">
        <v>1975</v>
      </c>
      <c r="F1237" s="102" t="n">
        <v>272</v>
      </c>
      <c r="G1237" s="102" t="n">
        <v>362</v>
      </c>
      <c r="H1237" s="103" t="s">
        <v>48</v>
      </c>
      <c r="I1237" s="103">
        <f>IFERROR(VLOOKUP(A1237,#REF!,15,0),0)+IFERROR(VLOOKUP(A1237,#REF!,25,0),0)+IFERROR(VLOOKUP(A1237,#REF!,10,0),0)+IFERROR(VLOOKUP(A1237,#REF!,14,0),0)+IFERROR(VLOOKUP(A1237,#REF!,11,0),0)+IFERROR(VLOOKUP(A1237,#REF!,10,0),0)+IFERROR(VLOOKUP(A1237,#REF!,10,0),0)+IFERROR(VLOOKUP(A1237,#REF!,9,0),0)+IFERROR(VLOOKUP(A1237,#REF!,9,0),0)+IFERROR(VLOOKUP(A1237,#REF!,9,0),0)+IFERROR(VLOOKUP(A1237,#REF!,9,0),0)</f>
        <v>0</v>
      </c>
      <c r="J1237" s="104">
        <f>IFERROR(VLOOKUP(A1237,#REF!,16,0),0)+IFERROR(VLOOKUP(A1237,#REF!,26,0),0)+IFERROR(VLOOKUP(A1237,#REF!,11,0),0)+IFERROR(VLOOKUP(A1237,#REF!,23,0),0)+IFERROR(VLOOKUP(A1237,#REF!,11,0),0)+IFERROR(VLOOKUP(A1237,#REF!,11,0),0)+IFERROR(VLOOKUP(A1237,#REF!,11,0),0)</f>
        <v>0</v>
      </c>
      <c r="K1237" s="96" t="str">
        <f>"07.02.24"</f>
        <v>07.02.24</v>
      </c>
    </row>
    <row r="1238" spans="1:11" ht="11.25" customHeight="1" outlineLevel="1">
      <c r="A1238" s="89" t="n">
        <v>7089010</v>
      </c>
      <c r="B1238" s="114" t="s">
        <v>1201</v>
      </c>
      <c r="C1238" s="89" t="s">
        <v>1976</v>
      </c>
      <c r="D1238" s="89" t="s">
        <v>407</v>
      </c>
      <c r="E1238" s="89" t="s">
        <v>1977</v>
      </c>
      <c r="F1238" s="102" t="n">
        <v>272</v>
      </c>
      <c r="G1238" s="102" t="n">
        <v>362</v>
      </c>
      <c r="H1238" s="103" t="s">
        <v>48</v>
      </c>
      <c r="I1238" s="103">
        <f>IFERROR(VLOOKUP(A1238,#REF!,15,0),0)+IFERROR(VLOOKUP(A1238,#REF!,25,0),0)+IFERROR(VLOOKUP(A1238,#REF!,10,0),0)+IFERROR(VLOOKUP(A1238,#REF!,14,0),0)+IFERROR(VLOOKUP(A1238,#REF!,11,0),0)+IFERROR(VLOOKUP(A1238,#REF!,10,0),0)+IFERROR(VLOOKUP(A1238,#REF!,10,0),0)+IFERROR(VLOOKUP(A1238,#REF!,9,0),0)+IFERROR(VLOOKUP(A1238,#REF!,9,0),0)+IFERROR(VLOOKUP(A1238,#REF!,9,0),0)+IFERROR(VLOOKUP(A1238,#REF!,9,0),0)</f>
        <v>0</v>
      </c>
      <c r="J1238" s="104">
        <f>IFERROR(VLOOKUP(A1238,#REF!,16,0),0)+IFERROR(VLOOKUP(A1238,#REF!,26,0),0)+IFERROR(VLOOKUP(A1238,#REF!,11,0),0)+IFERROR(VLOOKUP(A1238,#REF!,23,0),0)+IFERROR(VLOOKUP(A1238,#REF!,11,0),0)+IFERROR(VLOOKUP(A1238,#REF!,11,0),0)+IFERROR(VLOOKUP(A1238,#REF!,11,0),0)</f>
        <v>0</v>
      </c>
      <c r="K1238" s="96" t="str">
        <f>"07.02.24"</f>
        <v>07.02.24</v>
      </c>
    </row>
    <row r="1239" spans="1:11" ht="11.25" customHeight="1" outlineLevel="1">
      <c r="A1239" s="89" t="n">
        <v>7089020</v>
      </c>
      <c r="B1239" s="114" t="s">
        <v>1201</v>
      </c>
      <c r="C1239" s="89" t="s">
        <v>1978</v>
      </c>
      <c r="D1239" s="89" t="s">
        <v>407</v>
      </c>
      <c r="E1239" s="89" t="s">
        <v>1979</v>
      </c>
      <c r="F1239" s="102" t="n">
        <v>289</v>
      </c>
      <c r="G1239" s="102" t="n">
        <v>387</v>
      </c>
      <c r="H1239" s="103" t="s">
        <v>48</v>
      </c>
      <c r="I1239" s="103">
        <f>IFERROR(VLOOKUP(A1239,#REF!,15,0),0)+IFERROR(VLOOKUP(A1239,#REF!,25,0),0)+IFERROR(VLOOKUP(A1239,#REF!,10,0),0)+IFERROR(VLOOKUP(A1239,#REF!,14,0),0)+IFERROR(VLOOKUP(A1239,#REF!,11,0),0)+IFERROR(VLOOKUP(A1239,#REF!,10,0),0)+IFERROR(VLOOKUP(A1239,#REF!,10,0),0)+IFERROR(VLOOKUP(A1239,#REF!,9,0),0)+IFERROR(VLOOKUP(A1239,#REF!,9,0),0)+IFERROR(VLOOKUP(A1239,#REF!,9,0),0)+IFERROR(VLOOKUP(A1239,#REF!,9,0),0)</f>
        <v>0</v>
      </c>
      <c r="J1239" s="104">
        <f>IFERROR(VLOOKUP(A1239,#REF!,16,0),0)+IFERROR(VLOOKUP(A1239,#REF!,26,0),0)+IFERROR(VLOOKUP(A1239,#REF!,11,0),0)+IFERROR(VLOOKUP(A1239,#REF!,23,0),0)+IFERROR(VLOOKUP(A1239,#REF!,11,0),0)+IFERROR(VLOOKUP(A1239,#REF!,11,0),0)+IFERROR(VLOOKUP(A1239,#REF!,11,0),0)</f>
        <v>0</v>
      </c>
      <c r="K1239" s="96" t="str">
        <f>"07.02.24"</f>
        <v>07.02.24</v>
      </c>
    </row>
    <row r="1240" spans="1:11" ht="11.25" customHeight="1" outlineLevel="1">
      <c r="A1240" s="89" t="n">
        <v>7089060</v>
      </c>
      <c r="B1240" s="114" t="s">
        <v>1201</v>
      </c>
      <c r="C1240" s="89" t="s">
        <v>1980</v>
      </c>
      <c r="D1240" s="89" t="s">
        <v>407</v>
      </c>
      <c r="E1240" s="89" t="s">
        <v>1981</v>
      </c>
      <c r="F1240" s="102" t="n">
        <v>289</v>
      </c>
      <c r="G1240" s="102" t="n">
        <v>387</v>
      </c>
      <c r="H1240" s="103" t="s">
        <v>48</v>
      </c>
      <c r="I1240" s="103">
        <f>IFERROR(VLOOKUP(A1240,#REF!,15,0),0)+IFERROR(VLOOKUP(A1240,#REF!,25,0),0)+IFERROR(VLOOKUP(A1240,#REF!,10,0),0)+IFERROR(VLOOKUP(A1240,#REF!,14,0),0)+IFERROR(VLOOKUP(A1240,#REF!,11,0),0)+IFERROR(VLOOKUP(A1240,#REF!,10,0),0)+IFERROR(VLOOKUP(A1240,#REF!,10,0),0)+IFERROR(VLOOKUP(A1240,#REF!,9,0),0)+IFERROR(VLOOKUP(A1240,#REF!,9,0),0)+IFERROR(VLOOKUP(A1240,#REF!,9,0),0)+IFERROR(VLOOKUP(A1240,#REF!,9,0),0)</f>
        <v>0</v>
      </c>
      <c r="J1240" s="104">
        <f>IFERROR(VLOOKUP(A1240,#REF!,16,0),0)+IFERROR(VLOOKUP(A1240,#REF!,26,0),0)+IFERROR(VLOOKUP(A1240,#REF!,11,0),0)+IFERROR(VLOOKUP(A1240,#REF!,23,0),0)+IFERROR(VLOOKUP(A1240,#REF!,11,0),0)+IFERROR(VLOOKUP(A1240,#REF!,11,0),0)+IFERROR(VLOOKUP(A1240,#REF!,11,0),0)</f>
        <v>0</v>
      </c>
      <c r="K1240" s="96" t="str">
        <f>"07.02.24"</f>
        <v>07.02.24</v>
      </c>
    </row>
    <row r="1241" spans="1:11" ht="11.25" customHeight="1" outlineLevel="1">
      <c r="A1241" s="89" t="n">
        <v>7089070</v>
      </c>
      <c r="B1241" s="114" t="s">
        <v>1201</v>
      </c>
      <c r="C1241" s="89" t="s">
        <v>1982</v>
      </c>
      <c r="D1241" s="89" t="s">
        <v>407</v>
      </c>
      <c r="E1241" s="89" t="s">
        <v>1983</v>
      </c>
      <c r="F1241" s="102" t="n">
        <v>289</v>
      </c>
      <c r="G1241" s="102" t="n">
        <v>387</v>
      </c>
      <c r="H1241" s="103" t="s">
        <v>48</v>
      </c>
      <c r="I1241" s="103">
        <f>IFERROR(VLOOKUP(A1241,#REF!,15,0),0)+IFERROR(VLOOKUP(A1241,#REF!,25,0),0)+IFERROR(VLOOKUP(A1241,#REF!,10,0),0)+IFERROR(VLOOKUP(A1241,#REF!,14,0),0)+IFERROR(VLOOKUP(A1241,#REF!,11,0),0)+IFERROR(VLOOKUP(A1241,#REF!,10,0),0)+IFERROR(VLOOKUP(A1241,#REF!,10,0),0)+IFERROR(VLOOKUP(A1241,#REF!,9,0),0)+IFERROR(VLOOKUP(A1241,#REF!,9,0),0)+IFERROR(VLOOKUP(A1241,#REF!,9,0),0)+IFERROR(VLOOKUP(A1241,#REF!,9,0),0)</f>
        <v>0</v>
      </c>
      <c r="J1241" s="104">
        <f>IFERROR(VLOOKUP(A1241,#REF!,16,0),0)+IFERROR(VLOOKUP(A1241,#REF!,26,0),0)+IFERROR(VLOOKUP(A1241,#REF!,11,0),0)+IFERROR(VLOOKUP(A1241,#REF!,23,0),0)+IFERROR(VLOOKUP(A1241,#REF!,11,0),0)+IFERROR(VLOOKUP(A1241,#REF!,11,0),0)+IFERROR(VLOOKUP(A1241,#REF!,11,0),0)</f>
        <v>0</v>
      </c>
      <c r="K1241" s="96" t="str">
        <f>"07.02.24"</f>
        <v>07.02.24</v>
      </c>
    </row>
    <row r="1242" spans="1:11" ht="11.25" customHeight="1" outlineLevel="1">
      <c r="A1242" s="89" t="n">
        <v>7089080</v>
      </c>
      <c r="B1242" s="114" t="s">
        <v>1201</v>
      </c>
      <c r="C1242" s="89" t="s">
        <v>1984</v>
      </c>
      <c r="D1242" s="89" t="s">
        <v>407</v>
      </c>
      <c r="E1242" s="89" t="s">
        <v>1985</v>
      </c>
      <c r="F1242" s="102" t="n">
        <v>289</v>
      </c>
      <c r="G1242" s="102" t="n">
        <v>387</v>
      </c>
      <c r="H1242" s="103" t="s">
        <v>48</v>
      </c>
      <c r="I1242" s="103">
        <f>IFERROR(VLOOKUP(A1242,#REF!,15,0),0)+IFERROR(VLOOKUP(A1242,#REF!,25,0),0)+IFERROR(VLOOKUP(A1242,#REF!,10,0),0)+IFERROR(VLOOKUP(A1242,#REF!,14,0),0)+IFERROR(VLOOKUP(A1242,#REF!,11,0),0)+IFERROR(VLOOKUP(A1242,#REF!,10,0),0)+IFERROR(VLOOKUP(A1242,#REF!,10,0),0)+IFERROR(VLOOKUP(A1242,#REF!,9,0),0)+IFERROR(VLOOKUP(A1242,#REF!,9,0),0)+IFERROR(VLOOKUP(A1242,#REF!,9,0),0)+IFERROR(VLOOKUP(A1242,#REF!,9,0),0)</f>
        <v>0</v>
      </c>
      <c r="J1242" s="104">
        <f>IFERROR(VLOOKUP(A1242,#REF!,16,0),0)+IFERROR(VLOOKUP(A1242,#REF!,26,0),0)+IFERROR(VLOOKUP(A1242,#REF!,11,0),0)+IFERROR(VLOOKUP(A1242,#REF!,23,0),0)+IFERROR(VLOOKUP(A1242,#REF!,11,0),0)+IFERROR(VLOOKUP(A1242,#REF!,11,0),0)+IFERROR(VLOOKUP(A1242,#REF!,11,0),0)</f>
        <v>0</v>
      </c>
      <c r="K1242" s="96" t="str">
        <f>"07.02.24"</f>
        <v>07.02.24</v>
      </c>
    </row>
    <row r="1243" spans="1:11" ht="11.25" customHeight="1" outlineLevel="1">
      <c r="A1243" s="89" t="n">
        <v>7089090</v>
      </c>
      <c r="B1243" s="114" t="s">
        <v>1201</v>
      </c>
      <c r="C1243" s="89" t="s">
        <v>1986</v>
      </c>
      <c r="D1243" s="89" t="s">
        <v>407</v>
      </c>
      <c r="E1243" s="89" t="s">
        <v>1987</v>
      </c>
      <c r="F1243" s="102" t="n">
        <v>289</v>
      </c>
      <c r="G1243" s="102" t="n">
        <v>387</v>
      </c>
      <c r="H1243" s="103" t="s">
        <v>48</v>
      </c>
      <c r="I1243" s="103">
        <f>IFERROR(VLOOKUP(A1243,#REF!,15,0),0)+IFERROR(VLOOKUP(A1243,#REF!,25,0),0)+IFERROR(VLOOKUP(A1243,#REF!,10,0),0)+IFERROR(VLOOKUP(A1243,#REF!,14,0),0)+IFERROR(VLOOKUP(A1243,#REF!,11,0),0)+IFERROR(VLOOKUP(A1243,#REF!,10,0),0)+IFERROR(VLOOKUP(A1243,#REF!,10,0),0)+IFERROR(VLOOKUP(A1243,#REF!,9,0),0)+IFERROR(VLOOKUP(A1243,#REF!,9,0),0)+IFERROR(VLOOKUP(A1243,#REF!,9,0),0)+IFERROR(VLOOKUP(A1243,#REF!,9,0),0)</f>
        <v>0</v>
      </c>
      <c r="J1243" s="104">
        <f>IFERROR(VLOOKUP(A1243,#REF!,16,0),0)+IFERROR(VLOOKUP(A1243,#REF!,26,0),0)+IFERROR(VLOOKUP(A1243,#REF!,11,0),0)+IFERROR(VLOOKUP(A1243,#REF!,23,0),0)+IFERROR(VLOOKUP(A1243,#REF!,11,0),0)+IFERROR(VLOOKUP(A1243,#REF!,11,0),0)+IFERROR(VLOOKUP(A1243,#REF!,11,0),0)</f>
        <v>0</v>
      </c>
      <c r="K1243" s="96" t="str">
        <f>"07.02.24"</f>
        <v>07.02.24</v>
      </c>
    </row>
    <row r="1244" spans="1:11" ht="11.25" customHeight="1" outlineLevel="1">
      <c r="A1244" s="89" t="n">
        <v>7089100</v>
      </c>
      <c r="B1244" s="114" t="s">
        <v>1201</v>
      </c>
      <c r="C1244" s="89" t="s">
        <v>1988</v>
      </c>
      <c r="D1244" s="89" t="s">
        <v>407</v>
      </c>
      <c r="E1244" s="89" t="s">
        <v>1989</v>
      </c>
      <c r="F1244" s="102" t="n">
        <v>384</v>
      </c>
      <c r="G1244" s="102" t="n">
        <v>506</v>
      </c>
      <c r="H1244" s="103" t="s">
        <v>48</v>
      </c>
      <c r="I1244" s="103">
        <f>IFERROR(VLOOKUP(A1244,#REF!,15,0),0)+IFERROR(VLOOKUP(A1244,#REF!,25,0),0)+IFERROR(VLOOKUP(A1244,#REF!,10,0),0)+IFERROR(VLOOKUP(A1244,#REF!,14,0),0)+IFERROR(VLOOKUP(A1244,#REF!,11,0),0)+IFERROR(VLOOKUP(A1244,#REF!,10,0),0)+IFERROR(VLOOKUP(A1244,#REF!,10,0),0)+IFERROR(VLOOKUP(A1244,#REF!,9,0),0)+IFERROR(VLOOKUP(A1244,#REF!,9,0),0)+IFERROR(VLOOKUP(A1244,#REF!,9,0),0)+IFERROR(VLOOKUP(A1244,#REF!,9,0),0)</f>
        <v>0</v>
      </c>
      <c r="J1244" s="104">
        <f>IFERROR(VLOOKUP(A1244,#REF!,16,0),0)+IFERROR(VLOOKUP(A1244,#REF!,26,0),0)+IFERROR(VLOOKUP(A1244,#REF!,11,0),0)+IFERROR(VLOOKUP(A1244,#REF!,23,0),0)+IFERROR(VLOOKUP(A1244,#REF!,11,0),0)+IFERROR(VLOOKUP(A1244,#REF!,11,0),0)+IFERROR(VLOOKUP(A1244,#REF!,11,0),0)</f>
        <v>0</v>
      </c>
      <c r="K1244" s="96" t="str">
        <f>"07.02.24"</f>
        <v>07.02.24</v>
      </c>
    </row>
    <row r="1245" spans="1:11" ht="11.25" customHeight="1" outlineLevel="1">
      <c r="A1245" s="89" t="n">
        <v>7089110</v>
      </c>
      <c r="B1245" s="114" t="s">
        <v>1201</v>
      </c>
      <c r="C1245" s="89" t="s">
        <v>1990</v>
      </c>
      <c r="D1245" s="89" t="s">
        <v>407</v>
      </c>
      <c r="E1245" s="89" t="s">
        <v>1991</v>
      </c>
      <c r="F1245" s="102" t="n">
        <v>384</v>
      </c>
      <c r="G1245" s="102" t="n">
        <v>506</v>
      </c>
      <c r="H1245" s="103" t="s">
        <v>48</v>
      </c>
      <c r="I1245" s="103">
        <f>IFERROR(VLOOKUP(A1245,#REF!,15,0),0)+IFERROR(VLOOKUP(A1245,#REF!,25,0),0)+IFERROR(VLOOKUP(A1245,#REF!,10,0),0)+IFERROR(VLOOKUP(A1245,#REF!,14,0),0)+IFERROR(VLOOKUP(A1245,#REF!,11,0),0)+IFERROR(VLOOKUP(A1245,#REF!,10,0),0)+IFERROR(VLOOKUP(A1245,#REF!,10,0),0)+IFERROR(VLOOKUP(A1245,#REF!,9,0),0)+IFERROR(VLOOKUP(A1245,#REF!,9,0),0)+IFERROR(VLOOKUP(A1245,#REF!,9,0),0)+IFERROR(VLOOKUP(A1245,#REF!,9,0),0)</f>
        <v>0</v>
      </c>
      <c r="J1245" s="104">
        <f>IFERROR(VLOOKUP(A1245,#REF!,16,0),0)+IFERROR(VLOOKUP(A1245,#REF!,26,0),0)+IFERROR(VLOOKUP(A1245,#REF!,11,0),0)+IFERROR(VLOOKUP(A1245,#REF!,23,0),0)+IFERROR(VLOOKUP(A1245,#REF!,11,0),0)+IFERROR(VLOOKUP(A1245,#REF!,11,0),0)+IFERROR(VLOOKUP(A1245,#REF!,11,0),0)</f>
        <v>0</v>
      </c>
      <c r="K1245" s="96" t="str">
        <f>"07.02.24"</f>
        <v>07.02.24</v>
      </c>
    </row>
    <row r="1246" spans="1:11" ht="11.25" customHeight="1" outlineLevel="1">
      <c r="A1246" s="89" t="n">
        <v>7089120</v>
      </c>
      <c r="B1246" s="114" t="s">
        <v>1201</v>
      </c>
      <c r="C1246" s="89" t="s">
        <v>1992</v>
      </c>
      <c r="D1246" s="89" t="s">
        <v>407</v>
      </c>
      <c r="E1246" s="89" t="s">
        <v>1993</v>
      </c>
      <c r="F1246" s="102" t="n">
        <v>384</v>
      </c>
      <c r="G1246" s="102" t="n">
        <v>506</v>
      </c>
      <c r="H1246" s="103" t="s">
        <v>48</v>
      </c>
      <c r="I1246" s="103">
        <f>IFERROR(VLOOKUP(A1246,#REF!,15,0),0)+IFERROR(VLOOKUP(A1246,#REF!,25,0),0)+IFERROR(VLOOKUP(A1246,#REF!,10,0),0)+IFERROR(VLOOKUP(A1246,#REF!,14,0),0)+IFERROR(VLOOKUP(A1246,#REF!,11,0),0)+IFERROR(VLOOKUP(A1246,#REF!,10,0),0)+IFERROR(VLOOKUP(A1246,#REF!,10,0),0)+IFERROR(VLOOKUP(A1246,#REF!,9,0),0)+IFERROR(VLOOKUP(A1246,#REF!,9,0),0)+IFERROR(VLOOKUP(A1246,#REF!,9,0),0)+IFERROR(VLOOKUP(A1246,#REF!,9,0),0)</f>
        <v>0</v>
      </c>
      <c r="J1246" s="104">
        <f>IFERROR(VLOOKUP(A1246,#REF!,16,0),0)+IFERROR(VLOOKUP(A1246,#REF!,26,0),0)+IFERROR(VLOOKUP(A1246,#REF!,11,0),0)+IFERROR(VLOOKUP(A1246,#REF!,23,0),0)+IFERROR(VLOOKUP(A1246,#REF!,11,0),0)+IFERROR(VLOOKUP(A1246,#REF!,11,0),0)+IFERROR(VLOOKUP(A1246,#REF!,11,0),0)</f>
        <v>0</v>
      </c>
      <c r="K1246" s="96" t="str">
        <f>"07.02.24"</f>
        <v>07.02.24</v>
      </c>
    </row>
    <row r="1247" spans="1:11" ht="11.25" customHeight="1" outlineLevel="1">
      <c r="A1247" s="89" t="n">
        <v>7089130</v>
      </c>
      <c r="B1247" s="114" t="s">
        <v>1201</v>
      </c>
      <c r="C1247" s="89" t="s">
        <v>1994</v>
      </c>
      <c r="D1247" s="89" t="s">
        <v>407</v>
      </c>
      <c r="E1247" s="89" t="s">
        <v>1995</v>
      </c>
      <c r="F1247" s="102" t="n">
        <v>384</v>
      </c>
      <c r="G1247" s="102" t="n">
        <v>506</v>
      </c>
      <c r="H1247" s="103" t="s">
        <v>17</v>
      </c>
      <c r="I1247" s="103">
        <f>IFERROR(VLOOKUP(A1247,#REF!,15,0),0)+IFERROR(VLOOKUP(A1247,#REF!,25,0),0)+IFERROR(VLOOKUP(A1247,#REF!,10,0),0)+IFERROR(VLOOKUP(A1247,#REF!,14,0),0)+IFERROR(VLOOKUP(A1247,#REF!,11,0),0)+IFERROR(VLOOKUP(A1247,#REF!,10,0),0)+IFERROR(VLOOKUP(A1247,#REF!,10,0),0)+IFERROR(VLOOKUP(A1247,#REF!,9,0),0)+IFERROR(VLOOKUP(A1247,#REF!,9,0),0)+IFERROR(VLOOKUP(A1247,#REF!,9,0),0)+IFERROR(VLOOKUP(A1247,#REF!,9,0),0)</f>
        <v>0</v>
      </c>
      <c r="J1247" s="104">
        <f>IFERROR(VLOOKUP(A1247,#REF!,16,0),0)+IFERROR(VLOOKUP(A1247,#REF!,26,0),0)+IFERROR(VLOOKUP(A1247,#REF!,11,0),0)+IFERROR(VLOOKUP(A1247,#REF!,23,0),0)+IFERROR(VLOOKUP(A1247,#REF!,11,0),0)+IFERROR(VLOOKUP(A1247,#REF!,11,0),0)+IFERROR(VLOOKUP(A1247,#REF!,11,0),0)</f>
        <v>0</v>
      </c>
      <c r="K1247" s="96" t="str">
        <f>"07.02.24"</f>
        <v>07.02.24</v>
      </c>
    </row>
    <row r="1248" spans="1:11" ht="11.25" customHeight="1" outlineLevel="1">
      <c r="A1248" s="89" t="n">
        <v>7089140</v>
      </c>
      <c r="B1248" s="114" t="s">
        <v>1201</v>
      </c>
      <c r="C1248" s="89" t="s">
        <v>1996</v>
      </c>
      <c r="D1248" s="89" t="s">
        <v>407</v>
      </c>
      <c r="E1248" s="89" t="s">
        <v>1997</v>
      </c>
      <c r="F1248" s="102" t="n">
        <v>384</v>
      </c>
      <c r="G1248" s="102" t="n">
        <v>506</v>
      </c>
      <c r="H1248" s="103" t="s">
        <v>48</v>
      </c>
      <c r="I1248" s="103">
        <f>IFERROR(VLOOKUP(A1248,#REF!,15,0),0)+IFERROR(VLOOKUP(A1248,#REF!,25,0),0)+IFERROR(VLOOKUP(A1248,#REF!,10,0),0)+IFERROR(VLOOKUP(A1248,#REF!,14,0),0)+IFERROR(VLOOKUP(A1248,#REF!,11,0),0)+IFERROR(VLOOKUP(A1248,#REF!,10,0),0)+IFERROR(VLOOKUP(A1248,#REF!,10,0),0)+IFERROR(VLOOKUP(A1248,#REF!,9,0),0)+IFERROR(VLOOKUP(A1248,#REF!,9,0),0)+IFERROR(VLOOKUP(A1248,#REF!,9,0),0)+IFERROR(VLOOKUP(A1248,#REF!,9,0),0)</f>
        <v>0</v>
      </c>
      <c r="J1248" s="104">
        <f>IFERROR(VLOOKUP(A1248,#REF!,16,0),0)+IFERROR(VLOOKUP(A1248,#REF!,26,0),0)+IFERROR(VLOOKUP(A1248,#REF!,11,0),0)+IFERROR(VLOOKUP(A1248,#REF!,23,0),0)+IFERROR(VLOOKUP(A1248,#REF!,11,0),0)+IFERROR(VLOOKUP(A1248,#REF!,11,0),0)+IFERROR(VLOOKUP(A1248,#REF!,11,0),0)</f>
        <v>0</v>
      </c>
      <c r="K1248" s="96" t="str">
        <f>"07.02.24"</f>
        <v>07.02.24</v>
      </c>
    </row>
    <row r="1249" spans="1:11" ht="11.25" customHeight="1" outlineLevel="1">
      <c r="A1249" s="89" t="n">
        <v>7089150</v>
      </c>
      <c r="B1249" s="114" t="s">
        <v>1201</v>
      </c>
      <c r="C1249" s="89" t="s">
        <v>1998</v>
      </c>
      <c r="D1249" s="89" t="s">
        <v>407</v>
      </c>
      <c r="E1249" s="89" t="s">
        <v>1999</v>
      </c>
      <c r="F1249" s="102" t="n">
        <v>501</v>
      </c>
      <c r="G1249" s="102" t="n">
        <v>663</v>
      </c>
      <c r="H1249" s="103" t="s">
        <v>48</v>
      </c>
      <c r="I1249" s="103">
        <f>IFERROR(VLOOKUP(A1249,#REF!,15,0),0)+IFERROR(VLOOKUP(A1249,#REF!,25,0),0)+IFERROR(VLOOKUP(A1249,#REF!,10,0),0)+IFERROR(VLOOKUP(A1249,#REF!,14,0),0)+IFERROR(VLOOKUP(A1249,#REF!,11,0),0)+IFERROR(VLOOKUP(A1249,#REF!,10,0),0)+IFERROR(VLOOKUP(A1249,#REF!,10,0),0)+IFERROR(VLOOKUP(A1249,#REF!,9,0),0)+IFERROR(VLOOKUP(A1249,#REF!,9,0),0)+IFERROR(VLOOKUP(A1249,#REF!,9,0),0)+IFERROR(VLOOKUP(A1249,#REF!,9,0),0)</f>
        <v>0</v>
      </c>
      <c r="J1249" s="104">
        <f>IFERROR(VLOOKUP(A1249,#REF!,16,0),0)+IFERROR(VLOOKUP(A1249,#REF!,26,0),0)+IFERROR(VLOOKUP(A1249,#REF!,11,0),0)+IFERROR(VLOOKUP(A1249,#REF!,23,0),0)+IFERROR(VLOOKUP(A1249,#REF!,11,0),0)+IFERROR(VLOOKUP(A1249,#REF!,11,0),0)+IFERROR(VLOOKUP(A1249,#REF!,11,0),0)</f>
        <v>0</v>
      </c>
      <c r="K1249" s="96" t="str">
        <f>"07.02.24"</f>
        <v>07.02.24</v>
      </c>
    </row>
    <row r="1250" spans="1:11" ht="11.25" customHeight="1" outlineLevel="1">
      <c r="A1250" s="89" t="n">
        <v>7089160</v>
      </c>
      <c r="B1250" s="114" t="s">
        <v>1201</v>
      </c>
      <c r="C1250" s="89" t="s">
        <v>2000</v>
      </c>
      <c r="D1250" s="89" t="s">
        <v>407</v>
      </c>
      <c r="E1250" s="89" t="s">
        <v>2001</v>
      </c>
      <c r="F1250" s="102" t="n">
        <v>501</v>
      </c>
      <c r="G1250" s="102" t="n">
        <v>663</v>
      </c>
      <c r="H1250" s="103" t="s">
        <v>17</v>
      </c>
      <c r="I1250" s="103">
        <f>IFERROR(VLOOKUP(A1250,#REF!,15,0),0)+IFERROR(VLOOKUP(A1250,#REF!,25,0),0)+IFERROR(VLOOKUP(A1250,#REF!,10,0),0)+IFERROR(VLOOKUP(A1250,#REF!,14,0),0)+IFERROR(VLOOKUP(A1250,#REF!,11,0),0)+IFERROR(VLOOKUP(A1250,#REF!,10,0),0)+IFERROR(VLOOKUP(A1250,#REF!,10,0),0)+IFERROR(VLOOKUP(A1250,#REF!,9,0),0)+IFERROR(VLOOKUP(A1250,#REF!,9,0),0)+IFERROR(VLOOKUP(A1250,#REF!,9,0),0)+IFERROR(VLOOKUP(A1250,#REF!,9,0),0)</f>
        <v>0</v>
      </c>
      <c r="J1250" s="104">
        <f>IFERROR(VLOOKUP(A1250,#REF!,16,0),0)+IFERROR(VLOOKUP(A1250,#REF!,26,0),0)+IFERROR(VLOOKUP(A1250,#REF!,11,0),0)+IFERROR(VLOOKUP(A1250,#REF!,23,0),0)+IFERROR(VLOOKUP(A1250,#REF!,11,0),0)+IFERROR(VLOOKUP(A1250,#REF!,11,0),0)+IFERROR(VLOOKUP(A1250,#REF!,11,0),0)</f>
        <v>0</v>
      </c>
      <c r="K1250" s="96" t="str">
        <f>"07.02.24"</f>
        <v>07.02.24</v>
      </c>
    </row>
    <row r="1251" spans="1:11" ht="11.25" customHeight="1" outlineLevel="1">
      <c r="A1251" s="89" t="n">
        <v>7089170</v>
      </c>
      <c r="B1251" s="114" t="s">
        <v>1201</v>
      </c>
      <c r="C1251" s="89" t="s">
        <v>2002</v>
      </c>
      <c r="D1251" s="89" t="s">
        <v>407</v>
      </c>
      <c r="E1251" s="89" t="s">
        <v>2003</v>
      </c>
      <c r="F1251" s="102" t="n">
        <v>501</v>
      </c>
      <c r="G1251" s="102" t="n">
        <v>663</v>
      </c>
      <c r="H1251" s="103" t="s">
        <v>48</v>
      </c>
      <c r="I1251" s="103">
        <f>IFERROR(VLOOKUP(A1251,#REF!,15,0),0)+IFERROR(VLOOKUP(A1251,#REF!,25,0),0)+IFERROR(VLOOKUP(A1251,#REF!,10,0),0)+IFERROR(VLOOKUP(A1251,#REF!,14,0),0)+IFERROR(VLOOKUP(A1251,#REF!,11,0),0)+IFERROR(VLOOKUP(A1251,#REF!,10,0),0)+IFERROR(VLOOKUP(A1251,#REF!,10,0),0)+IFERROR(VLOOKUP(A1251,#REF!,9,0),0)+IFERROR(VLOOKUP(A1251,#REF!,9,0),0)+IFERROR(VLOOKUP(A1251,#REF!,9,0),0)+IFERROR(VLOOKUP(A1251,#REF!,9,0),0)</f>
        <v>0</v>
      </c>
      <c r="J1251" s="104">
        <f>IFERROR(VLOOKUP(A1251,#REF!,16,0),0)+IFERROR(VLOOKUP(A1251,#REF!,26,0),0)+IFERROR(VLOOKUP(A1251,#REF!,11,0),0)+IFERROR(VLOOKUP(A1251,#REF!,23,0),0)+IFERROR(VLOOKUP(A1251,#REF!,11,0),0)+IFERROR(VLOOKUP(A1251,#REF!,11,0),0)+IFERROR(VLOOKUP(A1251,#REF!,11,0),0)</f>
        <v>0</v>
      </c>
      <c r="K1251" s="96" t="str">
        <f>"07.02.24"</f>
        <v>07.02.24</v>
      </c>
    </row>
    <row r="1252" spans="1:11" ht="11.25" customHeight="1" outlineLevel="1">
      <c r="A1252" s="89" t="n">
        <v>7089190</v>
      </c>
      <c r="B1252" s="114" t="s">
        <v>1201</v>
      </c>
      <c r="C1252" s="89" t="s">
        <v>2004</v>
      </c>
      <c r="D1252" s="89" t="s">
        <v>407</v>
      </c>
      <c r="E1252" s="89" t="s">
        <v>2005</v>
      </c>
      <c r="F1252" s="102" t="n">
        <v>501</v>
      </c>
      <c r="G1252" s="102" t="n">
        <v>663</v>
      </c>
      <c r="H1252" s="103" t="s">
        <v>48</v>
      </c>
      <c r="I1252" s="103">
        <f>IFERROR(VLOOKUP(A1252,#REF!,15,0),0)+IFERROR(VLOOKUP(A1252,#REF!,25,0),0)+IFERROR(VLOOKUP(A1252,#REF!,10,0),0)+IFERROR(VLOOKUP(A1252,#REF!,14,0),0)+IFERROR(VLOOKUP(A1252,#REF!,11,0),0)+IFERROR(VLOOKUP(A1252,#REF!,10,0),0)+IFERROR(VLOOKUP(A1252,#REF!,10,0),0)+IFERROR(VLOOKUP(A1252,#REF!,9,0),0)+IFERROR(VLOOKUP(A1252,#REF!,9,0),0)+IFERROR(VLOOKUP(A1252,#REF!,9,0),0)+IFERROR(VLOOKUP(A1252,#REF!,9,0),0)</f>
        <v>0</v>
      </c>
      <c r="J1252" s="104">
        <f>IFERROR(VLOOKUP(A1252,#REF!,16,0),0)+IFERROR(VLOOKUP(A1252,#REF!,26,0),0)+IFERROR(VLOOKUP(A1252,#REF!,11,0),0)+IFERROR(VLOOKUP(A1252,#REF!,23,0),0)+IFERROR(VLOOKUP(A1252,#REF!,11,0),0)+IFERROR(VLOOKUP(A1252,#REF!,11,0),0)+IFERROR(VLOOKUP(A1252,#REF!,11,0),0)</f>
        <v>0</v>
      </c>
      <c r="K1252" s="96" t="str">
        <f>"07.02.24"</f>
        <v>07.02.24</v>
      </c>
    </row>
    <row r="1253" spans="1:11" ht="11.25" customHeight="1" outlineLevel="1">
      <c r="A1253" s="89" t="n">
        <v>7089200</v>
      </c>
      <c r="B1253" s="114" t="s">
        <v>1201</v>
      </c>
      <c r="C1253" s="89" t="s">
        <v>2006</v>
      </c>
      <c r="D1253" s="89" t="s">
        <v>407</v>
      </c>
      <c r="E1253" s="89" t="s">
        <v>2007</v>
      </c>
      <c r="F1253" s="102" t="n">
        <v>522</v>
      </c>
      <c r="G1253" s="102" t="n">
        <v>692</v>
      </c>
      <c r="H1253" s="103" t="s">
        <v>48</v>
      </c>
      <c r="I1253" s="103">
        <f>IFERROR(VLOOKUP(A1253,#REF!,15,0),0)+IFERROR(VLOOKUP(A1253,#REF!,25,0),0)+IFERROR(VLOOKUP(A1253,#REF!,10,0),0)+IFERROR(VLOOKUP(A1253,#REF!,14,0),0)+IFERROR(VLOOKUP(A1253,#REF!,11,0),0)+IFERROR(VLOOKUP(A1253,#REF!,10,0),0)+IFERROR(VLOOKUP(A1253,#REF!,10,0),0)+IFERROR(VLOOKUP(A1253,#REF!,9,0),0)+IFERROR(VLOOKUP(A1253,#REF!,9,0),0)+IFERROR(VLOOKUP(A1253,#REF!,9,0),0)+IFERROR(VLOOKUP(A1253,#REF!,9,0),0)</f>
        <v>0</v>
      </c>
      <c r="J1253" s="104">
        <f>IFERROR(VLOOKUP(A1253,#REF!,16,0),0)+IFERROR(VLOOKUP(A1253,#REF!,26,0),0)+IFERROR(VLOOKUP(A1253,#REF!,11,0),0)+IFERROR(VLOOKUP(A1253,#REF!,23,0),0)+IFERROR(VLOOKUP(A1253,#REF!,11,0),0)+IFERROR(VLOOKUP(A1253,#REF!,11,0),0)+IFERROR(VLOOKUP(A1253,#REF!,11,0),0)</f>
        <v>0</v>
      </c>
      <c r="K1253" s="96" t="str">
        <f>"07.02.24"</f>
        <v>07.02.24</v>
      </c>
    </row>
    <row r="1254" spans="1:11" ht="11.25" customHeight="1" outlineLevel="1">
      <c r="A1254" s="89" t="n">
        <v>7089210</v>
      </c>
      <c r="B1254" s="114" t="s">
        <v>1201</v>
      </c>
      <c r="C1254" s="89" t="s">
        <v>2008</v>
      </c>
      <c r="D1254" s="89" t="s">
        <v>407</v>
      </c>
      <c r="E1254" s="89" t="s">
        <v>2009</v>
      </c>
      <c r="F1254" s="102" t="n">
        <v>323</v>
      </c>
      <c r="G1254" s="102" t="n">
        <v>426</v>
      </c>
      <c r="H1254" s="103" t="s">
        <v>48</v>
      </c>
      <c r="I1254" s="103">
        <f>IFERROR(VLOOKUP(A1254,#REF!,15,0),0)+IFERROR(VLOOKUP(A1254,#REF!,25,0),0)+IFERROR(VLOOKUP(A1254,#REF!,10,0),0)+IFERROR(VLOOKUP(A1254,#REF!,14,0),0)+IFERROR(VLOOKUP(A1254,#REF!,11,0),0)+IFERROR(VLOOKUP(A1254,#REF!,10,0),0)+IFERROR(VLOOKUP(A1254,#REF!,10,0),0)+IFERROR(VLOOKUP(A1254,#REF!,9,0),0)+IFERROR(VLOOKUP(A1254,#REF!,9,0),0)+IFERROR(VLOOKUP(A1254,#REF!,9,0),0)+IFERROR(VLOOKUP(A1254,#REF!,9,0),0)</f>
        <v>0</v>
      </c>
      <c r="J1254" s="104">
        <f>IFERROR(VLOOKUP(A1254,#REF!,16,0),0)+IFERROR(VLOOKUP(A1254,#REF!,26,0),0)+IFERROR(VLOOKUP(A1254,#REF!,11,0),0)+IFERROR(VLOOKUP(A1254,#REF!,23,0),0)+IFERROR(VLOOKUP(A1254,#REF!,11,0),0)+IFERROR(VLOOKUP(A1254,#REF!,11,0),0)+IFERROR(VLOOKUP(A1254,#REF!,11,0),0)</f>
        <v>0</v>
      </c>
      <c r="K1254" s="96" t="str">
        <f>"07.02.24"</f>
        <v>07.02.24</v>
      </c>
    </row>
    <row r="1255" spans="1:11" ht="11.25" customHeight="1" outlineLevel="1">
      <c r="A1255" s="89" t="n">
        <v>7089220</v>
      </c>
      <c r="B1255" s="114" t="s">
        <v>1201</v>
      </c>
      <c r="C1255" s="89" t="s">
        <v>2010</v>
      </c>
      <c r="D1255" s="89" t="s">
        <v>407</v>
      </c>
      <c r="E1255" s="89" t="s">
        <v>2011</v>
      </c>
      <c r="F1255" s="102" t="n">
        <v>323</v>
      </c>
      <c r="G1255" s="102" t="n">
        <v>426</v>
      </c>
      <c r="H1255" s="103" t="s">
        <v>48</v>
      </c>
      <c r="I1255" s="103">
        <f>IFERROR(VLOOKUP(A1255,#REF!,15,0),0)+IFERROR(VLOOKUP(A1255,#REF!,25,0),0)+IFERROR(VLOOKUP(A1255,#REF!,10,0),0)+IFERROR(VLOOKUP(A1255,#REF!,14,0),0)+IFERROR(VLOOKUP(A1255,#REF!,11,0),0)+IFERROR(VLOOKUP(A1255,#REF!,10,0),0)+IFERROR(VLOOKUP(A1255,#REF!,10,0),0)+IFERROR(VLOOKUP(A1255,#REF!,9,0),0)+IFERROR(VLOOKUP(A1255,#REF!,9,0),0)+IFERROR(VLOOKUP(A1255,#REF!,9,0),0)+IFERROR(VLOOKUP(A1255,#REF!,9,0),0)</f>
        <v>0</v>
      </c>
      <c r="J1255" s="104">
        <f>IFERROR(VLOOKUP(A1255,#REF!,16,0),0)+IFERROR(VLOOKUP(A1255,#REF!,26,0),0)+IFERROR(VLOOKUP(A1255,#REF!,11,0),0)+IFERROR(VLOOKUP(A1255,#REF!,23,0),0)+IFERROR(VLOOKUP(A1255,#REF!,11,0),0)+IFERROR(VLOOKUP(A1255,#REF!,11,0),0)+IFERROR(VLOOKUP(A1255,#REF!,11,0),0)</f>
        <v>0</v>
      </c>
      <c r="K1255" s="96" t="str">
        <f>"07.02.24"</f>
        <v>07.02.24</v>
      </c>
    </row>
    <row r="1256" spans="1:11" ht="11.25" customHeight="1" outlineLevel="1">
      <c r="A1256" s="89" t="n">
        <v>7089230</v>
      </c>
      <c r="B1256" s="114" t="s">
        <v>1201</v>
      </c>
      <c r="C1256" s="89" t="s">
        <v>2012</v>
      </c>
      <c r="D1256" s="89" t="s">
        <v>407</v>
      </c>
      <c r="E1256" s="89" t="s">
        <v>2013</v>
      </c>
      <c r="F1256" s="102" t="n">
        <v>323</v>
      </c>
      <c r="G1256" s="102" t="n">
        <v>426</v>
      </c>
      <c r="H1256" s="103" t="s">
        <v>48</v>
      </c>
      <c r="I1256" s="103">
        <f>IFERROR(VLOOKUP(A1256,#REF!,15,0),0)+IFERROR(VLOOKUP(A1256,#REF!,25,0),0)+IFERROR(VLOOKUP(A1256,#REF!,10,0),0)+IFERROR(VLOOKUP(A1256,#REF!,14,0),0)+IFERROR(VLOOKUP(A1256,#REF!,11,0),0)+IFERROR(VLOOKUP(A1256,#REF!,10,0),0)+IFERROR(VLOOKUP(A1256,#REF!,10,0),0)+IFERROR(VLOOKUP(A1256,#REF!,9,0),0)+IFERROR(VLOOKUP(A1256,#REF!,9,0),0)+IFERROR(VLOOKUP(A1256,#REF!,9,0),0)+IFERROR(VLOOKUP(A1256,#REF!,9,0),0)</f>
        <v>0</v>
      </c>
      <c r="J1256" s="104">
        <f>IFERROR(VLOOKUP(A1256,#REF!,16,0),0)+IFERROR(VLOOKUP(A1256,#REF!,26,0),0)+IFERROR(VLOOKUP(A1256,#REF!,11,0),0)+IFERROR(VLOOKUP(A1256,#REF!,23,0),0)+IFERROR(VLOOKUP(A1256,#REF!,11,0),0)+IFERROR(VLOOKUP(A1256,#REF!,11,0),0)+IFERROR(VLOOKUP(A1256,#REF!,11,0),0)</f>
        <v>0</v>
      </c>
      <c r="K1256" s="96" t="str">
        <f>"07.02.24"</f>
        <v>07.02.24</v>
      </c>
    </row>
    <row r="1257" spans="1:11" ht="11.25" customHeight="1" outlineLevel="1">
      <c r="A1257" s="89" t="n">
        <v>7089240</v>
      </c>
      <c r="B1257" s="114" t="s">
        <v>1201</v>
      </c>
      <c r="C1257" s="89" t="s">
        <v>2014</v>
      </c>
      <c r="D1257" s="89" t="s">
        <v>407</v>
      </c>
      <c r="E1257" s="89" t="s">
        <v>2015</v>
      </c>
      <c r="F1257" s="102" t="n">
        <v>323</v>
      </c>
      <c r="G1257" s="102" t="n">
        <v>426</v>
      </c>
      <c r="H1257" s="103" t="s">
        <v>48</v>
      </c>
      <c r="I1257" s="103">
        <f>IFERROR(VLOOKUP(A1257,#REF!,15,0),0)+IFERROR(VLOOKUP(A1257,#REF!,25,0),0)+IFERROR(VLOOKUP(A1257,#REF!,10,0),0)+IFERROR(VLOOKUP(A1257,#REF!,14,0),0)+IFERROR(VLOOKUP(A1257,#REF!,11,0),0)+IFERROR(VLOOKUP(A1257,#REF!,10,0),0)+IFERROR(VLOOKUP(A1257,#REF!,10,0),0)+IFERROR(VLOOKUP(A1257,#REF!,9,0),0)+IFERROR(VLOOKUP(A1257,#REF!,9,0),0)+IFERROR(VLOOKUP(A1257,#REF!,9,0),0)+IFERROR(VLOOKUP(A1257,#REF!,9,0),0)</f>
        <v>0</v>
      </c>
      <c r="J1257" s="104">
        <f>IFERROR(VLOOKUP(A1257,#REF!,16,0),0)+IFERROR(VLOOKUP(A1257,#REF!,26,0),0)+IFERROR(VLOOKUP(A1257,#REF!,11,0),0)+IFERROR(VLOOKUP(A1257,#REF!,23,0),0)+IFERROR(VLOOKUP(A1257,#REF!,11,0),0)+IFERROR(VLOOKUP(A1257,#REF!,11,0),0)+IFERROR(VLOOKUP(A1257,#REF!,11,0),0)</f>
        <v>0</v>
      </c>
      <c r="K1257" s="96" t="str">
        <f>"07.02.24"</f>
        <v>07.02.24</v>
      </c>
    </row>
    <row r="1258" spans="1:11" ht="11.25" customHeight="1" outlineLevel="1">
      <c r="A1258" s="89" t="n">
        <v>7089250</v>
      </c>
      <c r="B1258" s="114" t="s">
        <v>1201</v>
      </c>
      <c r="C1258" s="89" t="s">
        <v>2016</v>
      </c>
      <c r="D1258" s="89" t="s">
        <v>407</v>
      </c>
      <c r="E1258" s="89" t="s">
        <v>2017</v>
      </c>
      <c r="F1258" s="102" t="n">
        <v>332</v>
      </c>
      <c r="G1258" s="102" t="n">
        <v>443</v>
      </c>
      <c r="H1258" s="103" t="s">
        <v>48</v>
      </c>
      <c r="I1258" s="103">
        <f>IFERROR(VLOOKUP(A1258,#REF!,15,0),0)+IFERROR(VLOOKUP(A1258,#REF!,25,0),0)+IFERROR(VLOOKUP(A1258,#REF!,10,0),0)+IFERROR(VLOOKUP(A1258,#REF!,14,0),0)+IFERROR(VLOOKUP(A1258,#REF!,11,0),0)+IFERROR(VLOOKUP(A1258,#REF!,10,0),0)+IFERROR(VLOOKUP(A1258,#REF!,10,0),0)+IFERROR(VLOOKUP(A1258,#REF!,9,0),0)+IFERROR(VLOOKUP(A1258,#REF!,9,0),0)+IFERROR(VLOOKUP(A1258,#REF!,9,0),0)+IFERROR(VLOOKUP(A1258,#REF!,9,0),0)</f>
        <v>0</v>
      </c>
      <c r="J1258" s="104">
        <f>IFERROR(VLOOKUP(A1258,#REF!,16,0),0)+IFERROR(VLOOKUP(A1258,#REF!,26,0),0)+IFERROR(VLOOKUP(A1258,#REF!,11,0),0)+IFERROR(VLOOKUP(A1258,#REF!,23,0),0)+IFERROR(VLOOKUP(A1258,#REF!,11,0),0)+IFERROR(VLOOKUP(A1258,#REF!,11,0),0)+IFERROR(VLOOKUP(A1258,#REF!,11,0),0)</f>
        <v>0</v>
      </c>
      <c r="K1258" s="96" t="str">
        <f>"07.02.24"</f>
        <v>07.02.24</v>
      </c>
    </row>
    <row r="1259" spans="1:11" ht="11.25" customHeight="1" outlineLevel="1">
      <c r="A1259" s="89" t="n">
        <v>7089260</v>
      </c>
      <c r="B1259" s="114" t="s">
        <v>1201</v>
      </c>
      <c r="C1259" s="89" t="s">
        <v>2018</v>
      </c>
      <c r="D1259" s="89" t="s">
        <v>407</v>
      </c>
      <c r="E1259" s="89" t="s">
        <v>2019</v>
      </c>
      <c r="F1259" s="102" t="n">
        <v>363</v>
      </c>
      <c r="G1259" s="102" t="n">
        <v>479</v>
      </c>
      <c r="H1259" s="103" t="s">
        <v>48</v>
      </c>
      <c r="I1259" s="103">
        <f>IFERROR(VLOOKUP(A1259,#REF!,15,0),0)+IFERROR(VLOOKUP(A1259,#REF!,25,0),0)+IFERROR(VLOOKUP(A1259,#REF!,10,0),0)+IFERROR(VLOOKUP(A1259,#REF!,14,0),0)+IFERROR(VLOOKUP(A1259,#REF!,11,0),0)+IFERROR(VLOOKUP(A1259,#REF!,10,0),0)+IFERROR(VLOOKUP(A1259,#REF!,10,0),0)+IFERROR(VLOOKUP(A1259,#REF!,9,0),0)+IFERROR(VLOOKUP(A1259,#REF!,9,0),0)+IFERROR(VLOOKUP(A1259,#REF!,9,0),0)+IFERROR(VLOOKUP(A1259,#REF!,9,0),0)</f>
        <v>0</v>
      </c>
      <c r="J1259" s="104">
        <f>IFERROR(VLOOKUP(A1259,#REF!,16,0),0)+IFERROR(VLOOKUP(A1259,#REF!,26,0),0)+IFERROR(VLOOKUP(A1259,#REF!,11,0),0)+IFERROR(VLOOKUP(A1259,#REF!,23,0),0)+IFERROR(VLOOKUP(A1259,#REF!,11,0),0)+IFERROR(VLOOKUP(A1259,#REF!,11,0),0)+IFERROR(VLOOKUP(A1259,#REF!,11,0),0)</f>
        <v>0</v>
      </c>
      <c r="K1259" s="96" t="str">
        <f>"07.02.24"</f>
        <v>07.02.24</v>
      </c>
    </row>
    <row r="1260" spans="1:11" ht="11.25" customHeight="1" outlineLevel="1">
      <c r="A1260" s="89" t="n">
        <v>7089270</v>
      </c>
      <c r="B1260" s="114" t="s">
        <v>1201</v>
      </c>
      <c r="C1260" s="89" t="s">
        <v>2020</v>
      </c>
      <c r="D1260" s="89" t="s">
        <v>407</v>
      </c>
      <c r="E1260" s="89" t="s">
        <v>2021</v>
      </c>
      <c r="F1260" s="102" t="n">
        <v>363</v>
      </c>
      <c r="G1260" s="102" t="n">
        <v>479</v>
      </c>
      <c r="H1260" s="103" t="s">
        <v>48</v>
      </c>
      <c r="I1260" s="103">
        <f>IFERROR(VLOOKUP(A1260,#REF!,15,0),0)+IFERROR(VLOOKUP(A1260,#REF!,25,0),0)+IFERROR(VLOOKUP(A1260,#REF!,10,0),0)+IFERROR(VLOOKUP(A1260,#REF!,14,0),0)+IFERROR(VLOOKUP(A1260,#REF!,11,0),0)+IFERROR(VLOOKUP(A1260,#REF!,10,0),0)+IFERROR(VLOOKUP(A1260,#REF!,10,0),0)+IFERROR(VLOOKUP(A1260,#REF!,9,0),0)+IFERROR(VLOOKUP(A1260,#REF!,9,0),0)+IFERROR(VLOOKUP(A1260,#REF!,9,0),0)+IFERROR(VLOOKUP(A1260,#REF!,9,0),0)</f>
        <v>0</v>
      </c>
      <c r="J1260" s="104">
        <f>IFERROR(VLOOKUP(A1260,#REF!,16,0),0)+IFERROR(VLOOKUP(A1260,#REF!,26,0),0)+IFERROR(VLOOKUP(A1260,#REF!,11,0),0)+IFERROR(VLOOKUP(A1260,#REF!,23,0),0)+IFERROR(VLOOKUP(A1260,#REF!,11,0),0)+IFERROR(VLOOKUP(A1260,#REF!,11,0),0)+IFERROR(VLOOKUP(A1260,#REF!,11,0),0)</f>
        <v>0</v>
      </c>
      <c r="K1260" s="96" t="str">
        <f>"07.02.24"</f>
        <v>07.02.24</v>
      </c>
    </row>
    <row r="1261" spans="1:11" ht="11.25" customHeight="1" outlineLevel="1">
      <c r="A1261" s="89" t="n">
        <v>7089280</v>
      </c>
      <c r="B1261" s="114" t="s">
        <v>1201</v>
      </c>
      <c r="C1261" s="89" t="s">
        <v>2022</v>
      </c>
      <c r="D1261" s="89" t="s">
        <v>407</v>
      </c>
      <c r="E1261" s="89" t="s">
        <v>2023</v>
      </c>
      <c r="F1261" s="102" t="n">
        <v>409</v>
      </c>
      <c r="G1261" s="102" t="n">
        <v>540</v>
      </c>
      <c r="H1261" s="103" t="s">
        <v>48</v>
      </c>
      <c r="I1261" s="103">
        <f>IFERROR(VLOOKUP(A1261,#REF!,15,0),0)+IFERROR(VLOOKUP(A1261,#REF!,25,0),0)+IFERROR(VLOOKUP(A1261,#REF!,10,0),0)+IFERROR(VLOOKUP(A1261,#REF!,14,0),0)+IFERROR(VLOOKUP(A1261,#REF!,11,0),0)+IFERROR(VLOOKUP(A1261,#REF!,10,0),0)+IFERROR(VLOOKUP(A1261,#REF!,10,0),0)+IFERROR(VLOOKUP(A1261,#REF!,9,0),0)+IFERROR(VLOOKUP(A1261,#REF!,9,0),0)+IFERROR(VLOOKUP(A1261,#REF!,9,0),0)+IFERROR(VLOOKUP(A1261,#REF!,9,0),0)</f>
        <v>0</v>
      </c>
      <c r="J1261" s="104">
        <f>IFERROR(VLOOKUP(A1261,#REF!,16,0),0)+IFERROR(VLOOKUP(A1261,#REF!,26,0),0)+IFERROR(VLOOKUP(A1261,#REF!,11,0),0)+IFERROR(VLOOKUP(A1261,#REF!,23,0),0)+IFERROR(VLOOKUP(A1261,#REF!,11,0),0)+IFERROR(VLOOKUP(A1261,#REF!,11,0),0)+IFERROR(VLOOKUP(A1261,#REF!,11,0),0)</f>
        <v>0</v>
      </c>
      <c r="K1261" s="96" t="str">
        <f>"07.02.24"</f>
        <v>07.02.24</v>
      </c>
    </row>
    <row r="1262" spans="1:11" ht="11.25" customHeight="1" outlineLevel="1">
      <c r="A1262" s="89" t="n">
        <v>7089290</v>
      </c>
      <c r="B1262" s="114" t="s">
        <v>1201</v>
      </c>
      <c r="C1262" s="89" t="s">
        <v>2024</v>
      </c>
      <c r="D1262" s="89" t="s">
        <v>407</v>
      </c>
      <c r="E1262" s="89" t="s">
        <v>2025</v>
      </c>
      <c r="F1262" s="102" t="n">
        <v>418</v>
      </c>
      <c r="G1262" s="102" t="n">
        <v>551</v>
      </c>
      <c r="H1262" s="103" t="s">
        <v>48</v>
      </c>
      <c r="I1262" s="103">
        <f>IFERROR(VLOOKUP(A1262,#REF!,15,0),0)+IFERROR(VLOOKUP(A1262,#REF!,25,0),0)+IFERROR(VLOOKUP(A1262,#REF!,10,0),0)+IFERROR(VLOOKUP(A1262,#REF!,14,0),0)+IFERROR(VLOOKUP(A1262,#REF!,11,0),0)+IFERROR(VLOOKUP(A1262,#REF!,10,0),0)+IFERROR(VLOOKUP(A1262,#REF!,10,0),0)+IFERROR(VLOOKUP(A1262,#REF!,9,0),0)+IFERROR(VLOOKUP(A1262,#REF!,9,0),0)+IFERROR(VLOOKUP(A1262,#REF!,9,0),0)+IFERROR(VLOOKUP(A1262,#REF!,9,0),0)</f>
        <v>0</v>
      </c>
      <c r="J1262" s="104">
        <f>IFERROR(VLOOKUP(A1262,#REF!,16,0),0)+IFERROR(VLOOKUP(A1262,#REF!,26,0),0)+IFERROR(VLOOKUP(A1262,#REF!,11,0),0)+IFERROR(VLOOKUP(A1262,#REF!,23,0),0)+IFERROR(VLOOKUP(A1262,#REF!,11,0),0)+IFERROR(VLOOKUP(A1262,#REF!,11,0),0)+IFERROR(VLOOKUP(A1262,#REF!,11,0),0)</f>
        <v>0</v>
      </c>
      <c r="K1262" s="96" t="str">
        <f>"07.02.24"</f>
        <v>07.02.24</v>
      </c>
    </row>
    <row r="1263" spans="1:11" ht="11.25" customHeight="1" outlineLevel="1">
      <c r="A1263" s="89" t="n">
        <v>7089310</v>
      </c>
      <c r="B1263" s="114" t="s">
        <v>1201</v>
      </c>
      <c r="C1263" s="89" t="s">
        <v>2026</v>
      </c>
      <c r="D1263" s="89" t="s">
        <v>407</v>
      </c>
      <c r="E1263" s="89" t="s">
        <v>2027</v>
      </c>
      <c r="F1263" s="102" t="n">
        <v>418</v>
      </c>
      <c r="G1263" s="102" t="n">
        <v>551</v>
      </c>
      <c r="H1263" s="103" t="s">
        <v>48</v>
      </c>
      <c r="I1263" s="103">
        <f>IFERROR(VLOOKUP(A1263,#REF!,15,0),0)+IFERROR(VLOOKUP(A1263,#REF!,25,0),0)+IFERROR(VLOOKUP(A1263,#REF!,10,0),0)+IFERROR(VLOOKUP(A1263,#REF!,14,0),0)+IFERROR(VLOOKUP(A1263,#REF!,11,0),0)+IFERROR(VLOOKUP(A1263,#REF!,10,0),0)+IFERROR(VLOOKUP(A1263,#REF!,10,0),0)+IFERROR(VLOOKUP(A1263,#REF!,9,0),0)+IFERROR(VLOOKUP(A1263,#REF!,9,0),0)+IFERROR(VLOOKUP(A1263,#REF!,9,0),0)+IFERROR(VLOOKUP(A1263,#REF!,9,0),0)</f>
        <v>0</v>
      </c>
      <c r="J1263" s="104">
        <f>IFERROR(VLOOKUP(A1263,#REF!,16,0),0)+IFERROR(VLOOKUP(A1263,#REF!,26,0),0)+IFERROR(VLOOKUP(A1263,#REF!,11,0),0)+IFERROR(VLOOKUP(A1263,#REF!,23,0),0)+IFERROR(VLOOKUP(A1263,#REF!,11,0),0)+IFERROR(VLOOKUP(A1263,#REF!,11,0),0)+IFERROR(VLOOKUP(A1263,#REF!,11,0),0)</f>
        <v>0</v>
      </c>
      <c r="K1263" s="96" t="str">
        <f>"07.02.24"</f>
        <v>07.02.24</v>
      </c>
    </row>
    <row r="1264" spans="1:11" ht="11.25" customHeight="1" outlineLevel="1">
      <c r="A1264" s="89" t="n">
        <v>7089320</v>
      </c>
      <c r="B1264" s="114" t="s">
        <v>1201</v>
      </c>
      <c r="C1264" s="89" t="s">
        <v>2028</v>
      </c>
      <c r="D1264" s="89" t="s">
        <v>407</v>
      </c>
      <c r="E1264" s="89" t="s">
        <v>2029</v>
      </c>
      <c r="F1264" s="102" t="n">
        <v>492</v>
      </c>
      <c r="G1264" s="102" t="n">
        <v>656</v>
      </c>
      <c r="H1264" s="103" t="s">
        <v>48</v>
      </c>
      <c r="I1264" s="103">
        <f>IFERROR(VLOOKUP(A1264,#REF!,15,0),0)+IFERROR(VLOOKUP(A1264,#REF!,25,0),0)+IFERROR(VLOOKUP(A1264,#REF!,10,0),0)+IFERROR(VLOOKUP(A1264,#REF!,14,0),0)+IFERROR(VLOOKUP(A1264,#REF!,11,0),0)+IFERROR(VLOOKUP(A1264,#REF!,10,0),0)+IFERROR(VLOOKUP(A1264,#REF!,10,0),0)+IFERROR(VLOOKUP(A1264,#REF!,9,0),0)+IFERROR(VLOOKUP(A1264,#REF!,9,0),0)+IFERROR(VLOOKUP(A1264,#REF!,9,0),0)+IFERROR(VLOOKUP(A1264,#REF!,9,0),0)</f>
        <v>0</v>
      </c>
      <c r="J1264" s="104">
        <f>IFERROR(VLOOKUP(A1264,#REF!,16,0),0)+IFERROR(VLOOKUP(A1264,#REF!,26,0),0)+IFERROR(VLOOKUP(A1264,#REF!,11,0),0)+IFERROR(VLOOKUP(A1264,#REF!,23,0),0)+IFERROR(VLOOKUP(A1264,#REF!,11,0),0)+IFERROR(VLOOKUP(A1264,#REF!,11,0),0)+IFERROR(VLOOKUP(A1264,#REF!,11,0),0)</f>
        <v>0</v>
      </c>
      <c r="K1264" s="96" t="str">
        <f>"07.02.24"</f>
        <v>07.02.24</v>
      </c>
    </row>
    <row r="1265" spans="1:11" ht="11.25" customHeight="1" outlineLevel="1">
      <c r="A1265" s="89" t="n">
        <v>7089330</v>
      </c>
      <c r="B1265" s="114" t="s">
        <v>1201</v>
      </c>
      <c r="C1265" s="89" t="s">
        <v>2030</v>
      </c>
      <c r="D1265" s="89" t="s">
        <v>407</v>
      </c>
      <c r="E1265" s="89" t="s">
        <v>2031</v>
      </c>
      <c r="F1265" s="102" t="n">
        <v>492</v>
      </c>
      <c r="G1265" s="102" t="n">
        <v>656</v>
      </c>
      <c r="H1265" s="103" t="s">
        <v>48</v>
      </c>
      <c r="I1265" s="103">
        <f>IFERROR(VLOOKUP(A1265,#REF!,15,0),0)+IFERROR(VLOOKUP(A1265,#REF!,25,0),0)+IFERROR(VLOOKUP(A1265,#REF!,10,0),0)+IFERROR(VLOOKUP(A1265,#REF!,14,0),0)+IFERROR(VLOOKUP(A1265,#REF!,11,0),0)+IFERROR(VLOOKUP(A1265,#REF!,10,0),0)+IFERROR(VLOOKUP(A1265,#REF!,10,0),0)+IFERROR(VLOOKUP(A1265,#REF!,9,0),0)+IFERROR(VLOOKUP(A1265,#REF!,9,0),0)+IFERROR(VLOOKUP(A1265,#REF!,9,0),0)+IFERROR(VLOOKUP(A1265,#REF!,9,0),0)</f>
        <v>0</v>
      </c>
      <c r="J1265" s="104">
        <f>IFERROR(VLOOKUP(A1265,#REF!,16,0),0)+IFERROR(VLOOKUP(A1265,#REF!,26,0),0)+IFERROR(VLOOKUP(A1265,#REF!,11,0),0)+IFERROR(VLOOKUP(A1265,#REF!,23,0),0)+IFERROR(VLOOKUP(A1265,#REF!,11,0),0)+IFERROR(VLOOKUP(A1265,#REF!,11,0),0)+IFERROR(VLOOKUP(A1265,#REF!,11,0),0)</f>
        <v>0</v>
      </c>
      <c r="K1265" s="96" t="str">
        <f>"07.02.24"</f>
        <v>07.02.24</v>
      </c>
    </row>
    <row r="1266" spans="1:11" ht="11.25" customHeight="1" outlineLevel="1">
      <c r="A1266" s="89" t="n">
        <v>7089340</v>
      </c>
      <c r="B1266" s="114" t="s">
        <v>1201</v>
      </c>
      <c r="C1266" s="89" t="s">
        <v>2032</v>
      </c>
      <c r="D1266" s="89" t="s">
        <v>407</v>
      </c>
      <c r="E1266" s="89" t="s">
        <v>2033</v>
      </c>
      <c r="F1266" s="102" t="n">
        <v>492</v>
      </c>
      <c r="G1266" s="102" t="n">
        <v>656</v>
      </c>
      <c r="H1266" s="103" t="s">
        <v>48</v>
      </c>
      <c r="I1266" s="103">
        <f>IFERROR(VLOOKUP(A1266,#REF!,15,0),0)+IFERROR(VLOOKUP(A1266,#REF!,25,0),0)+IFERROR(VLOOKUP(A1266,#REF!,10,0),0)+IFERROR(VLOOKUP(A1266,#REF!,14,0),0)+IFERROR(VLOOKUP(A1266,#REF!,11,0),0)+IFERROR(VLOOKUP(A1266,#REF!,10,0),0)+IFERROR(VLOOKUP(A1266,#REF!,10,0),0)+IFERROR(VLOOKUP(A1266,#REF!,9,0),0)+IFERROR(VLOOKUP(A1266,#REF!,9,0),0)+IFERROR(VLOOKUP(A1266,#REF!,9,0),0)+IFERROR(VLOOKUP(A1266,#REF!,9,0),0)</f>
        <v>0</v>
      </c>
      <c r="J1266" s="104">
        <f>IFERROR(VLOOKUP(A1266,#REF!,16,0),0)+IFERROR(VLOOKUP(A1266,#REF!,26,0),0)+IFERROR(VLOOKUP(A1266,#REF!,11,0),0)+IFERROR(VLOOKUP(A1266,#REF!,23,0),0)+IFERROR(VLOOKUP(A1266,#REF!,11,0),0)+IFERROR(VLOOKUP(A1266,#REF!,11,0),0)+IFERROR(VLOOKUP(A1266,#REF!,11,0),0)</f>
        <v>0</v>
      </c>
      <c r="K1266" s="96" t="str">
        <f>"07.02.24"</f>
        <v>07.02.24</v>
      </c>
    </row>
    <row r="1267" spans="1:11" ht="11.25" customHeight="1" outlineLevel="1">
      <c r="A1267" s="89" t="n">
        <v>7089350</v>
      </c>
      <c r="B1267" s="114" t="s">
        <v>1201</v>
      </c>
      <c r="C1267" s="89" t="s">
        <v>2034</v>
      </c>
      <c r="D1267" s="89" t="s">
        <v>407</v>
      </c>
      <c r="E1267" s="89" t="s">
        <v>2035</v>
      </c>
      <c r="F1267" s="102" t="n">
        <v>492</v>
      </c>
      <c r="G1267" s="102" t="n">
        <v>656</v>
      </c>
      <c r="H1267" s="103" t="s">
        <v>48</v>
      </c>
      <c r="I1267" s="103">
        <f>IFERROR(VLOOKUP(A1267,#REF!,15,0),0)+IFERROR(VLOOKUP(A1267,#REF!,25,0),0)+IFERROR(VLOOKUP(A1267,#REF!,10,0),0)+IFERROR(VLOOKUP(A1267,#REF!,14,0),0)+IFERROR(VLOOKUP(A1267,#REF!,11,0),0)+IFERROR(VLOOKUP(A1267,#REF!,10,0),0)+IFERROR(VLOOKUP(A1267,#REF!,10,0),0)+IFERROR(VLOOKUP(A1267,#REF!,9,0),0)+IFERROR(VLOOKUP(A1267,#REF!,9,0),0)+IFERROR(VLOOKUP(A1267,#REF!,9,0),0)+IFERROR(VLOOKUP(A1267,#REF!,9,0),0)</f>
        <v>0</v>
      </c>
      <c r="J1267" s="104">
        <f>IFERROR(VLOOKUP(A1267,#REF!,16,0),0)+IFERROR(VLOOKUP(A1267,#REF!,26,0),0)+IFERROR(VLOOKUP(A1267,#REF!,11,0),0)+IFERROR(VLOOKUP(A1267,#REF!,23,0),0)+IFERROR(VLOOKUP(A1267,#REF!,11,0),0)+IFERROR(VLOOKUP(A1267,#REF!,11,0),0)+IFERROR(VLOOKUP(A1267,#REF!,11,0),0)</f>
        <v>0</v>
      </c>
      <c r="K1267" s="96" t="str">
        <f>"07.02.24"</f>
        <v>07.02.24</v>
      </c>
    </row>
    <row r="1268" spans="1:11" ht="11.25" customHeight="1" outlineLevel="1">
      <c r="A1268" s="89" t="n">
        <v>8076800</v>
      </c>
      <c r="B1268" s="114" t="s">
        <v>1201</v>
      </c>
      <c r="C1268" s="89" t="s">
        <v>2036</v>
      </c>
      <c r="D1268" s="89" t="s">
        <v>407</v>
      </c>
      <c r="E1268" s="89" t="s">
        <v>2037</v>
      </c>
      <c r="F1268" s="102" t="n">
        <v>492</v>
      </c>
      <c r="G1268" s="102" t="n">
        <v>656</v>
      </c>
      <c r="H1268" s="103" t="s">
        <v>48</v>
      </c>
      <c r="I1268" s="103">
        <f>IFERROR(VLOOKUP(A1268,#REF!,15,0),0)+IFERROR(VLOOKUP(A1268,#REF!,25,0),0)+IFERROR(VLOOKUP(A1268,#REF!,10,0),0)+IFERROR(VLOOKUP(A1268,#REF!,14,0),0)+IFERROR(VLOOKUP(A1268,#REF!,11,0),0)+IFERROR(VLOOKUP(A1268,#REF!,10,0),0)+IFERROR(VLOOKUP(A1268,#REF!,10,0),0)+IFERROR(VLOOKUP(A1268,#REF!,9,0),0)+IFERROR(VLOOKUP(A1268,#REF!,9,0),0)+IFERROR(VLOOKUP(A1268,#REF!,9,0),0)+IFERROR(VLOOKUP(A1268,#REF!,9,0),0)</f>
        <v>0</v>
      </c>
      <c r="J1268" s="104">
        <f>IFERROR(VLOOKUP(A1268,#REF!,16,0),0)+IFERROR(VLOOKUP(A1268,#REF!,26,0),0)+IFERROR(VLOOKUP(A1268,#REF!,11,0),0)+IFERROR(VLOOKUP(A1268,#REF!,23,0),0)+IFERROR(VLOOKUP(A1268,#REF!,11,0),0)+IFERROR(VLOOKUP(A1268,#REF!,11,0),0)+IFERROR(VLOOKUP(A1268,#REF!,11,0),0)</f>
        <v>0</v>
      </c>
      <c r="K1268" s="96" t="str">
        <f>"07.02.24"</f>
        <v>07.02.24</v>
      </c>
    </row>
    <row r="1269" spans="1:11" ht="11.25" customHeight="1" outlineLevel="1">
      <c r="A1269" s="89" t="n">
        <v>8076810</v>
      </c>
      <c r="B1269" s="114" t="s">
        <v>1201</v>
      </c>
      <c r="C1269" s="89" t="s">
        <v>2038</v>
      </c>
      <c r="D1269" s="89" t="s">
        <v>407</v>
      </c>
      <c r="E1269" s="89" t="s">
        <v>2039</v>
      </c>
      <c r="F1269" s="102" t="n">
        <v>517</v>
      </c>
      <c r="G1269" s="102" t="n">
        <v>687</v>
      </c>
      <c r="H1269" s="103" t="s">
        <v>48</v>
      </c>
      <c r="I1269" s="103">
        <f>IFERROR(VLOOKUP(A1269,#REF!,15,0),0)+IFERROR(VLOOKUP(A1269,#REF!,25,0),0)+IFERROR(VLOOKUP(A1269,#REF!,10,0),0)+IFERROR(VLOOKUP(A1269,#REF!,14,0),0)+IFERROR(VLOOKUP(A1269,#REF!,11,0),0)+IFERROR(VLOOKUP(A1269,#REF!,10,0),0)+IFERROR(VLOOKUP(A1269,#REF!,10,0),0)+IFERROR(VLOOKUP(A1269,#REF!,9,0),0)+IFERROR(VLOOKUP(A1269,#REF!,9,0),0)+IFERROR(VLOOKUP(A1269,#REF!,9,0),0)+IFERROR(VLOOKUP(A1269,#REF!,9,0),0)</f>
        <v>0</v>
      </c>
      <c r="J1269" s="104">
        <f>IFERROR(VLOOKUP(A1269,#REF!,16,0),0)+IFERROR(VLOOKUP(A1269,#REF!,26,0),0)+IFERROR(VLOOKUP(A1269,#REF!,11,0),0)+IFERROR(VLOOKUP(A1269,#REF!,23,0),0)+IFERROR(VLOOKUP(A1269,#REF!,11,0),0)+IFERROR(VLOOKUP(A1269,#REF!,11,0),0)+IFERROR(VLOOKUP(A1269,#REF!,11,0),0)</f>
        <v>0</v>
      </c>
      <c r="K1269" s="96" t="str">
        <f>"07.02.24"</f>
        <v>07.02.24</v>
      </c>
    </row>
    <row r="1270" spans="1:11" ht="11.25" customHeight="1" outlineLevel="1">
      <c r="A1270" s="89" t="n">
        <v>8076820</v>
      </c>
      <c r="B1270" s="114" t="s">
        <v>1201</v>
      </c>
      <c r="C1270" s="89" t="s">
        <v>2040</v>
      </c>
      <c r="D1270" s="89" t="s">
        <v>407</v>
      </c>
      <c r="E1270" s="89" t="s">
        <v>2041</v>
      </c>
      <c r="F1270" s="102" t="n">
        <v>517</v>
      </c>
      <c r="G1270" s="102" t="n">
        <v>687</v>
      </c>
      <c r="H1270" s="103" t="s">
        <v>48</v>
      </c>
      <c r="I1270" s="103">
        <f>IFERROR(VLOOKUP(A1270,#REF!,15,0),0)+IFERROR(VLOOKUP(A1270,#REF!,25,0),0)+IFERROR(VLOOKUP(A1270,#REF!,10,0),0)+IFERROR(VLOOKUP(A1270,#REF!,14,0),0)+IFERROR(VLOOKUP(A1270,#REF!,11,0),0)+IFERROR(VLOOKUP(A1270,#REF!,10,0),0)+IFERROR(VLOOKUP(A1270,#REF!,10,0),0)+IFERROR(VLOOKUP(A1270,#REF!,9,0),0)+IFERROR(VLOOKUP(A1270,#REF!,9,0),0)+IFERROR(VLOOKUP(A1270,#REF!,9,0),0)+IFERROR(VLOOKUP(A1270,#REF!,9,0),0)</f>
        <v>0</v>
      </c>
      <c r="J1270" s="104">
        <f>IFERROR(VLOOKUP(A1270,#REF!,16,0),0)+IFERROR(VLOOKUP(A1270,#REF!,26,0),0)+IFERROR(VLOOKUP(A1270,#REF!,11,0),0)+IFERROR(VLOOKUP(A1270,#REF!,23,0),0)+IFERROR(VLOOKUP(A1270,#REF!,11,0),0)+IFERROR(VLOOKUP(A1270,#REF!,11,0),0)+IFERROR(VLOOKUP(A1270,#REF!,11,0),0)</f>
        <v>0</v>
      </c>
      <c r="K1270" s="96" t="str">
        <f>"07.02.24"</f>
        <v>07.02.24</v>
      </c>
    </row>
    <row r="1271" spans="1:11" ht="11.25" customHeight="1" outlineLevel="1">
      <c r="A1271" s="89" t="n">
        <v>8076830</v>
      </c>
      <c r="B1271" s="114" t="s">
        <v>1201</v>
      </c>
      <c r="C1271" s="89" t="s">
        <v>2042</v>
      </c>
      <c r="D1271" s="89" t="s">
        <v>407</v>
      </c>
      <c r="E1271" s="89" t="s">
        <v>2043</v>
      </c>
      <c r="F1271" s="102" t="n">
        <v>583</v>
      </c>
      <c r="G1271" s="102" t="n">
        <v>772</v>
      </c>
      <c r="H1271" s="103" t="s">
        <v>48</v>
      </c>
      <c r="I1271" s="103">
        <f>IFERROR(VLOOKUP(A1271,#REF!,15,0),0)+IFERROR(VLOOKUP(A1271,#REF!,25,0),0)+IFERROR(VLOOKUP(A1271,#REF!,10,0),0)+IFERROR(VLOOKUP(A1271,#REF!,14,0),0)+IFERROR(VLOOKUP(A1271,#REF!,11,0),0)+IFERROR(VLOOKUP(A1271,#REF!,10,0),0)+IFERROR(VLOOKUP(A1271,#REF!,10,0),0)+IFERROR(VLOOKUP(A1271,#REF!,9,0),0)+IFERROR(VLOOKUP(A1271,#REF!,9,0),0)+IFERROR(VLOOKUP(A1271,#REF!,9,0),0)+IFERROR(VLOOKUP(A1271,#REF!,9,0),0)</f>
        <v>0</v>
      </c>
      <c r="J1271" s="104">
        <f>IFERROR(VLOOKUP(A1271,#REF!,16,0),0)+IFERROR(VLOOKUP(A1271,#REF!,26,0),0)+IFERROR(VLOOKUP(A1271,#REF!,11,0),0)+IFERROR(VLOOKUP(A1271,#REF!,23,0),0)+IFERROR(VLOOKUP(A1271,#REF!,11,0),0)+IFERROR(VLOOKUP(A1271,#REF!,11,0),0)+IFERROR(VLOOKUP(A1271,#REF!,11,0),0)</f>
        <v>0</v>
      </c>
      <c r="K1271" s="96" t="str">
        <f>"07.02.24"</f>
        <v>07.02.24</v>
      </c>
    </row>
    <row r="1272" spans="1:11" ht="11.25" customHeight="1" outlineLevel="1">
      <c r="A1272" s="89" t="n">
        <v>8076840</v>
      </c>
      <c r="B1272" s="114" t="s">
        <v>1201</v>
      </c>
      <c r="C1272" s="89" t="s">
        <v>2044</v>
      </c>
      <c r="D1272" s="89" t="s">
        <v>407</v>
      </c>
      <c r="E1272" s="89" t="s">
        <v>2045</v>
      </c>
      <c r="F1272" s="102" t="n">
        <v>583</v>
      </c>
      <c r="G1272" s="102" t="n">
        <v>772</v>
      </c>
      <c r="H1272" s="103" t="s">
        <v>48</v>
      </c>
      <c r="I1272" s="103">
        <f>IFERROR(VLOOKUP(A1272,#REF!,15,0),0)+IFERROR(VLOOKUP(A1272,#REF!,25,0),0)+IFERROR(VLOOKUP(A1272,#REF!,10,0),0)+IFERROR(VLOOKUP(A1272,#REF!,14,0),0)+IFERROR(VLOOKUP(A1272,#REF!,11,0),0)+IFERROR(VLOOKUP(A1272,#REF!,10,0),0)+IFERROR(VLOOKUP(A1272,#REF!,10,0),0)+IFERROR(VLOOKUP(A1272,#REF!,9,0),0)+IFERROR(VLOOKUP(A1272,#REF!,9,0),0)+IFERROR(VLOOKUP(A1272,#REF!,9,0),0)+IFERROR(VLOOKUP(A1272,#REF!,9,0),0)</f>
        <v>0</v>
      </c>
      <c r="J1272" s="104">
        <f>IFERROR(VLOOKUP(A1272,#REF!,16,0),0)+IFERROR(VLOOKUP(A1272,#REF!,26,0),0)+IFERROR(VLOOKUP(A1272,#REF!,11,0),0)+IFERROR(VLOOKUP(A1272,#REF!,23,0),0)+IFERROR(VLOOKUP(A1272,#REF!,11,0),0)+IFERROR(VLOOKUP(A1272,#REF!,11,0),0)+IFERROR(VLOOKUP(A1272,#REF!,11,0),0)</f>
        <v>0</v>
      </c>
      <c r="K1272" s="96" t="str">
        <f>"07.02.24"</f>
        <v>07.02.24</v>
      </c>
    </row>
    <row r="1273" spans="1:11" ht="11.25" customHeight="1" outlineLevel="1">
      <c r="A1273" s="89" t="n">
        <v>8076850</v>
      </c>
      <c r="B1273" s="114" t="s">
        <v>1201</v>
      </c>
      <c r="C1273" s="89" t="s">
        <v>2046</v>
      </c>
      <c r="D1273" s="89" t="s">
        <v>407</v>
      </c>
      <c r="E1273" s="89" t="s">
        <v>2047</v>
      </c>
      <c r="F1273" s="102" t="n">
        <v>583</v>
      </c>
      <c r="G1273" s="102" t="n">
        <v>772</v>
      </c>
      <c r="H1273" s="103" t="s">
        <v>48</v>
      </c>
      <c r="I1273" s="103">
        <f>IFERROR(VLOOKUP(A1273,#REF!,15,0),0)+IFERROR(VLOOKUP(A1273,#REF!,25,0),0)+IFERROR(VLOOKUP(A1273,#REF!,10,0),0)+IFERROR(VLOOKUP(A1273,#REF!,14,0),0)+IFERROR(VLOOKUP(A1273,#REF!,11,0),0)+IFERROR(VLOOKUP(A1273,#REF!,10,0),0)+IFERROR(VLOOKUP(A1273,#REF!,10,0),0)+IFERROR(VLOOKUP(A1273,#REF!,9,0),0)+IFERROR(VLOOKUP(A1273,#REF!,9,0),0)+IFERROR(VLOOKUP(A1273,#REF!,9,0),0)+IFERROR(VLOOKUP(A1273,#REF!,9,0),0)</f>
        <v>0</v>
      </c>
      <c r="J1273" s="104">
        <f>IFERROR(VLOOKUP(A1273,#REF!,16,0),0)+IFERROR(VLOOKUP(A1273,#REF!,26,0),0)+IFERROR(VLOOKUP(A1273,#REF!,11,0),0)+IFERROR(VLOOKUP(A1273,#REF!,23,0),0)+IFERROR(VLOOKUP(A1273,#REF!,11,0),0)+IFERROR(VLOOKUP(A1273,#REF!,11,0),0)+IFERROR(VLOOKUP(A1273,#REF!,11,0),0)</f>
        <v>0</v>
      </c>
      <c r="K1273" s="96" t="str">
        <f>"07.02.24"</f>
        <v>07.02.24</v>
      </c>
    </row>
    <row r="1274" spans="1:11" ht="11.25" customHeight="1" outlineLevel="1">
      <c r="A1274" s="89" t="n">
        <v>8076860</v>
      </c>
      <c r="B1274" s="114" t="s">
        <v>1201</v>
      </c>
      <c r="C1274" s="89" t="s">
        <v>2048</v>
      </c>
      <c r="D1274" s="89" t="s">
        <v>407</v>
      </c>
      <c r="E1274" s="89" t="s">
        <v>2049</v>
      </c>
      <c r="F1274" s="102" t="n">
        <v>663</v>
      </c>
      <c r="G1274" s="102" t="n">
        <v>880</v>
      </c>
      <c r="H1274" s="103" t="s">
        <v>48</v>
      </c>
      <c r="I1274" s="103">
        <f>IFERROR(VLOOKUP(A1274,#REF!,15,0),0)+IFERROR(VLOOKUP(A1274,#REF!,25,0),0)+IFERROR(VLOOKUP(A1274,#REF!,10,0),0)+IFERROR(VLOOKUP(A1274,#REF!,14,0),0)+IFERROR(VLOOKUP(A1274,#REF!,11,0),0)+IFERROR(VLOOKUP(A1274,#REF!,10,0),0)+IFERROR(VLOOKUP(A1274,#REF!,10,0),0)+IFERROR(VLOOKUP(A1274,#REF!,9,0),0)+IFERROR(VLOOKUP(A1274,#REF!,9,0),0)+IFERROR(VLOOKUP(A1274,#REF!,9,0),0)+IFERROR(VLOOKUP(A1274,#REF!,9,0),0)</f>
        <v>0</v>
      </c>
      <c r="J1274" s="104">
        <f>IFERROR(VLOOKUP(A1274,#REF!,16,0),0)+IFERROR(VLOOKUP(A1274,#REF!,26,0),0)+IFERROR(VLOOKUP(A1274,#REF!,11,0),0)+IFERROR(VLOOKUP(A1274,#REF!,23,0),0)+IFERROR(VLOOKUP(A1274,#REF!,11,0),0)+IFERROR(VLOOKUP(A1274,#REF!,11,0),0)+IFERROR(VLOOKUP(A1274,#REF!,11,0),0)</f>
        <v>0</v>
      </c>
      <c r="K1274" s="96" t="str">
        <f>"07.02.24"</f>
        <v>07.02.24</v>
      </c>
    </row>
    <row r="1275" spans="1:11" ht="11.25" customHeight="1" outlineLevel="1">
      <c r="A1275" s="89" t="n">
        <v>8076870</v>
      </c>
      <c r="B1275" s="114" t="s">
        <v>1201</v>
      </c>
      <c r="C1275" s="89" t="s">
        <v>2050</v>
      </c>
      <c r="D1275" s="89" t="s">
        <v>407</v>
      </c>
      <c r="E1275" s="89" t="s">
        <v>2051</v>
      </c>
      <c r="F1275" s="102" t="n">
        <v>663</v>
      </c>
      <c r="G1275" s="102" t="n">
        <v>880</v>
      </c>
      <c r="H1275" s="103" t="s">
        <v>48</v>
      </c>
      <c r="I1275" s="103">
        <f>IFERROR(VLOOKUP(A1275,#REF!,15,0),0)+IFERROR(VLOOKUP(A1275,#REF!,25,0),0)+IFERROR(VLOOKUP(A1275,#REF!,10,0),0)+IFERROR(VLOOKUP(A1275,#REF!,14,0),0)+IFERROR(VLOOKUP(A1275,#REF!,11,0),0)+IFERROR(VLOOKUP(A1275,#REF!,10,0),0)+IFERROR(VLOOKUP(A1275,#REF!,10,0),0)+IFERROR(VLOOKUP(A1275,#REF!,9,0),0)+IFERROR(VLOOKUP(A1275,#REF!,9,0),0)+IFERROR(VLOOKUP(A1275,#REF!,9,0),0)+IFERROR(VLOOKUP(A1275,#REF!,9,0),0)</f>
        <v>0</v>
      </c>
      <c r="J1275" s="104">
        <f>IFERROR(VLOOKUP(A1275,#REF!,16,0),0)+IFERROR(VLOOKUP(A1275,#REF!,26,0),0)+IFERROR(VLOOKUP(A1275,#REF!,11,0),0)+IFERROR(VLOOKUP(A1275,#REF!,23,0),0)+IFERROR(VLOOKUP(A1275,#REF!,11,0),0)+IFERROR(VLOOKUP(A1275,#REF!,11,0),0)+IFERROR(VLOOKUP(A1275,#REF!,11,0),0)</f>
        <v>0</v>
      </c>
      <c r="K1275" s="96" t="str">
        <f>"07.02.24"</f>
        <v>07.02.24</v>
      </c>
    </row>
    <row r="1276" spans="1:11" ht="11.25" customHeight="1" outlineLevel="1">
      <c r="A1276" s="89" t="n">
        <v>8076880</v>
      </c>
      <c r="B1276" s="114" t="s">
        <v>1201</v>
      </c>
      <c r="C1276" s="89" t="s">
        <v>2052</v>
      </c>
      <c r="D1276" s="89" t="s">
        <v>407</v>
      </c>
      <c r="E1276" s="89" t="s">
        <v>2053</v>
      </c>
      <c r="F1276" s="102" t="n">
        <v>663</v>
      </c>
      <c r="G1276" s="102" t="n">
        <v>880</v>
      </c>
      <c r="H1276" s="103" t="s">
        <v>48</v>
      </c>
      <c r="I1276" s="103">
        <f>IFERROR(VLOOKUP(A1276,#REF!,15,0),0)+IFERROR(VLOOKUP(A1276,#REF!,25,0),0)+IFERROR(VLOOKUP(A1276,#REF!,10,0),0)+IFERROR(VLOOKUP(A1276,#REF!,14,0),0)+IFERROR(VLOOKUP(A1276,#REF!,11,0),0)+IFERROR(VLOOKUP(A1276,#REF!,10,0),0)+IFERROR(VLOOKUP(A1276,#REF!,10,0),0)+IFERROR(VLOOKUP(A1276,#REF!,9,0),0)+IFERROR(VLOOKUP(A1276,#REF!,9,0),0)+IFERROR(VLOOKUP(A1276,#REF!,9,0),0)+IFERROR(VLOOKUP(A1276,#REF!,9,0),0)</f>
        <v>0</v>
      </c>
      <c r="J1276" s="104">
        <f>IFERROR(VLOOKUP(A1276,#REF!,16,0),0)+IFERROR(VLOOKUP(A1276,#REF!,26,0),0)+IFERROR(VLOOKUP(A1276,#REF!,11,0),0)+IFERROR(VLOOKUP(A1276,#REF!,23,0),0)+IFERROR(VLOOKUP(A1276,#REF!,11,0),0)+IFERROR(VLOOKUP(A1276,#REF!,11,0),0)+IFERROR(VLOOKUP(A1276,#REF!,11,0),0)</f>
        <v>0</v>
      </c>
      <c r="K1276" s="96" t="str">
        <f>"07.02.24"</f>
        <v>07.02.24</v>
      </c>
    </row>
    <row r="1277" spans="1:11" ht="11.25" customHeight="1" outlineLevel="1">
      <c r="A1277" s="89" t="n">
        <v>8076890</v>
      </c>
      <c r="B1277" s="114" t="s">
        <v>1201</v>
      </c>
      <c r="C1277" s="89" t="s">
        <v>2054</v>
      </c>
      <c r="D1277" s="89" t="s">
        <v>407</v>
      </c>
      <c r="E1277" s="89" t="s">
        <v>2055</v>
      </c>
      <c r="F1277" s="102" t="n">
        <v>704</v>
      </c>
      <c r="G1277" s="102" t="n">
        <v>936</v>
      </c>
      <c r="H1277" s="103" t="s">
        <v>48</v>
      </c>
      <c r="I1277" s="103">
        <f>IFERROR(VLOOKUP(A1277,#REF!,15,0),0)+IFERROR(VLOOKUP(A1277,#REF!,25,0),0)+IFERROR(VLOOKUP(A1277,#REF!,10,0),0)+IFERROR(VLOOKUP(A1277,#REF!,14,0),0)+IFERROR(VLOOKUP(A1277,#REF!,11,0),0)+IFERROR(VLOOKUP(A1277,#REF!,10,0),0)+IFERROR(VLOOKUP(A1277,#REF!,10,0),0)+IFERROR(VLOOKUP(A1277,#REF!,9,0),0)+IFERROR(VLOOKUP(A1277,#REF!,9,0),0)+IFERROR(VLOOKUP(A1277,#REF!,9,0),0)+IFERROR(VLOOKUP(A1277,#REF!,9,0),0)</f>
        <v>0</v>
      </c>
      <c r="J1277" s="104">
        <f>IFERROR(VLOOKUP(A1277,#REF!,16,0),0)+IFERROR(VLOOKUP(A1277,#REF!,26,0),0)+IFERROR(VLOOKUP(A1277,#REF!,11,0),0)+IFERROR(VLOOKUP(A1277,#REF!,23,0),0)+IFERROR(VLOOKUP(A1277,#REF!,11,0),0)+IFERROR(VLOOKUP(A1277,#REF!,11,0),0)+IFERROR(VLOOKUP(A1277,#REF!,11,0),0)</f>
        <v>0</v>
      </c>
      <c r="K1277" s="96" t="str">
        <f>"07.02.24"</f>
        <v>07.02.24</v>
      </c>
    </row>
    <row r="1278" spans="1:11" ht="11.25" customHeight="1" outlineLevel="1">
      <c r="A1278" s="89" t="n">
        <v>8076900</v>
      </c>
      <c r="B1278" s="114" t="s">
        <v>1201</v>
      </c>
      <c r="C1278" s="89" t="s">
        <v>2056</v>
      </c>
      <c r="D1278" s="89" t="s">
        <v>407</v>
      </c>
      <c r="E1278" s="89" t="s">
        <v>2057</v>
      </c>
      <c r="F1278" s="102" t="n">
        <v>714</v>
      </c>
      <c r="G1278" s="102" t="n">
        <v>951</v>
      </c>
      <c r="H1278" s="103" t="s">
        <v>48</v>
      </c>
      <c r="I1278" s="103">
        <f>IFERROR(VLOOKUP(A1278,#REF!,15,0),0)+IFERROR(VLOOKUP(A1278,#REF!,25,0),0)+IFERROR(VLOOKUP(A1278,#REF!,10,0),0)+IFERROR(VLOOKUP(A1278,#REF!,14,0),0)+IFERROR(VLOOKUP(A1278,#REF!,11,0),0)+IFERROR(VLOOKUP(A1278,#REF!,10,0),0)+IFERROR(VLOOKUP(A1278,#REF!,10,0),0)+IFERROR(VLOOKUP(A1278,#REF!,9,0),0)+IFERROR(VLOOKUP(A1278,#REF!,9,0),0)+IFERROR(VLOOKUP(A1278,#REF!,9,0),0)+IFERROR(VLOOKUP(A1278,#REF!,9,0),0)</f>
        <v>0</v>
      </c>
      <c r="J1278" s="104">
        <f>IFERROR(VLOOKUP(A1278,#REF!,16,0),0)+IFERROR(VLOOKUP(A1278,#REF!,26,0),0)+IFERROR(VLOOKUP(A1278,#REF!,11,0),0)+IFERROR(VLOOKUP(A1278,#REF!,23,0),0)+IFERROR(VLOOKUP(A1278,#REF!,11,0),0)+IFERROR(VLOOKUP(A1278,#REF!,11,0),0)+IFERROR(VLOOKUP(A1278,#REF!,11,0),0)</f>
        <v>0</v>
      </c>
      <c r="K1278" s="96" t="str">
        <f>"07.02.24"</f>
        <v>07.02.24</v>
      </c>
    </row>
    <row r="1279" spans="1:11" ht="11.25" customHeight="1" outlineLevel="1">
      <c r="A1279" s="89" t="n">
        <v>8076910</v>
      </c>
      <c r="B1279" s="114" t="s">
        <v>1201</v>
      </c>
      <c r="C1279" s="89" t="s">
        <v>2058</v>
      </c>
      <c r="D1279" s="89" t="s">
        <v>407</v>
      </c>
      <c r="E1279" s="89" t="s">
        <v>2059</v>
      </c>
      <c r="F1279" s="102" t="n">
        <v>850</v>
      </c>
      <c r="G1279" s="102" t="n">
        <v>1129</v>
      </c>
      <c r="H1279" s="103" t="s">
        <v>48</v>
      </c>
      <c r="I1279" s="103">
        <f>IFERROR(VLOOKUP(A1279,#REF!,15,0),0)+IFERROR(VLOOKUP(A1279,#REF!,25,0),0)+IFERROR(VLOOKUP(A1279,#REF!,10,0),0)+IFERROR(VLOOKUP(A1279,#REF!,14,0),0)+IFERROR(VLOOKUP(A1279,#REF!,11,0),0)+IFERROR(VLOOKUP(A1279,#REF!,10,0),0)+IFERROR(VLOOKUP(A1279,#REF!,10,0),0)+IFERROR(VLOOKUP(A1279,#REF!,9,0),0)+IFERROR(VLOOKUP(A1279,#REF!,9,0),0)+IFERROR(VLOOKUP(A1279,#REF!,9,0),0)+IFERROR(VLOOKUP(A1279,#REF!,9,0),0)</f>
        <v>0</v>
      </c>
      <c r="J1279" s="104">
        <f>IFERROR(VLOOKUP(A1279,#REF!,16,0),0)+IFERROR(VLOOKUP(A1279,#REF!,26,0),0)+IFERROR(VLOOKUP(A1279,#REF!,11,0),0)+IFERROR(VLOOKUP(A1279,#REF!,23,0),0)+IFERROR(VLOOKUP(A1279,#REF!,11,0),0)+IFERROR(VLOOKUP(A1279,#REF!,11,0),0)+IFERROR(VLOOKUP(A1279,#REF!,11,0),0)</f>
        <v>0</v>
      </c>
      <c r="K1279" s="96" t="str">
        <f>"07.02.24"</f>
        <v>07.02.24</v>
      </c>
    </row>
    <row r="1280" spans="1:11" ht="11.25" customHeight="1" outlineLevel="1">
      <c r="A1280" s="89" t="n">
        <v>8076920</v>
      </c>
      <c r="B1280" s="114" t="s">
        <v>1201</v>
      </c>
      <c r="C1280" s="89" t="s">
        <v>2060</v>
      </c>
      <c r="D1280" s="89" t="s">
        <v>407</v>
      </c>
      <c r="E1280" s="89" t="s">
        <v>2061</v>
      </c>
      <c r="F1280" s="102" t="n">
        <v>850</v>
      </c>
      <c r="G1280" s="102" t="n">
        <v>1129</v>
      </c>
      <c r="H1280" s="103" t="s">
        <v>48</v>
      </c>
      <c r="I1280" s="103">
        <f>IFERROR(VLOOKUP(A1280,#REF!,15,0),0)+IFERROR(VLOOKUP(A1280,#REF!,25,0),0)+IFERROR(VLOOKUP(A1280,#REF!,10,0),0)+IFERROR(VLOOKUP(A1280,#REF!,14,0),0)+IFERROR(VLOOKUP(A1280,#REF!,11,0),0)+IFERROR(VLOOKUP(A1280,#REF!,10,0),0)+IFERROR(VLOOKUP(A1280,#REF!,10,0),0)+IFERROR(VLOOKUP(A1280,#REF!,9,0),0)+IFERROR(VLOOKUP(A1280,#REF!,9,0),0)+IFERROR(VLOOKUP(A1280,#REF!,9,0),0)+IFERROR(VLOOKUP(A1280,#REF!,9,0),0)</f>
        <v>0</v>
      </c>
      <c r="J1280" s="104">
        <f>IFERROR(VLOOKUP(A1280,#REF!,16,0),0)+IFERROR(VLOOKUP(A1280,#REF!,26,0),0)+IFERROR(VLOOKUP(A1280,#REF!,11,0),0)+IFERROR(VLOOKUP(A1280,#REF!,23,0),0)+IFERROR(VLOOKUP(A1280,#REF!,11,0),0)+IFERROR(VLOOKUP(A1280,#REF!,11,0),0)+IFERROR(VLOOKUP(A1280,#REF!,11,0),0)</f>
        <v>0</v>
      </c>
      <c r="K1280" s="96" t="str">
        <f>"07.02.24"</f>
        <v>07.02.24</v>
      </c>
    </row>
    <row r="1281" spans="1:11" ht="11.25" customHeight="1" outlineLevel="1">
      <c r="A1281" s="89" t="n">
        <v>8076930</v>
      </c>
      <c r="B1281" s="114" t="s">
        <v>1201</v>
      </c>
      <c r="C1281" s="89" t="s">
        <v>2062</v>
      </c>
      <c r="D1281" s="89" t="s">
        <v>407</v>
      </c>
      <c r="E1281" s="89" t="s">
        <v>2063</v>
      </c>
      <c r="F1281" s="102" t="n">
        <v>850</v>
      </c>
      <c r="G1281" s="102" t="n">
        <v>1129</v>
      </c>
      <c r="H1281" s="103" t="s">
        <v>48</v>
      </c>
      <c r="I1281" s="103">
        <f>IFERROR(VLOOKUP(A1281,#REF!,15,0),0)+IFERROR(VLOOKUP(A1281,#REF!,25,0),0)+IFERROR(VLOOKUP(A1281,#REF!,10,0),0)+IFERROR(VLOOKUP(A1281,#REF!,14,0),0)+IFERROR(VLOOKUP(A1281,#REF!,11,0),0)+IFERROR(VLOOKUP(A1281,#REF!,10,0),0)+IFERROR(VLOOKUP(A1281,#REF!,10,0),0)+IFERROR(VLOOKUP(A1281,#REF!,9,0),0)+IFERROR(VLOOKUP(A1281,#REF!,9,0),0)+IFERROR(VLOOKUP(A1281,#REF!,9,0),0)+IFERROR(VLOOKUP(A1281,#REF!,9,0),0)</f>
        <v>0</v>
      </c>
      <c r="J1281" s="104">
        <f>IFERROR(VLOOKUP(A1281,#REF!,16,0),0)+IFERROR(VLOOKUP(A1281,#REF!,26,0),0)+IFERROR(VLOOKUP(A1281,#REF!,11,0),0)+IFERROR(VLOOKUP(A1281,#REF!,23,0),0)+IFERROR(VLOOKUP(A1281,#REF!,11,0),0)+IFERROR(VLOOKUP(A1281,#REF!,11,0),0)+IFERROR(VLOOKUP(A1281,#REF!,11,0),0)</f>
        <v>0</v>
      </c>
      <c r="K1281" s="96" t="str">
        <f>"07.02.24"</f>
        <v>07.02.24</v>
      </c>
    </row>
    <row r="1282" spans="1:11" ht="11.25" customHeight="1" outlineLevel="1">
      <c r="A1282" s="89" t="n">
        <v>8076940</v>
      </c>
      <c r="B1282" s="114" t="s">
        <v>1201</v>
      </c>
      <c r="C1282" s="89" t="s">
        <v>2064</v>
      </c>
      <c r="D1282" s="89" t="s">
        <v>407</v>
      </c>
      <c r="E1282" s="89" t="s">
        <v>2065</v>
      </c>
      <c r="F1282" s="102" t="n">
        <v>850</v>
      </c>
      <c r="G1282" s="102" t="n">
        <v>1129</v>
      </c>
      <c r="H1282" s="103" t="s">
        <v>48</v>
      </c>
      <c r="I1282" s="103">
        <f>IFERROR(VLOOKUP(A1282,#REF!,15,0),0)+IFERROR(VLOOKUP(A1282,#REF!,25,0),0)+IFERROR(VLOOKUP(A1282,#REF!,10,0),0)+IFERROR(VLOOKUP(A1282,#REF!,14,0),0)+IFERROR(VLOOKUP(A1282,#REF!,11,0),0)+IFERROR(VLOOKUP(A1282,#REF!,10,0),0)+IFERROR(VLOOKUP(A1282,#REF!,10,0),0)+IFERROR(VLOOKUP(A1282,#REF!,9,0),0)+IFERROR(VLOOKUP(A1282,#REF!,9,0),0)+IFERROR(VLOOKUP(A1282,#REF!,9,0),0)+IFERROR(VLOOKUP(A1282,#REF!,9,0),0)</f>
        <v>0</v>
      </c>
      <c r="J1282" s="104">
        <f>IFERROR(VLOOKUP(A1282,#REF!,16,0),0)+IFERROR(VLOOKUP(A1282,#REF!,26,0),0)+IFERROR(VLOOKUP(A1282,#REF!,11,0),0)+IFERROR(VLOOKUP(A1282,#REF!,23,0),0)+IFERROR(VLOOKUP(A1282,#REF!,11,0),0)+IFERROR(VLOOKUP(A1282,#REF!,11,0),0)+IFERROR(VLOOKUP(A1282,#REF!,11,0),0)</f>
        <v>0</v>
      </c>
      <c r="K1282" s="96" t="str">
        <f>"07.02.24"</f>
        <v>07.02.24</v>
      </c>
    </row>
    <row r="1283" spans="1:11" ht="11.25" customHeight="1" outlineLevel="1">
      <c r="A1283" s="89" t="n">
        <v>8076950</v>
      </c>
      <c r="B1283" s="114" t="s">
        <v>1201</v>
      </c>
      <c r="C1283" s="89" t="s">
        <v>2066</v>
      </c>
      <c r="D1283" s="89" t="s">
        <v>407</v>
      </c>
      <c r="E1283" s="89" t="s">
        <v>2067</v>
      </c>
      <c r="F1283" s="102" t="n">
        <v>858</v>
      </c>
      <c r="G1283" s="102" t="n">
        <v>1139</v>
      </c>
      <c r="H1283" s="103" t="s">
        <v>48</v>
      </c>
      <c r="I1283" s="103">
        <f>IFERROR(VLOOKUP(A1283,#REF!,15,0),0)+IFERROR(VLOOKUP(A1283,#REF!,25,0),0)+IFERROR(VLOOKUP(A1283,#REF!,10,0),0)+IFERROR(VLOOKUP(A1283,#REF!,14,0),0)+IFERROR(VLOOKUP(A1283,#REF!,11,0),0)+IFERROR(VLOOKUP(A1283,#REF!,10,0),0)+IFERROR(VLOOKUP(A1283,#REF!,10,0),0)+IFERROR(VLOOKUP(A1283,#REF!,9,0),0)+IFERROR(VLOOKUP(A1283,#REF!,9,0),0)+IFERROR(VLOOKUP(A1283,#REF!,9,0),0)+IFERROR(VLOOKUP(A1283,#REF!,9,0),0)</f>
        <v>0</v>
      </c>
      <c r="J1283" s="104">
        <f>IFERROR(VLOOKUP(A1283,#REF!,16,0),0)+IFERROR(VLOOKUP(A1283,#REF!,26,0),0)+IFERROR(VLOOKUP(A1283,#REF!,11,0),0)+IFERROR(VLOOKUP(A1283,#REF!,23,0),0)+IFERROR(VLOOKUP(A1283,#REF!,11,0),0)+IFERROR(VLOOKUP(A1283,#REF!,11,0),0)+IFERROR(VLOOKUP(A1283,#REF!,11,0),0)</f>
        <v>0</v>
      </c>
      <c r="K1283" s="96" t="str">
        <f>"07.02.24"</f>
        <v>07.02.24</v>
      </c>
    </row>
    <row r="1284" spans="1:11" ht="11.25" customHeight="1" outlineLevel="1">
      <c r="A1284" s="89" t="n">
        <v>8076960</v>
      </c>
      <c r="B1284" s="114" t="s">
        <v>1201</v>
      </c>
      <c r="C1284" s="89" t="s">
        <v>2068</v>
      </c>
      <c r="D1284" s="89" t="s">
        <v>407</v>
      </c>
      <c r="E1284" s="89" t="s">
        <v>2069</v>
      </c>
      <c r="F1284" s="102" t="n">
        <v>980</v>
      </c>
      <c r="G1284" s="102" t="n">
        <v>1305</v>
      </c>
      <c r="H1284" s="103" t="s">
        <v>48</v>
      </c>
      <c r="I1284" s="103">
        <f>IFERROR(VLOOKUP(A1284,#REF!,15,0),0)+IFERROR(VLOOKUP(A1284,#REF!,25,0),0)+IFERROR(VLOOKUP(A1284,#REF!,10,0),0)+IFERROR(VLOOKUP(A1284,#REF!,14,0),0)+IFERROR(VLOOKUP(A1284,#REF!,11,0),0)+IFERROR(VLOOKUP(A1284,#REF!,10,0),0)+IFERROR(VLOOKUP(A1284,#REF!,10,0),0)+IFERROR(VLOOKUP(A1284,#REF!,9,0),0)+IFERROR(VLOOKUP(A1284,#REF!,9,0),0)+IFERROR(VLOOKUP(A1284,#REF!,9,0),0)+IFERROR(VLOOKUP(A1284,#REF!,9,0),0)</f>
        <v>0</v>
      </c>
      <c r="J1284" s="104">
        <f>IFERROR(VLOOKUP(A1284,#REF!,16,0),0)+IFERROR(VLOOKUP(A1284,#REF!,26,0),0)+IFERROR(VLOOKUP(A1284,#REF!,11,0),0)+IFERROR(VLOOKUP(A1284,#REF!,23,0),0)+IFERROR(VLOOKUP(A1284,#REF!,11,0),0)+IFERROR(VLOOKUP(A1284,#REF!,11,0),0)+IFERROR(VLOOKUP(A1284,#REF!,11,0),0)</f>
        <v>0</v>
      </c>
      <c r="K1284" s="96" t="str">
        <f>"07.02.24"</f>
        <v>07.02.24</v>
      </c>
    </row>
    <row r="1285" spans="1:11" ht="11.25" customHeight="1" outlineLevel="1">
      <c r="A1285" s="89" t="n">
        <v>8076970</v>
      </c>
      <c r="B1285" s="114" t="s">
        <v>1201</v>
      </c>
      <c r="C1285" s="89" t="s">
        <v>2070</v>
      </c>
      <c r="D1285" s="89" t="s">
        <v>407</v>
      </c>
      <c r="E1285" s="89" t="s">
        <v>2071</v>
      </c>
      <c r="F1285" s="102" t="n">
        <v>980</v>
      </c>
      <c r="G1285" s="102" t="n">
        <v>1305</v>
      </c>
      <c r="H1285" s="103" t="s">
        <v>48</v>
      </c>
      <c r="I1285" s="103">
        <f>IFERROR(VLOOKUP(A1285,#REF!,15,0),0)+IFERROR(VLOOKUP(A1285,#REF!,25,0),0)+IFERROR(VLOOKUP(A1285,#REF!,10,0),0)+IFERROR(VLOOKUP(A1285,#REF!,14,0),0)+IFERROR(VLOOKUP(A1285,#REF!,11,0),0)+IFERROR(VLOOKUP(A1285,#REF!,10,0),0)+IFERROR(VLOOKUP(A1285,#REF!,10,0),0)+IFERROR(VLOOKUP(A1285,#REF!,9,0),0)+IFERROR(VLOOKUP(A1285,#REF!,9,0),0)+IFERROR(VLOOKUP(A1285,#REF!,9,0),0)+IFERROR(VLOOKUP(A1285,#REF!,9,0),0)</f>
        <v>0</v>
      </c>
      <c r="J1285" s="104">
        <f>IFERROR(VLOOKUP(A1285,#REF!,16,0),0)+IFERROR(VLOOKUP(A1285,#REF!,26,0),0)+IFERROR(VLOOKUP(A1285,#REF!,11,0),0)+IFERROR(VLOOKUP(A1285,#REF!,23,0),0)+IFERROR(VLOOKUP(A1285,#REF!,11,0),0)+IFERROR(VLOOKUP(A1285,#REF!,11,0),0)+IFERROR(VLOOKUP(A1285,#REF!,11,0),0)</f>
        <v>0</v>
      </c>
      <c r="K1285" s="96" t="str">
        <f>"07.02.24"</f>
        <v>07.02.24</v>
      </c>
    </row>
    <row r="1286" spans="1:11" ht="11.25" customHeight="1" outlineLevel="1">
      <c r="A1286" s="89" t="n">
        <v>8076980</v>
      </c>
      <c r="B1286" s="114" t="s">
        <v>1201</v>
      </c>
      <c r="C1286" s="89" t="s">
        <v>2072</v>
      </c>
      <c r="D1286" s="89" t="s">
        <v>407</v>
      </c>
      <c r="E1286" s="89" t="s">
        <v>2073</v>
      </c>
      <c r="F1286" s="102" t="n">
        <v>980</v>
      </c>
      <c r="G1286" s="102" t="n">
        <v>1305</v>
      </c>
      <c r="H1286" s="103" t="s">
        <v>48</v>
      </c>
      <c r="I1286" s="103">
        <f>IFERROR(VLOOKUP(A1286,#REF!,15,0),0)+IFERROR(VLOOKUP(A1286,#REF!,25,0),0)+IFERROR(VLOOKUP(A1286,#REF!,10,0),0)+IFERROR(VLOOKUP(A1286,#REF!,14,0),0)+IFERROR(VLOOKUP(A1286,#REF!,11,0),0)+IFERROR(VLOOKUP(A1286,#REF!,10,0),0)+IFERROR(VLOOKUP(A1286,#REF!,10,0),0)+IFERROR(VLOOKUP(A1286,#REF!,9,0),0)+IFERROR(VLOOKUP(A1286,#REF!,9,0),0)+IFERROR(VLOOKUP(A1286,#REF!,9,0),0)+IFERROR(VLOOKUP(A1286,#REF!,9,0),0)</f>
        <v>0</v>
      </c>
      <c r="J1286" s="104">
        <f>IFERROR(VLOOKUP(A1286,#REF!,16,0),0)+IFERROR(VLOOKUP(A1286,#REF!,26,0),0)+IFERROR(VLOOKUP(A1286,#REF!,11,0),0)+IFERROR(VLOOKUP(A1286,#REF!,23,0),0)+IFERROR(VLOOKUP(A1286,#REF!,11,0),0)+IFERROR(VLOOKUP(A1286,#REF!,11,0),0)+IFERROR(VLOOKUP(A1286,#REF!,11,0),0)</f>
        <v>0</v>
      </c>
      <c r="K1286" s="96" t="str">
        <f>"07.02.24"</f>
        <v>07.02.24</v>
      </c>
    </row>
    <row r="1287" spans="1:11" ht="11.25" customHeight="1" outlineLevel="1">
      <c r="A1287" s="89" t="n">
        <v>8076990</v>
      </c>
      <c r="B1287" s="114" t="s">
        <v>1201</v>
      </c>
      <c r="C1287" s="89" t="s">
        <v>2074</v>
      </c>
      <c r="D1287" s="89" t="s">
        <v>407</v>
      </c>
      <c r="E1287" s="89" t="s">
        <v>2075</v>
      </c>
      <c r="F1287" s="102" t="n">
        <v>980</v>
      </c>
      <c r="G1287" s="102" t="n">
        <v>1305</v>
      </c>
      <c r="H1287" s="103" t="s">
        <v>48</v>
      </c>
      <c r="I1287" s="103">
        <f>IFERROR(VLOOKUP(A1287,#REF!,15,0),0)+IFERROR(VLOOKUP(A1287,#REF!,25,0),0)+IFERROR(VLOOKUP(A1287,#REF!,10,0),0)+IFERROR(VLOOKUP(A1287,#REF!,14,0),0)+IFERROR(VLOOKUP(A1287,#REF!,11,0),0)+IFERROR(VLOOKUP(A1287,#REF!,10,0),0)+IFERROR(VLOOKUP(A1287,#REF!,10,0),0)+IFERROR(VLOOKUP(A1287,#REF!,9,0),0)+IFERROR(VLOOKUP(A1287,#REF!,9,0),0)+IFERROR(VLOOKUP(A1287,#REF!,9,0),0)+IFERROR(VLOOKUP(A1287,#REF!,9,0),0)</f>
        <v>0</v>
      </c>
      <c r="J1287" s="104">
        <f>IFERROR(VLOOKUP(A1287,#REF!,16,0),0)+IFERROR(VLOOKUP(A1287,#REF!,26,0),0)+IFERROR(VLOOKUP(A1287,#REF!,11,0),0)+IFERROR(VLOOKUP(A1287,#REF!,23,0),0)+IFERROR(VLOOKUP(A1287,#REF!,11,0),0)+IFERROR(VLOOKUP(A1287,#REF!,11,0),0)+IFERROR(VLOOKUP(A1287,#REF!,11,0),0)</f>
        <v>0</v>
      </c>
      <c r="K1287" s="96" t="str">
        <f>"07.02.24"</f>
        <v>07.02.24</v>
      </c>
    </row>
    <row r="1288" spans="1:11" ht="11.25" customHeight="1" outlineLevel="1">
      <c r="A1288" s="89" t="n">
        <v>8077010</v>
      </c>
      <c r="B1288" s="114" t="s">
        <v>1201</v>
      </c>
      <c r="C1288" s="89" t="s">
        <v>2076</v>
      </c>
      <c r="D1288" s="89" t="s">
        <v>407</v>
      </c>
      <c r="E1288" s="89" t="s">
        <v>2077</v>
      </c>
      <c r="F1288" s="102" t="n">
        <v>980</v>
      </c>
      <c r="G1288" s="102" t="n">
        <v>1305</v>
      </c>
      <c r="H1288" s="103" t="s">
        <v>48</v>
      </c>
      <c r="I1288" s="103">
        <f>IFERROR(VLOOKUP(A1288,#REF!,15,0),0)+IFERROR(VLOOKUP(A1288,#REF!,25,0),0)+IFERROR(VLOOKUP(A1288,#REF!,10,0),0)+IFERROR(VLOOKUP(A1288,#REF!,14,0),0)+IFERROR(VLOOKUP(A1288,#REF!,11,0),0)+IFERROR(VLOOKUP(A1288,#REF!,10,0),0)+IFERROR(VLOOKUP(A1288,#REF!,10,0),0)+IFERROR(VLOOKUP(A1288,#REF!,9,0),0)+IFERROR(VLOOKUP(A1288,#REF!,9,0),0)+IFERROR(VLOOKUP(A1288,#REF!,9,0),0)+IFERROR(VLOOKUP(A1288,#REF!,9,0),0)</f>
        <v>0</v>
      </c>
      <c r="J1288" s="104">
        <f>IFERROR(VLOOKUP(A1288,#REF!,16,0),0)+IFERROR(VLOOKUP(A1288,#REF!,26,0),0)+IFERROR(VLOOKUP(A1288,#REF!,11,0),0)+IFERROR(VLOOKUP(A1288,#REF!,23,0),0)+IFERROR(VLOOKUP(A1288,#REF!,11,0),0)+IFERROR(VLOOKUP(A1288,#REF!,11,0),0)+IFERROR(VLOOKUP(A1288,#REF!,11,0),0)</f>
        <v>0</v>
      </c>
      <c r="K1288" s="96" t="str">
        <f>"07.02.24"</f>
        <v>07.02.24</v>
      </c>
    </row>
    <row r="1289" spans="1:11" ht="11.25" customHeight="1" outlineLevel="1">
      <c r="A1289" s="89" t="n">
        <v>8077020</v>
      </c>
      <c r="B1289" s="114" t="s">
        <v>1201</v>
      </c>
      <c r="C1289" s="89" t="s">
        <v>2078</v>
      </c>
      <c r="D1289" s="89" t="s">
        <v>407</v>
      </c>
      <c r="E1289" s="89" t="s">
        <v>2079</v>
      </c>
      <c r="F1289" s="102" t="n">
        <v>1181</v>
      </c>
      <c r="G1289" s="102" t="n">
        <v>1569</v>
      </c>
      <c r="H1289" s="103" t="s">
        <v>48</v>
      </c>
      <c r="I1289" s="103">
        <f>IFERROR(VLOOKUP(A1289,#REF!,15,0),0)+IFERROR(VLOOKUP(A1289,#REF!,25,0),0)+IFERROR(VLOOKUP(A1289,#REF!,10,0),0)+IFERROR(VLOOKUP(A1289,#REF!,14,0),0)+IFERROR(VLOOKUP(A1289,#REF!,11,0),0)+IFERROR(VLOOKUP(A1289,#REF!,10,0),0)+IFERROR(VLOOKUP(A1289,#REF!,10,0),0)+IFERROR(VLOOKUP(A1289,#REF!,9,0),0)+IFERROR(VLOOKUP(A1289,#REF!,9,0),0)+IFERROR(VLOOKUP(A1289,#REF!,9,0),0)+IFERROR(VLOOKUP(A1289,#REF!,9,0),0)</f>
        <v>0</v>
      </c>
      <c r="J1289" s="104">
        <f>IFERROR(VLOOKUP(A1289,#REF!,16,0),0)+IFERROR(VLOOKUP(A1289,#REF!,26,0),0)+IFERROR(VLOOKUP(A1289,#REF!,11,0),0)+IFERROR(VLOOKUP(A1289,#REF!,23,0),0)+IFERROR(VLOOKUP(A1289,#REF!,11,0),0)+IFERROR(VLOOKUP(A1289,#REF!,11,0),0)+IFERROR(VLOOKUP(A1289,#REF!,11,0),0)</f>
        <v>0</v>
      </c>
      <c r="K1289" s="96" t="str">
        <f>"07.02.24"</f>
        <v>07.02.24</v>
      </c>
    </row>
    <row r="1290" spans="1:11" ht="11.25" customHeight="1" outlineLevel="1">
      <c r="A1290" s="89" t="n">
        <v>8077030</v>
      </c>
      <c r="B1290" s="114" t="s">
        <v>1201</v>
      </c>
      <c r="C1290" s="89" t="s">
        <v>2080</v>
      </c>
      <c r="D1290" s="89" t="s">
        <v>407</v>
      </c>
      <c r="E1290" s="89" t="s">
        <v>2081</v>
      </c>
      <c r="F1290" s="102" t="n">
        <v>1181</v>
      </c>
      <c r="G1290" s="102" t="n">
        <v>1569</v>
      </c>
      <c r="H1290" s="103" t="s">
        <v>48</v>
      </c>
      <c r="I1290" s="103">
        <f>IFERROR(VLOOKUP(A1290,#REF!,15,0),0)+IFERROR(VLOOKUP(A1290,#REF!,25,0),0)+IFERROR(VLOOKUP(A1290,#REF!,10,0),0)+IFERROR(VLOOKUP(A1290,#REF!,14,0),0)+IFERROR(VLOOKUP(A1290,#REF!,11,0),0)+IFERROR(VLOOKUP(A1290,#REF!,10,0),0)+IFERROR(VLOOKUP(A1290,#REF!,10,0),0)+IFERROR(VLOOKUP(A1290,#REF!,9,0),0)+IFERROR(VLOOKUP(A1290,#REF!,9,0),0)+IFERROR(VLOOKUP(A1290,#REF!,9,0),0)+IFERROR(VLOOKUP(A1290,#REF!,9,0),0)</f>
        <v>0</v>
      </c>
      <c r="J1290" s="104">
        <f>IFERROR(VLOOKUP(A1290,#REF!,16,0),0)+IFERROR(VLOOKUP(A1290,#REF!,26,0),0)+IFERROR(VLOOKUP(A1290,#REF!,11,0),0)+IFERROR(VLOOKUP(A1290,#REF!,23,0),0)+IFERROR(VLOOKUP(A1290,#REF!,11,0),0)+IFERROR(VLOOKUP(A1290,#REF!,11,0),0)+IFERROR(VLOOKUP(A1290,#REF!,11,0),0)</f>
        <v>0</v>
      </c>
      <c r="K1290" s="96" t="str">
        <f>"07.02.24"</f>
        <v>07.02.24</v>
      </c>
    </row>
    <row r="1291" spans="1:11" ht="11.25" customHeight="1" outlineLevel="1">
      <c r="A1291" s="89" t="n">
        <v>8077050</v>
      </c>
      <c r="B1291" s="114" t="s">
        <v>1201</v>
      </c>
      <c r="C1291" s="89" t="s">
        <v>2082</v>
      </c>
      <c r="D1291" s="89" t="s">
        <v>407</v>
      </c>
      <c r="E1291" s="89" t="s">
        <v>2083</v>
      </c>
      <c r="F1291" s="102" t="n">
        <v>1181</v>
      </c>
      <c r="G1291" s="102" t="n">
        <v>1569</v>
      </c>
      <c r="H1291" s="103" t="s">
        <v>48</v>
      </c>
      <c r="I1291" s="103">
        <f>IFERROR(VLOOKUP(A1291,#REF!,15,0),0)+IFERROR(VLOOKUP(A1291,#REF!,25,0),0)+IFERROR(VLOOKUP(A1291,#REF!,10,0),0)+IFERROR(VLOOKUP(A1291,#REF!,14,0),0)+IFERROR(VLOOKUP(A1291,#REF!,11,0),0)+IFERROR(VLOOKUP(A1291,#REF!,10,0),0)+IFERROR(VLOOKUP(A1291,#REF!,10,0),0)+IFERROR(VLOOKUP(A1291,#REF!,9,0),0)+IFERROR(VLOOKUP(A1291,#REF!,9,0),0)+IFERROR(VLOOKUP(A1291,#REF!,9,0),0)+IFERROR(VLOOKUP(A1291,#REF!,9,0),0)</f>
        <v>0</v>
      </c>
      <c r="J1291" s="104">
        <f>IFERROR(VLOOKUP(A1291,#REF!,16,0),0)+IFERROR(VLOOKUP(A1291,#REF!,26,0),0)+IFERROR(VLOOKUP(A1291,#REF!,11,0),0)+IFERROR(VLOOKUP(A1291,#REF!,23,0),0)+IFERROR(VLOOKUP(A1291,#REF!,11,0),0)+IFERROR(VLOOKUP(A1291,#REF!,11,0),0)+IFERROR(VLOOKUP(A1291,#REF!,11,0),0)</f>
        <v>0</v>
      </c>
      <c r="K1291" s="96" t="str">
        <f>"07.02.24"</f>
        <v>07.02.24</v>
      </c>
    </row>
    <row r="1292" spans="1:11" ht="11.25" customHeight="1" outlineLevel="1">
      <c r="A1292" s="89" t="n">
        <v>8077060</v>
      </c>
      <c r="B1292" s="114" t="s">
        <v>1201</v>
      </c>
      <c r="C1292" s="89" t="s">
        <v>2084</v>
      </c>
      <c r="D1292" s="89" t="s">
        <v>407</v>
      </c>
      <c r="E1292" s="89" t="s">
        <v>2085</v>
      </c>
      <c r="F1292" s="102" t="n">
        <v>1181</v>
      </c>
      <c r="G1292" s="102" t="n">
        <v>1569</v>
      </c>
      <c r="H1292" s="103" t="s">
        <v>48</v>
      </c>
      <c r="I1292" s="103">
        <f>IFERROR(VLOOKUP(A1292,#REF!,15,0),0)+IFERROR(VLOOKUP(A1292,#REF!,25,0),0)+IFERROR(VLOOKUP(A1292,#REF!,10,0),0)+IFERROR(VLOOKUP(A1292,#REF!,14,0),0)+IFERROR(VLOOKUP(A1292,#REF!,11,0),0)+IFERROR(VLOOKUP(A1292,#REF!,10,0),0)+IFERROR(VLOOKUP(A1292,#REF!,10,0),0)+IFERROR(VLOOKUP(A1292,#REF!,9,0),0)+IFERROR(VLOOKUP(A1292,#REF!,9,0),0)+IFERROR(VLOOKUP(A1292,#REF!,9,0),0)+IFERROR(VLOOKUP(A1292,#REF!,9,0),0)</f>
        <v>0</v>
      </c>
      <c r="J1292" s="104">
        <f>IFERROR(VLOOKUP(A1292,#REF!,16,0),0)+IFERROR(VLOOKUP(A1292,#REF!,26,0),0)+IFERROR(VLOOKUP(A1292,#REF!,11,0),0)+IFERROR(VLOOKUP(A1292,#REF!,23,0),0)+IFERROR(VLOOKUP(A1292,#REF!,11,0),0)+IFERROR(VLOOKUP(A1292,#REF!,11,0),0)+IFERROR(VLOOKUP(A1292,#REF!,11,0),0)</f>
        <v>0</v>
      </c>
      <c r="K1292" s="96" t="str">
        <f>"07.02.24"</f>
        <v>07.02.24</v>
      </c>
    </row>
    <row r="1293" spans="1:11" ht="11.25" customHeight="1" outlineLevel="1">
      <c r="A1293" s="89" t="n">
        <v>8077070</v>
      </c>
      <c r="B1293" s="114" t="s">
        <v>1201</v>
      </c>
      <c r="C1293" s="89" t="s">
        <v>2086</v>
      </c>
      <c r="D1293" s="89" t="s">
        <v>407</v>
      </c>
      <c r="E1293" s="89" t="s">
        <v>2087</v>
      </c>
      <c r="F1293" s="102" t="n">
        <v>1181</v>
      </c>
      <c r="G1293" s="102" t="n">
        <v>1569</v>
      </c>
      <c r="H1293" s="103" t="s">
        <v>48</v>
      </c>
      <c r="I1293" s="103">
        <f>IFERROR(VLOOKUP(A1293,#REF!,15,0),0)+IFERROR(VLOOKUP(A1293,#REF!,25,0),0)+IFERROR(VLOOKUP(A1293,#REF!,10,0),0)+IFERROR(VLOOKUP(A1293,#REF!,14,0),0)+IFERROR(VLOOKUP(A1293,#REF!,11,0),0)+IFERROR(VLOOKUP(A1293,#REF!,10,0),0)+IFERROR(VLOOKUP(A1293,#REF!,10,0),0)+IFERROR(VLOOKUP(A1293,#REF!,9,0),0)+IFERROR(VLOOKUP(A1293,#REF!,9,0),0)+IFERROR(VLOOKUP(A1293,#REF!,9,0),0)+IFERROR(VLOOKUP(A1293,#REF!,9,0),0)</f>
        <v>0</v>
      </c>
      <c r="J1293" s="104">
        <f>IFERROR(VLOOKUP(A1293,#REF!,16,0),0)+IFERROR(VLOOKUP(A1293,#REF!,26,0),0)+IFERROR(VLOOKUP(A1293,#REF!,11,0),0)+IFERROR(VLOOKUP(A1293,#REF!,23,0),0)+IFERROR(VLOOKUP(A1293,#REF!,11,0),0)+IFERROR(VLOOKUP(A1293,#REF!,11,0),0)+IFERROR(VLOOKUP(A1293,#REF!,11,0),0)</f>
        <v>0</v>
      </c>
      <c r="K1293" s="96" t="str">
        <f>"07.02.24"</f>
        <v>07.02.24</v>
      </c>
    </row>
    <row r="1294" spans="1:11" ht="11.25" customHeight="1" outlineLevel="1">
      <c r="A1294" s="89" t="n">
        <v>8077080</v>
      </c>
      <c r="B1294" s="114" t="s">
        <v>1201</v>
      </c>
      <c r="C1294" s="89" t="s">
        <v>2088</v>
      </c>
      <c r="D1294" s="89" t="s">
        <v>407</v>
      </c>
      <c r="E1294" s="89" t="s">
        <v>2089</v>
      </c>
      <c r="F1294" s="102" t="n">
        <v>1384</v>
      </c>
      <c r="G1294" s="102" t="n">
        <v>1839</v>
      </c>
      <c r="H1294" s="103" t="s">
        <v>48</v>
      </c>
      <c r="I1294" s="103">
        <f>IFERROR(VLOOKUP(A1294,#REF!,15,0),0)+IFERROR(VLOOKUP(A1294,#REF!,25,0),0)+IFERROR(VLOOKUP(A1294,#REF!,10,0),0)+IFERROR(VLOOKUP(A1294,#REF!,14,0),0)+IFERROR(VLOOKUP(A1294,#REF!,11,0),0)+IFERROR(VLOOKUP(A1294,#REF!,10,0),0)+IFERROR(VLOOKUP(A1294,#REF!,10,0),0)+IFERROR(VLOOKUP(A1294,#REF!,9,0),0)+IFERROR(VLOOKUP(A1294,#REF!,9,0),0)+IFERROR(VLOOKUP(A1294,#REF!,9,0),0)+IFERROR(VLOOKUP(A1294,#REF!,9,0),0)</f>
        <v>0</v>
      </c>
      <c r="J1294" s="104">
        <f>IFERROR(VLOOKUP(A1294,#REF!,16,0),0)+IFERROR(VLOOKUP(A1294,#REF!,26,0),0)+IFERROR(VLOOKUP(A1294,#REF!,11,0),0)+IFERROR(VLOOKUP(A1294,#REF!,23,0),0)+IFERROR(VLOOKUP(A1294,#REF!,11,0),0)+IFERROR(VLOOKUP(A1294,#REF!,11,0),0)+IFERROR(VLOOKUP(A1294,#REF!,11,0),0)</f>
        <v>0</v>
      </c>
      <c r="K1294" s="96" t="str">
        <f>"07.02.24"</f>
        <v>07.02.24</v>
      </c>
    </row>
    <row r="1295" spans="1:11" ht="11.25" customHeight="1" outlineLevel="1">
      <c r="A1295" s="89" t="n">
        <v>8077090</v>
      </c>
      <c r="B1295" s="114" t="s">
        <v>1201</v>
      </c>
      <c r="C1295" s="89" t="s">
        <v>2090</v>
      </c>
      <c r="D1295" s="89" t="s">
        <v>407</v>
      </c>
      <c r="E1295" s="89" t="s">
        <v>2091</v>
      </c>
      <c r="F1295" s="102" t="n">
        <v>1384</v>
      </c>
      <c r="G1295" s="102" t="n">
        <v>1839</v>
      </c>
      <c r="H1295" s="103" t="s">
        <v>48</v>
      </c>
      <c r="I1295" s="103">
        <f>IFERROR(VLOOKUP(A1295,#REF!,15,0),0)+IFERROR(VLOOKUP(A1295,#REF!,25,0),0)+IFERROR(VLOOKUP(A1295,#REF!,10,0),0)+IFERROR(VLOOKUP(A1295,#REF!,14,0),0)+IFERROR(VLOOKUP(A1295,#REF!,11,0),0)+IFERROR(VLOOKUP(A1295,#REF!,10,0),0)+IFERROR(VLOOKUP(A1295,#REF!,10,0),0)+IFERROR(VLOOKUP(A1295,#REF!,9,0),0)+IFERROR(VLOOKUP(A1295,#REF!,9,0),0)+IFERROR(VLOOKUP(A1295,#REF!,9,0),0)+IFERROR(VLOOKUP(A1295,#REF!,9,0),0)</f>
        <v>0</v>
      </c>
      <c r="J1295" s="104">
        <f>IFERROR(VLOOKUP(A1295,#REF!,16,0),0)+IFERROR(VLOOKUP(A1295,#REF!,26,0),0)+IFERROR(VLOOKUP(A1295,#REF!,11,0),0)+IFERROR(VLOOKUP(A1295,#REF!,23,0),0)+IFERROR(VLOOKUP(A1295,#REF!,11,0),0)+IFERROR(VLOOKUP(A1295,#REF!,11,0),0)+IFERROR(VLOOKUP(A1295,#REF!,11,0),0)</f>
        <v>0</v>
      </c>
      <c r="K1295" s="96" t="str">
        <f>"07.02.24"</f>
        <v>07.02.24</v>
      </c>
    </row>
    <row r="1296" spans="1:11" ht="11.25" customHeight="1" outlineLevel="1">
      <c r="A1296" s="89" t="n">
        <v>8077100</v>
      </c>
      <c r="B1296" s="114" t="s">
        <v>1201</v>
      </c>
      <c r="C1296" s="89" t="s">
        <v>2092</v>
      </c>
      <c r="D1296" s="89" t="s">
        <v>407</v>
      </c>
      <c r="E1296" s="89" t="s">
        <v>2093</v>
      </c>
      <c r="F1296" s="102" t="n">
        <v>1384</v>
      </c>
      <c r="G1296" s="102" t="n">
        <v>1839</v>
      </c>
      <c r="H1296" s="103" t="s">
        <v>48</v>
      </c>
      <c r="I1296" s="103">
        <f>IFERROR(VLOOKUP(A1296,#REF!,15,0),0)+IFERROR(VLOOKUP(A1296,#REF!,25,0),0)+IFERROR(VLOOKUP(A1296,#REF!,10,0),0)+IFERROR(VLOOKUP(A1296,#REF!,14,0),0)+IFERROR(VLOOKUP(A1296,#REF!,11,0),0)+IFERROR(VLOOKUP(A1296,#REF!,10,0),0)+IFERROR(VLOOKUP(A1296,#REF!,10,0),0)+IFERROR(VLOOKUP(A1296,#REF!,9,0),0)+IFERROR(VLOOKUP(A1296,#REF!,9,0),0)+IFERROR(VLOOKUP(A1296,#REF!,9,0),0)+IFERROR(VLOOKUP(A1296,#REF!,9,0),0)</f>
        <v>0</v>
      </c>
      <c r="J1296" s="104">
        <f>IFERROR(VLOOKUP(A1296,#REF!,16,0),0)+IFERROR(VLOOKUP(A1296,#REF!,26,0),0)+IFERROR(VLOOKUP(A1296,#REF!,11,0),0)+IFERROR(VLOOKUP(A1296,#REF!,23,0),0)+IFERROR(VLOOKUP(A1296,#REF!,11,0),0)+IFERROR(VLOOKUP(A1296,#REF!,11,0),0)+IFERROR(VLOOKUP(A1296,#REF!,11,0),0)</f>
        <v>0</v>
      </c>
      <c r="K1296" s="96" t="str">
        <f>"07.02.24"</f>
        <v>07.02.24</v>
      </c>
    </row>
    <row r="1297" spans="1:11" ht="11.25" customHeight="1" outlineLevel="1">
      <c r="A1297" s="89" t="n">
        <v>8077110</v>
      </c>
      <c r="B1297" s="114" t="s">
        <v>1201</v>
      </c>
      <c r="C1297" s="89" t="s">
        <v>2094</v>
      </c>
      <c r="D1297" s="89" t="s">
        <v>407</v>
      </c>
      <c r="E1297" s="89" t="s">
        <v>2095</v>
      </c>
      <c r="F1297" s="102" t="n">
        <v>1384</v>
      </c>
      <c r="G1297" s="102" t="n">
        <v>1839</v>
      </c>
      <c r="H1297" s="103" t="s">
        <v>48</v>
      </c>
      <c r="I1297" s="103">
        <f>IFERROR(VLOOKUP(A1297,#REF!,15,0),0)+IFERROR(VLOOKUP(A1297,#REF!,25,0),0)+IFERROR(VLOOKUP(A1297,#REF!,10,0),0)+IFERROR(VLOOKUP(A1297,#REF!,14,0),0)+IFERROR(VLOOKUP(A1297,#REF!,11,0),0)+IFERROR(VLOOKUP(A1297,#REF!,10,0),0)+IFERROR(VLOOKUP(A1297,#REF!,10,0),0)+IFERROR(VLOOKUP(A1297,#REF!,9,0),0)+IFERROR(VLOOKUP(A1297,#REF!,9,0),0)+IFERROR(VLOOKUP(A1297,#REF!,9,0),0)+IFERROR(VLOOKUP(A1297,#REF!,9,0),0)</f>
        <v>0</v>
      </c>
      <c r="J1297" s="104">
        <f>IFERROR(VLOOKUP(A1297,#REF!,16,0),0)+IFERROR(VLOOKUP(A1297,#REF!,26,0),0)+IFERROR(VLOOKUP(A1297,#REF!,11,0),0)+IFERROR(VLOOKUP(A1297,#REF!,23,0),0)+IFERROR(VLOOKUP(A1297,#REF!,11,0),0)+IFERROR(VLOOKUP(A1297,#REF!,11,0),0)+IFERROR(VLOOKUP(A1297,#REF!,11,0),0)</f>
        <v>0</v>
      </c>
      <c r="K1297" s="96" t="str">
        <f>"07.02.24"</f>
        <v>07.02.24</v>
      </c>
    </row>
    <row r="1298" spans="1:11" ht="11.25" customHeight="1" outlineLevel="1">
      <c r="A1298" s="89" t="n">
        <v>8077120</v>
      </c>
      <c r="B1298" s="114" t="s">
        <v>1201</v>
      </c>
      <c r="C1298" s="89" t="s">
        <v>2096</v>
      </c>
      <c r="D1298" s="89" t="s">
        <v>407</v>
      </c>
      <c r="E1298" s="89" t="s">
        <v>2097</v>
      </c>
      <c r="F1298" s="102" t="n">
        <v>1400</v>
      </c>
      <c r="G1298" s="102" t="n">
        <v>1859</v>
      </c>
      <c r="H1298" s="103" t="s">
        <v>48</v>
      </c>
      <c r="I1298" s="103">
        <f>IFERROR(VLOOKUP(A1298,#REF!,15,0),0)+IFERROR(VLOOKUP(A1298,#REF!,25,0),0)+IFERROR(VLOOKUP(A1298,#REF!,10,0),0)+IFERROR(VLOOKUP(A1298,#REF!,14,0),0)+IFERROR(VLOOKUP(A1298,#REF!,11,0),0)+IFERROR(VLOOKUP(A1298,#REF!,10,0),0)+IFERROR(VLOOKUP(A1298,#REF!,10,0),0)+IFERROR(VLOOKUP(A1298,#REF!,9,0),0)+IFERROR(VLOOKUP(A1298,#REF!,9,0),0)+IFERROR(VLOOKUP(A1298,#REF!,9,0),0)+IFERROR(VLOOKUP(A1298,#REF!,9,0),0)</f>
        <v>0</v>
      </c>
      <c r="J1298" s="104">
        <f>IFERROR(VLOOKUP(A1298,#REF!,16,0),0)+IFERROR(VLOOKUP(A1298,#REF!,26,0),0)+IFERROR(VLOOKUP(A1298,#REF!,11,0),0)+IFERROR(VLOOKUP(A1298,#REF!,23,0),0)+IFERROR(VLOOKUP(A1298,#REF!,11,0),0)+IFERROR(VLOOKUP(A1298,#REF!,11,0),0)+IFERROR(VLOOKUP(A1298,#REF!,11,0),0)</f>
        <v>0</v>
      </c>
      <c r="K1298" s="96" t="str">
        <f>"07.02.24"</f>
        <v>07.02.24</v>
      </c>
    </row>
    <row r="1299" spans="1:11" ht="11.25" customHeight="1" outlineLevel="1">
      <c r="A1299" s="89" t="n">
        <v>8077130</v>
      </c>
      <c r="B1299" s="114" t="s">
        <v>1201</v>
      </c>
      <c r="C1299" s="89" t="s">
        <v>2098</v>
      </c>
      <c r="D1299" s="89" t="s">
        <v>407</v>
      </c>
      <c r="E1299" s="89" t="s">
        <v>2099</v>
      </c>
      <c r="F1299" s="102" t="n">
        <v>1548</v>
      </c>
      <c r="G1299" s="102" t="n">
        <v>2058</v>
      </c>
      <c r="H1299" s="103" t="s">
        <v>48</v>
      </c>
      <c r="I1299" s="103">
        <f>IFERROR(VLOOKUP(A1299,#REF!,15,0),0)+IFERROR(VLOOKUP(A1299,#REF!,25,0),0)+IFERROR(VLOOKUP(A1299,#REF!,10,0),0)+IFERROR(VLOOKUP(A1299,#REF!,14,0),0)+IFERROR(VLOOKUP(A1299,#REF!,11,0),0)+IFERROR(VLOOKUP(A1299,#REF!,10,0),0)+IFERROR(VLOOKUP(A1299,#REF!,10,0),0)+IFERROR(VLOOKUP(A1299,#REF!,9,0),0)+IFERROR(VLOOKUP(A1299,#REF!,9,0),0)+IFERROR(VLOOKUP(A1299,#REF!,9,0),0)+IFERROR(VLOOKUP(A1299,#REF!,9,0),0)</f>
        <v>0</v>
      </c>
      <c r="J1299" s="104">
        <f>IFERROR(VLOOKUP(A1299,#REF!,16,0),0)+IFERROR(VLOOKUP(A1299,#REF!,26,0),0)+IFERROR(VLOOKUP(A1299,#REF!,11,0),0)+IFERROR(VLOOKUP(A1299,#REF!,23,0),0)+IFERROR(VLOOKUP(A1299,#REF!,11,0),0)+IFERROR(VLOOKUP(A1299,#REF!,11,0),0)+IFERROR(VLOOKUP(A1299,#REF!,11,0),0)</f>
        <v>0</v>
      </c>
      <c r="K1299" s="96" t="str">
        <f>"07.02.24"</f>
        <v>07.02.24</v>
      </c>
    </row>
    <row r="1300" spans="1:11" ht="11.25" customHeight="1" outlineLevel="1">
      <c r="A1300" s="89" t="n">
        <v>8077140</v>
      </c>
      <c r="B1300" s="114" t="s">
        <v>1201</v>
      </c>
      <c r="C1300" s="89" t="s">
        <v>2100</v>
      </c>
      <c r="D1300" s="89" t="s">
        <v>407</v>
      </c>
      <c r="E1300" s="89" t="s">
        <v>2101</v>
      </c>
      <c r="F1300" s="102" t="n">
        <v>1548</v>
      </c>
      <c r="G1300" s="102" t="n">
        <v>2058</v>
      </c>
      <c r="H1300" s="103" t="s">
        <v>48</v>
      </c>
      <c r="I1300" s="103">
        <f>IFERROR(VLOOKUP(A1300,#REF!,15,0),0)+IFERROR(VLOOKUP(A1300,#REF!,25,0),0)+IFERROR(VLOOKUP(A1300,#REF!,10,0),0)+IFERROR(VLOOKUP(A1300,#REF!,14,0),0)+IFERROR(VLOOKUP(A1300,#REF!,11,0),0)+IFERROR(VLOOKUP(A1300,#REF!,10,0),0)+IFERROR(VLOOKUP(A1300,#REF!,10,0),0)+IFERROR(VLOOKUP(A1300,#REF!,9,0),0)+IFERROR(VLOOKUP(A1300,#REF!,9,0),0)+IFERROR(VLOOKUP(A1300,#REF!,9,0),0)+IFERROR(VLOOKUP(A1300,#REF!,9,0),0)</f>
        <v>0</v>
      </c>
      <c r="J1300" s="104">
        <f>IFERROR(VLOOKUP(A1300,#REF!,16,0),0)+IFERROR(VLOOKUP(A1300,#REF!,26,0),0)+IFERROR(VLOOKUP(A1300,#REF!,11,0),0)+IFERROR(VLOOKUP(A1300,#REF!,23,0),0)+IFERROR(VLOOKUP(A1300,#REF!,11,0),0)+IFERROR(VLOOKUP(A1300,#REF!,11,0),0)+IFERROR(VLOOKUP(A1300,#REF!,11,0),0)</f>
        <v>0</v>
      </c>
      <c r="K1300" s="96" t="str">
        <f>"07.02.24"</f>
        <v>07.02.24</v>
      </c>
    </row>
    <row r="1301" spans="1:11" ht="11.25" customHeight="1" outlineLevel="1">
      <c r="A1301" s="89" t="n">
        <v>8077150</v>
      </c>
      <c r="B1301" s="114" t="s">
        <v>1201</v>
      </c>
      <c r="C1301" s="89" t="s">
        <v>2102</v>
      </c>
      <c r="D1301" s="89" t="s">
        <v>407</v>
      </c>
      <c r="E1301" s="89" t="s">
        <v>2103</v>
      </c>
      <c r="F1301" s="102" t="n">
        <v>1548</v>
      </c>
      <c r="G1301" s="102" t="n">
        <v>2058</v>
      </c>
      <c r="H1301" s="103" t="s">
        <v>17</v>
      </c>
      <c r="I1301" s="103">
        <f>IFERROR(VLOOKUP(A1301,#REF!,15,0),0)+IFERROR(VLOOKUP(A1301,#REF!,25,0),0)+IFERROR(VLOOKUP(A1301,#REF!,10,0),0)+IFERROR(VLOOKUP(A1301,#REF!,14,0),0)+IFERROR(VLOOKUP(A1301,#REF!,11,0),0)+IFERROR(VLOOKUP(A1301,#REF!,10,0),0)+IFERROR(VLOOKUP(A1301,#REF!,10,0),0)+IFERROR(VLOOKUP(A1301,#REF!,9,0),0)+IFERROR(VLOOKUP(A1301,#REF!,9,0),0)+IFERROR(VLOOKUP(A1301,#REF!,9,0),0)+IFERROR(VLOOKUP(A1301,#REF!,9,0),0)</f>
        <v>0</v>
      </c>
      <c r="J1301" s="104">
        <f>IFERROR(VLOOKUP(A1301,#REF!,16,0),0)+IFERROR(VLOOKUP(A1301,#REF!,26,0),0)+IFERROR(VLOOKUP(A1301,#REF!,11,0),0)+IFERROR(VLOOKUP(A1301,#REF!,23,0),0)+IFERROR(VLOOKUP(A1301,#REF!,11,0),0)+IFERROR(VLOOKUP(A1301,#REF!,11,0),0)+IFERROR(VLOOKUP(A1301,#REF!,11,0),0)</f>
        <v>0</v>
      </c>
      <c r="K1301" s="96" t="str">
        <f>"07.02.24"</f>
        <v>07.02.24</v>
      </c>
    </row>
    <row r="1302" spans="1:11" ht="11.25" customHeight="1" outlineLevel="1">
      <c r="A1302" s="89" t="n">
        <v>8077160</v>
      </c>
      <c r="B1302" s="114" t="s">
        <v>1201</v>
      </c>
      <c r="C1302" s="89" t="s">
        <v>2104</v>
      </c>
      <c r="D1302" s="89" t="s">
        <v>407</v>
      </c>
      <c r="E1302" s="89" t="s">
        <v>2105</v>
      </c>
      <c r="F1302" s="102" t="n">
        <v>1548</v>
      </c>
      <c r="G1302" s="102" t="n">
        <v>2058</v>
      </c>
      <c r="H1302" s="103" t="s">
        <v>48</v>
      </c>
      <c r="I1302" s="103">
        <f>IFERROR(VLOOKUP(A1302,#REF!,15,0),0)+IFERROR(VLOOKUP(A1302,#REF!,25,0),0)+IFERROR(VLOOKUP(A1302,#REF!,10,0),0)+IFERROR(VLOOKUP(A1302,#REF!,14,0),0)+IFERROR(VLOOKUP(A1302,#REF!,11,0),0)+IFERROR(VLOOKUP(A1302,#REF!,10,0),0)+IFERROR(VLOOKUP(A1302,#REF!,10,0),0)+IFERROR(VLOOKUP(A1302,#REF!,9,0),0)+IFERROR(VLOOKUP(A1302,#REF!,9,0),0)+IFERROR(VLOOKUP(A1302,#REF!,9,0),0)+IFERROR(VLOOKUP(A1302,#REF!,9,0),0)</f>
        <v>0</v>
      </c>
      <c r="J1302" s="104">
        <f>IFERROR(VLOOKUP(A1302,#REF!,16,0),0)+IFERROR(VLOOKUP(A1302,#REF!,26,0),0)+IFERROR(VLOOKUP(A1302,#REF!,11,0),0)+IFERROR(VLOOKUP(A1302,#REF!,23,0),0)+IFERROR(VLOOKUP(A1302,#REF!,11,0),0)+IFERROR(VLOOKUP(A1302,#REF!,11,0),0)+IFERROR(VLOOKUP(A1302,#REF!,11,0),0)</f>
        <v>0</v>
      </c>
      <c r="K1302" s="96" t="str">
        <f>"07.02.24"</f>
        <v>07.02.24</v>
      </c>
    </row>
    <row r="1303" spans="1:11" ht="11.25" customHeight="1" outlineLevel="1">
      <c r="A1303" s="89" t="n">
        <v>8077170</v>
      </c>
      <c r="B1303" s="114" t="s">
        <v>1201</v>
      </c>
      <c r="C1303" s="89" t="s">
        <v>2106</v>
      </c>
      <c r="D1303" s="89" t="s">
        <v>407</v>
      </c>
      <c r="E1303" s="89" t="s">
        <v>2107</v>
      </c>
      <c r="F1303" s="102" t="n">
        <v>1548</v>
      </c>
      <c r="G1303" s="102" t="n">
        <v>2058</v>
      </c>
      <c r="H1303" s="103" t="s">
        <v>48</v>
      </c>
      <c r="I1303" s="103">
        <f>IFERROR(VLOOKUP(A1303,#REF!,15,0),0)+IFERROR(VLOOKUP(A1303,#REF!,25,0),0)+IFERROR(VLOOKUP(A1303,#REF!,10,0),0)+IFERROR(VLOOKUP(A1303,#REF!,14,0),0)+IFERROR(VLOOKUP(A1303,#REF!,11,0),0)+IFERROR(VLOOKUP(A1303,#REF!,10,0),0)+IFERROR(VLOOKUP(A1303,#REF!,10,0),0)+IFERROR(VLOOKUP(A1303,#REF!,9,0),0)+IFERROR(VLOOKUP(A1303,#REF!,9,0),0)+IFERROR(VLOOKUP(A1303,#REF!,9,0),0)+IFERROR(VLOOKUP(A1303,#REF!,9,0),0)</f>
        <v>0</v>
      </c>
      <c r="J1303" s="104">
        <f>IFERROR(VLOOKUP(A1303,#REF!,16,0),0)+IFERROR(VLOOKUP(A1303,#REF!,26,0),0)+IFERROR(VLOOKUP(A1303,#REF!,11,0),0)+IFERROR(VLOOKUP(A1303,#REF!,23,0),0)+IFERROR(VLOOKUP(A1303,#REF!,11,0),0)+IFERROR(VLOOKUP(A1303,#REF!,11,0),0)+IFERROR(VLOOKUP(A1303,#REF!,11,0),0)</f>
        <v>0</v>
      </c>
      <c r="K1303" s="96" t="str">
        <f>"07.02.24"</f>
        <v>07.02.24</v>
      </c>
    </row>
    <row r="1304" spans="1:11" ht="11.25" customHeight="1" outlineLevel="1">
      <c r="A1304" s="89" t="n">
        <v>8077180</v>
      </c>
      <c r="B1304" s="114" t="s">
        <v>1201</v>
      </c>
      <c r="C1304" s="89" t="s">
        <v>2108</v>
      </c>
      <c r="D1304" s="89" t="s">
        <v>407</v>
      </c>
      <c r="E1304" s="89" t="s">
        <v>2109</v>
      </c>
      <c r="F1304" s="102" t="n">
        <v>1469</v>
      </c>
      <c r="G1304" s="102" t="n">
        <v>1952</v>
      </c>
      <c r="H1304" s="103" t="s">
        <v>48</v>
      </c>
      <c r="I1304" s="103">
        <f>IFERROR(VLOOKUP(A1304,#REF!,15,0),0)+IFERROR(VLOOKUP(A1304,#REF!,25,0),0)+IFERROR(VLOOKUP(A1304,#REF!,10,0),0)+IFERROR(VLOOKUP(A1304,#REF!,14,0),0)+IFERROR(VLOOKUP(A1304,#REF!,11,0),0)+IFERROR(VLOOKUP(A1304,#REF!,10,0),0)+IFERROR(VLOOKUP(A1304,#REF!,10,0),0)+IFERROR(VLOOKUP(A1304,#REF!,9,0),0)+IFERROR(VLOOKUP(A1304,#REF!,9,0),0)+IFERROR(VLOOKUP(A1304,#REF!,9,0),0)+IFERROR(VLOOKUP(A1304,#REF!,9,0),0)</f>
        <v>0</v>
      </c>
      <c r="J1304" s="104">
        <f>IFERROR(VLOOKUP(A1304,#REF!,16,0),0)+IFERROR(VLOOKUP(A1304,#REF!,26,0),0)+IFERROR(VLOOKUP(A1304,#REF!,11,0),0)+IFERROR(VLOOKUP(A1304,#REF!,23,0),0)+IFERROR(VLOOKUP(A1304,#REF!,11,0),0)+IFERROR(VLOOKUP(A1304,#REF!,11,0),0)+IFERROR(VLOOKUP(A1304,#REF!,11,0),0)</f>
        <v>0</v>
      </c>
      <c r="K1304" s="96" t="str">
        <f>"07.02.24"</f>
        <v>07.02.24</v>
      </c>
    </row>
    <row r="1305" spans="1:11" ht="11.25" customHeight="1" outlineLevel="1">
      <c r="A1305" s="89" t="n">
        <v>8077190</v>
      </c>
      <c r="B1305" s="114" t="s">
        <v>1201</v>
      </c>
      <c r="C1305" s="89" t="s">
        <v>2110</v>
      </c>
      <c r="D1305" s="89" t="s">
        <v>407</v>
      </c>
      <c r="E1305" s="89" t="s">
        <v>2111</v>
      </c>
      <c r="F1305" s="102" t="n">
        <v>1469</v>
      </c>
      <c r="G1305" s="102" t="n">
        <v>1952</v>
      </c>
      <c r="H1305" s="103" t="s">
        <v>48</v>
      </c>
      <c r="I1305" s="103">
        <f>IFERROR(VLOOKUP(A1305,#REF!,15,0),0)+IFERROR(VLOOKUP(A1305,#REF!,25,0),0)+IFERROR(VLOOKUP(A1305,#REF!,10,0),0)+IFERROR(VLOOKUP(A1305,#REF!,14,0),0)+IFERROR(VLOOKUP(A1305,#REF!,11,0),0)+IFERROR(VLOOKUP(A1305,#REF!,10,0),0)+IFERROR(VLOOKUP(A1305,#REF!,10,0),0)+IFERROR(VLOOKUP(A1305,#REF!,9,0),0)+IFERROR(VLOOKUP(A1305,#REF!,9,0),0)+IFERROR(VLOOKUP(A1305,#REF!,9,0),0)+IFERROR(VLOOKUP(A1305,#REF!,9,0),0)</f>
        <v>0</v>
      </c>
      <c r="J1305" s="104">
        <f>IFERROR(VLOOKUP(A1305,#REF!,16,0),0)+IFERROR(VLOOKUP(A1305,#REF!,26,0),0)+IFERROR(VLOOKUP(A1305,#REF!,11,0),0)+IFERROR(VLOOKUP(A1305,#REF!,23,0),0)+IFERROR(VLOOKUP(A1305,#REF!,11,0),0)+IFERROR(VLOOKUP(A1305,#REF!,11,0),0)+IFERROR(VLOOKUP(A1305,#REF!,11,0),0)</f>
        <v>0</v>
      </c>
      <c r="K1305" s="96" t="str">
        <f>"07.02.24"</f>
        <v>07.02.24</v>
      </c>
    </row>
    <row r="1306" spans="1:11" ht="11.25" customHeight="1" outlineLevel="1">
      <c r="A1306" s="89" t="n">
        <v>8077200</v>
      </c>
      <c r="B1306" s="114" t="s">
        <v>1201</v>
      </c>
      <c r="C1306" s="89" t="s">
        <v>2112</v>
      </c>
      <c r="D1306" s="89" t="s">
        <v>407</v>
      </c>
      <c r="E1306" s="89" t="s">
        <v>2113</v>
      </c>
      <c r="F1306" s="102" t="n">
        <v>1469</v>
      </c>
      <c r="G1306" s="102" t="n">
        <v>1952</v>
      </c>
      <c r="H1306" s="103" t="s">
        <v>48</v>
      </c>
      <c r="I1306" s="103">
        <f>IFERROR(VLOOKUP(A1306,#REF!,15,0),0)+IFERROR(VLOOKUP(A1306,#REF!,25,0),0)+IFERROR(VLOOKUP(A1306,#REF!,10,0),0)+IFERROR(VLOOKUP(A1306,#REF!,14,0),0)+IFERROR(VLOOKUP(A1306,#REF!,11,0),0)+IFERROR(VLOOKUP(A1306,#REF!,10,0),0)+IFERROR(VLOOKUP(A1306,#REF!,10,0),0)+IFERROR(VLOOKUP(A1306,#REF!,9,0),0)+IFERROR(VLOOKUP(A1306,#REF!,9,0),0)+IFERROR(VLOOKUP(A1306,#REF!,9,0),0)+IFERROR(VLOOKUP(A1306,#REF!,9,0),0)</f>
        <v>0</v>
      </c>
      <c r="J1306" s="104">
        <f>IFERROR(VLOOKUP(A1306,#REF!,16,0),0)+IFERROR(VLOOKUP(A1306,#REF!,26,0),0)+IFERROR(VLOOKUP(A1306,#REF!,11,0),0)+IFERROR(VLOOKUP(A1306,#REF!,23,0),0)+IFERROR(VLOOKUP(A1306,#REF!,11,0),0)+IFERROR(VLOOKUP(A1306,#REF!,11,0),0)+IFERROR(VLOOKUP(A1306,#REF!,11,0),0)</f>
        <v>0</v>
      </c>
      <c r="K1306" s="96" t="str">
        <f>"07.02.24"</f>
        <v>07.02.24</v>
      </c>
    </row>
    <row r="1307" spans="1:11" ht="11.25" customHeight="1" outlineLevel="1">
      <c r="A1307" s="89" t="n">
        <v>8077210</v>
      </c>
      <c r="B1307" s="114" t="s">
        <v>1201</v>
      </c>
      <c r="C1307" s="89" t="s">
        <v>2114</v>
      </c>
      <c r="D1307" s="89" t="s">
        <v>407</v>
      </c>
      <c r="E1307" s="89" t="s">
        <v>2115</v>
      </c>
      <c r="F1307" s="102" t="n">
        <v>1469</v>
      </c>
      <c r="G1307" s="102" t="n">
        <v>1952</v>
      </c>
      <c r="H1307" s="103" t="s">
        <v>48</v>
      </c>
      <c r="I1307" s="103">
        <f>IFERROR(VLOOKUP(A1307,#REF!,15,0),0)+IFERROR(VLOOKUP(A1307,#REF!,25,0),0)+IFERROR(VLOOKUP(A1307,#REF!,10,0),0)+IFERROR(VLOOKUP(A1307,#REF!,14,0),0)+IFERROR(VLOOKUP(A1307,#REF!,11,0),0)+IFERROR(VLOOKUP(A1307,#REF!,10,0),0)+IFERROR(VLOOKUP(A1307,#REF!,10,0),0)+IFERROR(VLOOKUP(A1307,#REF!,9,0),0)+IFERROR(VLOOKUP(A1307,#REF!,9,0),0)+IFERROR(VLOOKUP(A1307,#REF!,9,0),0)+IFERROR(VLOOKUP(A1307,#REF!,9,0),0)</f>
        <v>0</v>
      </c>
      <c r="J1307" s="104">
        <f>IFERROR(VLOOKUP(A1307,#REF!,16,0),0)+IFERROR(VLOOKUP(A1307,#REF!,26,0),0)+IFERROR(VLOOKUP(A1307,#REF!,11,0),0)+IFERROR(VLOOKUP(A1307,#REF!,23,0),0)+IFERROR(VLOOKUP(A1307,#REF!,11,0),0)+IFERROR(VLOOKUP(A1307,#REF!,11,0),0)+IFERROR(VLOOKUP(A1307,#REF!,11,0),0)</f>
        <v>0</v>
      </c>
      <c r="K1307" s="96" t="str">
        <f>"07.02.24"</f>
        <v>07.02.24</v>
      </c>
    </row>
    <row r="1308" spans="1:11" ht="11.25" customHeight="1" outlineLevel="1">
      <c r="A1308" s="89" t="n">
        <v>8077230</v>
      </c>
      <c r="B1308" s="114" t="s">
        <v>1201</v>
      </c>
      <c r="C1308" s="89" t="s">
        <v>2116</v>
      </c>
      <c r="D1308" s="89" t="s">
        <v>407</v>
      </c>
      <c r="E1308" s="89" t="s">
        <v>2117</v>
      </c>
      <c r="F1308" s="102" t="n">
        <v>1469</v>
      </c>
      <c r="G1308" s="102" t="n">
        <v>1952</v>
      </c>
      <c r="H1308" s="103" t="s">
        <v>48</v>
      </c>
      <c r="I1308" s="103">
        <f>IFERROR(VLOOKUP(A1308,#REF!,15,0),0)+IFERROR(VLOOKUP(A1308,#REF!,25,0),0)+IFERROR(VLOOKUP(A1308,#REF!,10,0),0)+IFERROR(VLOOKUP(A1308,#REF!,14,0),0)+IFERROR(VLOOKUP(A1308,#REF!,11,0),0)+IFERROR(VLOOKUP(A1308,#REF!,10,0),0)+IFERROR(VLOOKUP(A1308,#REF!,10,0),0)+IFERROR(VLOOKUP(A1308,#REF!,9,0),0)+IFERROR(VLOOKUP(A1308,#REF!,9,0),0)+IFERROR(VLOOKUP(A1308,#REF!,9,0),0)+IFERROR(VLOOKUP(A1308,#REF!,9,0),0)</f>
        <v>0</v>
      </c>
      <c r="J1308" s="104">
        <f>IFERROR(VLOOKUP(A1308,#REF!,16,0),0)+IFERROR(VLOOKUP(A1308,#REF!,26,0),0)+IFERROR(VLOOKUP(A1308,#REF!,11,0),0)+IFERROR(VLOOKUP(A1308,#REF!,23,0),0)+IFERROR(VLOOKUP(A1308,#REF!,11,0),0)+IFERROR(VLOOKUP(A1308,#REF!,11,0),0)+IFERROR(VLOOKUP(A1308,#REF!,11,0),0)</f>
        <v>0</v>
      </c>
      <c r="K1308" s="96" t="str">
        <f>"07.02.24"</f>
        <v>07.02.24</v>
      </c>
    </row>
    <row r="1309" spans="1:11" ht="11.25" customHeight="1" outlineLevel="1">
      <c r="A1309" s="89" t="n">
        <v>8077240</v>
      </c>
      <c r="B1309" s="114" t="s">
        <v>1201</v>
      </c>
      <c r="C1309" s="89" t="s">
        <v>2118</v>
      </c>
      <c r="D1309" s="89" t="s">
        <v>407</v>
      </c>
      <c r="E1309" s="89" t="s">
        <v>2119</v>
      </c>
      <c r="F1309" s="102" t="n">
        <v>1645</v>
      </c>
      <c r="G1309" s="102" t="n">
        <v>2187</v>
      </c>
      <c r="H1309" s="103" t="s">
        <v>48</v>
      </c>
      <c r="I1309" s="103">
        <f>IFERROR(VLOOKUP(A1309,#REF!,15,0),0)+IFERROR(VLOOKUP(A1309,#REF!,25,0),0)+IFERROR(VLOOKUP(A1309,#REF!,10,0),0)+IFERROR(VLOOKUP(A1309,#REF!,14,0),0)+IFERROR(VLOOKUP(A1309,#REF!,11,0),0)+IFERROR(VLOOKUP(A1309,#REF!,10,0),0)+IFERROR(VLOOKUP(A1309,#REF!,10,0),0)+IFERROR(VLOOKUP(A1309,#REF!,9,0),0)+IFERROR(VLOOKUP(A1309,#REF!,9,0),0)+IFERROR(VLOOKUP(A1309,#REF!,9,0),0)+IFERROR(VLOOKUP(A1309,#REF!,9,0),0)</f>
        <v>0</v>
      </c>
      <c r="J1309" s="104">
        <f>IFERROR(VLOOKUP(A1309,#REF!,16,0),0)+IFERROR(VLOOKUP(A1309,#REF!,26,0),0)+IFERROR(VLOOKUP(A1309,#REF!,11,0),0)+IFERROR(VLOOKUP(A1309,#REF!,23,0),0)+IFERROR(VLOOKUP(A1309,#REF!,11,0),0)+IFERROR(VLOOKUP(A1309,#REF!,11,0),0)+IFERROR(VLOOKUP(A1309,#REF!,11,0),0)</f>
        <v>0</v>
      </c>
      <c r="K1309" s="96" t="str">
        <f>"07.02.24"</f>
        <v>07.02.24</v>
      </c>
    </row>
    <row r="1310" spans="1:11" ht="11.25" customHeight="1" outlineLevel="1">
      <c r="A1310" s="89" t="n">
        <v>8077250</v>
      </c>
      <c r="B1310" s="114" t="s">
        <v>1201</v>
      </c>
      <c r="C1310" s="89" t="s">
        <v>2120</v>
      </c>
      <c r="D1310" s="89" t="s">
        <v>407</v>
      </c>
      <c r="E1310" s="89" t="s">
        <v>2121</v>
      </c>
      <c r="F1310" s="102" t="n">
        <v>1645</v>
      </c>
      <c r="G1310" s="102" t="n">
        <v>2187</v>
      </c>
      <c r="H1310" s="103" t="s">
        <v>48</v>
      </c>
      <c r="I1310" s="103">
        <f>IFERROR(VLOOKUP(A1310,#REF!,15,0),0)+IFERROR(VLOOKUP(A1310,#REF!,25,0),0)+IFERROR(VLOOKUP(A1310,#REF!,10,0),0)+IFERROR(VLOOKUP(A1310,#REF!,14,0),0)+IFERROR(VLOOKUP(A1310,#REF!,11,0),0)+IFERROR(VLOOKUP(A1310,#REF!,10,0),0)+IFERROR(VLOOKUP(A1310,#REF!,10,0),0)+IFERROR(VLOOKUP(A1310,#REF!,9,0),0)+IFERROR(VLOOKUP(A1310,#REF!,9,0),0)+IFERROR(VLOOKUP(A1310,#REF!,9,0),0)+IFERROR(VLOOKUP(A1310,#REF!,9,0),0)</f>
        <v>0</v>
      </c>
      <c r="J1310" s="104">
        <f>IFERROR(VLOOKUP(A1310,#REF!,16,0),0)+IFERROR(VLOOKUP(A1310,#REF!,26,0),0)+IFERROR(VLOOKUP(A1310,#REF!,11,0),0)+IFERROR(VLOOKUP(A1310,#REF!,23,0),0)+IFERROR(VLOOKUP(A1310,#REF!,11,0),0)+IFERROR(VLOOKUP(A1310,#REF!,11,0),0)+IFERROR(VLOOKUP(A1310,#REF!,11,0),0)</f>
        <v>0</v>
      </c>
      <c r="K1310" s="96" t="str">
        <f>"07.02.24"</f>
        <v>07.02.24</v>
      </c>
    </row>
    <row r="1311" spans="1:11" ht="11.25" customHeight="1" outlineLevel="1">
      <c r="A1311" s="89" t="n">
        <v>8077260</v>
      </c>
      <c r="B1311" s="114" t="s">
        <v>1201</v>
      </c>
      <c r="C1311" s="89" t="s">
        <v>2122</v>
      </c>
      <c r="D1311" s="89" t="s">
        <v>407</v>
      </c>
      <c r="E1311" s="89" t="s">
        <v>2123</v>
      </c>
      <c r="F1311" s="102" t="n">
        <v>1645</v>
      </c>
      <c r="G1311" s="102" t="n">
        <v>2187</v>
      </c>
      <c r="H1311" s="103" t="s">
        <v>48</v>
      </c>
      <c r="I1311" s="103">
        <f>IFERROR(VLOOKUP(A1311,#REF!,15,0),0)+IFERROR(VLOOKUP(A1311,#REF!,25,0),0)+IFERROR(VLOOKUP(A1311,#REF!,10,0),0)+IFERROR(VLOOKUP(A1311,#REF!,14,0),0)+IFERROR(VLOOKUP(A1311,#REF!,11,0),0)+IFERROR(VLOOKUP(A1311,#REF!,10,0),0)+IFERROR(VLOOKUP(A1311,#REF!,10,0),0)+IFERROR(VLOOKUP(A1311,#REF!,9,0),0)+IFERROR(VLOOKUP(A1311,#REF!,9,0),0)+IFERROR(VLOOKUP(A1311,#REF!,9,0),0)+IFERROR(VLOOKUP(A1311,#REF!,9,0),0)</f>
        <v>0</v>
      </c>
      <c r="J1311" s="104">
        <f>IFERROR(VLOOKUP(A1311,#REF!,16,0),0)+IFERROR(VLOOKUP(A1311,#REF!,26,0),0)+IFERROR(VLOOKUP(A1311,#REF!,11,0),0)+IFERROR(VLOOKUP(A1311,#REF!,23,0),0)+IFERROR(VLOOKUP(A1311,#REF!,11,0),0)+IFERROR(VLOOKUP(A1311,#REF!,11,0),0)+IFERROR(VLOOKUP(A1311,#REF!,11,0),0)</f>
        <v>0</v>
      </c>
      <c r="K1311" s="96" t="str">
        <f>"07.02.24"</f>
        <v>07.02.24</v>
      </c>
    </row>
    <row r="1312" spans="1:11" ht="11.25" customHeight="1" outlineLevel="1">
      <c r="A1312" s="89" t="n">
        <v>8077270</v>
      </c>
      <c r="B1312" s="114" t="s">
        <v>1201</v>
      </c>
      <c r="C1312" s="89" t="s">
        <v>2124</v>
      </c>
      <c r="D1312" s="89" t="s">
        <v>407</v>
      </c>
      <c r="E1312" s="89" t="s">
        <v>2125</v>
      </c>
      <c r="F1312" s="102" t="n">
        <v>1645</v>
      </c>
      <c r="G1312" s="102" t="n">
        <v>2187</v>
      </c>
      <c r="H1312" s="103" t="s">
        <v>48</v>
      </c>
      <c r="I1312" s="103">
        <f>IFERROR(VLOOKUP(A1312,#REF!,15,0),0)+IFERROR(VLOOKUP(A1312,#REF!,25,0),0)+IFERROR(VLOOKUP(A1312,#REF!,10,0),0)+IFERROR(VLOOKUP(A1312,#REF!,14,0),0)+IFERROR(VLOOKUP(A1312,#REF!,11,0),0)+IFERROR(VLOOKUP(A1312,#REF!,10,0),0)+IFERROR(VLOOKUP(A1312,#REF!,10,0),0)+IFERROR(VLOOKUP(A1312,#REF!,9,0),0)+IFERROR(VLOOKUP(A1312,#REF!,9,0),0)+IFERROR(VLOOKUP(A1312,#REF!,9,0),0)+IFERROR(VLOOKUP(A1312,#REF!,9,0),0)</f>
        <v>0</v>
      </c>
      <c r="J1312" s="104">
        <f>IFERROR(VLOOKUP(A1312,#REF!,16,0),0)+IFERROR(VLOOKUP(A1312,#REF!,26,0),0)+IFERROR(VLOOKUP(A1312,#REF!,11,0),0)+IFERROR(VLOOKUP(A1312,#REF!,23,0),0)+IFERROR(VLOOKUP(A1312,#REF!,11,0),0)+IFERROR(VLOOKUP(A1312,#REF!,11,0),0)+IFERROR(VLOOKUP(A1312,#REF!,11,0),0)</f>
        <v>0</v>
      </c>
      <c r="K1312" s="96" t="str">
        <f>"07.02.24"</f>
        <v>07.02.24</v>
      </c>
    </row>
    <row r="1313" spans="1:11" ht="11.25" customHeight="1" outlineLevel="1">
      <c r="A1313" s="89" t="n">
        <v>8077280</v>
      </c>
      <c r="B1313" s="114" t="s">
        <v>1201</v>
      </c>
      <c r="C1313" s="89" t="s">
        <v>2126</v>
      </c>
      <c r="D1313" s="89" t="s">
        <v>407</v>
      </c>
      <c r="E1313" s="89" t="s">
        <v>2127</v>
      </c>
      <c r="F1313" s="102" t="n">
        <v>1645</v>
      </c>
      <c r="G1313" s="102" t="n">
        <v>2187</v>
      </c>
      <c r="H1313" s="103" t="s">
        <v>48</v>
      </c>
      <c r="I1313" s="103">
        <f>IFERROR(VLOOKUP(A1313,#REF!,15,0),0)+IFERROR(VLOOKUP(A1313,#REF!,25,0),0)+IFERROR(VLOOKUP(A1313,#REF!,10,0),0)+IFERROR(VLOOKUP(A1313,#REF!,14,0),0)+IFERROR(VLOOKUP(A1313,#REF!,11,0),0)+IFERROR(VLOOKUP(A1313,#REF!,10,0),0)+IFERROR(VLOOKUP(A1313,#REF!,10,0),0)+IFERROR(VLOOKUP(A1313,#REF!,9,0),0)+IFERROR(VLOOKUP(A1313,#REF!,9,0),0)+IFERROR(VLOOKUP(A1313,#REF!,9,0),0)+IFERROR(VLOOKUP(A1313,#REF!,9,0),0)</f>
        <v>0</v>
      </c>
      <c r="J1313" s="104">
        <f>IFERROR(VLOOKUP(A1313,#REF!,16,0),0)+IFERROR(VLOOKUP(A1313,#REF!,26,0),0)+IFERROR(VLOOKUP(A1313,#REF!,11,0),0)+IFERROR(VLOOKUP(A1313,#REF!,23,0),0)+IFERROR(VLOOKUP(A1313,#REF!,11,0),0)+IFERROR(VLOOKUP(A1313,#REF!,11,0),0)+IFERROR(VLOOKUP(A1313,#REF!,11,0),0)</f>
        <v>0</v>
      </c>
      <c r="K1313" s="96" t="str">
        <f>"07.02.24"</f>
        <v>07.02.24</v>
      </c>
    </row>
    <row r="1314" spans="1:11" ht="11.25" customHeight="1" outlineLevel="1">
      <c r="A1314" s="89" t="n">
        <v>8077290</v>
      </c>
      <c r="B1314" s="114" t="s">
        <v>1201</v>
      </c>
      <c r="C1314" s="89" t="s">
        <v>2128</v>
      </c>
      <c r="D1314" s="89" t="s">
        <v>407</v>
      </c>
      <c r="E1314" s="89" t="s">
        <v>2129</v>
      </c>
      <c r="F1314" s="102" t="n">
        <v>1902</v>
      </c>
      <c r="G1314" s="102" t="n">
        <v>2527</v>
      </c>
      <c r="H1314" s="103" t="s">
        <v>48</v>
      </c>
      <c r="I1314" s="103">
        <f>IFERROR(VLOOKUP(A1314,#REF!,15,0),0)+IFERROR(VLOOKUP(A1314,#REF!,25,0),0)+IFERROR(VLOOKUP(A1314,#REF!,10,0),0)+IFERROR(VLOOKUP(A1314,#REF!,14,0),0)+IFERROR(VLOOKUP(A1314,#REF!,11,0),0)+IFERROR(VLOOKUP(A1314,#REF!,10,0),0)+IFERROR(VLOOKUP(A1314,#REF!,10,0),0)+IFERROR(VLOOKUP(A1314,#REF!,9,0),0)+IFERROR(VLOOKUP(A1314,#REF!,9,0),0)+IFERROR(VLOOKUP(A1314,#REF!,9,0),0)+IFERROR(VLOOKUP(A1314,#REF!,9,0),0)</f>
        <v>0</v>
      </c>
      <c r="J1314" s="104">
        <f>IFERROR(VLOOKUP(A1314,#REF!,16,0),0)+IFERROR(VLOOKUP(A1314,#REF!,26,0),0)+IFERROR(VLOOKUP(A1314,#REF!,11,0),0)+IFERROR(VLOOKUP(A1314,#REF!,23,0),0)+IFERROR(VLOOKUP(A1314,#REF!,11,0),0)+IFERROR(VLOOKUP(A1314,#REF!,11,0),0)+IFERROR(VLOOKUP(A1314,#REF!,11,0),0)</f>
        <v>0</v>
      </c>
      <c r="K1314" s="96" t="str">
        <f>"07.02.24"</f>
        <v>07.02.24</v>
      </c>
    </row>
    <row r="1315" spans="1:11" ht="11.25" customHeight="1" outlineLevel="1">
      <c r="A1315" s="89" t="n">
        <v>8077300</v>
      </c>
      <c r="B1315" s="114" t="s">
        <v>1201</v>
      </c>
      <c r="C1315" s="89" t="s">
        <v>2130</v>
      </c>
      <c r="D1315" s="89" t="s">
        <v>407</v>
      </c>
      <c r="E1315" s="89" t="s">
        <v>2131</v>
      </c>
      <c r="F1315" s="102" t="n">
        <v>1902</v>
      </c>
      <c r="G1315" s="102" t="n">
        <v>2527</v>
      </c>
      <c r="H1315" s="103" t="s">
        <v>48</v>
      </c>
      <c r="I1315" s="103">
        <f>IFERROR(VLOOKUP(A1315,#REF!,15,0),0)+IFERROR(VLOOKUP(A1315,#REF!,25,0),0)+IFERROR(VLOOKUP(A1315,#REF!,10,0),0)+IFERROR(VLOOKUP(A1315,#REF!,14,0),0)+IFERROR(VLOOKUP(A1315,#REF!,11,0),0)+IFERROR(VLOOKUP(A1315,#REF!,10,0),0)+IFERROR(VLOOKUP(A1315,#REF!,10,0),0)+IFERROR(VLOOKUP(A1315,#REF!,9,0),0)+IFERROR(VLOOKUP(A1315,#REF!,9,0),0)+IFERROR(VLOOKUP(A1315,#REF!,9,0),0)+IFERROR(VLOOKUP(A1315,#REF!,9,0),0)</f>
        <v>0</v>
      </c>
      <c r="J1315" s="104">
        <f>IFERROR(VLOOKUP(A1315,#REF!,16,0),0)+IFERROR(VLOOKUP(A1315,#REF!,26,0),0)+IFERROR(VLOOKUP(A1315,#REF!,11,0),0)+IFERROR(VLOOKUP(A1315,#REF!,23,0),0)+IFERROR(VLOOKUP(A1315,#REF!,11,0),0)+IFERROR(VLOOKUP(A1315,#REF!,11,0),0)+IFERROR(VLOOKUP(A1315,#REF!,11,0),0)</f>
        <v>0</v>
      </c>
      <c r="K1315" s="96" t="str">
        <f>"07.02.24"</f>
        <v>07.02.24</v>
      </c>
    </row>
    <row r="1316" spans="1:11" ht="11.25" customHeight="1" outlineLevel="1">
      <c r="A1316" s="89" t="n">
        <v>8077310</v>
      </c>
      <c r="B1316" s="114" t="s">
        <v>1201</v>
      </c>
      <c r="C1316" s="89" t="s">
        <v>2132</v>
      </c>
      <c r="D1316" s="89" t="s">
        <v>407</v>
      </c>
      <c r="E1316" s="89" t="s">
        <v>2133</v>
      </c>
      <c r="F1316" s="102" t="n">
        <v>1902</v>
      </c>
      <c r="G1316" s="102" t="n">
        <v>2527</v>
      </c>
      <c r="H1316" s="103" t="s">
        <v>48</v>
      </c>
      <c r="I1316" s="103">
        <f>IFERROR(VLOOKUP(A1316,#REF!,15,0),0)+IFERROR(VLOOKUP(A1316,#REF!,25,0),0)+IFERROR(VLOOKUP(A1316,#REF!,10,0),0)+IFERROR(VLOOKUP(A1316,#REF!,14,0),0)+IFERROR(VLOOKUP(A1316,#REF!,11,0),0)+IFERROR(VLOOKUP(A1316,#REF!,10,0),0)+IFERROR(VLOOKUP(A1316,#REF!,10,0),0)+IFERROR(VLOOKUP(A1316,#REF!,9,0),0)+IFERROR(VLOOKUP(A1316,#REF!,9,0),0)+IFERROR(VLOOKUP(A1316,#REF!,9,0),0)+IFERROR(VLOOKUP(A1316,#REF!,9,0),0)</f>
        <v>0</v>
      </c>
      <c r="J1316" s="104">
        <f>IFERROR(VLOOKUP(A1316,#REF!,16,0),0)+IFERROR(VLOOKUP(A1316,#REF!,26,0),0)+IFERROR(VLOOKUP(A1316,#REF!,11,0),0)+IFERROR(VLOOKUP(A1316,#REF!,23,0),0)+IFERROR(VLOOKUP(A1316,#REF!,11,0),0)+IFERROR(VLOOKUP(A1316,#REF!,11,0),0)+IFERROR(VLOOKUP(A1316,#REF!,11,0),0)</f>
        <v>0</v>
      </c>
      <c r="K1316" s="96" t="str">
        <f>"07.02.24"</f>
        <v>07.02.24</v>
      </c>
    </row>
    <row r="1317" spans="1:11" ht="11.25" customHeight="1" outlineLevel="1">
      <c r="A1317" s="89" t="n">
        <v>8077320</v>
      </c>
      <c r="B1317" s="114" t="s">
        <v>1201</v>
      </c>
      <c r="C1317" s="89" t="s">
        <v>2134</v>
      </c>
      <c r="D1317" s="89" t="s">
        <v>407</v>
      </c>
      <c r="E1317" s="89" t="s">
        <v>2135</v>
      </c>
      <c r="F1317" s="102" t="n">
        <v>1902</v>
      </c>
      <c r="G1317" s="102" t="n">
        <v>2527</v>
      </c>
      <c r="H1317" s="103" t="s">
        <v>48</v>
      </c>
      <c r="I1317" s="103">
        <f>IFERROR(VLOOKUP(A1317,#REF!,15,0),0)+IFERROR(VLOOKUP(A1317,#REF!,25,0),0)+IFERROR(VLOOKUP(A1317,#REF!,10,0),0)+IFERROR(VLOOKUP(A1317,#REF!,14,0),0)+IFERROR(VLOOKUP(A1317,#REF!,11,0),0)+IFERROR(VLOOKUP(A1317,#REF!,10,0),0)+IFERROR(VLOOKUP(A1317,#REF!,10,0),0)+IFERROR(VLOOKUP(A1317,#REF!,9,0),0)+IFERROR(VLOOKUP(A1317,#REF!,9,0),0)+IFERROR(VLOOKUP(A1317,#REF!,9,0),0)+IFERROR(VLOOKUP(A1317,#REF!,9,0),0)</f>
        <v>0</v>
      </c>
      <c r="J1317" s="104">
        <f>IFERROR(VLOOKUP(A1317,#REF!,16,0),0)+IFERROR(VLOOKUP(A1317,#REF!,26,0),0)+IFERROR(VLOOKUP(A1317,#REF!,11,0),0)+IFERROR(VLOOKUP(A1317,#REF!,23,0),0)+IFERROR(VLOOKUP(A1317,#REF!,11,0),0)+IFERROR(VLOOKUP(A1317,#REF!,11,0),0)+IFERROR(VLOOKUP(A1317,#REF!,11,0),0)</f>
        <v>0</v>
      </c>
      <c r="K1317" s="96" t="str">
        <f>"07.02.24"</f>
        <v>07.02.24</v>
      </c>
    </row>
    <row r="1318" spans="1:11" ht="11.25" customHeight="1" outlineLevel="1">
      <c r="A1318" s="89" t="n">
        <v>8077330</v>
      </c>
      <c r="B1318" s="114" t="s">
        <v>1201</v>
      </c>
      <c r="C1318" s="89" t="s">
        <v>2136</v>
      </c>
      <c r="D1318" s="89" t="s">
        <v>407</v>
      </c>
      <c r="E1318" s="89" t="s">
        <v>2137</v>
      </c>
      <c r="F1318" s="102" t="n">
        <v>1943</v>
      </c>
      <c r="G1318" s="102" t="n">
        <v>2581</v>
      </c>
      <c r="H1318" s="103" t="s">
        <v>48</v>
      </c>
      <c r="I1318" s="103">
        <f>IFERROR(VLOOKUP(A1318,#REF!,15,0),0)+IFERROR(VLOOKUP(A1318,#REF!,25,0),0)+IFERROR(VLOOKUP(A1318,#REF!,10,0),0)+IFERROR(VLOOKUP(A1318,#REF!,14,0),0)+IFERROR(VLOOKUP(A1318,#REF!,11,0),0)+IFERROR(VLOOKUP(A1318,#REF!,10,0),0)+IFERROR(VLOOKUP(A1318,#REF!,10,0),0)+IFERROR(VLOOKUP(A1318,#REF!,9,0),0)+IFERROR(VLOOKUP(A1318,#REF!,9,0),0)+IFERROR(VLOOKUP(A1318,#REF!,9,0),0)+IFERROR(VLOOKUP(A1318,#REF!,9,0),0)</f>
        <v>0</v>
      </c>
      <c r="J1318" s="104">
        <f>IFERROR(VLOOKUP(A1318,#REF!,16,0),0)+IFERROR(VLOOKUP(A1318,#REF!,26,0),0)+IFERROR(VLOOKUP(A1318,#REF!,11,0),0)+IFERROR(VLOOKUP(A1318,#REF!,23,0),0)+IFERROR(VLOOKUP(A1318,#REF!,11,0),0)+IFERROR(VLOOKUP(A1318,#REF!,11,0),0)+IFERROR(VLOOKUP(A1318,#REF!,11,0),0)</f>
        <v>0</v>
      </c>
      <c r="K1318" s="96" t="str">
        <f>"07.02.24"</f>
        <v>07.02.24</v>
      </c>
    </row>
    <row r="1319" spans="1:11" ht="11.25" customHeight="1" outlineLevel="1">
      <c r="A1319" s="89" t="n">
        <v>8077340</v>
      </c>
      <c r="B1319" s="114" t="s">
        <v>1201</v>
      </c>
      <c r="C1319" s="89" t="s">
        <v>2138</v>
      </c>
      <c r="D1319" s="89" t="s">
        <v>407</v>
      </c>
      <c r="E1319" s="89" t="s">
        <v>2139</v>
      </c>
      <c r="F1319" s="102" t="n">
        <v>1579</v>
      </c>
      <c r="G1319" s="102" t="n">
        <v>2097</v>
      </c>
      <c r="H1319" s="103" t="s">
        <v>48</v>
      </c>
      <c r="I1319" s="103">
        <f>IFERROR(VLOOKUP(A1319,#REF!,15,0),0)+IFERROR(VLOOKUP(A1319,#REF!,25,0),0)+IFERROR(VLOOKUP(A1319,#REF!,10,0),0)+IFERROR(VLOOKUP(A1319,#REF!,14,0),0)+IFERROR(VLOOKUP(A1319,#REF!,11,0),0)+IFERROR(VLOOKUP(A1319,#REF!,10,0),0)+IFERROR(VLOOKUP(A1319,#REF!,10,0),0)+IFERROR(VLOOKUP(A1319,#REF!,9,0),0)+IFERROR(VLOOKUP(A1319,#REF!,9,0),0)+IFERROR(VLOOKUP(A1319,#REF!,9,0),0)+IFERROR(VLOOKUP(A1319,#REF!,9,0),0)</f>
        <v>0</v>
      </c>
      <c r="J1319" s="104">
        <f>IFERROR(VLOOKUP(A1319,#REF!,16,0),0)+IFERROR(VLOOKUP(A1319,#REF!,26,0),0)+IFERROR(VLOOKUP(A1319,#REF!,11,0),0)+IFERROR(VLOOKUP(A1319,#REF!,23,0),0)+IFERROR(VLOOKUP(A1319,#REF!,11,0),0)+IFERROR(VLOOKUP(A1319,#REF!,11,0),0)+IFERROR(VLOOKUP(A1319,#REF!,11,0),0)</f>
        <v>0</v>
      </c>
      <c r="K1319" s="96" t="str">
        <f>"07.02.24"</f>
        <v>07.02.24</v>
      </c>
    </row>
    <row r="1320" spans="1:11" ht="11.25" customHeight="1" outlineLevel="1">
      <c r="A1320" s="89" t="n">
        <v>8077350</v>
      </c>
      <c r="B1320" s="114" t="s">
        <v>1201</v>
      </c>
      <c r="C1320" s="89" t="s">
        <v>2140</v>
      </c>
      <c r="D1320" s="89" t="s">
        <v>407</v>
      </c>
      <c r="E1320" s="89" t="s">
        <v>2141</v>
      </c>
      <c r="F1320" s="102" t="n">
        <v>1579</v>
      </c>
      <c r="G1320" s="102" t="n">
        <v>2097</v>
      </c>
      <c r="H1320" s="103" t="s">
        <v>48</v>
      </c>
      <c r="I1320" s="103">
        <f>IFERROR(VLOOKUP(A1320,#REF!,15,0),0)+IFERROR(VLOOKUP(A1320,#REF!,25,0),0)+IFERROR(VLOOKUP(A1320,#REF!,10,0),0)+IFERROR(VLOOKUP(A1320,#REF!,14,0),0)+IFERROR(VLOOKUP(A1320,#REF!,11,0),0)+IFERROR(VLOOKUP(A1320,#REF!,10,0),0)+IFERROR(VLOOKUP(A1320,#REF!,10,0),0)+IFERROR(VLOOKUP(A1320,#REF!,9,0),0)+IFERROR(VLOOKUP(A1320,#REF!,9,0),0)+IFERROR(VLOOKUP(A1320,#REF!,9,0),0)+IFERROR(VLOOKUP(A1320,#REF!,9,0),0)</f>
        <v>0</v>
      </c>
      <c r="J1320" s="104">
        <f>IFERROR(VLOOKUP(A1320,#REF!,16,0),0)+IFERROR(VLOOKUP(A1320,#REF!,26,0),0)+IFERROR(VLOOKUP(A1320,#REF!,11,0),0)+IFERROR(VLOOKUP(A1320,#REF!,23,0),0)+IFERROR(VLOOKUP(A1320,#REF!,11,0),0)+IFERROR(VLOOKUP(A1320,#REF!,11,0),0)+IFERROR(VLOOKUP(A1320,#REF!,11,0),0)</f>
        <v>0</v>
      </c>
      <c r="K1320" s="96" t="str">
        <f>"07.02.24"</f>
        <v>07.02.24</v>
      </c>
    </row>
    <row r="1321" spans="1:11" ht="11.25" customHeight="1" outlineLevel="1">
      <c r="A1321" s="89" t="n">
        <v>8077360</v>
      </c>
      <c r="B1321" s="114" t="s">
        <v>1201</v>
      </c>
      <c r="C1321" s="89" t="s">
        <v>2142</v>
      </c>
      <c r="D1321" s="89" t="s">
        <v>407</v>
      </c>
      <c r="E1321" s="89" t="s">
        <v>2143</v>
      </c>
      <c r="F1321" s="102" t="n">
        <v>1579</v>
      </c>
      <c r="G1321" s="102" t="n">
        <v>2097</v>
      </c>
      <c r="H1321" s="103" t="s">
        <v>48</v>
      </c>
      <c r="I1321" s="103">
        <f>IFERROR(VLOOKUP(A1321,#REF!,15,0),0)+IFERROR(VLOOKUP(A1321,#REF!,25,0),0)+IFERROR(VLOOKUP(A1321,#REF!,10,0),0)+IFERROR(VLOOKUP(A1321,#REF!,14,0),0)+IFERROR(VLOOKUP(A1321,#REF!,11,0),0)+IFERROR(VLOOKUP(A1321,#REF!,10,0),0)+IFERROR(VLOOKUP(A1321,#REF!,10,0),0)+IFERROR(VLOOKUP(A1321,#REF!,9,0),0)+IFERROR(VLOOKUP(A1321,#REF!,9,0),0)+IFERROR(VLOOKUP(A1321,#REF!,9,0),0)+IFERROR(VLOOKUP(A1321,#REF!,9,0),0)</f>
        <v>0</v>
      </c>
      <c r="J1321" s="104">
        <f>IFERROR(VLOOKUP(A1321,#REF!,16,0),0)+IFERROR(VLOOKUP(A1321,#REF!,26,0),0)+IFERROR(VLOOKUP(A1321,#REF!,11,0),0)+IFERROR(VLOOKUP(A1321,#REF!,23,0),0)+IFERROR(VLOOKUP(A1321,#REF!,11,0),0)+IFERROR(VLOOKUP(A1321,#REF!,11,0),0)+IFERROR(VLOOKUP(A1321,#REF!,11,0),0)</f>
        <v>0</v>
      </c>
      <c r="K1321" s="96" t="str">
        <f>"07.02.24"</f>
        <v>07.02.24</v>
      </c>
    </row>
    <row r="1322" spans="1:11" ht="11.25" customHeight="1" outlineLevel="1">
      <c r="A1322" s="89" t="n">
        <v>8077370</v>
      </c>
      <c r="B1322" s="114" t="s">
        <v>1201</v>
      </c>
      <c r="C1322" s="89" t="s">
        <v>2144</v>
      </c>
      <c r="D1322" s="89" t="s">
        <v>407</v>
      </c>
      <c r="E1322" s="89" t="s">
        <v>2145</v>
      </c>
      <c r="F1322" s="102" t="n">
        <v>1579</v>
      </c>
      <c r="G1322" s="102" t="n">
        <v>2097</v>
      </c>
      <c r="H1322" s="103" t="s">
        <v>48</v>
      </c>
      <c r="I1322" s="103">
        <f>IFERROR(VLOOKUP(A1322,#REF!,15,0),0)+IFERROR(VLOOKUP(A1322,#REF!,25,0),0)+IFERROR(VLOOKUP(A1322,#REF!,10,0),0)+IFERROR(VLOOKUP(A1322,#REF!,14,0),0)+IFERROR(VLOOKUP(A1322,#REF!,11,0),0)+IFERROR(VLOOKUP(A1322,#REF!,10,0),0)+IFERROR(VLOOKUP(A1322,#REF!,10,0),0)+IFERROR(VLOOKUP(A1322,#REF!,9,0),0)+IFERROR(VLOOKUP(A1322,#REF!,9,0),0)+IFERROR(VLOOKUP(A1322,#REF!,9,0),0)+IFERROR(VLOOKUP(A1322,#REF!,9,0),0)</f>
        <v>0</v>
      </c>
      <c r="J1322" s="104">
        <f>IFERROR(VLOOKUP(A1322,#REF!,16,0),0)+IFERROR(VLOOKUP(A1322,#REF!,26,0),0)+IFERROR(VLOOKUP(A1322,#REF!,11,0),0)+IFERROR(VLOOKUP(A1322,#REF!,23,0),0)+IFERROR(VLOOKUP(A1322,#REF!,11,0),0)+IFERROR(VLOOKUP(A1322,#REF!,11,0),0)+IFERROR(VLOOKUP(A1322,#REF!,11,0),0)</f>
        <v>0</v>
      </c>
      <c r="K1322" s="96" t="str">
        <f>"07.02.24"</f>
        <v>07.02.24</v>
      </c>
    </row>
    <row r="1323" spans="1:11" ht="11.25" customHeight="1" outlineLevel="1">
      <c r="A1323" s="89" t="n">
        <v>8077380</v>
      </c>
      <c r="B1323" s="114" t="s">
        <v>1201</v>
      </c>
      <c r="C1323" s="89" t="s">
        <v>2146</v>
      </c>
      <c r="D1323" s="89" t="s">
        <v>407</v>
      </c>
      <c r="E1323" s="89" t="s">
        <v>2147</v>
      </c>
      <c r="F1323" s="102" t="n">
        <v>1579</v>
      </c>
      <c r="G1323" s="102" t="n">
        <v>2097</v>
      </c>
      <c r="H1323" s="103" t="s">
        <v>48</v>
      </c>
      <c r="I1323" s="103">
        <f>IFERROR(VLOOKUP(A1323,#REF!,15,0),0)+IFERROR(VLOOKUP(A1323,#REF!,25,0),0)+IFERROR(VLOOKUP(A1323,#REF!,10,0),0)+IFERROR(VLOOKUP(A1323,#REF!,14,0),0)+IFERROR(VLOOKUP(A1323,#REF!,11,0),0)+IFERROR(VLOOKUP(A1323,#REF!,10,0),0)+IFERROR(VLOOKUP(A1323,#REF!,10,0),0)+IFERROR(VLOOKUP(A1323,#REF!,9,0),0)+IFERROR(VLOOKUP(A1323,#REF!,9,0),0)+IFERROR(VLOOKUP(A1323,#REF!,9,0),0)+IFERROR(VLOOKUP(A1323,#REF!,9,0),0)</f>
        <v>0</v>
      </c>
      <c r="J1323" s="104">
        <f>IFERROR(VLOOKUP(A1323,#REF!,16,0),0)+IFERROR(VLOOKUP(A1323,#REF!,26,0),0)+IFERROR(VLOOKUP(A1323,#REF!,11,0),0)+IFERROR(VLOOKUP(A1323,#REF!,23,0),0)+IFERROR(VLOOKUP(A1323,#REF!,11,0),0)+IFERROR(VLOOKUP(A1323,#REF!,11,0),0)+IFERROR(VLOOKUP(A1323,#REF!,11,0),0)</f>
        <v>0</v>
      </c>
      <c r="K1323" s="96" t="str">
        <f>"07.02.24"</f>
        <v>07.02.24</v>
      </c>
    </row>
    <row r="1324" spans="1:11" ht="11.25" customHeight="1" outlineLevel="1">
      <c r="A1324" s="89" t="n">
        <v>8077390</v>
      </c>
      <c r="B1324" s="114" t="s">
        <v>1201</v>
      </c>
      <c r="C1324" s="89" t="s">
        <v>2148</v>
      </c>
      <c r="D1324" s="89" t="s">
        <v>407</v>
      </c>
      <c r="E1324" s="89" t="s">
        <v>2149</v>
      </c>
      <c r="F1324" s="102" t="n">
        <v>1801</v>
      </c>
      <c r="G1324" s="102" t="n">
        <v>2391</v>
      </c>
      <c r="H1324" s="103" t="s">
        <v>48</v>
      </c>
      <c r="I1324" s="103">
        <f>IFERROR(VLOOKUP(A1324,#REF!,15,0),0)+IFERROR(VLOOKUP(A1324,#REF!,25,0),0)+IFERROR(VLOOKUP(A1324,#REF!,10,0),0)+IFERROR(VLOOKUP(A1324,#REF!,14,0),0)+IFERROR(VLOOKUP(A1324,#REF!,11,0),0)+IFERROR(VLOOKUP(A1324,#REF!,10,0),0)+IFERROR(VLOOKUP(A1324,#REF!,10,0),0)+IFERROR(VLOOKUP(A1324,#REF!,9,0),0)+IFERROR(VLOOKUP(A1324,#REF!,9,0),0)+IFERROR(VLOOKUP(A1324,#REF!,9,0),0)+IFERROR(VLOOKUP(A1324,#REF!,9,0),0)</f>
        <v>0</v>
      </c>
      <c r="J1324" s="104">
        <f>IFERROR(VLOOKUP(A1324,#REF!,16,0),0)+IFERROR(VLOOKUP(A1324,#REF!,26,0),0)+IFERROR(VLOOKUP(A1324,#REF!,11,0),0)+IFERROR(VLOOKUP(A1324,#REF!,23,0),0)+IFERROR(VLOOKUP(A1324,#REF!,11,0),0)+IFERROR(VLOOKUP(A1324,#REF!,11,0),0)+IFERROR(VLOOKUP(A1324,#REF!,11,0),0)</f>
        <v>0</v>
      </c>
      <c r="K1324" s="96" t="str">
        <f>"07.02.24"</f>
        <v>07.02.24</v>
      </c>
    </row>
    <row r="1325" spans="1:11" ht="11.25" customHeight="1" outlineLevel="1">
      <c r="A1325" s="89" t="n">
        <v>8077400</v>
      </c>
      <c r="B1325" s="114" t="s">
        <v>1201</v>
      </c>
      <c r="C1325" s="89" t="s">
        <v>2150</v>
      </c>
      <c r="D1325" s="89" t="s">
        <v>407</v>
      </c>
      <c r="E1325" s="89" t="s">
        <v>2151</v>
      </c>
      <c r="F1325" s="102" t="n">
        <v>1801</v>
      </c>
      <c r="G1325" s="102" t="n">
        <v>2391</v>
      </c>
      <c r="H1325" s="103" t="s">
        <v>48</v>
      </c>
      <c r="I1325" s="103">
        <f>IFERROR(VLOOKUP(A1325,#REF!,15,0),0)+IFERROR(VLOOKUP(A1325,#REF!,25,0),0)+IFERROR(VLOOKUP(A1325,#REF!,10,0),0)+IFERROR(VLOOKUP(A1325,#REF!,14,0),0)+IFERROR(VLOOKUP(A1325,#REF!,11,0),0)+IFERROR(VLOOKUP(A1325,#REF!,10,0),0)+IFERROR(VLOOKUP(A1325,#REF!,10,0),0)+IFERROR(VLOOKUP(A1325,#REF!,9,0),0)+IFERROR(VLOOKUP(A1325,#REF!,9,0),0)+IFERROR(VLOOKUP(A1325,#REF!,9,0),0)+IFERROR(VLOOKUP(A1325,#REF!,9,0),0)</f>
        <v>0</v>
      </c>
      <c r="J1325" s="104">
        <f>IFERROR(VLOOKUP(A1325,#REF!,16,0),0)+IFERROR(VLOOKUP(A1325,#REF!,26,0),0)+IFERROR(VLOOKUP(A1325,#REF!,11,0),0)+IFERROR(VLOOKUP(A1325,#REF!,23,0),0)+IFERROR(VLOOKUP(A1325,#REF!,11,0),0)+IFERROR(VLOOKUP(A1325,#REF!,11,0),0)+IFERROR(VLOOKUP(A1325,#REF!,11,0),0)</f>
        <v>0</v>
      </c>
      <c r="K1325" s="96" t="str">
        <f>"07.02.24"</f>
        <v>07.02.24</v>
      </c>
    </row>
    <row r="1326" spans="1:11" ht="11.25" customHeight="1" outlineLevel="1">
      <c r="A1326" s="89" t="n">
        <v>8077410</v>
      </c>
      <c r="B1326" s="114" t="s">
        <v>1201</v>
      </c>
      <c r="C1326" s="89" t="s">
        <v>2152</v>
      </c>
      <c r="D1326" s="89" t="s">
        <v>407</v>
      </c>
      <c r="E1326" s="89" t="s">
        <v>2153</v>
      </c>
      <c r="F1326" s="102" t="n">
        <v>1801</v>
      </c>
      <c r="G1326" s="102" t="n">
        <v>2391</v>
      </c>
      <c r="H1326" s="103" t="s">
        <v>48</v>
      </c>
      <c r="I1326" s="103">
        <f>IFERROR(VLOOKUP(A1326,#REF!,15,0),0)+IFERROR(VLOOKUP(A1326,#REF!,25,0),0)+IFERROR(VLOOKUP(A1326,#REF!,10,0),0)+IFERROR(VLOOKUP(A1326,#REF!,14,0),0)+IFERROR(VLOOKUP(A1326,#REF!,11,0),0)+IFERROR(VLOOKUP(A1326,#REF!,10,0),0)+IFERROR(VLOOKUP(A1326,#REF!,10,0),0)+IFERROR(VLOOKUP(A1326,#REF!,9,0),0)+IFERROR(VLOOKUP(A1326,#REF!,9,0),0)+IFERROR(VLOOKUP(A1326,#REF!,9,0),0)+IFERROR(VLOOKUP(A1326,#REF!,9,0),0)</f>
        <v>0</v>
      </c>
      <c r="J1326" s="104">
        <f>IFERROR(VLOOKUP(A1326,#REF!,16,0),0)+IFERROR(VLOOKUP(A1326,#REF!,26,0),0)+IFERROR(VLOOKUP(A1326,#REF!,11,0),0)+IFERROR(VLOOKUP(A1326,#REF!,23,0),0)+IFERROR(VLOOKUP(A1326,#REF!,11,0),0)+IFERROR(VLOOKUP(A1326,#REF!,11,0),0)+IFERROR(VLOOKUP(A1326,#REF!,11,0),0)</f>
        <v>0</v>
      </c>
      <c r="K1326" s="96" t="str">
        <f>"07.02.24"</f>
        <v>07.02.24</v>
      </c>
    </row>
    <row r="1327" spans="1:11" ht="11.25" customHeight="1" outlineLevel="1">
      <c r="A1327" s="89" t="n">
        <v>8077420</v>
      </c>
      <c r="B1327" s="114" t="s">
        <v>1201</v>
      </c>
      <c r="C1327" s="89" t="s">
        <v>2154</v>
      </c>
      <c r="D1327" s="89" t="s">
        <v>407</v>
      </c>
      <c r="E1327" s="89" t="s">
        <v>2155</v>
      </c>
      <c r="F1327" s="102" t="n">
        <v>1801</v>
      </c>
      <c r="G1327" s="102" t="n">
        <v>2391</v>
      </c>
      <c r="H1327" s="103" t="s">
        <v>48</v>
      </c>
      <c r="I1327" s="103">
        <f>IFERROR(VLOOKUP(A1327,#REF!,15,0),0)+IFERROR(VLOOKUP(A1327,#REF!,25,0),0)+IFERROR(VLOOKUP(A1327,#REF!,10,0),0)+IFERROR(VLOOKUP(A1327,#REF!,14,0),0)+IFERROR(VLOOKUP(A1327,#REF!,11,0),0)+IFERROR(VLOOKUP(A1327,#REF!,10,0),0)+IFERROR(VLOOKUP(A1327,#REF!,10,0),0)+IFERROR(VLOOKUP(A1327,#REF!,9,0),0)+IFERROR(VLOOKUP(A1327,#REF!,9,0),0)+IFERROR(VLOOKUP(A1327,#REF!,9,0),0)+IFERROR(VLOOKUP(A1327,#REF!,9,0),0)</f>
        <v>0</v>
      </c>
      <c r="J1327" s="104">
        <f>IFERROR(VLOOKUP(A1327,#REF!,16,0),0)+IFERROR(VLOOKUP(A1327,#REF!,26,0),0)+IFERROR(VLOOKUP(A1327,#REF!,11,0),0)+IFERROR(VLOOKUP(A1327,#REF!,23,0),0)+IFERROR(VLOOKUP(A1327,#REF!,11,0),0)+IFERROR(VLOOKUP(A1327,#REF!,11,0),0)+IFERROR(VLOOKUP(A1327,#REF!,11,0),0)</f>
        <v>0</v>
      </c>
      <c r="K1327" s="96" t="str">
        <f>"07.02.24"</f>
        <v>07.02.24</v>
      </c>
    </row>
    <row r="1328" spans="1:11" ht="11.25" customHeight="1" outlineLevel="1">
      <c r="A1328" s="89" t="n">
        <v>8077430</v>
      </c>
      <c r="B1328" s="114" t="s">
        <v>1201</v>
      </c>
      <c r="C1328" s="89" t="s">
        <v>2156</v>
      </c>
      <c r="D1328" s="89" t="s">
        <v>407</v>
      </c>
      <c r="E1328" s="89" t="s">
        <v>2157</v>
      </c>
      <c r="F1328" s="102" t="n">
        <v>1837</v>
      </c>
      <c r="G1328" s="102" t="n">
        <v>2442</v>
      </c>
      <c r="H1328" s="103" t="s">
        <v>48</v>
      </c>
      <c r="I1328" s="103">
        <f>IFERROR(VLOOKUP(A1328,#REF!,15,0),0)+IFERROR(VLOOKUP(A1328,#REF!,25,0),0)+IFERROR(VLOOKUP(A1328,#REF!,10,0),0)+IFERROR(VLOOKUP(A1328,#REF!,14,0),0)+IFERROR(VLOOKUP(A1328,#REF!,11,0),0)+IFERROR(VLOOKUP(A1328,#REF!,10,0),0)+IFERROR(VLOOKUP(A1328,#REF!,10,0),0)+IFERROR(VLOOKUP(A1328,#REF!,9,0),0)+IFERROR(VLOOKUP(A1328,#REF!,9,0),0)+IFERROR(VLOOKUP(A1328,#REF!,9,0),0)+IFERROR(VLOOKUP(A1328,#REF!,9,0),0)</f>
        <v>0</v>
      </c>
      <c r="J1328" s="104">
        <f>IFERROR(VLOOKUP(A1328,#REF!,16,0),0)+IFERROR(VLOOKUP(A1328,#REF!,26,0),0)+IFERROR(VLOOKUP(A1328,#REF!,11,0),0)+IFERROR(VLOOKUP(A1328,#REF!,23,0),0)+IFERROR(VLOOKUP(A1328,#REF!,11,0),0)+IFERROR(VLOOKUP(A1328,#REF!,11,0),0)+IFERROR(VLOOKUP(A1328,#REF!,11,0),0)</f>
        <v>0</v>
      </c>
      <c r="K1328" s="96" t="str">
        <f>"07.02.24"</f>
        <v>07.02.24</v>
      </c>
    </row>
    <row r="1329" spans="1:11" ht="11.25" customHeight="1" outlineLevel="1">
      <c r="A1329" s="89" t="n">
        <v>8077450</v>
      </c>
      <c r="B1329" s="114" t="s">
        <v>1201</v>
      </c>
      <c r="C1329" s="89" t="s">
        <v>2158</v>
      </c>
      <c r="D1329" s="89" t="s">
        <v>407</v>
      </c>
      <c r="E1329" s="89" t="s">
        <v>2159</v>
      </c>
      <c r="F1329" s="102" t="n">
        <v>1960</v>
      </c>
      <c r="G1329" s="102" t="n">
        <v>2603</v>
      </c>
      <c r="H1329" s="103" t="s">
        <v>48</v>
      </c>
      <c r="I1329" s="103">
        <f>IFERROR(VLOOKUP(A1329,#REF!,15,0),0)+IFERROR(VLOOKUP(A1329,#REF!,25,0),0)+IFERROR(VLOOKUP(A1329,#REF!,10,0),0)+IFERROR(VLOOKUP(A1329,#REF!,14,0),0)+IFERROR(VLOOKUP(A1329,#REF!,11,0),0)+IFERROR(VLOOKUP(A1329,#REF!,10,0),0)+IFERROR(VLOOKUP(A1329,#REF!,10,0),0)+IFERROR(VLOOKUP(A1329,#REF!,9,0),0)+IFERROR(VLOOKUP(A1329,#REF!,9,0),0)+IFERROR(VLOOKUP(A1329,#REF!,9,0),0)+IFERROR(VLOOKUP(A1329,#REF!,9,0),0)</f>
        <v>0</v>
      </c>
      <c r="J1329" s="104">
        <f>IFERROR(VLOOKUP(A1329,#REF!,16,0),0)+IFERROR(VLOOKUP(A1329,#REF!,26,0),0)+IFERROR(VLOOKUP(A1329,#REF!,11,0),0)+IFERROR(VLOOKUP(A1329,#REF!,23,0),0)+IFERROR(VLOOKUP(A1329,#REF!,11,0),0)+IFERROR(VLOOKUP(A1329,#REF!,11,0),0)+IFERROR(VLOOKUP(A1329,#REF!,11,0),0)</f>
        <v>0</v>
      </c>
      <c r="K1329" s="96" t="str">
        <f>"07.02.24"</f>
        <v>07.02.24</v>
      </c>
    </row>
    <row r="1330" spans="1:11" ht="11.25" customHeight="1" outlineLevel="1">
      <c r="A1330" s="89" t="n">
        <v>8077460</v>
      </c>
      <c r="B1330" s="114" t="s">
        <v>1201</v>
      </c>
      <c r="C1330" s="89" t="s">
        <v>2160</v>
      </c>
      <c r="D1330" s="89" t="s">
        <v>407</v>
      </c>
      <c r="E1330" s="89" t="s">
        <v>2161</v>
      </c>
      <c r="F1330" s="102" t="n">
        <v>1960</v>
      </c>
      <c r="G1330" s="102" t="n">
        <v>2603</v>
      </c>
      <c r="H1330" s="103" t="s">
        <v>48</v>
      </c>
      <c r="I1330" s="103">
        <f>IFERROR(VLOOKUP(A1330,#REF!,15,0),0)+IFERROR(VLOOKUP(A1330,#REF!,25,0),0)+IFERROR(VLOOKUP(A1330,#REF!,10,0),0)+IFERROR(VLOOKUP(A1330,#REF!,14,0),0)+IFERROR(VLOOKUP(A1330,#REF!,11,0),0)+IFERROR(VLOOKUP(A1330,#REF!,10,0),0)+IFERROR(VLOOKUP(A1330,#REF!,10,0),0)+IFERROR(VLOOKUP(A1330,#REF!,9,0),0)+IFERROR(VLOOKUP(A1330,#REF!,9,0),0)+IFERROR(VLOOKUP(A1330,#REF!,9,0),0)+IFERROR(VLOOKUP(A1330,#REF!,9,0),0)</f>
        <v>0</v>
      </c>
      <c r="J1330" s="104">
        <f>IFERROR(VLOOKUP(A1330,#REF!,16,0),0)+IFERROR(VLOOKUP(A1330,#REF!,26,0),0)+IFERROR(VLOOKUP(A1330,#REF!,11,0),0)+IFERROR(VLOOKUP(A1330,#REF!,23,0),0)+IFERROR(VLOOKUP(A1330,#REF!,11,0),0)+IFERROR(VLOOKUP(A1330,#REF!,11,0),0)+IFERROR(VLOOKUP(A1330,#REF!,11,0),0)</f>
        <v>0</v>
      </c>
      <c r="K1330" s="96" t="str">
        <f>"07.02.24"</f>
        <v>07.02.24</v>
      </c>
    </row>
    <row r="1331" spans="1:11" ht="11.25" customHeight="1" outlineLevel="1">
      <c r="A1331" s="89" t="n">
        <v>8077470</v>
      </c>
      <c r="B1331" s="114" t="s">
        <v>1201</v>
      </c>
      <c r="C1331" s="89" t="s">
        <v>2162</v>
      </c>
      <c r="D1331" s="89" t="s">
        <v>407</v>
      </c>
      <c r="E1331" s="89" t="s">
        <v>2163</v>
      </c>
      <c r="F1331" s="102" t="n">
        <v>2022</v>
      </c>
      <c r="G1331" s="102" t="n">
        <v>2688</v>
      </c>
      <c r="H1331" s="103" t="s">
        <v>48</v>
      </c>
      <c r="I1331" s="103">
        <f>IFERROR(VLOOKUP(A1331,#REF!,15,0),0)+IFERROR(VLOOKUP(A1331,#REF!,25,0),0)+IFERROR(VLOOKUP(A1331,#REF!,10,0),0)+IFERROR(VLOOKUP(A1331,#REF!,14,0),0)+IFERROR(VLOOKUP(A1331,#REF!,11,0),0)+IFERROR(VLOOKUP(A1331,#REF!,10,0),0)+IFERROR(VLOOKUP(A1331,#REF!,10,0),0)+IFERROR(VLOOKUP(A1331,#REF!,9,0),0)+IFERROR(VLOOKUP(A1331,#REF!,9,0),0)+IFERROR(VLOOKUP(A1331,#REF!,9,0),0)+IFERROR(VLOOKUP(A1331,#REF!,9,0),0)</f>
        <v>0</v>
      </c>
      <c r="J1331" s="104">
        <f>IFERROR(VLOOKUP(A1331,#REF!,16,0),0)+IFERROR(VLOOKUP(A1331,#REF!,26,0),0)+IFERROR(VLOOKUP(A1331,#REF!,11,0),0)+IFERROR(VLOOKUP(A1331,#REF!,23,0),0)+IFERROR(VLOOKUP(A1331,#REF!,11,0),0)+IFERROR(VLOOKUP(A1331,#REF!,11,0),0)+IFERROR(VLOOKUP(A1331,#REF!,11,0),0)</f>
        <v>0</v>
      </c>
      <c r="K1331" s="96" t="str">
        <f>"07.02.24"</f>
        <v>07.02.24</v>
      </c>
    </row>
    <row r="1332" spans="1:11" ht="11.25" customHeight="1" outlineLevel="1">
      <c r="A1332" s="89" t="n">
        <v>8077480</v>
      </c>
      <c r="B1332" s="114" t="s">
        <v>1201</v>
      </c>
      <c r="C1332" s="89" t="s">
        <v>2164</v>
      </c>
      <c r="D1332" s="89" t="s">
        <v>407</v>
      </c>
      <c r="E1332" s="89" t="s">
        <v>2165</v>
      </c>
      <c r="F1332" s="102" t="n">
        <v>2022</v>
      </c>
      <c r="G1332" s="102" t="n">
        <v>2688</v>
      </c>
      <c r="H1332" s="103" t="s">
        <v>48</v>
      </c>
      <c r="I1332" s="103">
        <f>IFERROR(VLOOKUP(A1332,#REF!,15,0),0)+IFERROR(VLOOKUP(A1332,#REF!,25,0),0)+IFERROR(VLOOKUP(A1332,#REF!,10,0),0)+IFERROR(VLOOKUP(A1332,#REF!,14,0),0)+IFERROR(VLOOKUP(A1332,#REF!,11,0),0)+IFERROR(VLOOKUP(A1332,#REF!,10,0),0)+IFERROR(VLOOKUP(A1332,#REF!,10,0),0)+IFERROR(VLOOKUP(A1332,#REF!,9,0),0)+IFERROR(VLOOKUP(A1332,#REF!,9,0),0)+IFERROR(VLOOKUP(A1332,#REF!,9,0),0)+IFERROR(VLOOKUP(A1332,#REF!,9,0),0)</f>
        <v>0</v>
      </c>
      <c r="J1332" s="104">
        <f>IFERROR(VLOOKUP(A1332,#REF!,16,0),0)+IFERROR(VLOOKUP(A1332,#REF!,26,0),0)+IFERROR(VLOOKUP(A1332,#REF!,11,0),0)+IFERROR(VLOOKUP(A1332,#REF!,23,0),0)+IFERROR(VLOOKUP(A1332,#REF!,11,0),0)+IFERROR(VLOOKUP(A1332,#REF!,11,0),0)+IFERROR(VLOOKUP(A1332,#REF!,11,0),0)</f>
        <v>0</v>
      </c>
      <c r="K1332" s="96" t="str">
        <f>"07.02.24"</f>
        <v>07.02.24</v>
      </c>
    </row>
    <row r="1333" spans="1:11" ht="11.25" customHeight="1" outlineLevel="1">
      <c r="A1333" s="89" t="n">
        <v>8077490</v>
      </c>
      <c r="B1333" s="114" t="s">
        <v>1201</v>
      </c>
      <c r="C1333" s="89" t="s">
        <v>2166</v>
      </c>
      <c r="D1333" s="89" t="s">
        <v>407</v>
      </c>
      <c r="E1333" s="89" t="s">
        <v>2167</v>
      </c>
      <c r="F1333" s="102" t="n">
        <v>2054</v>
      </c>
      <c r="G1333" s="102" t="n">
        <v>2730</v>
      </c>
      <c r="H1333" s="103" t="s">
        <v>48</v>
      </c>
      <c r="I1333" s="103">
        <f>IFERROR(VLOOKUP(A1333,#REF!,15,0),0)+IFERROR(VLOOKUP(A1333,#REF!,25,0),0)+IFERROR(VLOOKUP(A1333,#REF!,10,0),0)+IFERROR(VLOOKUP(A1333,#REF!,14,0),0)+IFERROR(VLOOKUP(A1333,#REF!,11,0),0)+IFERROR(VLOOKUP(A1333,#REF!,10,0),0)+IFERROR(VLOOKUP(A1333,#REF!,10,0),0)+IFERROR(VLOOKUP(A1333,#REF!,9,0),0)+IFERROR(VLOOKUP(A1333,#REF!,9,0),0)+IFERROR(VLOOKUP(A1333,#REF!,9,0),0)+IFERROR(VLOOKUP(A1333,#REF!,9,0),0)</f>
        <v>0</v>
      </c>
      <c r="J1333" s="104">
        <f>IFERROR(VLOOKUP(A1333,#REF!,16,0),0)+IFERROR(VLOOKUP(A1333,#REF!,26,0),0)+IFERROR(VLOOKUP(A1333,#REF!,11,0),0)+IFERROR(VLOOKUP(A1333,#REF!,23,0),0)+IFERROR(VLOOKUP(A1333,#REF!,11,0),0)+IFERROR(VLOOKUP(A1333,#REF!,11,0),0)+IFERROR(VLOOKUP(A1333,#REF!,11,0),0)</f>
        <v>0</v>
      </c>
      <c r="K1333" s="96" t="str">
        <f>"07.02.24"</f>
        <v>07.02.24</v>
      </c>
    </row>
    <row r="1334" spans="1:11" ht="11.25" customHeight="1" outlineLevel="1">
      <c r="A1334" s="89" t="n">
        <v>8077500</v>
      </c>
      <c r="B1334" s="114" t="s">
        <v>1201</v>
      </c>
      <c r="C1334" s="89" t="s">
        <v>2168</v>
      </c>
      <c r="D1334" s="89" t="s">
        <v>407</v>
      </c>
      <c r="E1334" s="89" t="s">
        <v>2169</v>
      </c>
      <c r="F1334" s="102" t="n">
        <v>2220</v>
      </c>
      <c r="G1334" s="102" t="n">
        <v>2950</v>
      </c>
      <c r="H1334" s="103" t="s">
        <v>48</v>
      </c>
      <c r="I1334" s="103">
        <f>IFERROR(VLOOKUP(A1334,#REF!,15,0),0)+IFERROR(VLOOKUP(A1334,#REF!,25,0),0)+IFERROR(VLOOKUP(A1334,#REF!,10,0),0)+IFERROR(VLOOKUP(A1334,#REF!,14,0),0)+IFERROR(VLOOKUP(A1334,#REF!,11,0),0)+IFERROR(VLOOKUP(A1334,#REF!,10,0),0)+IFERROR(VLOOKUP(A1334,#REF!,10,0),0)+IFERROR(VLOOKUP(A1334,#REF!,9,0),0)+IFERROR(VLOOKUP(A1334,#REF!,9,0),0)+IFERROR(VLOOKUP(A1334,#REF!,9,0),0)+IFERROR(VLOOKUP(A1334,#REF!,9,0),0)</f>
        <v>0</v>
      </c>
      <c r="J1334" s="104">
        <f>IFERROR(VLOOKUP(A1334,#REF!,16,0),0)+IFERROR(VLOOKUP(A1334,#REF!,26,0),0)+IFERROR(VLOOKUP(A1334,#REF!,11,0),0)+IFERROR(VLOOKUP(A1334,#REF!,23,0),0)+IFERROR(VLOOKUP(A1334,#REF!,11,0),0)+IFERROR(VLOOKUP(A1334,#REF!,11,0),0)+IFERROR(VLOOKUP(A1334,#REF!,11,0),0)</f>
        <v>0</v>
      </c>
      <c r="K1334" s="96" t="str">
        <f>"07.02.24"</f>
        <v>07.02.24</v>
      </c>
    </row>
    <row r="1335" spans="1:11" ht="11.25" customHeight="1" outlineLevel="1">
      <c r="A1335" s="89" t="n">
        <v>8077510</v>
      </c>
      <c r="B1335" s="114" t="s">
        <v>1201</v>
      </c>
      <c r="C1335" s="89" t="s">
        <v>2170</v>
      </c>
      <c r="D1335" s="89" t="s">
        <v>407</v>
      </c>
      <c r="E1335" s="89" t="s">
        <v>2171</v>
      </c>
      <c r="F1335" s="102" t="n">
        <v>2220</v>
      </c>
      <c r="G1335" s="102" t="n">
        <v>2950</v>
      </c>
      <c r="H1335" s="103" t="s">
        <v>48</v>
      </c>
      <c r="I1335" s="103">
        <f>IFERROR(VLOOKUP(A1335,#REF!,15,0),0)+IFERROR(VLOOKUP(A1335,#REF!,25,0),0)+IFERROR(VLOOKUP(A1335,#REF!,10,0),0)+IFERROR(VLOOKUP(A1335,#REF!,14,0),0)+IFERROR(VLOOKUP(A1335,#REF!,11,0),0)+IFERROR(VLOOKUP(A1335,#REF!,10,0),0)+IFERROR(VLOOKUP(A1335,#REF!,10,0),0)+IFERROR(VLOOKUP(A1335,#REF!,9,0),0)+IFERROR(VLOOKUP(A1335,#REF!,9,0),0)+IFERROR(VLOOKUP(A1335,#REF!,9,0),0)+IFERROR(VLOOKUP(A1335,#REF!,9,0),0)</f>
        <v>0</v>
      </c>
      <c r="J1335" s="104">
        <f>IFERROR(VLOOKUP(A1335,#REF!,16,0),0)+IFERROR(VLOOKUP(A1335,#REF!,26,0),0)+IFERROR(VLOOKUP(A1335,#REF!,11,0),0)+IFERROR(VLOOKUP(A1335,#REF!,23,0),0)+IFERROR(VLOOKUP(A1335,#REF!,11,0),0)+IFERROR(VLOOKUP(A1335,#REF!,11,0),0)+IFERROR(VLOOKUP(A1335,#REF!,11,0),0)</f>
        <v>0</v>
      </c>
      <c r="K1335" s="96" t="str">
        <f>"07.02.24"</f>
        <v>07.02.24</v>
      </c>
    </row>
    <row r="1336" spans="1:11" ht="11.25" customHeight="1" outlineLevel="1">
      <c r="A1336" s="89" t="n">
        <v>8077520</v>
      </c>
      <c r="B1336" s="114" t="s">
        <v>1201</v>
      </c>
      <c r="C1336" s="89" t="s">
        <v>2172</v>
      </c>
      <c r="D1336" s="89" t="s">
        <v>407</v>
      </c>
      <c r="E1336" s="89" t="s">
        <v>2173</v>
      </c>
      <c r="F1336" s="102" t="n">
        <v>2220</v>
      </c>
      <c r="G1336" s="102" t="n">
        <v>2950</v>
      </c>
      <c r="H1336" s="103" t="s">
        <v>48</v>
      </c>
      <c r="I1336" s="103">
        <f>IFERROR(VLOOKUP(A1336,#REF!,15,0),0)+IFERROR(VLOOKUP(A1336,#REF!,25,0),0)+IFERROR(VLOOKUP(A1336,#REF!,10,0),0)+IFERROR(VLOOKUP(A1336,#REF!,14,0),0)+IFERROR(VLOOKUP(A1336,#REF!,11,0),0)+IFERROR(VLOOKUP(A1336,#REF!,10,0),0)+IFERROR(VLOOKUP(A1336,#REF!,10,0),0)+IFERROR(VLOOKUP(A1336,#REF!,9,0),0)+IFERROR(VLOOKUP(A1336,#REF!,9,0),0)+IFERROR(VLOOKUP(A1336,#REF!,9,0),0)+IFERROR(VLOOKUP(A1336,#REF!,9,0),0)</f>
        <v>0</v>
      </c>
      <c r="J1336" s="104">
        <f>IFERROR(VLOOKUP(A1336,#REF!,16,0),0)+IFERROR(VLOOKUP(A1336,#REF!,26,0),0)+IFERROR(VLOOKUP(A1336,#REF!,11,0),0)+IFERROR(VLOOKUP(A1336,#REF!,23,0),0)+IFERROR(VLOOKUP(A1336,#REF!,11,0),0)+IFERROR(VLOOKUP(A1336,#REF!,11,0),0)+IFERROR(VLOOKUP(A1336,#REF!,11,0),0)</f>
        <v>0</v>
      </c>
      <c r="K1336" s="96" t="str">
        <f>"07.02.24"</f>
        <v>07.02.24</v>
      </c>
    </row>
    <row r="1337" spans="1:11" ht="11.25" customHeight="1" outlineLevel="1">
      <c r="A1337" s="89" t="n">
        <v>8077530</v>
      </c>
      <c r="B1337" s="114" t="s">
        <v>1201</v>
      </c>
      <c r="C1337" s="89" t="s">
        <v>2174</v>
      </c>
      <c r="D1337" s="89" t="s">
        <v>407</v>
      </c>
      <c r="E1337" s="89" t="s">
        <v>2175</v>
      </c>
      <c r="F1337" s="102" t="n">
        <v>2074</v>
      </c>
      <c r="G1337" s="102" t="n">
        <v>2757</v>
      </c>
      <c r="H1337" s="103" t="s">
        <v>17</v>
      </c>
      <c r="I1337" s="103">
        <f>IFERROR(VLOOKUP(A1337,#REF!,15,0),0)+IFERROR(VLOOKUP(A1337,#REF!,25,0),0)+IFERROR(VLOOKUP(A1337,#REF!,10,0),0)+IFERROR(VLOOKUP(A1337,#REF!,14,0),0)+IFERROR(VLOOKUP(A1337,#REF!,11,0),0)+IFERROR(VLOOKUP(A1337,#REF!,10,0),0)+IFERROR(VLOOKUP(A1337,#REF!,10,0),0)+IFERROR(VLOOKUP(A1337,#REF!,9,0),0)+IFERROR(VLOOKUP(A1337,#REF!,9,0),0)+IFERROR(VLOOKUP(A1337,#REF!,9,0),0)+IFERROR(VLOOKUP(A1337,#REF!,9,0),0)</f>
        <v>0</v>
      </c>
      <c r="J1337" s="104">
        <f>IFERROR(VLOOKUP(A1337,#REF!,16,0),0)+IFERROR(VLOOKUP(A1337,#REF!,26,0),0)+IFERROR(VLOOKUP(A1337,#REF!,11,0),0)+IFERROR(VLOOKUP(A1337,#REF!,23,0),0)+IFERROR(VLOOKUP(A1337,#REF!,11,0),0)+IFERROR(VLOOKUP(A1337,#REF!,11,0),0)+IFERROR(VLOOKUP(A1337,#REF!,11,0),0)</f>
        <v>0</v>
      </c>
      <c r="K1337" s="96" t="str">
        <f>"07.02.24"</f>
        <v>07.02.24</v>
      </c>
    </row>
    <row r="1338" spans="1:11" ht="11.25" customHeight="1" outlineLevel="1">
      <c r="A1338" s="89" t="n">
        <v>8077540</v>
      </c>
      <c r="B1338" s="114" t="s">
        <v>1201</v>
      </c>
      <c r="C1338" s="89" t="s">
        <v>2176</v>
      </c>
      <c r="D1338" s="89" t="s">
        <v>407</v>
      </c>
      <c r="E1338" s="89" t="s">
        <v>2177</v>
      </c>
      <c r="F1338" s="102" t="n">
        <v>2280</v>
      </c>
      <c r="G1338" s="102" t="n">
        <v>3034</v>
      </c>
      <c r="H1338" s="103" t="s">
        <v>48</v>
      </c>
      <c r="I1338" s="103">
        <f>IFERROR(VLOOKUP(A1338,#REF!,15,0),0)+IFERROR(VLOOKUP(A1338,#REF!,25,0),0)+IFERROR(VLOOKUP(A1338,#REF!,10,0),0)+IFERROR(VLOOKUP(A1338,#REF!,14,0),0)+IFERROR(VLOOKUP(A1338,#REF!,11,0),0)+IFERROR(VLOOKUP(A1338,#REF!,10,0),0)+IFERROR(VLOOKUP(A1338,#REF!,10,0),0)+IFERROR(VLOOKUP(A1338,#REF!,9,0),0)+IFERROR(VLOOKUP(A1338,#REF!,9,0),0)+IFERROR(VLOOKUP(A1338,#REF!,9,0),0)+IFERROR(VLOOKUP(A1338,#REF!,9,0),0)</f>
        <v>0</v>
      </c>
      <c r="J1338" s="104">
        <f>IFERROR(VLOOKUP(A1338,#REF!,16,0),0)+IFERROR(VLOOKUP(A1338,#REF!,26,0),0)+IFERROR(VLOOKUP(A1338,#REF!,11,0),0)+IFERROR(VLOOKUP(A1338,#REF!,23,0),0)+IFERROR(VLOOKUP(A1338,#REF!,11,0),0)+IFERROR(VLOOKUP(A1338,#REF!,11,0),0)+IFERROR(VLOOKUP(A1338,#REF!,11,0),0)</f>
        <v>0</v>
      </c>
      <c r="K1338" s="96" t="str">
        <f>"07.02.24"</f>
        <v>07.02.24</v>
      </c>
    </row>
    <row r="1339" spans="1:11" ht="11.25" customHeight="1" outlineLevel="1">
      <c r="A1339" s="89" t="n">
        <v>8077550</v>
      </c>
      <c r="B1339" s="114" t="s">
        <v>1201</v>
      </c>
      <c r="C1339" s="89" t="s">
        <v>2178</v>
      </c>
      <c r="D1339" s="89" t="s">
        <v>407</v>
      </c>
      <c r="E1339" s="89" t="s">
        <v>2179</v>
      </c>
      <c r="F1339" s="102" t="n">
        <v>2527</v>
      </c>
      <c r="G1339" s="102" t="n">
        <v>3359</v>
      </c>
      <c r="H1339" s="103" t="s">
        <v>48</v>
      </c>
      <c r="I1339" s="103">
        <f>IFERROR(VLOOKUP(A1339,#REF!,15,0),0)+IFERROR(VLOOKUP(A1339,#REF!,25,0),0)+IFERROR(VLOOKUP(A1339,#REF!,10,0),0)+IFERROR(VLOOKUP(A1339,#REF!,14,0),0)+IFERROR(VLOOKUP(A1339,#REF!,11,0),0)+IFERROR(VLOOKUP(A1339,#REF!,10,0),0)+IFERROR(VLOOKUP(A1339,#REF!,10,0),0)+IFERROR(VLOOKUP(A1339,#REF!,9,0),0)+IFERROR(VLOOKUP(A1339,#REF!,9,0),0)+IFERROR(VLOOKUP(A1339,#REF!,9,0),0)+IFERROR(VLOOKUP(A1339,#REF!,9,0),0)</f>
        <v>0</v>
      </c>
      <c r="J1339" s="104">
        <f>IFERROR(VLOOKUP(A1339,#REF!,16,0),0)+IFERROR(VLOOKUP(A1339,#REF!,26,0),0)+IFERROR(VLOOKUP(A1339,#REF!,11,0),0)+IFERROR(VLOOKUP(A1339,#REF!,23,0),0)+IFERROR(VLOOKUP(A1339,#REF!,11,0),0)+IFERROR(VLOOKUP(A1339,#REF!,11,0),0)+IFERROR(VLOOKUP(A1339,#REF!,11,0),0)</f>
        <v>0</v>
      </c>
      <c r="K1339" s="96" t="str">
        <f>"07.02.24"</f>
        <v>07.02.24</v>
      </c>
    </row>
    <row r="1340" spans="1:11" ht="11.25" customHeight="1" outlineLevel="1">
      <c r="A1340" s="89" t="n">
        <v>8077560</v>
      </c>
      <c r="B1340" s="114" t="s">
        <v>1201</v>
      </c>
      <c r="C1340" s="89" t="s">
        <v>2180</v>
      </c>
      <c r="D1340" s="89" t="s">
        <v>407</v>
      </c>
      <c r="E1340" s="89" t="s">
        <v>2181</v>
      </c>
      <c r="F1340" s="102" t="n">
        <v>2527</v>
      </c>
      <c r="G1340" s="102" t="n">
        <v>3359</v>
      </c>
      <c r="H1340" s="103" t="s">
        <v>48</v>
      </c>
      <c r="I1340" s="103">
        <f>IFERROR(VLOOKUP(A1340,#REF!,15,0),0)+IFERROR(VLOOKUP(A1340,#REF!,25,0),0)+IFERROR(VLOOKUP(A1340,#REF!,10,0),0)+IFERROR(VLOOKUP(A1340,#REF!,14,0),0)+IFERROR(VLOOKUP(A1340,#REF!,11,0),0)+IFERROR(VLOOKUP(A1340,#REF!,10,0),0)+IFERROR(VLOOKUP(A1340,#REF!,10,0),0)+IFERROR(VLOOKUP(A1340,#REF!,9,0),0)+IFERROR(VLOOKUP(A1340,#REF!,9,0),0)+IFERROR(VLOOKUP(A1340,#REF!,9,0),0)+IFERROR(VLOOKUP(A1340,#REF!,9,0),0)</f>
        <v>0</v>
      </c>
      <c r="J1340" s="104">
        <f>IFERROR(VLOOKUP(A1340,#REF!,16,0),0)+IFERROR(VLOOKUP(A1340,#REF!,26,0),0)+IFERROR(VLOOKUP(A1340,#REF!,11,0),0)+IFERROR(VLOOKUP(A1340,#REF!,23,0),0)+IFERROR(VLOOKUP(A1340,#REF!,11,0),0)+IFERROR(VLOOKUP(A1340,#REF!,11,0),0)+IFERROR(VLOOKUP(A1340,#REF!,11,0),0)</f>
        <v>0</v>
      </c>
      <c r="K1340" s="96" t="str">
        <f>"07.02.24"</f>
        <v>07.02.24</v>
      </c>
    </row>
    <row r="1341" spans="1:11" ht="11.25" customHeight="1" outlineLevel="1">
      <c r="A1341" s="89" t="n">
        <v>8077570</v>
      </c>
      <c r="B1341" s="114" t="s">
        <v>1201</v>
      </c>
      <c r="C1341" s="89" t="s">
        <v>2182</v>
      </c>
      <c r="D1341" s="89" t="s">
        <v>407</v>
      </c>
      <c r="E1341" s="89" t="s">
        <v>2183</v>
      </c>
      <c r="F1341" s="102" t="n">
        <v>2362</v>
      </c>
      <c r="G1341" s="102" t="n">
        <v>3140</v>
      </c>
      <c r="H1341" s="103" t="s">
        <v>17</v>
      </c>
      <c r="I1341" s="103">
        <f>IFERROR(VLOOKUP(A1341,#REF!,15,0),0)+IFERROR(VLOOKUP(A1341,#REF!,25,0),0)+IFERROR(VLOOKUP(A1341,#REF!,10,0),0)+IFERROR(VLOOKUP(A1341,#REF!,14,0),0)+IFERROR(VLOOKUP(A1341,#REF!,11,0),0)+IFERROR(VLOOKUP(A1341,#REF!,10,0),0)+IFERROR(VLOOKUP(A1341,#REF!,10,0),0)+IFERROR(VLOOKUP(A1341,#REF!,9,0),0)+IFERROR(VLOOKUP(A1341,#REF!,9,0),0)+IFERROR(VLOOKUP(A1341,#REF!,9,0),0)+IFERROR(VLOOKUP(A1341,#REF!,9,0),0)</f>
        <v>0</v>
      </c>
      <c r="J1341" s="104">
        <f>IFERROR(VLOOKUP(A1341,#REF!,16,0),0)+IFERROR(VLOOKUP(A1341,#REF!,26,0),0)+IFERROR(VLOOKUP(A1341,#REF!,11,0),0)+IFERROR(VLOOKUP(A1341,#REF!,23,0),0)+IFERROR(VLOOKUP(A1341,#REF!,11,0),0)+IFERROR(VLOOKUP(A1341,#REF!,11,0),0)+IFERROR(VLOOKUP(A1341,#REF!,11,0),0)</f>
        <v>0</v>
      </c>
      <c r="K1341" s="96" t="str">
        <f>"07.02.24"</f>
        <v>07.02.24</v>
      </c>
    </row>
    <row r="1342" spans="1:11" ht="11.25" customHeight="1" outlineLevel="1">
      <c r="A1342" s="89" t="n">
        <v>8077580</v>
      </c>
      <c r="B1342" s="114" t="s">
        <v>1201</v>
      </c>
      <c r="C1342" s="89" t="s">
        <v>2184</v>
      </c>
      <c r="D1342" s="89" t="s">
        <v>407</v>
      </c>
      <c r="E1342" s="89" t="s">
        <v>2185</v>
      </c>
      <c r="F1342" s="102" t="n">
        <v>2362</v>
      </c>
      <c r="G1342" s="102" t="n">
        <v>3140</v>
      </c>
      <c r="H1342" s="103" t="s">
        <v>48</v>
      </c>
      <c r="I1342" s="103">
        <f>IFERROR(VLOOKUP(A1342,#REF!,15,0),0)+IFERROR(VLOOKUP(A1342,#REF!,25,0),0)+IFERROR(VLOOKUP(A1342,#REF!,10,0),0)+IFERROR(VLOOKUP(A1342,#REF!,14,0),0)+IFERROR(VLOOKUP(A1342,#REF!,11,0),0)+IFERROR(VLOOKUP(A1342,#REF!,10,0),0)+IFERROR(VLOOKUP(A1342,#REF!,10,0),0)+IFERROR(VLOOKUP(A1342,#REF!,9,0),0)+IFERROR(VLOOKUP(A1342,#REF!,9,0),0)+IFERROR(VLOOKUP(A1342,#REF!,9,0),0)+IFERROR(VLOOKUP(A1342,#REF!,9,0),0)</f>
        <v>0</v>
      </c>
      <c r="J1342" s="104">
        <f>IFERROR(VLOOKUP(A1342,#REF!,16,0),0)+IFERROR(VLOOKUP(A1342,#REF!,26,0),0)+IFERROR(VLOOKUP(A1342,#REF!,11,0),0)+IFERROR(VLOOKUP(A1342,#REF!,23,0),0)+IFERROR(VLOOKUP(A1342,#REF!,11,0),0)+IFERROR(VLOOKUP(A1342,#REF!,11,0),0)+IFERROR(VLOOKUP(A1342,#REF!,11,0),0)</f>
        <v>0</v>
      </c>
      <c r="K1342" s="96" t="str">
        <f>"07.02.24"</f>
        <v>07.02.24</v>
      </c>
    </row>
    <row r="1343" spans="1:11" ht="11.25" customHeight="1" outlineLevel="1">
      <c r="A1343" s="89" t="n">
        <v>8077590</v>
      </c>
      <c r="B1343" s="114" t="s">
        <v>1201</v>
      </c>
      <c r="C1343" s="89" t="s">
        <v>2186</v>
      </c>
      <c r="D1343" s="89" t="s">
        <v>407</v>
      </c>
      <c r="E1343" s="89" t="s">
        <v>2187</v>
      </c>
      <c r="F1343" s="102" t="n">
        <v>2527</v>
      </c>
      <c r="G1343" s="102" t="n">
        <v>3359</v>
      </c>
      <c r="H1343" s="103" t="s">
        <v>48</v>
      </c>
      <c r="I1343" s="103">
        <f>IFERROR(VLOOKUP(A1343,#REF!,15,0),0)+IFERROR(VLOOKUP(A1343,#REF!,25,0),0)+IFERROR(VLOOKUP(A1343,#REF!,10,0),0)+IFERROR(VLOOKUP(A1343,#REF!,14,0),0)+IFERROR(VLOOKUP(A1343,#REF!,11,0),0)+IFERROR(VLOOKUP(A1343,#REF!,10,0),0)+IFERROR(VLOOKUP(A1343,#REF!,10,0),0)+IFERROR(VLOOKUP(A1343,#REF!,9,0),0)+IFERROR(VLOOKUP(A1343,#REF!,9,0),0)+IFERROR(VLOOKUP(A1343,#REF!,9,0),0)+IFERROR(VLOOKUP(A1343,#REF!,9,0),0)</f>
        <v>0</v>
      </c>
      <c r="J1343" s="104">
        <f>IFERROR(VLOOKUP(A1343,#REF!,16,0),0)+IFERROR(VLOOKUP(A1343,#REF!,26,0),0)+IFERROR(VLOOKUP(A1343,#REF!,11,0),0)+IFERROR(VLOOKUP(A1343,#REF!,23,0),0)+IFERROR(VLOOKUP(A1343,#REF!,11,0),0)+IFERROR(VLOOKUP(A1343,#REF!,11,0),0)+IFERROR(VLOOKUP(A1343,#REF!,11,0),0)</f>
        <v>0</v>
      </c>
      <c r="K1343" s="96" t="str">
        <f>"07.02.24"</f>
        <v>07.02.24</v>
      </c>
    </row>
    <row r="1344" spans="1:11" ht="21.75" customHeight="1" outlineLevel="1">
      <c r="A1344" s="89" t="n">
        <v>8077600</v>
      </c>
      <c r="B1344" s="114" t="s">
        <v>1201</v>
      </c>
      <c r="C1344" s="89" t="s">
        <v>2188</v>
      </c>
      <c r="D1344" s="89" t="s">
        <v>407</v>
      </c>
      <c r="E1344" s="89" t="s">
        <v>2189</v>
      </c>
      <c r="F1344" s="102" t="n">
        <v>2829</v>
      </c>
      <c r="G1344" s="102" t="n">
        <v>3763</v>
      </c>
      <c r="H1344" s="103" t="s">
        <v>48</v>
      </c>
      <c r="I1344" s="103">
        <f>IFERROR(VLOOKUP(A1344,#REF!,15,0),0)+IFERROR(VLOOKUP(A1344,#REF!,25,0),0)+IFERROR(VLOOKUP(A1344,#REF!,10,0),0)+IFERROR(VLOOKUP(A1344,#REF!,14,0),0)+IFERROR(VLOOKUP(A1344,#REF!,11,0),0)+IFERROR(VLOOKUP(A1344,#REF!,10,0),0)+IFERROR(VLOOKUP(A1344,#REF!,10,0),0)+IFERROR(VLOOKUP(A1344,#REF!,9,0),0)+IFERROR(VLOOKUP(A1344,#REF!,9,0),0)+IFERROR(VLOOKUP(A1344,#REF!,9,0),0)+IFERROR(VLOOKUP(A1344,#REF!,9,0),0)</f>
        <v>0</v>
      </c>
      <c r="J1344" s="104">
        <f>IFERROR(VLOOKUP(A1344,#REF!,16,0),0)+IFERROR(VLOOKUP(A1344,#REF!,26,0),0)+IFERROR(VLOOKUP(A1344,#REF!,11,0),0)+IFERROR(VLOOKUP(A1344,#REF!,23,0),0)+IFERROR(VLOOKUP(A1344,#REF!,11,0),0)+IFERROR(VLOOKUP(A1344,#REF!,11,0),0)+IFERROR(VLOOKUP(A1344,#REF!,11,0),0)</f>
        <v>0</v>
      </c>
      <c r="K1344" s="96" t="str">
        <f>"07.02.24"</f>
        <v>07.02.24</v>
      </c>
    </row>
    <row r="1345" spans="1:11" ht="21.75" customHeight="1" outlineLevel="1">
      <c r="A1345" s="89" t="n">
        <v>8077610</v>
      </c>
      <c r="B1345" s="114" t="s">
        <v>1201</v>
      </c>
      <c r="C1345" s="89" t="s">
        <v>2190</v>
      </c>
      <c r="D1345" s="89" t="s">
        <v>407</v>
      </c>
      <c r="E1345" s="89" t="s">
        <v>2191</v>
      </c>
      <c r="F1345" s="102" t="n">
        <v>2829</v>
      </c>
      <c r="G1345" s="102" t="n">
        <v>3763</v>
      </c>
      <c r="H1345" s="103" t="s">
        <v>48</v>
      </c>
      <c r="I1345" s="103">
        <f>IFERROR(VLOOKUP(A1345,#REF!,15,0),0)+IFERROR(VLOOKUP(A1345,#REF!,25,0),0)+IFERROR(VLOOKUP(A1345,#REF!,10,0),0)+IFERROR(VLOOKUP(A1345,#REF!,14,0),0)+IFERROR(VLOOKUP(A1345,#REF!,11,0),0)+IFERROR(VLOOKUP(A1345,#REF!,10,0),0)+IFERROR(VLOOKUP(A1345,#REF!,10,0),0)+IFERROR(VLOOKUP(A1345,#REF!,9,0),0)+IFERROR(VLOOKUP(A1345,#REF!,9,0),0)+IFERROR(VLOOKUP(A1345,#REF!,9,0),0)+IFERROR(VLOOKUP(A1345,#REF!,9,0),0)</f>
        <v>0</v>
      </c>
      <c r="J1345" s="104">
        <f>IFERROR(VLOOKUP(A1345,#REF!,16,0),0)+IFERROR(VLOOKUP(A1345,#REF!,26,0),0)+IFERROR(VLOOKUP(A1345,#REF!,11,0),0)+IFERROR(VLOOKUP(A1345,#REF!,23,0),0)+IFERROR(VLOOKUP(A1345,#REF!,11,0),0)+IFERROR(VLOOKUP(A1345,#REF!,11,0),0)+IFERROR(VLOOKUP(A1345,#REF!,11,0),0)</f>
        <v>0</v>
      </c>
      <c r="K1345" s="96" t="str">
        <f>"07.02.24"</f>
        <v>07.02.24</v>
      </c>
    </row>
    <row r="1346" spans="1:11" ht="11.25" customHeight="1" outlineLevel="1">
      <c r="A1346" s="89" t="n">
        <v>8077620</v>
      </c>
      <c r="B1346" s="114" t="s">
        <v>1201</v>
      </c>
      <c r="C1346" s="89" t="s">
        <v>2192</v>
      </c>
      <c r="D1346" s="89" t="s">
        <v>407</v>
      </c>
      <c r="E1346" s="89" t="s">
        <v>2193</v>
      </c>
      <c r="F1346" s="102" t="n">
        <v>2829</v>
      </c>
      <c r="G1346" s="102" t="n">
        <v>3763</v>
      </c>
      <c r="H1346" s="103" t="s">
        <v>48</v>
      </c>
      <c r="I1346" s="103">
        <f>IFERROR(VLOOKUP(A1346,#REF!,15,0),0)+IFERROR(VLOOKUP(A1346,#REF!,25,0),0)+IFERROR(VLOOKUP(A1346,#REF!,10,0),0)+IFERROR(VLOOKUP(A1346,#REF!,14,0),0)+IFERROR(VLOOKUP(A1346,#REF!,11,0),0)+IFERROR(VLOOKUP(A1346,#REF!,10,0),0)+IFERROR(VLOOKUP(A1346,#REF!,10,0),0)+IFERROR(VLOOKUP(A1346,#REF!,9,0),0)+IFERROR(VLOOKUP(A1346,#REF!,9,0),0)+IFERROR(VLOOKUP(A1346,#REF!,9,0),0)+IFERROR(VLOOKUP(A1346,#REF!,9,0),0)</f>
        <v>0</v>
      </c>
      <c r="J1346" s="104">
        <f>IFERROR(VLOOKUP(A1346,#REF!,16,0),0)+IFERROR(VLOOKUP(A1346,#REF!,26,0),0)+IFERROR(VLOOKUP(A1346,#REF!,11,0),0)+IFERROR(VLOOKUP(A1346,#REF!,23,0),0)+IFERROR(VLOOKUP(A1346,#REF!,11,0),0)+IFERROR(VLOOKUP(A1346,#REF!,11,0),0)+IFERROR(VLOOKUP(A1346,#REF!,11,0),0)</f>
        <v>0</v>
      </c>
      <c r="K1346" s="96" t="str">
        <f>"07.02.24"</f>
        <v>07.02.24</v>
      </c>
    </row>
    <row r="1347" spans="1:11" ht="11.25" customHeight="1" outlineLevel="1">
      <c r="A1347" s="89" t="n">
        <v>8077630</v>
      </c>
      <c r="B1347" s="114" t="s">
        <v>1201</v>
      </c>
      <c r="C1347" s="89" t="s">
        <v>2194</v>
      </c>
      <c r="D1347" s="89" t="s">
        <v>407</v>
      </c>
      <c r="E1347" s="89" t="s">
        <v>2195</v>
      </c>
      <c r="F1347" s="102" t="n">
        <v>2829</v>
      </c>
      <c r="G1347" s="102" t="n">
        <v>3763</v>
      </c>
      <c r="H1347" s="103" t="s">
        <v>48</v>
      </c>
      <c r="I1347" s="103">
        <f>IFERROR(VLOOKUP(A1347,#REF!,15,0),0)+IFERROR(VLOOKUP(A1347,#REF!,25,0),0)+IFERROR(VLOOKUP(A1347,#REF!,10,0),0)+IFERROR(VLOOKUP(A1347,#REF!,14,0),0)+IFERROR(VLOOKUP(A1347,#REF!,11,0),0)+IFERROR(VLOOKUP(A1347,#REF!,10,0),0)+IFERROR(VLOOKUP(A1347,#REF!,10,0),0)+IFERROR(VLOOKUP(A1347,#REF!,9,0),0)+IFERROR(VLOOKUP(A1347,#REF!,9,0),0)+IFERROR(VLOOKUP(A1347,#REF!,9,0),0)+IFERROR(VLOOKUP(A1347,#REF!,9,0),0)</f>
        <v>0</v>
      </c>
      <c r="J1347" s="104">
        <f>IFERROR(VLOOKUP(A1347,#REF!,16,0),0)+IFERROR(VLOOKUP(A1347,#REF!,26,0),0)+IFERROR(VLOOKUP(A1347,#REF!,11,0),0)+IFERROR(VLOOKUP(A1347,#REF!,23,0),0)+IFERROR(VLOOKUP(A1347,#REF!,11,0),0)+IFERROR(VLOOKUP(A1347,#REF!,11,0),0)+IFERROR(VLOOKUP(A1347,#REF!,11,0),0)</f>
        <v>0</v>
      </c>
      <c r="K1347" s="96" t="str">
        <f>"07.02.24"</f>
        <v>07.02.24</v>
      </c>
    </row>
    <row r="1348" spans="1:11" ht="11.25" customHeight="1" outlineLevel="1">
      <c r="A1348" s="89" t="n">
        <v>8077640</v>
      </c>
      <c r="B1348" s="114" t="s">
        <v>1201</v>
      </c>
      <c r="C1348" s="89" t="s">
        <v>2196</v>
      </c>
      <c r="D1348" s="89" t="s">
        <v>407</v>
      </c>
      <c r="E1348" s="89" t="s">
        <v>2197</v>
      </c>
      <c r="F1348" s="102" t="n">
        <v>2829</v>
      </c>
      <c r="G1348" s="102" t="n">
        <v>3763</v>
      </c>
      <c r="H1348" s="103" t="s">
        <v>48</v>
      </c>
      <c r="I1348" s="103">
        <f>IFERROR(VLOOKUP(A1348,#REF!,15,0),0)+IFERROR(VLOOKUP(A1348,#REF!,25,0),0)+IFERROR(VLOOKUP(A1348,#REF!,10,0),0)+IFERROR(VLOOKUP(A1348,#REF!,14,0),0)+IFERROR(VLOOKUP(A1348,#REF!,11,0),0)+IFERROR(VLOOKUP(A1348,#REF!,10,0),0)+IFERROR(VLOOKUP(A1348,#REF!,10,0),0)+IFERROR(VLOOKUP(A1348,#REF!,9,0),0)+IFERROR(VLOOKUP(A1348,#REF!,9,0),0)+IFERROR(VLOOKUP(A1348,#REF!,9,0),0)+IFERROR(VLOOKUP(A1348,#REF!,9,0),0)</f>
        <v>0</v>
      </c>
      <c r="J1348" s="104">
        <f>IFERROR(VLOOKUP(A1348,#REF!,16,0),0)+IFERROR(VLOOKUP(A1348,#REF!,26,0),0)+IFERROR(VLOOKUP(A1348,#REF!,11,0),0)+IFERROR(VLOOKUP(A1348,#REF!,23,0),0)+IFERROR(VLOOKUP(A1348,#REF!,11,0),0)+IFERROR(VLOOKUP(A1348,#REF!,11,0),0)+IFERROR(VLOOKUP(A1348,#REF!,11,0),0)</f>
        <v>0</v>
      </c>
      <c r="K1348" s="96" t="str">
        <f>"07.02.24"</f>
        <v>07.02.24</v>
      </c>
    </row>
    <row r="1349" spans="1:11" ht="11.25" customHeight="1" outlineLevel="1">
      <c r="A1349" s="89" t="n">
        <v>8077650</v>
      </c>
      <c r="B1349" s="114" t="s">
        <v>1201</v>
      </c>
      <c r="C1349" s="89" t="s">
        <v>2198</v>
      </c>
      <c r="D1349" s="89" t="s">
        <v>407</v>
      </c>
      <c r="E1349" s="89" t="s">
        <v>2199</v>
      </c>
      <c r="F1349" s="102" t="n">
        <v>2042</v>
      </c>
      <c r="G1349" s="102" t="n">
        <v>2717</v>
      </c>
      <c r="H1349" s="103" t="s">
        <v>48</v>
      </c>
      <c r="I1349" s="103">
        <f>IFERROR(VLOOKUP(A1349,#REF!,15,0),0)+IFERROR(VLOOKUP(A1349,#REF!,25,0),0)+IFERROR(VLOOKUP(A1349,#REF!,10,0),0)+IFERROR(VLOOKUP(A1349,#REF!,14,0),0)+IFERROR(VLOOKUP(A1349,#REF!,11,0),0)+IFERROR(VLOOKUP(A1349,#REF!,10,0),0)+IFERROR(VLOOKUP(A1349,#REF!,10,0),0)+IFERROR(VLOOKUP(A1349,#REF!,9,0),0)+IFERROR(VLOOKUP(A1349,#REF!,9,0),0)+IFERROR(VLOOKUP(A1349,#REF!,9,0),0)+IFERROR(VLOOKUP(A1349,#REF!,9,0),0)</f>
        <v>0</v>
      </c>
      <c r="J1349" s="104">
        <f>IFERROR(VLOOKUP(A1349,#REF!,16,0),0)+IFERROR(VLOOKUP(A1349,#REF!,26,0),0)+IFERROR(VLOOKUP(A1349,#REF!,11,0),0)+IFERROR(VLOOKUP(A1349,#REF!,23,0),0)+IFERROR(VLOOKUP(A1349,#REF!,11,0),0)+IFERROR(VLOOKUP(A1349,#REF!,11,0),0)+IFERROR(VLOOKUP(A1349,#REF!,11,0),0)</f>
        <v>0</v>
      </c>
      <c r="K1349" s="96" t="str">
        <f>"07.02.24"</f>
        <v>07.02.24</v>
      </c>
    </row>
    <row r="1350" spans="1:11" ht="11.25" customHeight="1" outlineLevel="1">
      <c r="A1350" s="89" t="n">
        <v>8077660</v>
      </c>
      <c r="B1350" s="114" t="s">
        <v>1201</v>
      </c>
      <c r="C1350" s="89" t="s">
        <v>2200</v>
      </c>
      <c r="D1350" s="89" t="s">
        <v>407</v>
      </c>
      <c r="E1350" s="89" t="s">
        <v>2201</v>
      </c>
      <c r="F1350" s="102" t="n">
        <v>2042</v>
      </c>
      <c r="G1350" s="102" t="n">
        <v>2717</v>
      </c>
      <c r="H1350" s="103" t="s">
        <v>48</v>
      </c>
      <c r="I1350" s="103">
        <f>IFERROR(VLOOKUP(A1350,#REF!,15,0),0)+IFERROR(VLOOKUP(A1350,#REF!,25,0),0)+IFERROR(VLOOKUP(A1350,#REF!,10,0),0)+IFERROR(VLOOKUP(A1350,#REF!,14,0),0)+IFERROR(VLOOKUP(A1350,#REF!,11,0),0)+IFERROR(VLOOKUP(A1350,#REF!,10,0),0)+IFERROR(VLOOKUP(A1350,#REF!,10,0),0)+IFERROR(VLOOKUP(A1350,#REF!,9,0),0)+IFERROR(VLOOKUP(A1350,#REF!,9,0),0)+IFERROR(VLOOKUP(A1350,#REF!,9,0),0)+IFERROR(VLOOKUP(A1350,#REF!,9,0),0)</f>
        <v>0</v>
      </c>
      <c r="J1350" s="104">
        <f>IFERROR(VLOOKUP(A1350,#REF!,16,0),0)+IFERROR(VLOOKUP(A1350,#REF!,26,0),0)+IFERROR(VLOOKUP(A1350,#REF!,11,0),0)+IFERROR(VLOOKUP(A1350,#REF!,23,0),0)+IFERROR(VLOOKUP(A1350,#REF!,11,0),0)+IFERROR(VLOOKUP(A1350,#REF!,11,0),0)+IFERROR(VLOOKUP(A1350,#REF!,11,0),0)</f>
        <v>0</v>
      </c>
      <c r="K1350" s="96" t="str">
        <f>"07.02.24"</f>
        <v>07.02.24</v>
      </c>
    </row>
    <row r="1351" spans="1:11" ht="11.25" customHeight="1" outlineLevel="1">
      <c r="A1351" s="89" t="n">
        <v>8077670</v>
      </c>
      <c r="B1351" s="114" t="s">
        <v>1201</v>
      </c>
      <c r="C1351" s="89" t="s">
        <v>2202</v>
      </c>
      <c r="D1351" s="89" t="s">
        <v>407</v>
      </c>
      <c r="E1351" s="89" t="s">
        <v>2203</v>
      </c>
      <c r="F1351" s="102" t="n">
        <v>2042</v>
      </c>
      <c r="G1351" s="102" t="n">
        <v>2717</v>
      </c>
      <c r="H1351" s="103" t="s">
        <v>48</v>
      </c>
      <c r="I1351" s="103">
        <f>IFERROR(VLOOKUP(A1351,#REF!,15,0),0)+IFERROR(VLOOKUP(A1351,#REF!,25,0),0)+IFERROR(VLOOKUP(A1351,#REF!,10,0),0)+IFERROR(VLOOKUP(A1351,#REF!,14,0),0)+IFERROR(VLOOKUP(A1351,#REF!,11,0),0)+IFERROR(VLOOKUP(A1351,#REF!,10,0),0)+IFERROR(VLOOKUP(A1351,#REF!,10,0),0)+IFERROR(VLOOKUP(A1351,#REF!,9,0),0)+IFERROR(VLOOKUP(A1351,#REF!,9,0),0)+IFERROR(VLOOKUP(A1351,#REF!,9,0),0)+IFERROR(VLOOKUP(A1351,#REF!,9,0),0)</f>
        <v>0</v>
      </c>
      <c r="J1351" s="104">
        <f>IFERROR(VLOOKUP(A1351,#REF!,16,0),0)+IFERROR(VLOOKUP(A1351,#REF!,26,0),0)+IFERROR(VLOOKUP(A1351,#REF!,11,0),0)+IFERROR(VLOOKUP(A1351,#REF!,23,0),0)+IFERROR(VLOOKUP(A1351,#REF!,11,0),0)+IFERROR(VLOOKUP(A1351,#REF!,11,0),0)+IFERROR(VLOOKUP(A1351,#REF!,11,0),0)</f>
        <v>0</v>
      </c>
      <c r="K1351" s="96" t="str">
        <f>"07.02.24"</f>
        <v>07.02.24</v>
      </c>
    </row>
    <row r="1352" spans="1:11" ht="21.75" customHeight="1" outlineLevel="1">
      <c r="A1352" s="89" t="n">
        <v>8077680</v>
      </c>
      <c r="B1352" s="114" t="s">
        <v>1201</v>
      </c>
      <c r="C1352" s="89" t="s">
        <v>2204</v>
      </c>
      <c r="D1352" s="89" t="s">
        <v>407</v>
      </c>
      <c r="E1352" s="89" t="s">
        <v>2205</v>
      </c>
      <c r="F1352" s="102" t="n">
        <v>2042</v>
      </c>
      <c r="G1352" s="102" t="n">
        <v>2717</v>
      </c>
      <c r="H1352" s="103" t="s">
        <v>48</v>
      </c>
      <c r="I1352" s="103">
        <f>IFERROR(VLOOKUP(A1352,#REF!,15,0),0)+IFERROR(VLOOKUP(A1352,#REF!,25,0),0)+IFERROR(VLOOKUP(A1352,#REF!,10,0),0)+IFERROR(VLOOKUP(A1352,#REF!,14,0),0)+IFERROR(VLOOKUP(A1352,#REF!,11,0),0)+IFERROR(VLOOKUP(A1352,#REF!,10,0),0)+IFERROR(VLOOKUP(A1352,#REF!,10,0),0)+IFERROR(VLOOKUP(A1352,#REF!,9,0),0)+IFERROR(VLOOKUP(A1352,#REF!,9,0),0)+IFERROR(VLOOKUP(A1352,#REF!,9,0),0)+IFERROR(VLOOKUP(A1352,#REF!,9,0),0)</f>
        <v>0</v>
      </c>
      <c r="J1352" s="104">
        <f>IFERROR(VLOOKUP(A1352,#REF!,16,0),0)+IFERROR(VLOOKUP(A1352,#REF!,26,0),0)+IFERROR(VLOOKUP(A1352,#REF!,11,0),0)+IFERROR(VLOOKUP(A1352,#REF!,23,0),0)+IFERROR(VLOOKUP(A1352,#REF!,11,0),0)+IFERROR(VLOOKUP(A1352,#REF!,11,0),0)+IFERROR(VLOOKUP(A1352,#REF!,11,0),0)</f>
        <v>0</v>
      </c>
      <c r="K1352" s="96" t="str">
        <f>"07.02.24"</f>
        <v>07.02.24</v>
      </c>
    </row>
    <row r="1353" spans="1:11" ht="21.75" customHeight="1" outlineLevel="1">
      <c r="A1353" s="89" t="n">
        <v>8077690</v>
      </c>
      <c r="B1353" s="114" t="s">
        <v>1201</v>
      </c>
      <c r="C1353" s="89" t="s">
        <v>2206</v>
      </c>
      <c r="D1353" s="89" t="s">
        <v>407</v>
      </c>
      <c r="E1353" s="89" t="s">
        <v>2207</v>
      </c>
      <c r="F1353" s="102" t="n">
        <v>2042</v>
      </c>
      <c r="G1353" s="102" t="n">
        <v>2717</v>
      </c>
      <c r="H1353" s="103" t="s">
        <v>48</v>
      </c>
      <c r="I1353" s="103">
        <f>IFERROR(VLOOKUP(A1353,#REF!,15,0),0)+IFERROR(VLOOKUP(A1353,#REF!,25,0),0)+IFERROR(VLOOKUP(A1353,#REF!,10,0),0)+IFERROR(VLOOKUP(A1353,#REF!,14,0),0)+IFERROR(VLOOKUP(A1353,#REF!,11,0),0)+IFERROR(VLOOKUP(A1353,#REF!,10,0),0)+IFERROR(VLOOKUP(A1353,#REF!,10,0),0)+IFERROR(VLOOKUP(A1353,#REF!,9,0),0)+IFERROR(VLOOKUP(A1353,#REF!,9,0),0)+IFERROR(VLOOKUP(A1353,#REF!,9,0),0)+IFERROR(VLOOKUP(A1353,#REF!,9,0),0)</f>
        <v>0</v>
      </c>
      <c r="J1353" s="104">
        <f>IFERROR(VLOOKUP(A1353,#REF!,16,0),0)+IFERROR(VLOOKUP(A1353,#REF!,26,0),0)+IFERROR(VLOOKUP(A1353,#REF!,11,0),0)+IFERROR(VLOOKUP(A1353,#REF!,23,0),0)+IFERROR(VLOOKUP(A1353,#REF!,11,0),0)+IFERROR(VLOOKUP(A1353,#REF!,11,0),0)+IFERROR(VLOOKUP(A1353,#REF!,11,0),0)</f>
        <v>0</v>
      </c>
      <c r="K1353" s="96" t="str">
        <f>"07.02.24"</f>
        <v>07.02.24</v>
      </c>
    </row>
    <row r="1354" spans="1:11" ht="11.25" customHeight="1" outlineLevel="1">
      <c r="A1354" s="89" t="n">
        <v>8077700</v>
      </c>
      <c r="B1354" s="114" t="s">
        <v>1201</v>
      </c>
      <c r="C1354" s="89" t="s">
        <v>2208</v>
      </c>
      <c r="D1354" s="89" t="s">
        <v>407</v>
      </c>
      <c r="E1354" s="89" t="s">
        <v>2209</v>
      </c>
      <c r="F1354" s="102" t="n">
        <v>2188</v>
      </c>
      <c r="G1354" s="102" t="n">
        <v>2906</v>
      </c>
      <c r="H1354" s="103" t="s">
        <v>48</v>
      </c>
      <c r="I1354" s="103">
        <f>IFERROR(VLOOKUP(A1354,#REF!,15,0),0)+IFERROR(VLOOKUP(A1354,#REF!,25,0),0)+IFERROR(VLOOKUP(A1354,#REF!,10,0),0)+IFERROR(VLOOKUP(A1354,#REF!,14,0),0)+IFERROR(VLOOKUP(A1354,#REF!,11,0),0)+IFERROR(VLOOKUP(A1354,#REF!,10,0),0)+IFERROR(VLOOKUP(A1354,#REF!,10,0),0)+IFERROR(VLOOKUP(A1354,#REF!,9,0),0)+IFERROR(VLOOKUP(A1354,#REF!,9,0),0)+IFERROR(VLOOKUP(A1354,#REF!,9,0),0)+IFERROR(VLOOKUP(A1354,#REF!,9,0),0)</f>
        <v>0</v>
      </c>
      <c r="J1354" s="104">
        <f>IFERROR(VLOOKUP(A1354,#REF!,16,0),0)+IFERROR(VLOOKUP(A1354,#REF!,26,0),0)+IFERROR(VLOOKUP(A1354,#REF!,11,0),0)+IFERROR(VLOOKUP(A1354,#REF!,23,0),0)+IFERROR(VLOOKUP(A1354,#REF!,11,0),0)+IFERROR(VLOOKUP(A1354,#REF!,11,0),0)+IFERROR(VLOOKUP(A1354,#REF!,11,0),0)</f>
        <v>0</v>
      </c>
      <c r="K1354" s="96" t="str">
        <f>"07.02.24"</f>
        <v>07.02.24</v>
      </c>
    </row>
    <row r="1355" spans="1:11" ht="21.75" customHeight="1" outlineLevel="1">
      <c r="A1355" s="89" t="n">
        <v>8077710</v>
      </c>
      <c r="B1355" s="114" t="s">
        <v>1201</v>
      </c>
      <c r="C1355" s="89" t="s">
        <v>2210</v>
      </c>
      <c r="D1355" s="89" t="s">
        <v>407</v>
      </c>
      <c r="E1355" s="89" t="s">
        <v>2211</v>
      </c>
      <c r="F1355" s="102" t="n">
        <v>2188</v>
      </c>
      <c r="G1355" s="102" t="n">
        <v>2906</v>
      </c>
      <c r="H1355" s="103" t="s">
        <v>17</v>
      </c>
      <c r="I1355" s="103">
        <f>IFERROR(VLOOKUP(A1355,#REF!,15,0),0)+IFERROR(VLOOKUP(A1355,#REF!,25,0),0)+IFERROR(VLOOKUP(A1355,#REF!,10,0),0)+IFERROR(VLOOKUP(A1355,#REF!,14,0),0)+IFERROR(VLOOKUP(A1355,#REF!,11,0),0)+IFERROR(VLOOKUP(A1355,#REF!,10,0),0)+IFERROR(VLOOKUP(A1355,#REF!,10,0),0)+IFERROR(VLOOKUP(A1355,#REF!,9,0),0)+IFERROR(VLOOKUP(A1355,#REF!,9,0),0)+IFERROR(VLOOKUP(A1355,#REF!,9,0),0)+IFERROR(VLOOKUP(A1355,#REF!,9,0),0)</f>
        <v>0</v>
      </c>
      <c r="J1355" s="104">
        <f>IFERROR(VLOOKUP(A1355,#REF!,16,0),0)+IFERROR(VLOOKUP(A1355,#REF!,26,0),0)+IFERROR(VLOOKUP(A1355,#REF!,11,0),0)+IFERROR(VLOOKUP(A1355,#REF!,23,0),0)+IFERROR(VLOOKUP(A1355,#REF!,11,0),0)+IFERROR(VLOOKUP(A1355,#REF!,11,0),0)+IFERROR(VLOOKUP(A1355,#REF!,11,0),0)</f>
        <v>0</v>
      </c>
      <c r="K1355" s="96" t="str">
        <f>"07.02.24"</f>
        <v>07.02.24</v>
      </c>
    </row>
    <row r="1356" spans="1:11" ht="21.75" customHeight="1" outlineLevel="1">
      <c r="A1356" s="89" t="n">
        <v>8077720</v>
      </c>
      <c r="B1356" s="114" t="s">
        <v>1201</v>
      </c>
      <c r="C1356" s="89" t="s">
        <v>2212</v>
      </c>
      <c r="D1356" s="89" t="s">
        <v>407</v>
      </c>
      <c r="E1356" s="89" t="s">
        <v>2213</v>
      </c>
      <c r="F1356" s="102" t="n">
        <v>2188</v>
      </c>
      <c r="G1356" s="102" t="n">
        <v>2906</v>
      </c>
      <c r="H1356" s="103" t="s">
        <v>48</v>
      </c>
      <c r="I1356" s="103">
        <f>IFERROR(VLOOKUP(A1356,#REF!,15,0),0)+IFERROR(VLOOKUP(A1356,#REF!,25,0),0)+IFERROR(VLOOKUP(A1356,#REF!,10,0),0)+IFERROR(VLOOKUP(A1356,#REF!,14,0),0)+IFERROR(VLOOKUP(A1356,#REF!,11,0),0)+IFERROR(VLOOKUP(A1356,#REF!,10,0),0)+IFERROR(VLOOKUP(A1356,#REF!,10,0),0)+IFERROR(VLOOKUP(A1356,#REF!,9,0),0)+IFERROR(VLOOKUP(A1356,#REF!,9,0),0)+IFERROR(VLOOKUP(A1356,#REF!,9,0),0)+IFERROR(VLOOKUP(A1356,#REF!,9,0),0)</f>
        <v>0</v>
      </c>
      <c r="J1356" s="104">
        <f>IFERROR(VLOOKUP(A1356,#REF!,16,0),0)+IFERROR(VLOOKUP(A1356,#REF!,26,0),0)+IFERROR(VLOOKUP(A1356,#REF!,11,0),0)+IFERROR(VLOOKUP(A1356,#REF!,23,0),0)+IFERROR(VLOOKUP(A1356,#REF!,11,0),0)+IFERROR(VLOOKUP(A1356,#REF!,11,0),0)+IFERROR(VLOOKUP(A1356,#REF!,11,0),0)</f>
        <v>0</v>
      </c>
      <c r="K1356" s="96" t="str">
        <f>"07.02.24"</f>
        <v>07.02.24</v>
      </c>
    </row>
    <row r="1357" spans="1:11" ht="21.75" customHeight="1" outlineLevel="1">
      <c r="A1357" s="89" t="n">
        <v>8077730</v>
      </c>
      <c r="B1357" s="114" t="s">
        <v>1201</v>
      </c>
      <c r="C1357" s="89" t="s">
        <v>2214</v>
      </c>
      <c r="D1357" s="89" t="s">
        <v>407</v>
      </c>
      <c r="E1357" s="89" t="s">
        <v>2215</v>
      </c>
      <c r="F1357" s="102" t="n">
        <v>2044</v>
      </c>
      <c r="G1357" s="102" t="n">
        <v>2717</v>
      </c>
      <c r="H1357" s="103" t="s">
        <v>17</v>
      </c>
      <c r="I1357" s="103">
        <f>IFERROR(VLOOKUP(A1357,#REF!,15,0),0)+IFERROR(VLOOKUP(A1357,#REF!,25,0),0)+IFERROR(VLOOKUP(A1357,#REF!,10,0),0)+IFERROR(VLOOKUP(A1357,#REF!,14,0),0)+IFERROR(VLOOKUP(A1357,#REF!,11,0),0)+IFERROR(VLOOKUP(A1357,#REF!,10,0),0)+IFERROR(VLOOKUP(A1357,#REF!,10,0),0)+IFERROR(VLOOKUP(A1357,#REF!,9,0),0)+IFERROR(VLOOKUP(A1357,#REF!,9,0),0)+IFERROR(VLOOKUP(A1357,#REF!,9,0),0)+IFERROR(VLOOKUP(A1357,#REF!,9,0),0)</f>
        <v>0</v>
      </c>
      <c r="J1357" s="104">
        <f>IFERROR(VLOOKUP(A1357,#REF!,16,0),0)+IFERROR(VLOOKUP(A1357,#REF!,26,0),0)+IFERROR(VLOOKUP(A1357,#REF!,11,0),0)+IFERROR(VLOOKUP(A1357,#REF!,23,0),0)+IFERROR(VLOOKUP(A1357,#REF!,11,0),0)+IFERROR(VLOOKUP(A1357,#REF!,11,0),0)+IFERROR(VLOOKUP(A1357,#REF!,11,0),0)</f>
        <v>0</v>
      </c>
      <c r="K1357" s="96" t="str">
        <f>"07.02.24"</f>
        <v>07.02.24</v>
      </c>
    </row>
    <row r="1358" spans="1:11" ht="11.25" customHeight="1" outlineLevel="1">
      <c r="A1358" s="89" t="n">
        <v>8077740</v>
      </c>
      <c r="B1358" s="114" t="s">
        <v>1201</v>
      </c>
      <c r="C1358" s="89" t="s">
        <v>2216</v>
      </c>
      <c r="D1358" s="89" t="s">
        <v>407</v>
      </c>
      <c r="E1358" s="89" t="s">
        <v>2217</v>
      </c>
      <c r="F1358" s="102" t="n">
        <v>2188</v>
      </c>
      <c r="G1358" s="102" t="n">
        <v>2906</v>
      </c>
      <c r="H1358" s="103" t="s">
        <v>48</v>
      </c>
      <c r="I1358" s="103">
        <f>IFERROR(VLOOKUP(A1358,#REF!,15,0),0)+IFERROR(VLOOKUP(A1358,#REF!,25,0),0)+IFERROR(VLOOKUP(A1358,#REF!,10,0),0)+IFERROR(VLOOKUP(A1358,#REF!,14,0),0)+IFERROR(VLOOKUP(A1358,#REF!,11,0),0)+IFERROR(VLOOKUP(A1358,#REF!,10,0),0)+IFERROR(VLOOKUP(A1358,#REF!,10,0),0)+IFERROR(VLOOKUP(A1358,#REF!,9,0),0)+IFERROR(VLOOKUP(A1358,#REF!,9,0),0)+IFERROR(VLOOKUP(A1358,#REF!,9,0),0)+IFERROR(VLOOKUP(A1358,#REF!,9,0),0)</f>
        <v>0</v>
      </c>
      <c r="J1358" s="104">
        <f>IFERROR(VLOOKUP(A1358,#REF!,16,0),0)+IFERROR(VLOOKUP(A1358,#REF!,26,0),0)+IFERROR(VLOOKUP(A1358,#REF!,11,0),0)+IFERROR(VLOOKUP(A1358,#REF!,23,0),0)+IFERROR(VLOOKUP(A1358,#REF!,11,0),0)+IFERROR(VLOOKUP(A1358,#REF!,11,0),0)+IFERROR(VLOOKUP(A1358,#REF!,11,0),0)</f>
        <v>0</v>
      </c>
      <c r="K1358" s="96" t="str">
        <f>"07.02.24"</f>
        <v>07.02.24</v>
      </c>
    </row>
    <row r="1359" spans="1:11" ht="21.75" customHeight="1" outlineLevel="1">
      <c r="A1359" s="89" t="n">
        <v>8089940</v>
      </c>
      <c r="B1359" s="114" t="s">
        <v>1201</v>
      </c>
      <c r="C1359" s="89" t="s">
        <v>2218</v>
      </c>
      <c r="D1359" s="89" t="s">
        <v>15</v>
      </c>
      <c r="E1359" s="89" t="s">
        <v>2219</v>
      </c>
      <c r="F1359" s="102" t="n">
        <v>552</v>
      </c>
      <c r="G1359" s="102" t="n">
        <v>731</v>
      </c>
      <c r="H1359" s="103" t="s">
        <v>48</v>
      </c>
      <c r="I1359" s="103">
        <f>IFERROR(VLOOKUP(A1359,#REF!,15,0),0)+IFERROR(VLOOKUP(A1359,#REF!,25,0),0)+IFERROR(VLOOKUP(A1359,#REF!,10,0),0)+IFERROR(VLOOKUP(A1359,#REF!,14,0),0)+IFERROR(VLOOKUP(A1359,#REF!,11,0),0)+IFERROR(VLOOKUP(A1359,#REF!,10,0),0)+IFERROR(VLOOKUP(A1359,#REF!,10,0),0)+IFERROR(VLOOKUP(A1359,#REF!,9,0),0)+IFERROR(VLOOKUP(A1359,#REF!,9,0),0)+IFERROR(VLOOKUP(A1359,#REF!,9,0),0)+IFERROR(VLOOKUP(A1359,#REF!,9,0),0)</f>
        <v>0</v>
      </c>
      <c r="J1359" s="104">
        <f>IFERROR(VLOOKUP(A1359,#REF!,16,0),0)+IFERROR(VLOOKUP(A1359,#REF!,26,0),0)+IFERROR(VLOOKUP(A1359,#REF!,11,0),0)+IFERROR(VLOOKUP(A1359,#REF!,23,0),0)+IFERROR(VLOOKUP(A1359,#REF!,11,0),0)+IFERROR(VLOOKUP(A1359,#REF!,11,0),0)+IFERROR(VLOOKUP(A1359,#REF!,11,0),0)</f>
        <v>0</v>
      </c>
      <c r="K1359" s="96" t="str">
        <f>"07.02.24"</f>
        <v>07.02.24</v>
      </c>
    </row>
    <row r="1360" spans="1:11" ht="11.25" customHeight="1" outlineLevel="1">
      <c r="A1360" s="89" t="n">
        <v>8089950</v>
      </c>
      <c r="B1360" s="114" t="s">
        <v>1201</v>
      </c>
      <c r="C1360" s="89" t="s">
        <v>2220</v>
      </c>
      <c r="D1360" s="89" t="s">
        <v>15</v>
      </c>
      <c r="E1360" s="89" t="s">
        <v>2221</v>
      </c>
      <c r="F1360" s="102" t="n">
        <v>552</v>
      </c>
      <c r="G1360" s="102" t="n">
        <v>731</v>
      </c>
      <c r="H1360" s="103" t="s">
        <v>48</v>
      </c>
      <c r="I1360" s="103">
        <f>IFERROR(VLOOKUP(A1360,#REF!,15,0),0)+IFERROR(VLOOKUP(A1360,#REF!,25,0),0)+IFERROR(VLOOKUP(A1360,#REF!,10,0),0)+IFERROR(VLOOKUP(A1360,#REF!,14,0),0)+IFERROR(VLOOKUP(A1360,#REF!,11,0),0)+IFERROR(VLOOKUP(A1360,#REF!,10,0),0)+IFERROR(VLOOKUP(A1360,#REF!,10,0),0)+IFERROR(VLOOKUP(A1360,#REF!,9,0),0)+IFERROR(VLOOKUP(A1360,#REF!,9,0),0)+IFERROR(VLOOKUP(A1360,#REF!,9,0),0)+IFERROR(VLOOKUP(A1360,#REF!,9,0),0)</f>
        <v>0</v>
      </c>
      <c r="J1360" s="104">
        <f>IFERROR(VLOOKUP(A1360,#REF!,16,0),0)+IFERROR(VLOOKUP(A1360,#REF!,26,0),0)+IFERROR(VLOOKUP(A1360,#REF!,11,0),0)+IFERROR(VLOOKUP(A1360,#REF!,23,0),0)+IFERROR(VLOOKUP(A1360,#REF!,11,0),0)+IFERROR(VLOOKUP(A1360,#REF!,11,0),0)+IFERROR(VLOOKUP(A1360,#REF!,11,0),0)</f>
        <v>0</v>
      </c>
      <c r="K1360" s="96" t="str">
        <f>"07.02.24"</f>
        <v>07.02.24</v>
      </c>
    </row>
    <row r="1361" spans="1:11" ht="11.25" customHeight="1" outlineLevel="1">
      <c r="A1361" s="89" t="n">
        <v>8089960</v>
      </c>
      <c r="B1361" s="114" t="s">
        <v>1201</v>
      </c>
      <c r="C1361" s="89" t="s">
        <v>2222</v>
      </c>
      <c r="D1361" s="89" t="s">
        <v>15</v>
      </c>
      <c r="E1361" s="89" t="s">
        <v>2223</v>
      </c>
      <c r="F1361" s="102" t="n">
        <v>1118</v>
      </c>
      <c r="G1361" s="102" t="n">
        <v>1485</v>
      </c>
      <c r="H1361" s="103" t="s">
        <v>17</v>
      </c>
      <c r="I1361" s="103">
        <f>IFERROR(VLOOKUP(A1361,#REF!,15,0),0)+IFERROR(VLOOKUP(A1361,#REF!,25,0),0)+IFERROR(VLOOKUP(A1361,#REF!,10,0),0)+IFERROR(VLOOKUP(A1361,#REF!,14,0),0)+IFERROR(VLOOKUP(A1361,#REF!,11,0),0)+IFERROR(VLOOKUP(A1361,#REF!,10,0),0)+IFERROR(VLOOKUP(A1361,#REF!,10,0),0)+IFERROR(VLOOKUP(A1361,#REF!,9,0),0)+IFERROR(VLOOKUP(A1361,#REF!,9,0),0)+IFERROR(VLOOKUP(A1361,#REF!,9,0),0)+IFERROR(VLOOKUP(A1361,#REF!,9,0),0)</f>
        <v>0</v>
      </c>
      <c r="J1361" s="104">
        <f>IFERROR(VLOOKUP(A1361,#REF!,16,0),0)+IFERROR(VLOOKUP(A1361,#REF!,26,0),0)+IFERROR(VLOOKUP(A1361,#REF!,11,0),0)+IFERROR(VLOOKUP(A1361,#REF!,23,0),0)+IFERROR(VLOOKUP(A1361,#REF!,11,0),0)+IFERROR(VLOOKUP(A1361,#REF!,11,0),0)+IFERROR(VLOOKUP(A1361,#REF!,11,0),0)</f>
        <v>0</v>
      </c>
      <c r="K1361" s="96" t="str">
        <f>"07.02.24"</f>
        <v>07.02.24</v>
      </c>
    </row>
    <row r="1362" spans="1:11" ht="21.75" customHeight="1" outlineLevel="1">
      <c r="A1362" s="89" t="n">
        <v>8089970</v>
      </c>
      <c r="B1362" s="114" t="s">
        <v>1201</v>
      </c>
      <c r="C1362" s="89" t="s">
        <v>2224</v>
      </c>
      <c r="D1362" s="89" t="s">
        <v>15</v>
      </c>
      <c r="E1362" s="89" t="s">
        <v>2225</v>
      </c>
      <c r="F1362" s="102" t="n">
        <v>1374</v>
      </c>
      <c r="G1362" s="102" t="n">
        <v>1825</v>
      </c>
      <c r="H1362" s="103" t="s">
        <v>48</v>
      </c>
      <c r="I1362" s="103">
        <f>IFERROR(VLOOKUP(A1362,#REF!,15,0),0)+IFERROR(VLOOKUP(A1362,#REF!,25,0),0)+IFERROR(VLOOKUP(A1362,#REF!,10,0),0)+IFERROR(VLOOKUP(A1362,#REF!,14,0),0)+IFERROR(VLOOKUP(A1362,#REF!,11,0),0)+IFERROR(VLOOKUP(A1362,#REF!,10,0),0)+IFERROR(VLOOKUP(A1362,#REF!,10,0),0)+IFERROR(VLOOKUP(A1362,#REF!,9,0),0)+IFERROR(VLOOKUP(A1362,#REF!,9,0),0)+IFERROR(VLOOKUP(A1362,#REF!,9,0),0)+IFERROR(VLOOKUP(A1362,#REF!,9,0),0)</f>
        <v>0</v>
      </c>
      <c r="J1362" s="104">
        <f>IFERROR(VLOOKUP(A1362,#REF!,16,0),0)+IFERROR(VLOOKUP(A1362,#REF!,26,0),0)+IFERROR(VLOOKUP(A1362,#REF!,11,0),0)+IFERROR(VLOOKUP(A1362,#REF!,23,0),0)+IFERROR(VLOOKUP(A1362,#REF!,11,0),0)+IFERROR(VLOOKUP(A1362,#REF!,11,0),0)+IFERROR(VLOOKUP(A1362,#REF!,11,0),0)</f>
        <v>0</v>
      </c>
      <c r="K1362" s="96" t="str">
        <f>"07.02.24"</f>
        <v>07.02.24</v>
      </c>
    </row>
    <row r="1363" spans="1:11" ht="21.75" customHeight="1" outlineLevel="1">
      <c r="A1363" s="89" t="n">
        <v>8089980</v>
      </c>
      <c r="B1363" s="114" t="s">
        <v>1201</v>
      </c>
      <c r="C1363" s="89" t="s">
        <v>2226</v>
      </c>
      <c r="D1363" s="89" t="s">
        <v>15</v>
      </c>
      <c r="E1363" s="89" t="s">
        <v>2227</v>
      </c>
      <c r="F1363" s="102" t="n">
        <v>2616</v>
      </c>
      <c r="G1363" s="102" t="n">
        <v>3474</v>
      </c>
      <c r="H1363" s="103" t="s">
        <v>48</v>
      </c>
      <c r="I1363" s="103">
        <f>IFERROR(VLOOKUP(A1363,#REF!,15,0),0)+IFERROR(VLOOKUP(A1363,#REF!,25,0),0)+IFERROR(VLOOKUP(A1363,#REF!,10,0),0)+IFERROR(VLOOKUP(A1363,#REF!,14,0),0)+IFERROR(VLOOKUP(A1363,#REF!,11,0),0)+IFERROR(VLOOKUP(A1363,#REF!,10,0),0)+IFERROR(VLOOKUP(A1363,#REF!,10,0),0)+IFERROR(VLOOKUP(A1363,#REF!,9,0),0)+IFERROR(VLOOKUP(A1363,#REF!,9,0),0)+IFERROR(VLOOKUP(A1363,#REF!,9,0),0)+IFERROR(VLOOKUP(A1363,#REF!,9,0),0)</f>
        <v>0</v>
      </c>
      <c r="J1363" s="104">
        <f>IFERROR(VLOOKUP(A1363,#REF!,16,0),0)+IFERROR(VLOOKUP(A1363,#REF!,26,0),0)+IFERROR(VLOOKUP(A1363,#REF!,11,0),0)+IFERROR(VLOOKUP(A1363,#REF!,23,0),0)+IFERROR(VLOOKUP(A1363,#REF!,11,0),0)+IFERROR(VLOOKUP(A1363,#REF!,11,0),0)+IFERROR(VLOOKUP(A1363,#REF!,11,0),0)</f>
        <v>0</v>
      </c>
      <c r="K1363" s="96" t="str">
        <f>"07.02.24"</f>
        <v>07.02.24</v>
      </c>
    </row>
    <row r="1364" spans="1:11" ht="21.75" customHeight="1" outlineLevel="1">
      <c r="A1364" s="89" t="n">
        <v>8089990</v>
      </c>
      <c r="B1364" s="114" t="s">
        <v>1201</v>
      </c>
      <c r="C1364" s="89" t="s">
        <v>2228</v>
      </c>
      <c r="D1364" s="89" t="s">
        <v>15</v>
      </c>
      <c r="E1364" s="89" t="s">
        <v>2229</v>
      </c>
      <c r="F1364" s="102" t="n">
        <v>3390</v>
      </c>
      <c r="G1364" s="102" t="n">
        <v>4504</v>
      </c>
      <c r="H1364" s="103" t="s">
        <v>48</v>
      </c>
      <c r="I1364" s="103">
        <f>IFERROR(VLOOKUP(A1364,#REF!,15,0),0)+IFERROR(VLOOKUP(A1364,#REF!,25,0),0)+IFERROR(VLOOKUP(A1364,#REF!,10,0),0)+IFERROR(VLOOKUP(A1364,#REF!,14,0),0)+IFERROR(VLOOKUP(A1364,#REF!,11,0),0)+IFERROR(VLOOKUP(A1364,#REF!,10,0),0)+IFERROR(VLOOKUP(A1364,#REF!,10,0),0)+IFERROR(VLOOKUP(A1364,#REF!,9,0),0)+IFERROR(VLOOKUP(A1364,#REF!,9,0),0)+IFERROR(VLOOKUP(A1364,#REF!,9,0),0)+IFERROR(VLOOKUP(A1364,#REF!,9,0),0)</f>
        <v>0</v>
      </c>
      <c r="J1364" s="104">
        <f>IFERROR(VLOOKUP(A1364,#REF!,16,0),0)+IFERROR(VLOOKUP(A1364,#REF!,26,0),0)+IFERROR(VLOOKUP(A1364,#REF!,11,0),0)+IFERROR(VLOOKUP(A1364,#REF!,23,0),0)+IFERROR(VLOOKUP(A1364,#REF!,11,0),0)+IFERROR(VLOOKUP(A1364,#REF!,11,0),0)+IFERROR(VLOOKUP(A1364,#REF!,11,0),0)</f>
        <v>0</v>
      </c>
      <c r="K1364" s="96" t="str">
        <f>"07.02.24"</f>
        <v>07.02.24</v>
      </c>
    </row>
    <row r="1365" spans="1:11" ht="21.75" customHeight="1" outlineLevel="1">
      <c r="A1365" s="89" t="n">
        <v>8090000</v>
      </c>
      <c r="B1365" s="114" t="s">
        <v>1201</v>
      </c>
      <c r="C1365" s="89" t="s">
        <v>2230</v>
      </c>
      <c r="D1365" s="89" t="s">
        <v>15</v>
      </c>
      <c r="E1365" s="89" t="s">
        <v>2231</v>
      </c>
      <c r="F1365" s="102" t="n">
        <v>552</v>
      </c>
      <c r="G1365" s="102" t="n">
        <v>731</v>
      </c>
      <c r="H1365" s="103" t="s">
        <v>48</v>
      </c>
      <c r="I1365" s="103">
        <f>IFERROR(VLOOKUP(A1365,#REF!,15,0),0)+IFERROR(VLOOKUP(A1365,#REF!,25,0),0)+IFERROR(VLOOKUP(A1365,#REF!,10,0),0)+IFERROR(VLOOKUP(A1365,#REF!,14,0),0)+IFERROR(VLOOKUP(A1365,#REF!,11,0),0)+IFERROR(VLOOKUP(A1365,#REF!,10,0),0)+IFERROR(VLOOKUP(A1365,#REF!,10,0),0)+IFERROR(VLOOKUP(A1365,#REF!,9,0),0)+IFERROR(VLOOKUP(A1365,#REF!,9,0),0)+IFERROR(VLOOKUP(A1365,#REF!,9,0),0)+IFERROR(VLOOKUP(A1365,#REF!,9,0),0)</f>
        <v>0</v>
      </c>
      <c r="J1365" s="104">
        <f>IFERROR(VLOOKUP(A1365,#REF!,16,0),0)+IFERROR(VLOOKUP(A1365,#REF!,26,0),0)+IFERROR(VLOOKUP(A1365,#REF!,11,0),0)+IFERROR(VLOOKUP(A1365,#REF!,23,0),0)+IFERROR(VLOOKUP(A1365,#REF!,11,0),0)+IFERROR(VLOOKUP(A1365,#REF!,11,0),0)+IFERROR(VLOOKUP(A1365,#REF!,11,0),0)</f>
        <v>0</v>
      </c>
      <c r="K1365" s="96" t="str">
        <f>"07.02.24"</f>
        <v>07.02.24</v>
      </c>
    </row>
    <row r="1366" spans="1:11" ht="11.25" customHeight="1" outlineLevel="1">
      <c r="A1366" s="89" t="n">
        <v>8090010</v>
      </c>
      <c r="B1366" s="114" t="s">
        <v>1201</v>
      </c>
      <c r="C1366" s="89" t="s">
        <v>2232</v>
      </c>
      <c r="D1366" s="89" t="s">
        <v>15</v>
      </c>
      <c r="E1366" s="89" t="s">
        <v>2233</v>
      </c>
      <c r="F1366" s="102" t="n">
        <v>962</v>
      </c>
      <c r="G1366" s="102" t="n">
        <v>1278</v>
      </c>
      <c r="H1366" s="103" t="s">
        <v>48</v>
      </c>
      <c r="I1366" s="103">
        <f>IFERROR(VLOOKUP(A1366,#REF!,15,0),0)+IFERROR(VLOOKUP(A1366,#REF!,25,0),0)+IFERROR(VLOOKUP(A1366,#REF!,10,0),0)+IFERROR(VLOOKUP(A1366,#REF!,14,0),0)+IFERROR(VLOOKUP(A1366,#REF!,11,0),0)+IFERROR(VLOOKUP(A1366,#REF!,10,0),0)+IFERROR(VLOOKUP(A1366,#REF!,10,0),0)+IFERROR(VLOOKUP(A1366,#REF!,9,0),0)+IFERROR(VLOOKUP(A1366,#REF!,9,0),0)+IFERROR(VLOOKUP(A1366,#REF!,9,0),0)+IFERROR(VLOOKUP(A1366,#REF!,9,0),0)</f>
        <v>0</v>
      </c>
      <c r="J1366" s="104">
        <f>IFERROR(VLOOKUP(A1366,#REF!,16,0),0)+IFERROR(VLOOKUP(A1366,#REF!,26,0),0)+IFERROR(VLOOKUP(A1366,#REF!,11,0),0)+IFERROR(VLOOKUP(A1366,#REF!,23,0),0)+IFERROR(VLOOKUP(A1366,#REF!,11,0),0)+IFERROR(VLOOKUP(A1366,#REF!,11,0),0)+IFERROR(VLOOKUP(A1366,#REF!,11,0),0)</f>
        <v>0</v>
      </c>
      <c r="K1366" s="96" t="str">
        <f>"07.02.24"</f>
        <v>07.02.24</v>
      </c>
    </row>
    <row r="1367" spans="1:11" ht="11.25" customHeight="1" outlineLevel="1">
      <c r="A1367" s="89" t="n">
        <v>8090020</v>
      </c>
      <c r="B1367" s="114" t="s">
        <v>1201</v>
      </c>
      <c r="C1367" s="89" t="s">
        <v>2234</v>
      </c>
      <c r="D1367" s="89" t="s">
        <v>15</v>
      </c>
      <c r="E1367" s="89" t="s">
        <v>2235</v>
      </c>
      <c r="F1367" s="102" t="n">
        <v>1063</v>
      </c>
      <c r="G1367" s="102" t="n">
        <v>1414</v>
      </c>
      <c r="H1367" s="103" t="s">
        <v>48</v>
      </c>
      <c r="I1367" s="103">
        <f>IFERROR(VLOOKUP(A1367,#REF!,15,0),0)+IFERROR(VLOOKUP(A1367,#REF!,25,0),0)+IFERROR(VLOOKUP(A1367,#REF!,10,0),0)+IFERROR(VLOOKUP(A1367,#REF!,14,0),0)+IFERROR(VLOOKUP(A1367,#REF!,11,0),0)+IFERROR(VLOOKUP(A1367,#REF!,10,0),0)+IFERROR(VLOOKUP(A1367,#REF!,10,0),0)+IFERROR(VLOOKUP(A1367,#REF!,9,0),0)+IFERROR(VLOOKUP(A1367,#REF!,9,0),0)+IFERROR(VLOOKUP(A1367,#REF!,9,0),0)+IFERROR(VLOOKUP(A1367,#REF!,9,0),0)</f>
        <v>0</v>
      </c>
      <c r="J1367" s="104">
        <f>IFERROR(VLOOKUP(A1367,#REF!,16,0),0)+IFERROR(VLOOKUP(A1367,#REF!,26,0),0)+IFERROR(VLOOKUP(A1367,#REF!,11,0),0)+IFERROR(VLOOKUP(A1367,#REF!,23,0),0)+IFERROR(VLOOKUP(A1367,#REF!,11,0),0)+IFERROR(VLOOKUP(A1367,#REF!,11,0),0)+IFERROR(VLOOKUP(A1367,#REF!,11,0),0)</f>
        <v>0</v>
      </c>
      <c r="K1367" s="96" t="str">
        <f>"07.02.24"</f>
        <v>07.02.24</v>
      </c>
    </row>
    <row r="1368" spans="1:11" ht="21.75" customHeight="1" outlineLevel="1">
      <c r="A1368" s="89" t="n">
        <v>8090030</v>
      </c>
      <c r="B1368" s="114" t="s">
        <v>1201</v>
      </c>
      <c r="C1368" s="89" t="s">
        <v>2236</v>
      </c>
      <c r="D1368" s="89" t="s">
        <v>15</v>
      </c>
      <c r="E1368" s="89" t="s">
        <v>2237</v>
      </c>
      <c r="F1368" s="102" t="n">
        <v>1118</v>
      </c>
      <c r="G1368" s="102" t="n">
        <v>1485</v>
      </c>
      <c r="H1368" s="103" t="s">
        <v>48</v>
      </c>
      <c r="I1368" s="103">
        <f>IFERROR(VLOOKUP(A1368,#REF!,15,0),0)+IFERROR(VLOOKUP(A1368,#REF!,25,0),0)+IFERROR(VLOOKUP(A1368,#REF!,10,0),0)+IFERROR(VLOOKUP(A1368,#REF!,14,0),0)+IFERROR(VLOOKUP(A1368,#REF!,11,0),0)+IFERROR(VLOOKUP(A1368,#REF!,10,0),0)+IFERROR(VLOOKUP(A1368,#REF!,10,0),0)+IFERROR(VLOOKUP(A1368,#REF!,9,0),0)+IFERROR(VLOOKUP(A1368,#REF!,9,0),0)+IFERROR(VLOOKUP(A1368,#REF!,9,0),0)+IFERROR(VLOOKUP(A1368,#REF!,9,0),0)</f>
        <v>0</v>
      </c>
      <c r="J1368" s="104">
        <f>IFERROR(VLOOKUP(A1368,#REF!,16,0),0)+IFERROR(VLOOKUP(A1368,#REF!,26,0),0)+IFERROR(VLOOKUP(A1368,#REF!,11,0),0)+IFERROR(VLOOKUP(A1368,#REF!,23,0),0)+IFERROR(VLOOKUP(A1368,#REF!,11,0),0)+IFERROR(VLOOKUP(A1368,#REF!,11,0),0)+IFERROR(VLOOKUP(A1368,#REF!,11,0),0)</f>
        <v>0</v>
      </c>
      <c r="K1368" s="96" t="str">
        <f>"07.02.24"</f>
        <v>07.02.24</v>
      </c>
    </row>
    <row r="1369" spans="1:11" ht="11.25" customHeight="1" outlineLevel="1">
      <c r="A1369" s="89" t="n">
        <v>8090040</v>
      </c>
      <c r="B1369" s="114" t="s">
        <v>1201</v>
      </c>
      <c r="C1369" s="89" t="s">
        <v>2238</v>
      </c>
      <c r="D1369" s="89" t="s">
        <v>15</v>
      </c>
      <c r="E1369" s="89" t="s">
        <v>2239</v>
      </c>
      <c r="F1369" s="102" t="n">
        <v>1427</v>
      </c>
      <c r="G1369" s="102" t="n">
        <v>1899</v>
      </c>
      <c r="H1369" s="103" t="s">
        <v>48</v>
      </c>
      <c r="I1369" s="103">
        <f>IFERROR(VLOOKUP(A1369,#REF!,15,0),0)+IFERROR(VLOOKUP(A1369,#REF!,25,0),0)+IFERROR(VLOOKUP(A1369,#REF!,10,0),0)+IFERROR(VLOOKUP(A1369,#REF!,14,0),0)+IFERROR(VLOOKUP(A1369,#REF!,11,0),0)+IFERROR(VLOOKUP(A1369,#REF!,10,0),0)+IFERROR(VLOOKUP(A1369,#REF!,10,0),0)+IFERROR(VLOOKUP(A1369,#REF!,9,0),0)+IFERROR(VLOOKUP(A1369,#REF!,9,0),0)+IFERROR(VLOOKUP(A1369,#REF!,9,0),0)+IFERROR(VLOOKUP(A1369,#REF!,9,0),0)</f>
        <v>0</v>
      </c>
      <c r="J1369" s="104">
        <f>IFERROR(VLOOKUP(A1369,#REF!,16,0),0)+IFERROR(VLOOKUP(A1369,#REF!,26,0),0)+IFERROR(VLOOKUP(A1369,#REF!,11,0),0)+IFERROR(VLOOKUP(A1369,#REF!,23,0),0)+IFERROR(VLOOKUP(A1369,#REF!,11,0),0)+IFERROR(VLOOKUP(A1369,#REF!,11,0),0)+IFERROR(VLOOKUP(A1369,#REF!,11,0),0)</f>
        <v>0</v>
      </c>
      <c r="K1369" s="96" t="str">
        <f>"07.02.24"</f>
        <v>07.02.24</v>
      </c>
    </row>
    <row r="1370" spans="1:11" ht="11.25" customHeight="1" outlineLevel="1">
      <c r="A1370" s="89" t="n">
        <v>8090050</v>
      </c>
      <c r="B1370" s="114" t="s">
        <v>1201</v>
      </c>
      <c r="C1370" s="89" t="s">
        <v>2240</v>
      </c>
      <c r="D1370" s="89" t="s">
        <v>15</v>
      </c>
      <c r="E1370" s="89" t="s">
        <v>2241</v>
      </c>
      <c r="F1370" s="102" t="n">
        <v>2616</v>
      </c>
      <c r="G1370" s="102" t="n">
        <v>3474</v>
      </c>
      <c r="H1370" s="103" t="s">
        <v>48</v>
      </c>
      <c r="I1370" s="103">
        <f>IFERROR(VLOOKUP(A1370,#REF!,15,0),0)+IFERROR(VLOOKUP(A1370,#REF!,25,0),0)+IFERROR(VLOOKUP(A1370,#REF!,10,0),0)+IFERROR(VLOOKUP(A1370,#REF!,14,0),0)+IFERROR(VLOOKUP(A1370,#REF!,11,0),0)+IFERROR(VLOOKUP(A1370,#REF!,10,0),0)+IFERROR(VLOOKUP(A1370,#REF!,10,0),0)+IFERROR(VLOOKUP(A1370,#REF!,9,0),0)+IFERROR(VLOOKUP(A1370,#REF!,9,0),0)+IFERROR(VLOOKUP(A1370,#REF!,9,0),0)+IFERROR(VLOOKUP(A1370,#REF!,9,0),0)</f>
        <v>0</v>
      </c>
      <c r="J1370" s="104">
        <f>IFERROR(VLOOKUP(A1370,#REF!,16,0),0)+IFERROR(VLOOKUP(A1370,#REF!,26,0),0)+IFERROR(VLOOKUP(A1370,#REF!,11,0),0)+IFERROR(VLOOKUP(A1370,#REF!,23,0),0)+IFERROR(VLOOKUP(A1370,#REF!,11,0),0)+IFERROR(VLOOKUP(A1370,#REF!,11,0),0)+IFERROR(VLOOKUP(A1370,#REF!,11,0),0)</f>
        <v>0</v>
      </c>
      <c r="K1370" s="96" t="str">
        <f>"07.02.24"</f>
        <v>07.02.24</v>
      </c>
    </row>
    <row r="1371" spans="1:11" ht="21.75" customHeight="1" outlineLevel="1">
      <c r="A1371" s="89" t="n">
        <v>8090060</v>
      </c>
      <c r="B1371" s="114" t="s">
        <v>1201</v>
      </c>
      <c r="C1371" s="89" t="s">
        <v>2242</v>
      </c>
      <c r="D1371" s="89" t="s">
        <v>15</v>
      </c>
      <c r="E1371" s="89" t="s">
        <v>2243</v>
      </c>
      <c r="F1371" s="102" t="n">
        <v>3656</v>
      </c>
      <c r="G1371" s="102" t="n">
        <v>4857</v>
      </c>
      <c r="H1371" s="103" t="s">
        <v>48</v>
      </c>
      <c r="I1371" s="103">
        <f>IFERROR(VLOOKUP(A1371,#REF!,15,0),0)+IFERROR(VLOOKUP(A1371,#REF!,25,0),0)+IFERROR(VLOOKUP(A1371,#REF!,10,0),0)+IFERROR(VLOOKUP(A1371,#REF!,14,0),0)+IFERROR(VLOOKUP(A1371,#REF!,11,0),0)+IFERROR(VLOOKUP(A1371,#REF!,10,0),0)+IFERROR(VLOOKUP(A1371,#REF!,10,0),0)+IFERROR(VLOOKUP(A1371,#REF!,9,0),0)+IFERROR(VLOOKUP(A1371,#REF!,9,0),0)+IFERROR(VLOOKUP(A1371,#REF!,9,0),0)+IFERROR(VLOOKUP(A1371,#REF!,9,0),0)</f>
        <v>0</v>
      </c>
      <c r="J1371" s="104">
        <f>IFERROR(VLOOKUP(A1371,#REF!,16,0),0)+IFERROR(VLOOKUP(A1371,#REF!,26,0),0)+IFERROR(VLOOKUP(A1371,#REF!,11,0),0)+IFERROR(VLOOKUP(A1371,#REF!,23,0),0)+IFERROR(VLOOKUP(A1371,#REF!,11,0),0)+IFERROR(VLOOKUP(A1371,#REF!,11,0),0)+IFERROR(VLOOKUP(A1371,#REF!,11,0),0)</f>
        <v>0</v>
      </c>
      <c r="K1371" s="96" t="str">
        <f>"07.02.24"</f>
        <v>07.02.24</v>
      </c>
    </row>
    <row r="1372" spans="1:11" ht="21.75" customHeight="1" outlineLevel="1">
      <c r="A1372" s="89" t="n">
        <v>8090070</v>
      </c>
      <c r="B1372" s="114" t="s">
        <v>1201</v>
      </c>
      <c r="C1372" s="89" t="s">
        <v>2244</v>
      </c>
      <c r="D1372" s="89" t="s">
        <v>407</v>
      </c>
      <c r="E1372" s="89" t="s">
        <v>2245</v>
      </c>
      <c r="F1372" s="102" t="n">
        <v>230</v>
      </c>
      <c r="G1372" s="102" t="n">
        <v>307</v>
      </c>
      <c r="H1372" s="103" t="s">
        <v>48</v>
      </c>
      <c r="I1372" s="103">
        <f>IFERROR(VLOOKUP(A1372,#REF!,15,0),0)+IFERROR(VLOOKUP(A1372,#REF!,25,0),0)+IFERROR(VLOOKUP(A1372,#REF!,10,0),0)+IFERROR(VLOOKUP(A1372,#REF!,14,0),0)+IFERROR(VLOOKUP(A1372,#REF!,11,0),0)+IFERROR(VLOOKUP(A1372,#REF!,10,0),0)+IFERROR(VLOOKUP(A1372,#REF!,10,0),0)+IFERROR(VLOOKUP(A1372,#REF!,9,0),0)+IFERROR(VLOOKUP(A1372,#REF!,9,0),0)+IFERROR(VLOOKUP(A1372,#REF!,9,0),0)+IFERROR(VLOOKUP(A1372,#REF!,9,0),0)</f>
        <v>0</v>
      </c>
      <c r="J1372" s="104">
        <f>IFERROR(VLOOKUP(A1372,#REF!,16,0),0)+IFERROR(VLOOKUP(A1372,#REF!,26,0),0)+IFERROR(VLOOKUP(A1372,#REF!,11,0),0)+IFERROR(VLOOKUP(A1372,#REF!,23,0),0)+IFERROR(VLOOKUP(A1372,#REF!,11,0),0)+IFERROR(VLOOKUP(A1372,#REF!,11,0),0)+IFERROR(VLOOKUP(A1372,#REF!,11,0),0)</f>
        <v>0</v>
      </c>
      <c r="K1372" s="96" t="str">
        <f>"07.02.24"</f>
        <v>07.02.24</v>
      </c>
    </row>
    <row r="1373" spans="1:11" ht="11.25" customHeight="1" outlineLevel="1">
      <c r="A1373" s="89" t="n">
        <v>8090080</v>
      </c>
      <c r="B1373" s="114" t="s">
        <v>1201</v>
      </c>
      <c r="C1373" s="89" t="s">
        <v>2246</v>
      </c>
      <c r="D1373" s="89" t="s">
        <v>407</v>
      </c>
      <c r="E1373" s="89" t="s">
        <v>2247</v>
      </c>
      <c r="F1373" s="102" t="n">
        <v>289</v>
      </c>
      <c r="G1373" s="102" t="n">
        <v>384</v>
      </c>
      <c r="H1373" s="103" t="s">
        <v>48</v>
      </c>
      <c r="I1373" s="103">
        <f>IFERROR(VLOOKUP(A1373,#REF!,15,0),0)+IFERROR(VLOOKUP(A1373,#REF!,25,0),0)+IFERROR(VLOOKUP(A1373,#REF!,10,0),0)+IFERROR(VLOOKUP(A1373,#REF!,14,0),0)+IFERROR(VLOOKUP(A1373,#REF!,11,0),0)+IFERROR(VLOOKUP(A1373,#REF!,10,0),0)+IFERROR(VLOOKUP(A1373,#REF!,10,0),0)+IFERROR(VLOOKUP(A1373,#REF!,9,0),0)+IFERROR(VLOOKUP(A1373,#REF!,9,0),0)+IFERROR(VLOOKUP(A1373,#REF!,9,0),0)+IFERROR(VLOOKUP(A1373,#REF!,9,0),0)</f>
        <v>0</v>
      </c>
      <c r="J1373" s="104">
        <f>IFERROR(VLOOKUP(A1373,#REF!,16,0),0)+IFERROR(VLOOKUP(A1373,#REF!,26,0),0)+IFERROR(VLOOKUP(A1373,#REF!,11,0),0)+IFERROR(VLOOKUP(A1373,#REF!,23,0),0)+IFERROR(VLOOKUP(A1373,#REF!,11,0),0)+IFERROR(VLOOKUP(A1373,#REF!,11,0),0)+IFERROR(VLOOKUP(A1373,#REF!,11,0),0)</f>
        <v>0</v>
      </c>
      <c r="K1373" s="96" t="str">
        <f>"07.02.24"</f>
        <v>07.02.24</v>
      </c>
    </row>
    <row r="1374" spans="1:11" ht="21.75" customHeight="1" outlineLevel="1">
      <c r="A1374" s="89" t="n">
        <v>8090090</v>
      </c>
      <c r="B1374" s="114" t="s">
        <v>1201</v>
      </c>
      <c r="C1374" s="89" t="s">
        <v>2248</v>
      </c>
      <c r="D1374" s="89" t="s">
        <v>407</v>
      </c>
      <c r="E1374" s="89" t="s">
        <v>2249</v>
      </c>
      <c r="F1374" s="102" t="n">
        <v>405</v>
      </c>
      <c r="G1374" s="102" t="n">
        <v>540</v>
      </c>
      <c r="H1374" s="103" t="s">
        <v>48</v>
      </c>
      <c r="I1374" s="103">
        <f>IFERROR(VLOOKUP(A1374,#REF!,15,0),0)+IFERROR(VLOOKUP(A1374,#REF!,25,0),0)+IFERROR(VLOOKUP(A1374,#REF!,10,0),0)+IFERROR(VLOOKUP(A1374,#REF!,14,0),0)+IFERROR(VLOOKUP(A1374,#REF!,11,0),0)+IFERROR(VLOOKUP(A1374,#REF!,10,0),0)+IFERROR(VLOOKUP(A1374,#REF!,10,0),0)+IFERROR(VLOOKUP(A1374,#REF!,9,0),0)+IFERROR(VLOOKUP(A1374,#REF!,9,0),0)+IFERROR(VLOOKUP(A1374,#REF!,9,0),0)+IFERROR(VLOOKUP(A1374,#REF!,9,0),0)</f>
        <v>0</v>
      </c>
      <c r="J1374" s="104">
        <f>IFERROR(VLOOKUP(A1374,#REF!,16,0),0)+IFERROR(VLOOKUP(A1374,#REF!,26,0),0)+IFERROR(VLOOKUP(A1374,#REF!,11,0),0)+IFERROR(VLOOKUP(A1374,#REF!,23,0),0)+IFERROR(VLOOKUP(A1374,#REF!,11,0),0)+IFERROR(VLOOKUP(A1374,#REF!,11,0),0)+IFERROR(VLOOKUP(A1374,#REF!,11,0),0)</f>
        <v>0</v>
      </c>
      <c r="K1374" s="96" t="str">
        <f>"07.02.24"</f>
        <v>07.02.24</v>
      </c>
    </row>
    <row r="1375" spans="1:11" ht="11.25" customHeight="1" outlineLevel="1">
      <c r="A1375" s="89" t="n">
        <v>8090100</v>
      </c>
      <c r="B1375" s="114" t="s">
        <v>1201</v>
      </c>
      <c r="C1375" s="89" t="s">
        <v>2250</v>
      </c>
      <c r="D1375" s="89" t="s">
        <v>407</v>
      </c>
      <c r="E1375" s="89" t="s">
        <v>2251</v>
      </c>
      <c r="F1375" s="102" t="n">
        <v>426</v>
      </c>
      <c r="G1375" s="102" t="n">
        <v>565</v>
      </c>
      <c r="H1375" s="103" t="s">
        <v>48</v>
      </c>
      <c r="I1375" s="103">
        <f>IFERROR(VLOOKUP(A1375,#REF!,15,0),0)+IFERROR(VLOOKUP(A1375,#REF!,25,0),0)+IFERROR(VLOOKUP(A1375,#REF!,10,0),0)+IFERROR(VLOOKUP(A1375,#REF!,14,0),0)+IFERROR(VLOOKUP(A1375,#REF!,11,0),0)+IFERROR(VLOOKUP(A1375,#REF!,10,0),0)+IFERROR(VLOOKUP(A1375,#REF!,10,0),0)+IFERROR(VLOOKUP(A1375,#REF!,9,0),0)+IFERROR(VLOOKUP(A1375,#REF!,9,0),0)+IFERROR(VLOOKUP(A1375,#REF!,9,0),0)+IFERROR(VLOOKUP(A1375,#REF!,9,0),0)</f>
        <v>0</v>
      </c>
      <c r="J1375" s="104">
        <f>IFERROR(VLOOKUP(A1375,#REF!,16,0),0)+IFERROR(VLOOKUP(A1375,#REF!,26,0),0)+IFERROR(VLOOKUP(A1375,#REF!,11,0),0)+IFERROR(VLOOKUP(A1375,#REF!,23,0),0)+IFERROR(VLOOKUP(A1375,#REF!,11,0),0)+IFERROR(VLOOKUP(A1375,#REF!,11,0),0)+IFERROR(VLOOKUP(A1375,#REF!,11,0),0)</f>
        <v>0</v>
      </c>
      <c r="K1375" s="96" t="str">
        <f>"07.02.24"</f>
        <v>07.02.24</v>
      </c>
    </row>
    <row r="1376" spans="1:11" ht="11.25" customHeight="1" outlineLevel="1">
      <c r="A1376" s="89" t="n">
        <v>8090110</v>
      </c>
      <c r="B1376" s="114" t="s">
        <v>1201</v>
      </c>
      <c r="C1376" s="89" t="s">
        <v>2252</v>
      </c>
      <c r="D1376" s="89" t="s">
        <v>407</v>
      </c>
      <c r="E1376" s="89" t="s">
        <v>2253</v>
      </c>
      <c r="F1376" s="102" t="n">
        <v>382</v>
      </c>
      <c r="G1376" s="102" t="n">
        <v>507</v>
      </c>
      <c r="H1376" s="103" t="s">
        <v>48</v>
      </c>
      <c r="I1376" s="103">
        <f>IFERROR(VLOOKUP(A1376,#REF!,15,0),0)+IFERROR(VLOOKUP(A1376,#REF!,25,0),0)+IFERROR(VLOOKUP(A1376,#REF!,10,0),0)+IFERROR(VLOOKUP(A1376,#REF!,14,0),0)+IFERROR(VLOOKUP(A1376,#REF!,11,0),0)+IFERROR(VLOOKUP(A1376,#REF!,10,0),0)+IFERROR(VLOOKUP(A1376,#REF!,10,0),0)+IFERROR(VLOOKUP(A1376,#REF!,9,0),0)+IFERROR(VLOOKUP(A1376,#REF!,9,0),0)+IFERROR(VLOOKUP(A1376,#REF!,9,0),0)+IFERROR(VLOOKUP(A1376,#REF!,9,0),0)</f>
        <v>0</v>
      </c>
      <c r="J1376" s="104">
        <f>IFERROR(VLOOKUP(A1376,#REF!,16,0),0)+IFERROR(VLOOKUP(A1376,#REF!,26,0),0)+IFERROR(VLOOKUP(A1376,#REF!,11,0),0)+IFERROR(VLOOKUP(A1376,#REF!,23,0),0)+IFERROR(VLOOKUP(A1376,#REF!,11,0),0)+IFERROR(VLOOKUP(A1376,#REF!,11,0),0)+IFERROR(VLOOKUP(A1376,#REF!,11,0),0)</f>
        <v>0</v>
      </c>
      <c r="K1376" s="96" t="str">
        <f>"07.02.24"</f>
        <v>07.02.24</v>
      </c>
    </row>
    <row r="1377" spans="1:11" ht="11.25" customHeight="1" outlineLevel="1">
      <c r="A1377" s="89" t="n">
        <v>8090120</v>
      </c>
      <c r="B1377" s="114" t="s">
        <v>1201</v>
      </c>
      <c r="C1377" s="89" t="s">
        <v>2254</v>
      </c>
      <c r="D1377" s="89" t="s">
        <v>407</v>
      </c>
      <c r="E1377" s="89" t="s">
        <v>2255</v>
      </c>
      <c r="F1377" s="102" t="n">
        <v>541</v>
      </c>
      <c r="G1377" s="102" t="n">
        <v>721</v>
      </c>
      <c r="H1377" s="103" t="s">
        <v>48</v>
      </c>
      <c r="I1377" s="103">
        <f>IFERROR(VLOOKUP(A1377,#REF!,15,0),0)+IFERROR(VLOOKUP(A1377,#REF!,25,0),0)+IFERROR(VLOOKUP(A1377,#REF!,10,0),0)+IFERROR(VLOOKUP(A1377,#REF!,14,0),0)+IFERROR(VLOOKUP(A1377,#REF!,11,0),0)+IFERROR(VLOOKUP(A1377,#REF!,10,0),0)+IFERROR(VLOOKUP(A1377,#REF!,10,0),0)+IFERROR(VLOOKUP(A1377,#REF!,9,0),0)+IFERROR(VLOOKUP(A1377,#REF!,9,0),0)+IFERROR(VLOOKUP(A1377,#REF!,9,0),0)+IFERROR(VLOOKUP(A1377,#REF!,9,0),0)</f>
        <v>0</v>
      </c>
      <c r="J1377" s="104">
        <f>IFERROR(VLOOKUP(A1377,#REF!,16,0),0)+IFERROR(VLOOKUP(A1377,#REF!,26,0),0)+IFERROR(VLOOKUP(A1377,#REF!,11,0),0)+IFERROR(VLOOKUP(A1377,#REF!,23,0),0)+IFERROR(VLOOKUP(A1377,#REF!,11,0),0)+IFERROR(VLOOKUP(A1377,#REF!,11,0),0)+IFERROR(VLOOKUP(A1377,#REF!,11,0),0)</f>
        <v>0</v>
      </c>
      <c r="K1377" s="96" t="str">
        <f>"07.02.24"</f>
        <v>07.02.24</v>
      </c>
    </row>
    <row r="1378" spans="1:11" ht="21.75" customHeight="1" outlineLevel="1">
      <c r="A1378" s="89" t="n">
        <v>8090130</v>
      </c>
      <c r="B1378" s="114" t="s">
        <v>1201</v>
      </c>
      <c r="C1378" s="89" t="s">
        <v>2256</v>
      </c>
      <c r="D1378" s="89" t="s">
        <v>407</v>
      </c>
      <c r="E1378" s="89" t="s">
        <v>2257</v>
      </c>
      <c r="F1378" s="102" t="n">
        <v>790</v>
      </c>
      <c r="G1378" s="102" t="n">
        <v>1048</v>
      </c>
      <c r="H1378" s="103" t="s">
        <v>48</v>
      </c>
      <c r="I1378" s="103">
        <f>IFERROR(VLOOKUP(A1378,#REF!,15,0),0)+IFERROR(VLOOKUP(A1378,#REF!,25,0),0)+IFERROR(VLOOKUP(A1378,#REF!,10,0),0)+IFERROR(VLOOKUP(A1378,#REF!,14,0),0)+IFERROR(VLOOKUP(A1378,#REF!,11,0),0)+IFERROR(VLOOKUP(A1378,#REF!,10,0),0)+IFERROR(VLOOKUP(A1378,#REF!,10,0),0)+IFERROR(VLOOKUP(A1378,#REF!,9,0),0)+IFERROR(VLOOKUP(A1378,#REF!,9,0),0)+IFERROR(VLOOKUP(A1378,#REF!,9,0),0)+IFERROR(VLOOKUP(A1378,#REF!,9,0),0)</f>
        <v>0</v>
      </c>
      <c r="J1378" s="104">
        <f>IFERROR(VLOOKUP(A1378,#REF!,16,0),0)+IFERROR(VLOOKUP(A1378,#REF!,26,0),0)+IFERROR(VLOOKUP(A1378,#REF!,11,0),0)+IFERROR(VLOOKUP(A1378,#REF!,23,0),0)+IFERROR(VLOOKUP(A1378,#REF!,11,0),0)+IFERROR(VLOOKUP(A1378,#REF!,11,0),0)+IFERROR(VLOOKUP(A1378,#REF!,11,0),0)</f>
        <v>0</v>
      </c>
      <c r="K1378" s="96" t="str">
        <f>"07.02.24"</f>
        <v>07.02.24</v>
      </c>
    </row>
    <row r="1379" spans="1:11" ht="11.25" customHeight="1" outlineLevel="1">
      <c r="A1379" s="89" t="n">
        <v>8090140</v>
      </c>
      <c r="B1379" s="114" t="s">
        <v>1201</v>
      </c>
      <c r="C1379" s="89" t="s">
        <v>2258</v>
      </c>
      <c r="D1379" s="89" t="s">
        <v>15</v>
      </c>
      <c r="E1379" s="89" t="s">
        <v>2259</v>
      </c>
      <c r="F1379" s="102" t="n">
        <v>134</v>
      </c>
      <c r="G1379" s="102" t="n">
        <v>178</v>
      </c>
      <c r="H1379" s="103" t="s">
        <v>48</v>
      </c>
      <c r="I1379" s="103">
        <f>IFERROR(VLOOKUP(A1379,#REF!,15,0),0)+IFERROR(VLOOKUP(A1379,#REF!,25,0),0)+IFERROR(VLOOKUP(A1379,#REF!,10,0),0)+IFERROR(VLOOKUP(A1379,#REF!,14,0),0)+IFERROR(VLOOKUP(A1379,#REF!,11,0),0)+IFERROR(VLOOKUP(A1379,#REF!,10,0),0)+IFERROR(VLOOKUP(A1379,#REF!,10,0),0)+IFERROR(VLOOKUP(A1379,#REF!,9,0),0)+IFERROR(VLOOKUP(A1379,#REF!,9,0),0)+IFERROR(VLOOKUP(A1379,#REF!,9,0),0)+IFERROR(VLOOKUP(A1379,#REF!,9,0),0)</f>
        <v>0</v>
      </c>
      <c r="J1379" s="104">
        <f>IFERROR(VLOOKUP(A1379,#REF!,16,0),0)+IFERROR(VLOOKUP(A1379,#REF!,26,0),0)+IFERROR(VLOOKUP(A1379,#REF!,11,0),0)+IFERROR(VLOOKUP(A1379,#REF!,23,0),0)+IFERROR(VLOOKUP(A1379,#REF!,11,0),0)+IFERROR(VLOOKUP(A1379,#REF!,11,0),0)+IFERROR(VLOOKUP(A1379,#REF!,11,0),0)</f>
        <v>0</v>
      </c>
      <c r="K1379" s="96" t="str">
        <f>"07.02.24"</f>
        <v>07.02.24</v>
      </c>
    </row>
    <row r="1380" spans="1:11" ht="11.25" customHeight="1" outlineLevel="1">
      <c r="A1380" s="89" t="n">
        <v>8090150</v>
      </c>
      <c r="B1380" s="114" t="s">
        <v>1201</v>
      </c>
      <c r="C1380" s="89" t="s">
        <v>2260</v>
      </c>
      <c r="D1380" s="89" t="s">
        <v>15</v>
      </c>
      <c r="E1380" s="89" t="s">
        <v>2261</v>
      </c>
      <c r="F1380" s="102" t="n">
        <v>134</v>
      </c>
      <c r="G1380" s="102" t="n">
        <v>178</v>
      </c>
      <c r="H1380" s="103" t="s">
        <v>17</v>
      </c>
      <c r="I1380" s="103">
        <f>IFERROR(VLOOKUP(A1380,#REF!,15,0),0)+IFERROR(VLOOKUP(A1380,#REF!,25,0),0)+IFERROR(VLOOKUP(A1380,#REF!,10,0),0)+IFERROR(VLOOKUP(A1380,#REF!,14,0),0)+IFERROR(VLOOKUP(A1380,#REF!,11,0),0)+IFERROR(VLOOKUP(A1380,#REF!,10,0),0)+IFERROR(VLOOKUP(A1380,#REF!,10,0),0)+IFERROR(VLOOKUP(A1380,#REF!,9,0),0)+IFERROR(VLOOKUP(A1380,#REF!,9,0),0)+IFERROR(VLOOKUP(A1380,#REF!,9,0),0)+IFERROR(VLOOKUP(A1380,#REF!,9,0),0)</f>
        <v>0</v>
      </c>
      <c r="J1380" s="104">
        <f>IFERROR(VLOOKUP(A1380,#REF!,16,0),0)+IFERROR(VLOOKUP(A1380,#REF!,26,0),0)+IFERROR(VLOOKUP(A1380,#REF!,11,0),0)+IFERROR(VLOOKUP(A1380,#REF!,23,0),0)+IFERROR(VLOOKUP(A1380,#REF!,11,0),0)+IFERROR(VLOOKUP(A1380,#REF!,11,0),0)+IFERROR(VLOOKUP(A1380,#REF!,11,0),0)</f>
        <v>0</v>
      </c>
      <c r="K1380" s="96" t="str">
        <f>"07.02.24"</f>
        <v>07.02.24</v>
      </c>
    </row>
    <row r="1381" spans="1:11" ht="11.25" customHeight="1" outlineLevel="1">
      <c r="A1381" s="89" t="n">
        <v>8090170</v>
      </c>
      <c r="B1381" s="114" t="s">
        <v>1201</v>
      </c>
      <c r="C1381" s="89" t="s">
        <v>2262</v>
      </c>
      <c r="D1381" s="89" t="s">
        <v>15</v>
      </c>
      <c r="E1381" s="89" t="s">
        <v>2263</v>
      </c>
      <c r="F1381" s="102" t="n">
        <v>146</v>
      </c>
      <c r="G1381" s="102" t="n">
        <v>194</v>
      </c>
      <c r="H1381" s="103" t="s">
        <v>48</v>
      </c>
      <c r="I1381" s="103">
        <f>IFERROR(VLOOKUP(A1381,#REF!,15,0),0)+IFERROR(VLOOKUP(A1381,#REF!,25,0),0)+IFERROR(VLOOKUP(A1381,#REF!,10,0),0)+IFERROR(VLOOKUP(A1381,#REF!,14,0),0)+IFERROR(VLOOKUP(A1381,#REF!,11,0),0)+IFERROR(VLOOKUP(A1381,#REF!,10,0),0)+IFERROR(VLOOKUP(A1381,#REF!,10,0),0)+IFERROR(VLOOKUP(A1381,#REF!,9,0),0)+IFERROR(VLOOKUP(A1381,#REF!,9,0),0)+IFERROR(VLOOKUP(A1381,#REF!,9,0),0)+IFERROR(VLOOKUP(A1381,#REF!,9,0),0)</f>
        <v>0</v>
      </c>
      <c r="J1381" s="104">
        <f>IFERROR(VLOOKUP(A1381,#REF!,16,0),0)+IFERROR(VLOOKUP(A1381,#REF!,26,0),0)+IFERROR(VLOOKUP(A1381,#REF!,11,0),0)+IFERROR(VLOOKUP(A1381,#REF!,23,0),0)+IFERROR(VLOOKUP(A1381,#REF!,11,0),0)+IFERROR(VLOOKUP(A1381,#REF!,11,0),0)+IFERROR(VLOOKUP(A1381,#REF!,11,0),0)</f>
        <v>0</v>
      </c>
      <c r="K1381" s="96" t="str">
        <f>"07.02.24"</f>
        <v>07.02.24</v>
      </c>
    </row>
    <row r="1382" spans="1:11" ht="11.25" customHeight="1" outlineLevel="1">
      <c r="A1382" s="89" t="n">
        <v>8090180</v>
      </c>
      <c r="B1382" s="114" t="s">
        <v>1201</v>
      </c>
      <c r="C1382" s="89" t="s">
        <v>2264</v>
      </c>
      <c r="D1382" s="89" t="s">
        <v>15</v>
      </c>
      <c r="E1382" s="89" t="s">
        <v>2265</v>
      </c>
      <c r="F1382" s="102" t="n">
        <v>237</v>
      </c>
      <c r="G1382" s="102" t="n">
        <v>315</v>
      </c>
      <c r="H1382" s="103" t="s">
        <v>48</v>
      </c>
      <c r="I1382" s="103">
        <f>IFERROR(VLOOKUP(A1382,#REF!,15,0),0)+IFERROR(VLOOKUP(A1382,#REF!,25,0),0)+IFERROR(VLOOKUP(A1382,#REF!,10,0),0)+IFERROR(VLOOKUP(A1382,#REF!,14,0),0)+IFERROR(VLOOKUP(A1382,#REF!,11,0),0)+IFERROR(VLOOKUP(A1382,#REF!,10,0),0)+IFERROR(VLOOKUP(A1382,#REF!,10,0),0)+IFERROR(VLOOKUP(A1382,#REF!,9,0),0)+IFERROR(VLOOKUP(A1382,#REF!,9,0),0)+IFERROR(VLOOKUP(A1382,#REF!,9,0),0)+IFERROR(VLOOKUP(A1382,#REF!,9,0),0)</f>
        <v>0</v>
      </c>
      <c r="J1382" s="104">
        <f>IFERROR(VLOOKUP(A1382,#REF!,16,0),0)+IFERROR(VLOOKUP(A1382,#REF!,26,0),0)+IFERROR(VLOOKUP(A1382,#REF!,11,0),0)+IFERROR(VLOOKUP(A1382,#REF!,23,0),0)+IFERROR(VLOOKUP(A1382,#REF!,11,0),0)+IFERROR(VLOOKUP(A1382,#REF!,11,0),0)+IFERROR(VLOOKUP(A1382,#REF!,11,0),0)</f>
        <v>0</v>
      </c>
      <c r="K1382" s="96" t="str">
        <f>"07.02.24"</f>
        <v>07.02.24</v>
      </c>
    </row>
    <row r="1383" spans="1:11" ht="11.25" customHeight="1" outlineLevel="1">
      <c r="A1383" s="89" t="n">
        <v>8090190</v>
      </c>
      <c r="B1383" s="114" t="s">
        <v>1201</v>
      </c>
      <c r="C1383" s="89" t="s">
        <v>2266</v>
      </c>
      <c r="D1383" s="89" t="s">
        <v>15</v>
      </c>
      <c r="E1383" s="89" t="s">
        <v>2267</v>
      </c>
      <c r="F1383" s="102" t="n">
        <v>173</v>
      </c>
      <c r="G1383" s="102" t="n">
        <v>228</v>
      </c>
      <c r="H1383" s="103" t="s">
        <v>48</v>
      </c>
      <c r="I1383" s="103">
        <f>IFERROR(VLOOKUP(A1383,#REF!,15,0),0)+IFERROR(VLOOKUP(A1383,#REF!,25,0),0)+IFERROR(VLOOKUP(A1383,#REF!,10,0),0)+IFERROR(VLOOKUP(A1383,#REF!,14,0),0)+IFERROR(VLOOKUP(A1383,#REF!,11,0),0)+IFERROR(VLOOKUP(A1383,#REF!,10,0),0)+IFERROR(VLOOKUP(A1383,#REF!,10,0),0)+IFERROR(VLOOKUP(A1383,#REF!,9,0),0)+IFERROR(VLOOKUP(A1383,#REF!,9,0),0)+IFERROR(VLOOKUP(A1383,#REF!,9,0),0)+IFERROR(VLOOKUP(A1383,#REF!,9,0),0)</f>
        <v>0</v>
      </c>
      <c r="J1383" s="104">
        <f>IFERROR(VLOOKUP(A1383,#REF!,16,0),0)+IFERROR(VLOOKUP(A1383,#REF!,26,0),0)+IFERROR(VLOOKUP(A1383,#REF!,11,0),0)+IFERROR(VLOOKUP(A1383,#REF!,23,0),0)+IFERROR(VLOOKUP(A1383,#REF!,11,0),0)+IFERROR(VLOOKUP(A1383,#REF!,11,0),0)+IFERROR(VLOOKUP(A1383,#REF!,11,0),0)</f>
        <v>0</v>
      </c>
      <c r="K1383" s="96" t="str">
        <f>"07.02.24"</f>
        <v>07.02.24</v>
      </c>
    </row>
    <row r="1384" spans="1:11" ht="11.25" customHeight="1" outlineLevel="1">
      <c r="A1384" s="89" t="n">
        <v>8090200</v>
      </c>
      <c r="B1384" s="114" t="s">
        <v>1201</v>
      </c>
      <c r="C1384" s="89" t="s">
        <v>2268</v>
      </c>
      <c r="D1384" s="89" t="s">
        <v>15</v>
      </c>
      <c r="E1384" s="89" t="s">
        <v>2269</v>
      </c>
      <c r="F1384" s="102" t="n">
        <v>281</v>
      </c>
      <c r="G1384" s="102" t="n">
        <v>370</v>
      </c>
      <c r="H1384" s="103" t="s">
        <v>48</v>
      </c>
      <c r="I1384" s="103">
        <f>IFERROR(VLOOKUP(A1384,#REF!,15,0),0)+IFERROR(VLOOKUP(A1384,#REF!,25,0),0)+IFERROR(VLOOKUP(A1384,#REF!,10,0),0)+IFERROR(VLOOKUP(A1384,#REF!,14,0),0)+IFERROR(VLOOKUP(A1384,#REF!,11,0),0)+IFERROR(VLOOKUP(A1384,#REF!,10,0),0)+IFERROR(VLOOKUP(A1384,#REF!,10,0),0)+IFERROR(VLOOKUP(A1384,#REF!,9,0),0)+IFERROR(VLOOKUP(A1384,#REF!,9,0),0)+IFERROR(VLOOKUP(A1384,#REF!,9,0),0)+IFERROR(VLOOKUP(A1384,#REF!,9,0),0)</f>
        <v>0</v>
      </c>
      <c r="J1384" s="104">
        <f>IFERROR(VLOOKUP(A1384,#REF!,16,0),0)+IFERROR(VLOOKUP(A1384,#REF!,26,0),0)+IFERROR(VLOOKUP(A1384,#REF!,11,0),0)+IFERROR(VLOOKUP(A1384,#REF!,23,0),0)+IFERROR(VLOOKUP(A1384,#REF!,11,0),0)+IFERROR(VLOOKUP(A1384,#REF!,11,0),0)+IFERROR(VLOOKUP(A1384,#REF!,11,0),0)</f>
        <v>0</v>
      </c>
      <c r="K1384" s="96" t="str">
        <f>"07.02.24"</f>
        <v>07.02.24</v>
      </c>
    </row>
    <row r="1385" spans="1:11" ht="11.25" customHeight="1" outlineLevel="1">
      <c r="A1385" s="89" t="n">
        <v>8090220</v>
      </c>
      <c r="B1385" s="114" t="s">
        <v>1201</v>
      </c>
      <c r="C1385" s="89" t="s">
        <v>2270</v>
      </c>
      <c r="D1385" s="89" t="s">
        <v>15</v>
      </c>
      <c r="E1385" s="89" t="s">
        <v>2271</v>
      </c>
      <c r="F1385" s="102" t="n">
        <v>226</v>
      </c>
      <c r="G1385" s="102" t="n">
        <v>297</v>
      </c>
      <c r="H1385" s="103" t="s">
        <v>48</v>
      </c>
      <c r="I1385" s="103">
        <f>IFERROR(VLOOKUP(A1385,#REF!,15,0),0)+IFERROR(VLOOKUP(A1385,#REF!,25,0),0)+IFERROR(VLOOKUP(A1385,#REF!,10,0),0)+IFERROR(VLOOKUP(A1385,#REF!,14,0),0)+IFERROR(VLOOKUP(A1385,#REF!,11,0),0)+IFERROR(VLOOKUP(A1385,#REF!,10,0),0)+IFERROR(VLOOKUP(A1385,#REF!,10,0),0)+IFERROR(VLOOKUP(A1385,#REF!,9,0),0)+IFERROR(VLOOKUP(A1385,#REF!,9,0),0)+IFERROR(VLOOKUP(A1385,#REF!,9,0),0)+IFERROR(VLOOKUP(A1385,#REF!,9,0),0)</f>
        <v>0</v>
      </c>
      <c r="J1385" s="104">
        <f>IFERROR(VLOOKUP(A1385,#REF!,16,0),0)+IFERROR(VLOOKUP(A1385,#REF!,26,0),0)+IFERROR(VLOOKUP(A1385,#REF!,11,0),0)+IFERROR(VLOOKUP(A1385,#REF!,23,0),0)+IFERROR(VLOOKUP(A1385,#REF!,11,0),0)+IFERROR(VLOOKUP(A1385,#REF!,11,0),0)+IFERROR(VLOOKUP(A1385,#REF!,11,0),0)</f>
        <v>0</v>
      </c>
      <c r="K1385" s="96" t="str">
        <f>"07.02.24"</f>
        <v>07.02.24</v>
      </c>
    </row>
    <row r="1386" spans="1:11" ht="11.25" customHeight="1" outlineLevel="1">
      <c r="A1386" s="89" t="n">
        <v>8090240</v>
      </c>
      <c r="B1386" s="114" t="s">
        <v>1201</v>
      </c>
      <c r="C1386" s="89" t="s">
        <v>2272</v>
      </c>
      <c r="D1386" s="89" t="s">
        <v>15</v>
      </c>
      <c r="E1386" s="89" t="s">
        <v>2273</v>
      </c>
      <c r="F1386" s="102" t="n">
        <v>266</v>
      </c>
      <c r="G1386" s="102" t="n">
        <v>355</v>
      </c>
      <c r="H1386" s="103" t="s">
        <v>48</v>
      </c>
      <c r="I1386" s="103">
        <f>IFERROR(VLOOKUP(A1386,#REF!,15,0),0)+IFERROR(VLOOKUP(A1386,#REF!,25,0),0)+IFERROR(VLOOKUP(A1386,#REF!,10,0),0)+IFERROR(VLOOKUP(A1386,#REF!,14,0),0)+IFERROR(VLOOKUP(A1386,#REF!,11,0),0)+IFERROR(VLOOKUP(A1386,#REF!,10,0),0)+IFERROR(VLOOKUP(A1386,#REF!,10,0),0)+IFERROR(VLOOKUP(A1386,#REF!,9,0),0)+IFERROR(VLOOKUP(A1386,#REF!,9,0),0)+IFERROR(VLOOKUP(A1386,#REF!,9,0),0)+IFERROR(VLOOKUP(A1386,#REF!,9,0),0)</f>
        <v>0</v>
      </c>
      <c r="J1386" s="104">
        <f>IFERROR(VLOOKUP(A1386,#REF!,16,0),0)+IFERROR(VLOOKUP(A1386,#REF!,26,0),0)+IFERROR(VLOOKUP(A1386,#REF!,11,0),0)+IFERROR(VLOOKUP(A1386,#REF!,23,0),0)+IFERROR(VLOOKUP(A1386,#REF!,11,0),0)+IFERROR(VLOOKUP(A1386,#REF!,11,0),0)+IFERROR(VLOOKUP(A1386,#REF!,11,0),0)</f>
        <v>0</v>
      </c>
      <c r="K1386" s="96" t="str">
        <f>"07.02.24"</f>
        <v>07.02.24</v>
      </c>
    </row>
    <row r="1387" spans="1:11" ht="11.25" customHeight="1" outlineLevel="1">
      <c r="A1387" s="89" t="n">
        <v>8090250</v>
      </c>
      <c r="B1387" s="114" t="s">
        <v>1201</v>
      </c>
      <c r="C1387" s="89" t="s">
        <v>2274</v>
      </c>
      <c r="D1387" s="89" t="s">
        <v>15</v>
      </c>
      <c r="E1387" s="89" t="s">
        <v>2275</v>
      </c>
      <c r="F1387" s="102" t="n">
        <v>473</v>
      </c>
      <c r="G1387" s="102" t="n">
        <v>630</v>
      </c>
      <c r="H1387" s="103" t="s">
        <v>48</v>
      </c>
      <c r="I1387" s="103">
        <f>IFERROR(VLOOKUP(A1387,#REF!,15,0),0)+IFERROR(VLOOKUP(A1387,#REF!,25,0),0)+IFERROR(VLOOKUP(A1387,#REF!,10,0),0)+IFERROR(VLOOKUP(A1387,#REF!,14,0),0)+IFERROR(VLOOKUP(A1387,#REF!,11,0),0)+IFERROR(VLOOKUP(A1387,#REF!,10,0),0)+IFERROR(VLOOKUP(A1387,#REF!,10,0),0)+IFERROR(VLOOKUP(A1387,#REF!,9,0),0)+IFERROR(VLOOKUP(A1387,#REF!,9,0),0)+IFERROR(VLOOKUP(A1387,#REF!,9,0),0)+IFERROR(VLOOKUP(A1387,#REF!,9,0),0)</f>
        <v>0</v>
      </c>
      <c r="J1387" s="104">
        <f>IFERROR(VLOOKUP(A1387,#REF!,16,0),0)+IFERROR(VLOOKUP(A1387,#REF!,26,0),0)+IFERROR(VLOOKUP(A1387,#REF!,11,0),0)+IFERROR(VLOOKUP(A1387,#REF!,23,0),0)+IFERROR(VLOOKUP(A1387,#REF!,11,0),0)+IFERROR(VLOOKUP(A1387,#REF!,11,0),0)+IFERROR(VLOOKUP(A1387,#REF!,11,0),0)</f>
        <v>0</v>
      </c>
      <c r="K1387" s="96" t="str">
        <f>"07.02.24"</f>
        <v>07.02.24</v>
      </c>
    </row>
    <row r="1388" spans="1:11" ht="11.25" customHeight="1" outlineLevel="1">
      <c r="A1388" s="89" t="n">
        <v>8090260</v>
      </c>
      <c r="B1388" s="114" t="s">
        <v>1201</v>
      </c>
      <c r="C1388" s="89" t="s">
        <v>2276</v>
      </c>
      <c r="D1388" s="89" t="s">
        <v>15</v>
      </c>
      <c r="E1388" s="89" t="s">
        <v>2277</v>
      </c>
      <c r="F1388" s="102" t="n">
        <v>308</v>
      </c>
      <c r="G1388" s="102" t="n">
        <v>412</v>
      </c>
      <c r="H1388" s="103" t="s">
        <v>48</v>
      </c>
      <c r="I1388" s="103">
        <f>IFERROR(VLOOKUP(A1388,#REF!,15,0),0)+IFERROR(VLOOKUP(A1388,#REF!,25,0),0)+IFERROR(VLOOKUP(A1388,#REF!,10,0),0)+IFERROR(VLOOKUP(A1388,#REF!,14,0),0)+IFERROR(VLOOKUP(A1388,#REF!,11,0),0)+IFERROR(VLOOKUP(A1388,#REF!,10,0),0)+IFERROR(VLOOKUP(A1388,#REF!,10,0),0)+IFERROR(VLOOKUP(A1388,#REF!,9,0),0)+IFERROR(VLOOKUP(A1388,#REF!,9,0),0)+IFERROR(VLOOKUP(A1388,#REF!,9,0),0)+IFERROR(VLOOKUP(A1388,#REF!,9,0),0)</f>
        <v>0</v>
      </c>
      <c r="J1388" s="104">
        <f>IFERROR(VLOOKUP(A1388,#REF!,16,0),0)+IFERROR(VLOOKUP(A1388,#REF!,26,0),0)+IFERROR(VLOOKUP(A1388,#REF!,11,0),0)+IFERROR(VLOOKUP(A1388,#REF!,23,0),0)+IFERROR(VLOOKUP(A1388,#REF!,11,0),0)+IFERROR(VLOOKUP(A1388,#REF!,11,0),0)+IFERROR(VLOOKUP(A1388,#REF!,11,0),0)</f>
        <v>0</v>
      </c>
      <c r="K1388" s="96" t="str">
        <f>"07.02.24"</f>
        <v>07.02.24</v>
      </c>
    </row>
    <row r="1389" spans="1:11" ht="11.25" customHeight="1" outlineLevel="1">
      <c r="A1389" s="89" t="n">
        <v>8090270</v>
      </c>
      <c r="B1389" s="114" t="s">
        <v>1201</v>
      </c>
      <c r="C1389" s="89" t="s">
        <v>2278</v>
      </c>
      <c r="D1389" s="89" t="s">
        <v>15</v>
      </c>
      <c r="E1389" s="89" t="s">
        <v>2279</v>
      </c>
      <c r="F1389" s="102" t="n">
        <v>554</v>
      </c>
      <c r="G1389" s="102" t="n">
        <v>735</v>
      </c>
      <c r="H1389" s="103" t="s">
        <v>17</v>
      </c>
      <c r="I1389" s="103">
        <f>IFERROR(VLOOKUP(A1389,#REF!,15,0),0)+IFERROR(VLOOKUP(A1389,#REF!,25,0),0)+IFERROR(VLOOKUP(A1389,#REF!,10,0),0)+IFERROR(VLOOKUP(A1389,#REF!,14,0),0)+IFERROR(VLOOKUP(A1389,#REF!,11,0),0)+IFERROR(VLOOKUP(A1389,#REF!,10,0),0)+IFERROR(VLOOKUP(A1389,#REF!,10,0),0)+IFERROR(VLOOKUP(A1389,#REF!,9,0),0)+IFERROR(VLOOKUP(A1389,#REF!,9,0),0)+IFERROR(VLOOKUP(A1389,#REF!,9,0),0)+IFERROR(VLOOKUP(A1389,#REF!,9,0),0)</f>
        <v>0</v>
      </c>
      <c r="J1389" s="104">
        <f>IFERROR(VLOOKUP(A1389,#REF!,16,0),0)+IFERROR(VLOOKUP(A1389,#REF!,26,0),0)+IFERROR(VLOOKUP(A1389,#REF!,11,0),0)+IFERROR(VLOOKUP(A1389,#REF!,23,0),0)+IFERROR(VLOOKUP(A1389,#REF!,11,0),0)+IFERROR(VLOOKUP(A1389,#REF!,11,0),0)+IFERROR(VLOOKUP(A1389,#REF!,11,0),0)</f>
        <v>0</v>
      </c>
      <c r="K1389" s="96" t="str">
        <f>"07.02.24"</f>
        <v>07.02.24</v>
      </c>
    </row>
    <row r="1390" spans="1:11" ht="11.25" customHeight="1" outlineLevel="1">
      <c r="A1390" s="89" t="n">
        <v>8090280</v>
      </c>
      <c r="B1390" s="114" t="s">
        <v>1201</v>
      </c>
      <c r="C1390" s="89" t="s">
        <v>2280</v>
      </c>
      <c r="D1390" s="89" t="s">
        <v>407</v>
      </c>
      <c r="E1390" s="89" t="s">
        <v>2281</v>
      </c>
      <c r="F1390" s="102" t="n">
        <v>566</v>
      </c>
      <c r="G1390" s="102" t="n">
        <v>753</v>
      </c>
      <c r="H1390" s="103" t="s">
        <v>48</v>
      </c>
      <c r="I1390" s="103">
        <f>IFERROR(VLOOKUP(A1390,#REF!,15,0),0)+IFERROR(VLOOKUP(A1390,#REF!,25,0),0)+IFERROR(VLOOKUP(A1390,#REF!,10,0),0)+IFERROR(VLOOKUP(A1390,#REF!,14,0),0)+IFERROR(VLOOKUP(A1390,#REF!,11,0),0)+IFERROR(VLOOKUP(A1390,#REF!,10,0),0)+IFERROR(VLOOKUP(A1390,#REF!,10,0),0)+IFERROR(VLOOKUP(A1390,#REF!,9,0),0)+IFERROR(VLOOKUP(A1390,#REF!,9,0),0)+IFERROR(VLOOKUP(A1390,#REF!,9,0),0)+IFERROR(VLOOKUP(A1390,#REF!,9,0),0)</f>
        <v>0</v>
      </c>
      <c r="J1390" s="104">
        <f>IFERROR(VLOOKUP(A1390,#REF!,16,0),0)+IFERROR(VLOOKUP(A1390,#REF!,26,0),0)+IFERROR(VLOOKUP(A1390,#REF!,11,0),0)+IFERROR(VLOOKUP(A1390,#REF!,23,0),0)+IFERROR(VLOOKUP(A1390,#REF!,11,0),0)+IFERROR(VLOOKUP(A1390,#REF!,11,0),0)+IFERROR(VLOOKUP(A1390,#REF!,11,0),0)</f>
        <v>0</v>
      </c>
      <c r="K1390" s="96" t="str">
        <f>"07.02.24"</f>
        <v>07.02.24</v>
      </c>
    </row>
    <row r="1391" spans="1:11" ht="11.25" customHeight="1" outlineLevel="1">
      <c r="A1391" s="89" t="n">
        <v>8090290</v>
      </c>
      <c r="B1391" s="114" t="s">
        <v>1201</v>
      </c>
      <c r="C1391" s="89" t="s">
        <v>2282</v>
      </c>
      <c r="D1391" s="89" t="s">
        <v>407</v>
      </c>
      <c r="E1391" s="89" t="s">
        <v>2283</v>
      </c>
      <c r="F1391" s="102" t="n">
        <v>624</v>
      </c>
      <c r="G1391" s="102" t="n">
        <v>829</v>
      </c>
      <c r="H1391" s="103" t="s">
        <v>48</v>
      </c>
      <c r="I1391" s="103">
        <f>IFERROR(VLOOKUP(A1391,#REF!,15,0),0)+IFERROR(VLOOKUP(A1391,#REF!,25,0),0)+IFERROR(VLOOKUP(A1391,#REF!,10,0),0)+IFERROR(VLOOKUP(A1391,#REF!,14,0),0)+IFERROR(VLOOKUP(A1391,#REF!,11,0),0)+IFERROR(VLOOKUP(A1391,#REF!,10,0),0)+IFERROR(VLOOKUP(A1391,#REF!,10,0),0)+IFERROR(VLOOKUP(A1391,#REF!,9,0),0)+IFERROR(VLOOKUP(A1391,#REF!,9,0),0)+IFERROR(VLOOKUP(A1391,#REF!,9,0),0)+IFERROR(VLOOKUP(A1391,#REF!,9,0),0)</f>
        <v>0</v>
      </c>
      <c r="J1391" s="104">
        <f>IFERROR(VLOOKUP(A1391,#REF!,16,0),0)+IFERROR(VLOOKUP(A1391,#REF!,26,0),0)+IFERROR(VLOOKUP(A1391,#REF!,11,0),0)+IFERROR(VLOOKUP(A1391,#REF!,23,0),0)+IFERROR(VLOOKUP(A1391,#REF!,11,0),0)+IFERROR(VLOOKUP(A1391,#REF!,11,0),0)+IFERROR(VLOOKUP(A1391,#REF!,11,0),0)</f>
        <v>0</v>
      </c>
      <c r="K1391" s="96" t="str">
        <f>"07.02.24"</f>
        <v>07.02.24</v>
      </c>
    </row>
    <row r="1392" spans="1:11" ht="11.25" customHeight="1" outlineLevel="1">
      <c r="A1392" s="89" t="n">
        <v>8090300</v>
      </c>
      <c r="B1392" s="114" t="s">
        <v>1201</v>
      </c>
      <c r="C1392" s="89" t="s">
        <v>2284</v>
      </c>
      <c r="D1392" s="89" t="s">
        <v>407</v>
      </c>
      <c r="E1392" s="89" t="s">
        <v>2285</v>
      </c>
      <c r="F1392" s="102" t="n">
        <v>534</v>
      </c>
      <c r="G1392" s="102" t="n">
        <v>709</v>
      </c>
      <c r="H1392" s="103" t="s">
        <v>48</v>
      </c>
      <c r="I1392" s="103">
        <f>IFERROR(VLOOKUP(A1392,#REF!,15,0),0)+IFERROR(VLOOKUP(A1392,#REF!,25,0),0)+IFERROR(VLOOKUP(A1392,#REF!,10,0),0)+IFERROR(VLOOKUP(A1392,#REF!,14,0),0)+IFERROR(VLOOKUP(A1392,#REF!,11,0),0)+IFERROR(VLOOKUP(A1392,#REF!,10,0),0)+IFERROR(VLOOKUP(A1392,#REF!,10,0),0)+IFERROR(VLOOKUP(A1392,#REF!,9,0),0)+IFERROR(VLOOKUP(A1392,#REF!,9,0),0)+IFERROR(VLOOKUP(A1392,#REF!,9,0),0)+IFERROR(VLOOKUP(A1392,#REF!,9,0),0)</f>
        <v>0</v>
      </c>
      <c r="J1392" s="104">
        <f>IFERROR(VLOOKUP(A1392,#REF!,16,0),0)+IFERROR(VLOOKUP(A1392,#REF!,26,0),0)+IFERROR(VLOOKUP(A1392,#REF!,11,0),0)+IFERROR(VLOOKUP(A1392,#REF!,23,0),0)+IFERROR(VLOOKUP(A1392,#REF!,11,0),0)+IFERROR(VLOOKUP(A1392,#REF!,11,0),0)+IFERROR(VLOOKUP(A1392,#REF!,11,0),0)</f>
        <v>0</v>
      </c>
      <c r="K1392" s="96" t="str">
        <f>"07.02.24"</f>
        <v>07.02.24</v>
      </c>
    </row>
    <row r="1393" spans="1:11" ht="11.25" customHeight="1" outlineLevel="1">
      <c r="A1393" s="89" t="n">
        <v>8090310</v>
      </c>
      <c r="B1393" s="114" t="s">
        <v>1201</v>
      </c>
      <c r="C1393" s="89" t="s">
        <v>2286</v>
      </c>
      <c r="D1393" s="89" t="s">
        <v>407</v>
      </c>
      <c r="E1393" s="89" t="s">
        <v>2287</v>
      </c>
      <c r="F1393" s="102" t="n">
        <v>588</v>
      </c>
      <c r="G1393" s="102" t="n">
        <v>782</v>
      </c>
      <c r="H1393" s="103" t="s">
        <v>48</v>
      </c>
      <c r="I1393" s="103">
        <f>IFERROR(VLOOKUP(A1393,#REF!,15,0),0)+IFERROR(VLOOKUP(A1393,#REF!,25,0),0)+IFERROR(VLOOKUP(A1393,#REF!,10,0),0)+IFERROR(VLOOKUP(A1393,#REF!,14,0),0)+IFERROR(VLOOKUP(A1393,#REF!,11,0),0)+IFERROR(VLOOKUP(A1393,#REF!,10,0),0)+IFERROR(VLOOKUP(A1393,#REF!,10,0),0)+IFERROR(VLOOKUP(A1393,#REF!,9,0),0)+IFERROR(VLOOKUP(A1393,#REF!,9,0),0)+IFERROR(VLOOKUP(A1393,#REF!,9,0),0)+IFERROR(VLOOKUP(A1393,#REF!,9,0),0)</f>
        <v>0</v>
      </c>
      <c r="J1393" s="104">
        <f>IFERROR(VLOOKUP(A1393,#REF!,16,0),0)+IFERROR(VLOOKUP(A1393,#REF!,26,0),0)+IFERROR(VLOOKUP(A1393,#REF!,11,0),0)+IFERROR(VLOOKUP(A1393,#REF!,23,0),0)+IFERROR(VLOOKUP(A1393,#REF!,11,0),0)+IFERROR(VLOOKUP(A1393,#REF!,11,0),0)+IFERROR(VLOOKUP(A1393,#REF!,11,0),0)</f>
        <v>0</v>
      </c>
      <c r="K1393" s="96" t="str">
        <f>"07.02.24"</f>
        <v>07.02.24</v>
      </c>
    </row>
    <row r="1394" spans="1:11" ht="11.25" customHeight="1" outlineLevel="1">
      <c r="A1394" s="89" t="n">
        <v>8090320</v>
      </c>
      <c r="B1394" s="114" t="s">
        <v>1201</v>
      </c>
      <c r="C1394" s="89" t="s">
        <v>2288</v>
      </c>
      <c r="D1394" s="89" t="s">
        <v>407</v>
      </c>
      <c r="E1394" s="89" t="s">
        <v>2289</v>
      </c>
      <c r="F1394" s="102" t="n">
        <v>722</v>
      </c>
      <c r="G1394" s="102" t="n">
        <v>959</v>
      </c>
      <c r="H1394" s="103" t="s">
        <v>48</v>
      </c>
      <c r="I1394" s="103">
        <f>IFERROR(VLOOKUP(A1394,#REF!,15,0),0)+IFERROR(VLOOKUP(A1394,#REF!,25,0),0)+IFERROR(VLOOKUP(A1394,#REF!,10,0),0)+IFERROR(VLOOKUP(A1394,#REF!,14,0),0)+IFERROR(VLOOKUP(A1394,#REF!,11,0),0)+IFERROR(VLOOKUP(A1394,#REF!,10,0),0)+IFERROR(VLOOKUP(A1394,#REF!,10,0),0)+IFERROR(VLOOKUP(A1394,#REF!,9,0),0)+IFERROR(VLOOKUP(A1394,#REF!,9,0),0)+IFERROR(VLOOKUP(A1394,#REF!,9,0),0)+IFERROR(VLOOKUP(A1394,#REF!,9,0),0)</f>
        <v>0</v>
      </c>
      <c r="J1394" s="104">
        <f>IFERROR(VLOOKUP(A1394,#REF!,16,0),0)+IFERROR(VLOOKUP(A1394,#REF!,26,0),0)+IFERROR(VLOOKUP(A1394,#REF!,11,0),0)+IFERROR(VLOOKUP(A1394,#REF!,23,0),0)+IFERROR(VLOOKUP(A1394,#REF!,11,0),0)+IFERROR(VLOOKUP(A1394,#REF!,11,0),0)+IFERROR(VLOOKUP(A1394,#REF!,11,0),0)</f>
        <v>0</v>
      </c>
      <c r="K1394" s="96" t="str">
        <f>"07.02.24"</f>
        <v>07.02.24</v>
      </c>
    </row>
    <row r="1395" spans="1:11" ht="11.25" customHeight="1" outlineLevel="1">
      <c r="A1395" s="89" t="n">
        <v>8090330</v>
      </c>
      <c r="B1395" s="114" t="s">
        <v>1201</v>
      </c>
      <c r="C1395" s="89" t="s">
        <v>2290</v>
      </c>
      <c r="D1395" s="89" t="s">
        <v>407</v>
      </c>
      <c r="E1395" s="89"/>
      <c r="F1395" s="102" t="n">
        <v>636</v>
      </c>
      <c r="G1395" s="102" t="n">
        <v>844</v>
      </c>
      <c r="H1395" s="103" t="s">
        <v>48</v>
      </c>
      <c r="I1395" s="103">
        <f>IFERROR(VLOOKUP(A1395,#REF!,15,0),0)+IFERROR(VLOOKUP(A1395,#REF!,25,0),0)+IFERROR(VLOOKUP(A1395,#REF!,10,0),0)+IFERROR(VLOOKUP(A1395,#REF!,14,0),0)+IFERROR(VLOOKUP(A1395,#REF!,11,0),0)+IFERROR(VLOOKUP(A1395,#REF!,10,0),0)+IFERROR(VLOOKUP(A1395,#REF!,10,0),0)+IFERROR(VLOOKUP(A1395,#REF!,9,0),0)+IFERROR(VLOOKUP(A1395,#REF!,9,0),0)+IFERROR(VLOOKUP(A1395,#REF!,9,0),0)+IFERROR(VLOOKUP(A1395,#REF!,9,0),0)</f>
        <v>0</v>
      </c>
      <c r="J1395" s="104">
        <f>IFERROR(VLOOKUP(A1395,#REF!,16,0),0)+IFERROR(VLOOKUP(A1395,#REF!,26,0),0)+IFERROR(VLOOKUP(A1395,#REF!,11,0),0)+IFERROR(VLOOKUP(A1395,#REF!,23,0),0)+IFERROR(VLOOKUP(A1395,#REF!,11,0),0)+IFERROR(VLOOKUP(A1395,#REF!,11,0),0)+IFERROR(VLOOKUP(A1395,#REF!,11,0),0)</f>
        <v>0</v>
      </c>
      <c r="K1395" s="96" t="str">
        <f>"07.02.24"</f>
        <v>07.02.24</v>
      </c>
    </row>
    <row r="1396" spans="1:11" ht="11.25" customHeight="1" outlineLevel="1">
      <c r="A1396" s="89" t="n">
        <v>8090210</v>
      </c>
      <c r="B1396" s="114" t="s">
        <v>1201</v>
      </c>
      <c r="C1396" s="89" t="s">
        <v>2291</v>
      </c>
      <c r="D1396" s="89" t="s">
        <v>15</v>
      </c>
      <c r="E1396" s="89"/>
      <c r="F1396" s="102" t="n">
        <v>318</v>
      </c>
      <c r="G1396" s="102" t="n">
        <v>419</v>
      </c>
      <c r="H1396" s="103" t="s">
        <v>48</v>
      </c>
      <c r="I1396" s="103">
        <f>IFERROR(VLOOKUP(A1396,#REF!,15,0),0)+IFERROR(VLOOKUP(A1396,#REF!,25,0),0)+IFERROR(VLOOKUP(A1396,#REF!,10,0),0)+IFERROR(VLOOKUP(A1396,#REF!,14,0),0)+IFERROR(VLOOKUP(A1396,#REF!,11,0),0)+IFERROR(VLOOKUP(A1396,#REF!,10,0),0)+IFERROR(VLOOKUP(A1396,#REF!,10,0),0)+IFERROR(VLOOKUP(A1396,#REF!,9,0),0)+IFERROR(VLOOKUP(A1396,#REF!,9,0),0)+IFERROR(VLOOKUP(A1396,#REF!,9,0),0)+IFERROR(VLOOKUP(A1396,#REF!,9,0),0)</f>
        <v>0</v>
      </c>
      <c r="J1396" s="104">
        <f>IFERROR(VLOOKUP(A1396,#REF!,16,0),0)+IFERROR(VLOOKUP(A1396,#REF!,26,0),0)+IFERROR(VLOOKUP(A1396,#REF!,11,0),0)+IFERROR(VLOOKUP(A1396,#REF!,23,0),0)+IFERROR(VLOOKUP(A1396,#REF!,11,0),0)+IFERROR(VLOOKUP(A1396,#REF!,11,0),0)+IFERROR(VLOOKUP(A1396,#REF!,11,0),0)</f>
        <v>0</v>
      </c>
      <c r="K1396" s="96" t="str">
        <f>"07.02.24"</f>
        <v>07.02.24</v>
      </c>
    </row>
    <row r="1397" spans="1:11" ht="21.75" customHeight="1" outlineLevel="1">
      <c r="A1397" s="89" t="n">
        <v>8090230</v>
      </c>
      <c r="B1397" s="114" t="s">
        <v>1201</v>
      </c>
      <c r="C1397" s="89" t="s">
        <v>2292</v>
      </c>
      <c r="D1397" s="89" t="s">
        <v>15</v>
      </c>
      <c r="E1397" s="89"/>
      <c r="F1397" s="102" t="n">
        <v>390</v>
      </c>
      <c r="G1397" s="102" t="n">
        <v>514</v>
      </c>
      <c r="H1397" s="103" t="s">
        <v>48</v>
      </c>
      <c r="I1397" s="103">
        <f>IFERROR(VLOOKUP(A1397,#REF!,15,0),0)+IFERROR(VLOOKUP(A1397,#REF!,25,0),0)+IFERROR(VLOOKUP(A1397,#REF!,10,0),0)+IFERROR(VLOOKUP(A1397,#REF!,14,0),0)+IFERROR(VLOOKUP(A1397,#REF!,11,0),0)+IFERROR(VLOOKUP(A1397,#REF!,10,0),0)+IFERROR(VLOOKUP(A1397,#REF!,10,0),0)+IFERROR(VLOOKUP(A1397,#REF!,9,0),0)+IFERROR(VLOOKUP(A1397,#REF!,9,0),0)+IFERROR(VLOOKUP(A1397,#REF!,9,0),0)+IFERROR(VLOOKUP(A1397,#REF!,9,0),0)</f>
        <v>0</v>
      </c>
      <c r="J1397" s="104">
        <f>IFERROR(VLOOKUP(A1397,#REF!,16,0),0)+IFERROR(VLOOKUP(A1397,#REF!,26,0),0)+IFERROR(VLOOKUP(A1397,#REF!,11,0),0)+IFERROR(VLOOKUP(A1397,#REF!,23,0),0)+IFERROR(VLOOKUP(A1397,#REF!,11,0),0)+IFERROR(VLOOKUP(A1397,#REF!,11,0),0)+IFERROR(VLOOKUP(A1397,#REF!,11,0),0)</f>
        <v>0</v>
      </c>
      <c r="K1397" s="96" t="str">
        <f>"07.02.24"</f>
        <v>07.02.24</v>
      </c>
    </row>
    <row r="1398" spans="1:11" ht="32.25" customHeight="1">
      <c r="A1398" s="88" t="s">
        <v>2293</v>
      </c>
      <c r="B1398" s="115"/>
      <c r="C1398" s="88"/>
      <c r="D1398" s="88"/>
      <c r="E1398" s="88"/>
      <c r="F1398" s="105"/>
      <c r="G1398" s="105"/>
      <c r="H1398" s="106"/>
      <c r="I1398" s="106"/>
      <c r="J1398" s="107"/>
      <c r="K1398" s="96" t="str">
        <f>"07.02.24"</f>
        <v>07.02.24</v>
      </c>
    </row>
    <row r="1399" spans="1:11" ht="11.25" customHeight="1" outlineLevel="1">
      <c r="A1399" s="89" t="n">
        <v>38148</v>
      </c>
      <c r="B1399" s="114" t="s">
        <v>1201</v>
      </c>
      <c r="C1399" s="89" t="s">
        <v>2294</v>
      </c>
      <c r="D1399" s="89" t="s">
        <v>15</v>
      </c>
      <c r="E1399" s="89" t="s">
        <v>2295</v>
      </c>
      <c r="F1399" s="102" t="n">
        <v>346</v>
      </c>
      <c r="G1399" s="102" t="n">
        <v>458</v>
      </c>
      <c r="H1399" s="103" t="s">
        <v>48</v>
      </c>
      <c r="I1399" s="103">
        <f>IFERROR(VLOOKUP(A1399,#REF!,15,0),0)+IFERROR(VLOOKUP(A1399,#REF!,25,0),0)+IFERROR(VLOOKUP(A1399,#REF!,10,0),0)+IFERROR(VLOOKUP(A1399,#REF!,14,0),0)+IFERROR(VLOOKUP(A1399,#REF!,11,0),0)+IFERROR(VLOOKUP(A1399,#REF!,10,0),0)+IFERROR(VLOOKUP(A1399,#REF!,10,0),0)+IFERROR(VLOOKUP(A1399,#REF!,9,0),0)+IFERROR(VLOOKUP(A1399,#REF!,9,0),0)+IFERROR(VLOOKUP(A1399,#REF!,9,0),0)+IFERROR(VLOOKUP(A1399,#REF!,9,0),0)</f>
        <v>0</v>
      </c>
      <c r="J1399" s="104">
        <f>IFERROR(VLOOKUP(A1399,#REF!,16,0),0)+IFERROR(VLOOKUP(A1399,#REF!,26,0),0)+IFERROR(VLOOKUP(A1399,#REF!,11,0),0)+IFERROR(VLOOKUP(A1399,#REF!,23,0),0)+IFERROR(VLOOKUP(A1399,#REF!,11,0),0)+IFERROR(VLOOKUP(A1399,#REF!,11,0),0)+IFERROR(VLOOKUP(A1399,#REF!,11,0),0)</f>
        <v>0</v>
      </c>
      <c r="K1399" s="96" t="str">
        <f>"07.02.24"</f>
        <v>07.02.24</v>
      </c>
    </row>
    <row r="1400" spans="1:11" ht="11.25" customHeight="1" outlineLevel="1">
      <c r="A1400" s="89" t="n">
        <v>38149</v>
      </c>
      <c r="B1400" s="114" t="s">
        <v>1201</v>
      </c>
      <c r="C1400" s="89" t="s">
        <v>2296</v>
      </c>
      <c r="D1400" s="89" t="s">
        <v>15</v>
      </c>
      <c r="E1400" s="89" t="s">
        <v>2297</v>
      </c>
      <c r="F1400" s="102" t="n">
        <v>355</v>
      </c>
      <c r="G1400" s="102" t="n">
        <v>472</v>
      </c>
      <c r="H1400" s="103" t="s">
        <v>48</v>
      </c>
      <c r="I1400" s="103">
        <f>IFERROR(VLOOKUP(A1400,#REF!,15,0),0)+IFERROR(VLOOKUP(A1400,#REF!,25,0),0)+IFERROR(VLOOKUP(A1400,#REF!,10,0),0)+IFERROR(VLOOKUP(A1400,#REF!,14,0),0)+IFERROR(VLOOKUP(A1400,#REF!,11,0),0)+IFERROR(VLOOKUP(A1400,#REF!,10,0),0)+IFERROR(VLOOKUP(A1400,#REF!,10,0),0)+IFERROR(VLOOKUP(A1400,#REF!,9,0),0)+IFERROR(VLOOKUP(A1400,#REF!,9,0),0)+IFERROR(VLOOKUP(A1400,#REF!,9,0),0)+IFERROR(VLOOKUP(A1400,#REF!,9,0),0)</f>
        <v>0</v>
      </c>
      <c r="J1400" s="104">
        <f>IFERROR(VLOOKUP(A1400,#REF!,16,0),0)+IFERROR(VLOOKUP(A1400,#REF!,26,0),0)+IFERROR(VLOOKUP(A1400,#REF!,11,0),0)+IFERROR(VLOOKUP(A1400,#REF!,23,0),0)+IFERROR(VLOOKUP(A1400,#REF!,11,0),0)+IFERROR(VLOOKUP(A1400,#REF!,11,0),0)+IFERROR(VLOOKUP(A1400,#REF!,11,0),0)</f>
        <v>0</v>
      </c>
      <c r="K1400" s="96" t="str">
        <f>"07.02.24"</f>
        <v>07.02.24</v>
      </c>
    </row>
    <row r="1401" spans="1:11" ht="11.25" customHeight="1" outlineLevel="1">
      <c r="A1401" s="89" t="n">
        <v>38150</v>
      </c>
      <c r="B1401" s="114" t="s">
        <v>1201</v>
      </c>
      <c r="C1401" s="89" t="s">
        <v>2298</v>
      </c>
      <c r="D1401" s="89" t="s">
        <v>15</v>
      </c>
      <c r="E1401" s="89" t="s">
        <v>2299</v>
      </c>
      <c r="F1401" s="102" t="n">
        <v>381</v>
      </c>
      <c r="G1401" s="102" t="n">
        <v>503</v>
      </c>
      <c r="H1401" s="103" t="s">
        <v>48</v>
      </c>
      <c r="I1401" s="103">
        <f>IFERROR(VLOOKUP(A1401,#REF!,15,0),0)+IFERROR(VLOOKUP(A1401,#REF!,25,0),0)+IFERROR(VLOOKUP(A1401,#REF!,10,0),0)+IFERROR(VLOOKUP(A1401,#REF!,14,0),0)+IFERROR(VLOOKUP(A1401,#REF!,11,0),0)+IFERROR(VLOOKUP(A1401,#REF!,10,0),0)+IFERROR(VLOOKUP(A1401,#REF!,10,0),0)+IFERROR(VLOOKUP(A1401,#REF!,9,0),0)+IFERROR(VLOOKUP(A1401,#REF!,9,0),0)+IFERROR(VLOOKUP(A1401,#REF!,9,0),0)+IFERROR(VLOOKUP(A1401,#REF!,9,0),0)</f>
        <v>0</v>
      </c>
      <c r="J1401" s="104">
        <f>IFERROR(VLOOKUP(A1401,#REF!,16,0),0)+IFERROR(VLOOKUP(A1401,#REF!,26,0),0)+IFERROR(VLOOKUP(A1401,#REF!,11,0),0)+IFERROR(VLOOKUP(A1401,#REF!,23,0),0)+IFERROR(VLOOKUP(A1401,#REF!,11,0),0)+IFERROR(VLOOKUP(A1401,#REF!,11,0),0)+IFERROR(VLOOKUP(A1401,#REF!,11,0),0)</f>
        <v>0</v>
      </c>
      <c r="K1401" s="96" t="str">
        <f>"07.02.24"</f>
        <v>07.02.24</v>
      </c>
    </row>
    <row r="1402" spans="1:11" ht="11.25" customHeight="1" outlineLevel="1">
      <c r="A1402" s="89" t="n">
        <v>38151</v>
      </c>
      <c r="B1402" s="114" t="s">
        <v>1201</v>
      </c>
      <c r="C1402" s="89" t="s">
        <v>2300</v>
      </c>
      <c r="D1402" s="89" t="s">
        <v>15</v>
      </c>
      <c r="E1402" s="89" t="s">
        <v>2301</v>
      </c>
      <c r="F1402" s="102" t="n">
        <v>397</v>
      </c>
      <c r="G1402" s="102" t="n">
        <v>528</v>
      </c>
      <c r="H1402" s="103" t="s">
        <v>48</v>
      </c>
      <c r="I1402" s="103">
        <f>IFERROR(VLOOKUP(A1402,#REF!,15,0),0)+IFERROR(VLOOKUP(A1402,#REF!,25,0),0)+IFERROR(VLOOKUP(A1402,#REF!,10,0),0)+IFERROR(VLOOKUP(A1402,#REF!,14,0),0)+IFERROR(VLOOKUP(A1402,#REF!,11,0),0)+IFERROR(VLOOKUP(A1402,#REF!,10,0),0)+IFERROR(VLOOKUP(A1402,#REF!,10,0),0)+IFERROR(VLOOKUP(A1402,#REF!,9,0),0)+IFERROR(VLOOKUP(A1402,#REF!,9,0),0)+IFERROR(VLOOKUP(A1402,#REF!,9,0),0)+IFERROR(VLOOKUP(A1402,#REF!,9,0),0)</f>
        <v>0</v>
      </c>
      <c r="J1402" s="104">
        <f>IFERROR(VLOOKUP(A1402,#REF!,16,0),0)+IFERROR(VLOOKUP(A1402,#REF!,26,0),0)+IFERROR(VLOOKUP(A1402,#REF!,11,0),0)+IFERROR(VLOOKUP(A1402,#REF!,23,0),0)+IFERROR(VLOOKUP(A1402,#REF!,11,0),0)+IFERROR(VLOOKUP(A1402,#REF!,11,0),0)+IFERROR(VLOOKUP(A1402,#REF!,11,0),0)</f>
        <v>0</v>
      </c>
      <c r="K1402" s="96" t="str">
        <f>"07.02.24"</f>
        <v>07.02.24</v>
      </c>
    </row>
    <row r="1403" spans="1:11" ht="11.25" customHeight="1" outlineLevel="1">
      <c r="A1403" s="89" t="n">
        <v>38152</v>
      </c>
      <c r="B1403" s="114" t="s">
        <v>1201</v>
      </c>
      <c r="C1403" s="89" t="s">
        <v>2302</v>
      </c>
      <c r="D1403" s="89" t="s">
        <v>15</v>
      </c>
      <c r="E1403" s="89" t="s">
        <v>2303</v>
      </c>
      <c r="F1403" s="102" t="n">
        <v>427</v>
      </c>
      <c r="G1403" s="102" t="n">
        <v>569</v>
      </c>
      <c r="H1403" s="103" t="s">
        <v>48</v>
      </c>
      <c r="I1403" s="103">
        <f>IFERROR(VLOOKUP(A1403,#REF!,15,0),0)+IFERROR(VLOOKUP(A1403,#REF!,25,0),0)+IFERROR(VLOOKUP(A1403,#REF!,10,0),0)+IFERROR(VLOOKUP(A1403,#REF!,14,0),0)+IFERROR(VLOOKUP(A1403,#REF!,11,0),0)+IFERROR(VLOOKUP(A1403,#REF!,10,0),0)+IFERROR(VLOOKUP(A1403,#REF!,10,0),0)+IFERROR(VLOOKUP(A1403,#REF!,9,0),0)+IFERROR(VLOOKUP(A1403,#REF!,9,0),0)+IFERROR(VLOOKUP(A1403,#REF!,9,0),0)+IFERROR(VLOOKUP(A1403,#REF!,9,0),0)</f>
        <v>0</v>
      </c>
      <c r="J1403" s="104">
        <f>IFERROR(VLOOKUP(A1403,#REF!,16,0),0)+IFERROR(VLOOKUP(A1403,#REF!,26,0),0)+IFERROR(VLOOKUP(A1403,#REF!,11,0),0)+IFERROR(VLOOKUP(A1403,#REF!,23,0),0)+IFERROR(VLOOKUP(A1403,#REF!,11,0),0)+IFERROR(VLOOKUP(A1403,#REF!,11,0),0)+IFERROR(VLOOKUP(A1403,#REF!,11,0),0)</f>
        <v>0</v>
      </c>
      <c r="K1403" s="96" t="str">
        <f>"07.02.24"</f>
        <v>07.02.24</v>
      </c>
    </row>
    <row r="1404" spans="1:11" ht="11.25" customHeight="1" outlineLevel="1">
      <c r="A1404" s="89" t="n">
        <v>38153</v>
      </c>
      <c r="B1404" s="114" t="s">
        <v>1201</v>
      </c>
      <c r="C1404" s="89" t="s">
        <v>2304</v>
      </c>
      <c r="D1404" s="89" t="s">
        <v>15</v>
      </c>
      <c r="E1404" s="89" t="s">
        <v>2305</v>
      </c>
      <c r="F1404" s="102" t="n">
        <v>467</v>
      </c>
      <c r="G1404" s="102" t="n">
        <v>621</v>
      </c>
      <c r="H1404" s="103" t="s">
        <v>48</v>
      </c>
      <c r="I1404" s="103">
        <f>IFERROR(VLOOKUP(A1404,#REF!,15,0),0)+IFERROR(VLOOKUP(A1404,#REF!,25,0),0)+IFERROR(VLOOKUP(A1404,#REF!,10,0),0)+IFERROR(VLOOKUP(A1404,#REF!,14,0),0)+IFERROR(VLOOKUP(A1404,#REF!,11,0),0)+IFERROR(VLOOKUP(A1404,#REF!,10,0),0)+IFERROR(VLOOKUP(A1404,#REF!,10,0),0)+IFERROR(VLOOKUP(A1404,#REF!,9,0),0)+IFERROR(VLOOKUP(A1404,#REF!,9,0),0)+IFERROR(VLOOKUP(A1404,#REF!,9,0),0)+IFERROR(VLOOKUP(A1404,#REF!,9,0),0)</f>
        <v>0</v>
      </c>
      <c r="J1404" s="104">
        <f>IFERROR(VLOOKUP(A1404,#REF!,16,0),0)+IFERROR(VLOOKUP(A1404,#REF!,26,0),0)+IFERROR(VLOOKUP(A1404,#REF!,11,0),0)+IFERROR(VLOOKUP(A1404,#REF!,23,0),0)+IFERROR(VLOOKUP(A1404,#REF!,11,0),0)+IFERROR(VLOOKUP(A1404,#REF!,11,0),0)+IFERROR(VLOOKUP(A1404,#REF!,11,0),0)</f>
        <v>0</v>
      </c>
      <c r="K1404" s="96" t="str">
        <f>"07.02.24"</f>
        <v>07.02.24</v>
      </c>
    </row>
    <row r="1405" spans="1:11" ht="11.25" customHeight="1" outlineLevel="1">
      <c r="A1405" s="89" t="n">
        <v>38154</v>
      </c>
      <c r="B1405" s="114" t="s">
        <v>1201</v>
      </c>
      <c r="C1405" s="89" t="s">
        <v>2306</v>
      </c>
      <c r="D1405" s="89" t="s">
        <v>15</v>
      </c>
      <c r="E1405" s="89" t="s">
        <v>2307</v>
      </c>
      <c r="F1405" s="102" t="n">
        <v>352</v>
      </c>
      <c r="G1405" s="102" t="n">
        <v>469</v>
      </c>
      <c r="H1405" s="103" t="s">
        <v>48</v>
      </c>
      <c r="I1405" s="103">
        <f>IFERROR(VLOOKUP(A1405,#REF!,15,0),0)+IFERROR(VLOOKUP(A1405,#REF!,25,0),0)+IFERROR(VLOOKUP(A1405,#REF!,10,0),0)+IFERROR(VLOOKUP(A1405,#REF!,14,0),0)+IFERROR(VLOOKUP(A1405,#REF!,11,0),0)+IFERROR(VLOOKUP(A1405,#REF!,10,0),0)+IFERROR(VLOOKUP(A1405,#REF!,10,0),0)+IFERROR(VLOOKUP(A1405,#REF!,9,0),0)+IFERROR(VLOOKUP(A1405,#REF!,9,0),0)+IFERROR(VLOOKUP(A1405,#REF!,9,0),0)+IFERROR(VLOOKUP(A1405,#REF!,9,0),0)</f>
        <v>0</v>
      </c>
      <c r="J1405" s="104">
        <f>IFERROR(VLOOKUP(A1405,#REF!,16,0),0)+IFERROR(VLOOKUP(A1405,#REF!,26,0),0)+IFERROR(VLOOKUP(A1405,#REF!,11,0),0)+IFERROR(VLOOKUP(A1405,#REF!,23,0),0)+IFERROR(VLOOKUP(A1405,#REF!,11,0),0)+IFERROR(VLOOKUP(A1405,#REF!,11,0),0)+IFERROR(VLOOKUP(A1405,#REF!,11,0),0)</f>
        <v>0</v>
      </c>
      <c r="K1405" s="96" t="str">
        <f>"07.02.24"</f>
        <v>07.02.24</v>
      </c>
    </row>
    <row r="1406" spans="1:11" ht="11.25" customHeight="1" outlineLevel="1">
      <c r="A1406" s="89" t="n">
        <v>38155</v>
      </c>
      <c r="B1406" s="114" t="s">
        <v>1201</v>
      </c>
      <c r="C1406" s="89" t="s">
        <v>2308</v>
      </c>
      <c r="D1406" s="89" t="s">
        <v>15</v>
      </c>
      <c r="E1406" s="89" t="s">
        <v>2309</v>
      </c>
      <c r="F1406" s="102" t="n">
        <v>362</v>
      </c>
      <c r="G1406" s="102" t="n">
        <v>479</v>
      </c>
      <c r="H1406" s="103" t="s">
        <v>48</v>
      </c>
      <c r="I1406" s="103">
        <f>IFERROR(VLOOKUP(A1406,#REF!,15,0),0)+IFERROR(VLOOKUP(A1406,#REF!,25,0),0)+IFERROR(VLOOKUP(A1406,#REF!,10,0),0)+IFERROR(VLOOKUP(A1406,#REF!,14,0),0)+IFERROR(VLOOKUP(A1406,#REF!,11,0),0)+IFERROR(VLOOKUP(A1406,#REF!,10,0),0)+IFERROR(VLOOKUP(A1406,#REF!,10,0),0)+IFERROR(VLOOKUP(A1406,#REF!,9,0),0)+IFERROR(VLOOKUP(A1406,#REF!,9,0),0)+IFERROR(VLOOKUP(A1406,#REF!,9,0),0)+IFERROR(VLOOKUP(A1406,#REF!,9,0),0)</f>
        <v>0</v>
      </c>
      <c r="J1406" s="104">
        <f>IFERROR(VLOOKUP(A1406,#REF!,16,0),0)+IFERROR(VLOOKUP(A1406,#REF!,26,0),0)+IFERROR(VLOOKUP(A1406,#REF!,11,0),0)+IFERROR(VLOOKUP(A1406,#REF!,23,0),0)+IFERROR(VLOOKUP(A1406,#REF!,11,0),0)+IFERROR(VLOOKUP(A1406,#REF!,11,0),0)+IFERROR(VLOOKUP(A1406,#REF!,11,0),0)</f>
        <v>0</v>
      </c>
      <c r="K1406" s="96" t="str">
        <f>"07.02.24"</f>
        <v>07.02.24</v>
      </c>
    </row>
    <row r="1407" spans="1:11" ht="11.25" customHeight="1" outlineLevel="1">
      <c r="A1407" s="89" t="n">
        <v>38156</v>
      </c>
      <c r="B1407" s="114" t="s">
        <v>1201</v>
      </c>
      <c r="C1407" s="89" t="s">
        <v>2310</v>
      </c>
      <c r="D1407" s="89" t="s">
        <v>15</v>
      </c>
      <c r="E1407" s="89" t="s">
        <v>2311</v>
      </c>
      <c r="F1407" s="102" t="n">
        <v>373</v>
      </c>
      <c r="G1407" s="102" t="n">
        <v>497</v>
      </c>
      <c r="H1407" s="103" t="s">
        <v>48</v>
      </c>
      <c r="I1407" s="103">
        <f>IFERROR(VLOOKUP(A1407,#REF!,15,0),0)+IFERROR(VLOOKUP(A1407,#REF!,25,0),0)+IFERROR(VLOOKUP(A1407,#REF!,10,0),0)+IFERROR(VLOOKUP(A1407,#REF!,14,0),0)+IFERROR(VLOOKUP(A1407,#REF!,11,0),0)+IFERROR(VLOOKUP(A1407,#REF!,10,0),0)+IFERROR(VLOOKUP(A1407,#REF!,10,0),0)+IFERROR(VLOOKUP(A1407,#REF!,9,0),0)+IFERROR(VLOOKUP(A1407,#REF!,9,0),0)+IFERROR(VLOOKUP(A1407,#REF!,9,0),0)+IFERROR(VLOOKUP(A1407,#REF!,9,0),0)</f>
        <v>0</v>
      </c>
      <c r="J1407" s="104">
        <f>IFERROR(VLOOKUP(A1407,#REF!,16,0),0)+IFERROR(VLOOKUP(A1407,#REF!,26,0),0)+IFERROR(VLOOKUP(A1407,#REF!,11,0),0)+IFERROR(VLOOKUP(A1407,#REF!,23,0),0)+IFERROR(VLOOKUP(A1407,#REF!,11,0),0)+IFERROR(VLOOKUP(A1407,#REF!,11,0),0)+IFERROR(VLOOKUP(A1407,#REF!,11,0),0)</f>
        <v>0</v>
      </c>
      <c r="K1407" s="96" t="str">
        <f>"07.02.24"</f>
        <v>07.02.24</v>
      </c>
    </row>
    <row r="1408" spans="1:11" ht="11.25" customHeight="1" outlineLevel="1">
      <c r="A1408" s="89" t="n">
        <v>38157</v>
      </c>
      <c r="B1408" s="114" t="s">
        <v>1201</v>
      </c>
      <c r="C1408" s="89" t="s">
        <v>2312</v>
      </c>
      <c r="D1408" s="89" t="s">
        <v>15</v>
      </c>
      <c r="E1408" s="89" t="s">
        <v>2313</v>
      </c>
      <c r="F1408" s="102" t="n">
        <v>397</v>
      </c>
      <c r="G1408" s="102" t="n">
        <v>528</v>
      </c>
      <c r="H1408" s="103" t="s">
        <v>48</v>
      </c>
      <c r="I1408" s="103">
        <f>IFERROR(VLOOKUP(A1408,#REF!,15,0),0)+IFERROR(VLOOKUP(A1408,#REF!,25,0),0)+IFERROR(VLOOKUP(A1408,#REF!,10,0),0)+IFERROR(VLOOKUP(A1408,#REF!,14,0),0)+IFERROR(VLOOKUP(A1408,#REF!,11,0),0)+IFERROR(VLOOKUP(A1408,#REF!,10,0),0)+IFERROR(VLOOKUP(A1408,#REF!,10,0),0)+IFERROR(VLOOKUP(A1408,#REF!,9,0),0)+IFERROR(VLOOKUP(A1408,#REF!,9,0),0)+IFERROR(VLOOKUP(A1408,#REF!,9,0),0)+IFERROR(VLOOKUP(A1408,#REF!,9,0),0)</f>
        <v>0</v>
      </c>
      <c r="J1408" s="104">
        <f>IFERROR(VLOOKUP(A1408,#REF!,16,0),0)+IFERROR(VLOOKUP(A1408,#REF!,26,0),0)+IFERROR(VLOOKUP(A1408,#REF!,11,0),0)+IFERROR(VLOOKUP(A1408,#REF!,23,0),0)+IFERROR(VLOOKUP(A1408,#REF!,11,0),0)+IFERROR(VLOOKUP(A1408,#REF!,11,0),0)+IFERROR(VLOOKUP(A1408,#REF!,11,0),0)</f>
        <v>0</v>
      </c>
      <c r="K1408" s="96" t="str">
        <f>"07.02.24"</f>
        <v>07.02.24</v>
      </c>
    </row>
    <row r="1409" spans="1:11" ht="11.25" customHeight="1" outlineLevel="1">
      <c r="A1409" s="89" t="n">
        <v>38158</v>
      </c>
      <c r="B1409" s="114" t="s">
        <v>1201</v>
      </c>
      <c r="C1409" s="89" t="s">
        <v>2314</v>
      </c>
      <c r="D1409" s="89" t="s">
        <v>15</v>
      </c>
      <c r="E1409" s="89" t="s">
        <v>2315</v>
      </c>
      <c r="F1409" s="102" t="n">
        <v>426</v>
      </c>
      <c r="G1409" s="102" t="n">
        <v>564</v>
      </c>
      <c r="H1409" s="103" t="s">
        <v>48</v>
      </c>
      <c r="I1409" s="103">
        <f>IFERROR(VLOOKUP(A1409,#REF!,15,0),0)+IFERROR(VLOOKUP(A1409,#REF!,25,0),0)+IFERROR(VLOOKUP(A1409,#REF!,10,0),0)+IFERROR(VLOOKUP(A1409,#REF!,14,0),0)+IFERROR(VLOOKUP(A1409,#REF!,11,0),0)+IFERROR(VLOOKUP(A1409,#REF!,10,0),0)+IFERROR(VLOOKUP(A1409,#REF!,10,0),0)+IFERROR(VLOOKUP(A1409,#REF!,9,0),0)+IFERROR(VLOOKUP(A1409,#REF!,9,0),0)+IFERROR(VLOOKUP(A1409,#REF!,9,0),0)+IFERROR(VLOOKUP(A1409,#REF!,9,0),0)</f>
        <v>0</v>
      </c>
      <c r="J1409" s="104">
        <f>IFERROR(VLOOKUP(A1409,#REF!,16,0),0)+IFERROR(VLOOKUP(A1409,#REF!,26,0),0)+IFERROR(VLOOKUP(A1409,#REF!,11,0),0)+IFERROR(VLOOKUP(A1409,#REF!,23,0),0)+IFERROR(VLOOKUP(A1409,#REF!,11,0),0)+IFERROR(VLOOKUP(A1409,#REF!,11,0),0)+IFERROR(VLOOKUP(A1409,#REF!,11,0),0)</f>
        <v>0</v>
      </c>
      <c r="K1409" s="96" t="str">
        <f>"07.02.24"</f>
        <v>07.02.24</v>
      </c>
    </row>
    <row r="1410" spans="1:11" ht="11.25" customHeight="1" outlineLevel="1">
      <c r="A1410" s="89" t="n">
        <v>38159</v>
      </c>
      <c r="B1410" s="114" t="s">
        <v>1201</v>
      </c>
      <c r="C1410" s="89" t="s">
        <v>2316</v>
      </c>
      <c r="D1410" s="89" t="s">
        <v>15</v>
      </c>
      <c r="E1410" s="89" t="s">
        <v>2317</v>
      </c>
      <c r="F1410" s="102" t="n">
        <v>472</v>
      </c>
      <c r="G1410" s="102" t="n">
        <v>626</v>
      </c>
      <c r="H1410" s="103" t="s">
        <v>48</v>
      </c>
      <c r="I1410" s="103">
        <f>IFERROR(VLOOKUP(A1410,#REF!,15,0),0)+IFERROR(VLOOKUP(A1410,#REF!,25,0),0)+IFERROR(VLOOKUP(A1410,#REF!,10,0),0)+IFERROR(VLOOKUP(A1410,#REF!,14,0),0)+IFERROR(VLOOKUP(A1410,#REF!,11,0),0)+IFERROR(VLOOKUP(A1410,#REF!,10,0),0)+IFERROR(VLOOKUP(A1410,#REF!,10,0),0)+IFERROR(VLOOKUP(A1410,#REF!,9,0),0)+IFERROR(VLOOKUP(A1410,#REF!,9,0),0)+IFERROR(VLOOKUP(A1410,#REF!,9,0),0)+IFERROR(VLOOKUP(A1410,#REF!,9,0),0)</f>
        <v>0</v>
      </c>
      <c r="J1410" s="104">
        <f>IFERROR(VLOOKUP(A1410,#REF!,16,0),0)+IFERROR(VLOOKUP(A1410,#REF!,26,0),0)+IFERROR(VLOOKUP(A1410,#REF!,11,0),0)+IFERROR(VLOOKUP(A1410,#REF!,23,0),0)+IFERROR(VLOOKUP(A1410,#REF!,11,0),0)+IFERROR(VLOOKUP(A1410,#REF!,11,0),0)+IFERROR(VLOOKUP(A1410,#REF!,11,0),0)</f>
        <v>0</v>
      </c>
      <c r="K1410" s="96" t="str">
        <f>"07.02.24"</f>
        <v>07.02.24</v>
      </c>
    </row>
    <row r="1411" spans="1:11" ht="11.25" customHeight="1" outlineLevel="1">
      <c r="A1411" s="89" t="n">
        <v>38160</v>
      </c>
      <c r="B1411" s="114" t="s">
        <v>1201</v>
      </c>
      <c r="C1411" s="89" t="s">
        <v>2318</v>
      </c>
      <c r="D1411" s="89" t="s">
        <v>15</v>
      </c>
      <c r="E1411" s="89" t="s">
        <v>2319</v>
      </c>
      <c r="F1411" s="102" t="n">
        <v>535</v>
      </c>
      <c r="G1411" s="102" t="n">
        <v>710</v>
      </c>
      <c r="H1411" s="103" t="s">
        <v>48</v>
      </c>
      <c r="I1411" s="103">
        <f>IFERROR(VLOOKUP(A1411,#REF!,15,0),0)+IFERROR(VLOOKUP(A1411,#REF!,25,0),0)+IFERROR(VLOOKUP(A1411,#REF!,10,0),0)+IFERROR(VLOOKUP(A1411,#REF!,14,0),0)+IFERROR(VLOOKUP(A1411,#REF!,11,0),0)+IFERROR(VLOOKUP(A1411,#REF!,10,0),0)+IFERROR(VLOOKUP(A1411,#REF!,10,0),0)+IFERROR(VLOOKUP(A1411,#REF!,9,0),0)+IFERROR(VLOOKUP(A1411,#REF!,9,0),0)+IFERROR(VLOOKUP(A1411,#REF!,9,0),0)+IFERROR(VLOOKUP(A1411,#REF!,9,0),0)</f>
        <v>0</v>
      </c>
      <c r="J1411" s="104">
        <f>IFERROR(VLOOKUP(A1411,#REF!,16,0),0)+IFERROR(VLOOKUP(A1411,#REF!,26,0),0)+IFERROR(VLOOKUP(A1411,#REF!,11,0),0)+IFERROR(VLOOKUP(A1411,#REF!,23,0),0)+IFERROR(VLOOKUP(A1411,#REF!,11,0),0)+IFERROR(VLOOKUP(A1411,#REF!,11,0),0)+IFERROR(VLOOKUP(A1411,#REF!,11,0),0)</f>
        <v>0</v>
      </c>
      <c r="K1411" s="96" t="str">
        <f>"07.02.24"</f>
        <v>07.02.24</v>
      </c>
    </row>
    <row r="1412" spans="1:11" ht="11.25" customHeight="1" outlineLevel="1">
      <c r="A1412" s="89" t="n">
        <v>38161</v>
      </c>
      <c r="B1412" s="114" t="s">
        <v>1201</v>
      </c>
      <c r="C1412" s="89" t="s">
        <v>2320</v>
      </c>
      <c r="D1412" s="89" t="s">
        <v>15</v>
      </c>
      <c r="E1412" s="89" t="s">
        <v>2321</v>
      </c>
      <c r="F1412" s="102" t="n">
        <v>507</v>
      </c>
      <c r="G1412" s="102" t="n">
        <v>675</v>
      </c>
      <c r="H1412" s="103" t="s">
        <v>48</v>
      </c>
      <c r="I1412" s="103">
        <f>IFERROR(VLOOKUP(A1412,#REF!,15,0),0)+IFERROR(VLOOKUP(A1412,#REF!,25,0),0)+IFERROR(VLOOKUP(A1412,#REF!,10,0),0)+IFERROR(VLOOKUP(A1412,#REF!,14,0),0)+IFERROR(VLOOKUP(A1412,#REF!,11,0),0)+IFERROR(VLOOKUP(A1412,#REF!,10,0),0)+IFERROR(VLOOKUP(A1412,#REF!,10,0),0)+IFERROR(VLOOKUP(A1412,#REF!,9,0),0)+IFERROR(VLOOKUP(A1412,#REF!,9,0),0)+IFERROR(VLOOKUP(A1412,#REF!,9,0),0)+IFERROR(VLOOKUP(A1412,#REF!,9,0),0)</f>
        <v>0</v>
      </c>
      <c r="J1412" s="104">
        <f>IFERROR(VLOOKUP(A1412,#REF!,16,0),0)+IFERROR(VLOOKUP(A1412,#REF!,26,0),0)+IFERROR(VLOOKUP(A1412,#REF!,11,0),0)+IFERROR(VLOOKUP(A1412,#REF!,23,0),0)+IFERROR(VLOOKUP(A1412,#REF!,11,0),0)+IFERROR(VLOOKUP(A1412,#REF!,11,0),0)+IFERROR(VLOOKUP(A1412,#REF!,11,0),0)</f>
        <v>0</v>
      </c>
      <c r="K1412" s="96" t="str">
        <f>"07.02.24"</f>
        <v>07.02.24</v>
      </c>
    </row>
    <row r="1413" spans="1:11" ht="11.25" customHeight="1" outlineLevel="1">
      <c r="A1413" s="89" t="n">
        <v>38162</v>
      </c>
      <c r="B1413" s="114" t="s">
        <v>1201</v>
      </c>
      <c r="C1413" s="89" t="s">
        <v>2322</v>
      </c>
      <c r="D1413" s="89" t="s">
        <v>15</v>
      </c>
      <c r="E1413" s="89" t="s">
        <v>2323</v>
      </c>
      <c r="F1413" s="102" t="n">
        <v>538</v>
      </c>
      <c r="G1413" s="102" t="n">
        <v>712</v>
      </c>
      <c r="H1413" s="103" t="s">
        <v>48</v>
      </c>
      <c r="I1413" s="103">
        <f>IFERROR(VLOOKUP(A1413,#REF!,15,0),0)+IFERROR(VLOOKUP(A1413,#REF!,25,0),0)+IFERROR(VLOOKUP(A1413,#REF!,10,0),0)+IFERROR(VLOOKUP(A1413,#REF!,14,0),0)+IFERROR(VLOOKUP(A1413,#REF!,11,0),0)+IFERROR(VLOOKUP(A1413,#REF!,10,0),0)+IFERROR(VLOOKUP(A1413,#REF!,10,0),0)+IFERROR(VLOOKUP(A1413,#REF!,9,0),0)+IFERROR(VLOOKUP(A1413,#REF!,9,0),0)+IFERROR(VLOOKUP(A1413,#REF!,9,0),0)+IFERROR(VLOOKUP(A1413,#REF!,9,0),0)</f>
        <v>0</v>
      </c>
      <c r="J1413" s="104">
        <f>IFERROR(VLOOKUP(A1413,#REF!,16,0),0)+IFERROR(VLOOKUP(A1413,#REF!,26,0),0)+IFERROR(VLOOKUP(A1413,#REF!,11,0),0)+IFERROR(VLOOKUP(A1413,#REF!,23,0),0)+IFERROR(VLOOKUP(A1413,#REF!,11,0),0)+IFERROR(VLOOKUP(A1413,#REF!,11,0),0)+IFERROR(VLOOKUP(A1413,#REF!,11,0),0)</f>
        <v>0</v>
      </c>
      <c r="K1413" s="96" t="str">
        <f>"07.02.24"</f>
        <v>07.02.24</v>
      </c>
    </row>
    <row r="1414" spans="1:11" ht="11.25" customHeight="1" outlineLevel="1">
      <c r="A1414" s="89" t="n">
        <v>38163</v>
      </c>
      <c r="B1414" s="114" t="s">
        <v>1201</v>
      </c>
      <c r="C1414" s="89" t="s">
        <v>2324</v>
      </c>
      <c r="D1414" s="89" t="s">
        <v>15</v>
      </c>
      <c r="E1414" s="89" t="s">
        <v>2325</v>
      </c>
      <c r="F1414" s="102" t="n">
        <v>545</v>
      </c>
      <c r="G1414" s="102" t="n">
        <v>725</v>
      </c>
      <c r="H1414" s="103" t="s">
        <v>48</v>
      </c>
      <c r="I1414" s="103">
        <f>IFERROR(VLOOKUP(A1414,#REF!,15,0),0)+IFERROR(VLOOKUP(A1414,#REF!,25,0),0)+IFERROR(VLOOKUP(A1414,#REF!,10,0),0)+IFERROR(VLOOKUP(A1414,#REF!,14,0),0)+IFERROR(VLOOKUP(A1414,#REF!,11,0),0)+IFERROR(VLOOKUP(A1414,#REF!,10,0),0)+IFERROR(VLOOKUP(A1414,#REF!,10,0),0)+IFERROR(VLOOKUP(A1414,#REF!,9,0),0)+IFERROR(VLOOKUP(A1414,#REF!,9,0),0)+IFERROR(VLOOKUP(A1414,#REF!,9,0),0)+IFERROR(VLOOKUP(A1414,#REF!,9,0),0)</f>
        <v>0</v>
      </c>
      <c r="J1414" s="104">
        <f>IFERROR(VLOOKUP(A1414,#REF!,16,0),0)+IFERROR(VLOOKUP(A1414,#REF!,26,0),0)+IFERROR(VLOOKUP(A1414,#REF!,11,0),0)+IFERROR(VLOOKUP(A1414,#REF!,23,0),0)+IFERROR(VLOOKUP(A1414,#REF!,11,0),0)+IFERROR(VLOOKUP(A1414,#REF!,11,0),0)+IFERROR(VLOOKUP(A1414,#REF!,11,0),0)</f>
        <v>0</v>
      </c>
      <c r="K1414" s="96" t="str">
        <f>"07.02.24"</f>
        <v>07.02.24</v>
      </c>
    </row>
    <row r="1415" spans="1:11" ht="11.25" customHeight="1" outlineLevel="1">
      <c r="A1415" s="89" t="n">
        <v>38166</v>
      </c>
      <c r="B1415" s="114" t="s">
        <v>1201</v>
      </c>
      <c r="C1415" s="89" t="s">
        <v>2326</v>
      </c>
      <c r="D1415" s="89" t="s">
        <v>15</v>
      </c>
      <c r="E1415" s="89" t="s">
        <v>2327</v>
      </c>
      <c r="F1415" s="102" t="n">
        <v>572</v>
      </c>
      <c r="G1415" s="102" t="n">
        <v>756</v>
      </c>
      <c r="H1415" s="103" t="s">
        <v>48</v>
      </c>
      <c r="I1415" s="103">
        <f>IFERROR(VLOOKUP(A1415,#REF!,15,0),0)+IFERROR(VLOOKUP(A1415,#REF!,25,0),0)+IFERROR(VLOOKUP(A1415,#REF!,10,0),0)+IFERROR(VLOOKUP(A1415,#REF!,14,0),0)+IFERROR(VLOOKUP(A1415,#REF!,11,0),0)+IFERROR(VLOOKUP(A1415,#REF!,10,0),0)+IFERROR(VLOOKUP(A1415,#REF!,10,0),0)+IFERROR(VLOOKUP(A1415,#REF!,9,0),0)+IFERROR(VLOOKUP(A1415,#REF!,9,0),0)+IFERROR(VLOOKUP(A1415,#REF!,9,0),0)+IFERROR(VLOOKUP(A1415,#REF!,9,0),0)</f>
        <v>0</v>
      </c>
      <c r="J1415" s="104">
        <f>IFERROR(VLOOKUP(A1415,#REF!,16,0),0)+IFERROR(VLOOKUP(A1415,#REF!,26,0),0)+IFERROR(VLOOKUP(A1415,#REF!,11,0),0)+IFERROR(VLOOKUP(A1415,#REF!,23,0),0)+IFERROR(VLOOKUP(A1415,#REF!,11,0),0)+IFERROR(VLOOKUP(A1415,#REF!,11,0),0)+IFERROR(VLOOKUP(A1415,#REF!,11,0),0)</f>
        <v>0</v>
      </c>
      <c r="K1415" s="96" t="str">
        <f>"07.02.24"</f>
        <v>07.02.24</v>
      </c>
    </row>
    <row r="1416" spans="1:11" ht="11.25" customHeight="1" outlineLevel="1">
      <c r="A1416" s="89" t="n">
        <v>38167</v>
      </c>
      <c r="B1416" s="114" t="s">
        <v>1201</v>
      </c>
      <c r="C1416" s="89" t="s">
        <v>2328</v>
      </c>
      <c r="D1416" s="89" t="s">
        <v>15</v>
      </c>
      <c r="E1416" s="89" t="s">
        <v>2329</v>
      </c>
      <c r="F1416" s="102" t="n">
        <v>646</v>
      </c>
      <c r="G1416" s="102" t="n">
        <v>858</v>
      </c>
      <c r="H1416" s="103" t="s">
        <v>48</v>
      </c>
      <c r="I1416" s="103">
        <f>IFERROR(VLOOKUP(A1416,#REF!,15,0),0)+IFERROR(VLOOKUP(A1416,#REF!,25,0),0)+IFERROR(VLOOKUP(A1416,#REF!,10,0),0)+IFERROR(VLOOKUP(A1416,#REF!,14,0),0)+IFERROR(VLOOKUP(A1416,#REF!,11,0),0)+IFERROR(VLOOKUP(A1416,#REF!,10,0),0)+IFERROR(VLOOKUP(A1416,#REF!,10,0),0)+IFERROR(VLOOKUP(A1416,#REF!,9,0),0)+IFERROR(VLOOKUP(A1416,#REF!,9,0),0)+IFERROR(VLOOKUP(A1416,#REF!,9,0),0)+IFERROR(VLOOKUP(A1416,#REF!,9,0),0)</f>
        <v>0</v>
      </c>
      <c r="J1416" s="104">
        <f>IFERROR(VLOOKUP(A1416,#REF!,16,0),0)+IFERROR(VLOOKUP(A1416,#REF!,26,0),0)+IFERROR(VLOOKUP(A1416,#REF!,11,0),0)+IFERROR(VLOOKUP(A1416,#REF!,23,0),0)+IFERROR(VLOOKUP(A1416,#REF!,11,0),0)+IFERROR(VLOOKUP(A1416,#REF!,11,0),0)+IFERROR(VLOOKUP(A1416,#REF!,11,0),0)</f>
        <v>0</v>
      </c>
      <c r="K1416" s="96" t="str">
        <f>"07.02.24"</f>
        <v>07.02.24</v>
      </c>
    </row>
    <row r="1417" spans="1:11" ht="21.75" customHeight="1" outlineLevel="1">
      <c r="A1417" s="89" t="n">
        <v>38168</v>
      </c>
      <c r="B1417" s="114" t="s">
        <v>1201</v>
      </c>
      <c r="C1417" s="89" t="s">
        <v>2330</v>
      </c>
      <c r="D1417" s="89" t="s">
        <v>15</v>
      </c>
      <c r="E1417" s="89" t="s">
        <v>2331</v>
      </c>
      <c r="F1417" s="102" t="n">
        <v>573</v>
      </c>
      <c r="G1417" s="102" t="n">
        <v>766</v>
      </c>
      <c r="H1417" s="103" t="s">
        <v>48</v>
      </c>
      <c r="I1417" s="103">
        <f>IFERROR(VLOOKUP(A1417,#REF!,15,0),0)+IFERROR(VLOOKUP(A1417,#REF!,25,0),0)+IFERROR(VLOOKUP(A1417,#REF!,10,0),0)+IFERROR(VLOOKUP(A1417,#REF!,14,0),0)+IFERROR(VLOOKUP(A1417,#REF!,11,0),0)+IFERROR(VLOOKUP(A1417,#REF!,10,0),0)+IFERROR(VLOOKUP(A1417,#REF!,10,0),0)+IFERROR(VLOOKUP(A1417,#REF!,9,0),0)+IFERROR(VLOOKUP(A1417,#REF!,9,0),0)+IFERROR(VLOOKUP(A1417,#REF!,9,0),0)+IFERROR(VLOOKUP(A1417,#REF!,9,0),0)</f>
        <v>0</v>
      </c>
      <c r="J1417" s="104">
        <f>IFERROR(VLOOKUP(A1417,#REF!,16,0),0)+IFERROR(VLOOKUP(A1417,#REF!,26,0),0)+IFERROR(VLOOKUP(A1417,#REF!,11,0),0)+IFERROR(VLOOKUP(A1417,#REF!,23,0),0)+IFERROR(VLOOKUP(A1417,#REF!,11,0),0)+IFERROR(VLOOKUP(A1417,#REF!,11,0),0)+IFERROR(VLOOKUP(A1417,#REF!,11,0),0)</f>
        <v>0</v>
      </c>
      <c r="K1417" s="96" t="str">
        <f>"07.02.24"</f>
        <v>07.02.24</v>
      </c>
    </row>
    <row r="1418" spans="1:11" ht="21.75" customHeight="1" outlineLevel="1">
      <c r="A1418" s="89" t="n">
        <v>38169</v>
      </c>
      <c r="B1418" s="114" t="s">
        <v>1201</v>
      </c>
      <c r="C1418" s="89" t="s">
        <v>2332</v>
      </c>
      <c r="D1418" s="89" t="s">
        <v>15</v>
      </c>
      <c r="E1418" s="89" t="s">
        <v>2333</v>
      </c>
      <c r="F1418" s="102" t="n">
        <v>650</v>
      </c>
      <c r="G1418" s="102" t="n">
        <v>860</v>
      </c>
      <c r="H1418" s="103" t="s">
        <v>48</v>
      </c>
      <c r="I1418" s="103">
        <f>IFERROR(VLOOKUP(A1418,#REF!,15,0),0)+IFERROR(VLOOKUP(A1418,#REF!,25,0),0)+IFERROR(VLOOKUP(A1418,#REF!,10,0),0)+IFERROR(VLOOKUP(A1418,#REF!,14,0),0)+IFERROR(VLOOKUP(A1418,#REF!,11,0),0)+IFERROR(VLOOKUP(A1418,#REF!,10,0),0)+IFERROR(VLOOKUP(A1418,#REF!,10,0),0)+IFERROR(VLOOKUP(A1418,#REF!,9,0),0)+IFERROR(VLOOKUP(A1418,#REF!,9,0),0)+IFERROR(VLOOKUP(A1418,#REF!,9,0),0)+IFERROR(VLOOKUP(A1418,#REF!,9,0),0)</f>
        <v>0</v>
      </c>
      <c r="J1418" s="104">
        <f>IFERROR(VLOOKUP(A1418,#REF!,16,0),0)+IFERROR(VLOOKUP(A1418,#REF!,26,0),0)+IFERROR(VLOOKUP(A1418,#REF!,11,0),0)+IFERROR(VLOOKUP(A1418,#REF!,23,0),0)+IFERROR(VLOOKUP(A1418,#REF!,11,0),0)+IFERROR(VLOOKUP(A1418,#REF!,11,0),0)+IFERROR(VLOOKUP(A1418,#REF!,11,0),0)</f>
        <v>0</v>
      </c>
      <c r="K1418" s="96" t="str">
        <f>"07.02.24"</f>
        <v>07.02.24</v>
      </c>
    </row>
    <row r="1419" spans="1:11" ht="11.25" customHeight="1" outlineLevel="1">
      <c r="A1419" s="89" t="n">
        <v>38170</v>
      </c>
      <c r="B1419" s="114" t="s">
        <v>1201</v>
      </c>
      <c r="C1419" s="89" t="s">
        <v>2334</v>
      </c>
      <c r="D1419" s="89" t="s">
        <v>15</v>
      </c>
      <c r="E1419" s="89" t="s">
        <v>2335</v>
      </c>
      <c r="F1419" s="102" t="n">
        <v>826</v>
      </c>
      <c r="G1419" s="102" t="n">
        <v>1092</v>
      </c>
      <c r="H1419" s="103" t="s">
        <v>48</v>
      </c>
      <c r="I1419" s="103">
        <f>IFERROR(VLOOKUP(A1419,#REF!,15,0),0)+IFERROR(VLOOKUP(A1419,#REF!,25,0),0)+IFERROR(VLOOKUP(A1419,#REF!,10,0),0)+IFERROR(VLOOKUP(A1419,#REF!,14,0),0)+IFERROR(VLOOKUP(A1419,#REF!,11,0),0)+IFERROR(VLOOKUP(A1419,#REF!,10,0),0)+IFERROR(VLOOKUP(A1419,#REF!,10,0),0)+IFERROR(VLOOKUP(A1419,#REF!,9,0),0)+IFERROR(VLOOKUP(A1419,#REF!,9,0),0)+IFERROR(VLOOKUP(A1419,#REF!,9,0),0)+IFERROR(VLOOKUP(A1419,#REF!,9,0),0)</f>
        <v>0</v>
      </c>
      <c r="J1419" s="104">
        <f>IFERROR(VLOOKUP(A1419,#REF!,16,0),0)+IFERROR(VLOOKUP(A1419,#REF!,26,0),0)+IFERROR(VLOOKUP(A1419,#REF!,11,0),0)+IFERROR(VLOOKUP(A1419,#REF!,23,0),0)+IFERROR(VLOOKUP(A1419,#REF!,11,0),0)+IFERROR(VLOOKUP(A1419,#REF!,11,0),0)+IFERROR(VLOOKUP(A1419,#REF!,11,0),0)</f>
        <v>0</v>
      </c>
      <c r="K1419" s="96" t="str">
        <f>"07.02.24"</f>
        <v>07.02.24</v>
      </c>
    </row>
    <row r="1420" spans="1:11" ht="21.75" customHeight="1" outlineLevel="1">
      <c r="A1420" s="89" t="n">
        <v>38171</v>
      </c>
      <c r="B1420" s="114" t="s">
        <v>1201</v>
      </c>
      <c r="C1420" s="89" t="s">
        <v>2336</v>
      </c>
      <c r="D1420" s="89" t="s">
        <v>15</v>
      </c>
      <c r="E1420" s="89" t="s">
        <v>2337</v>
      </c>
      <c r="F1420" s="102" t="n">
        <v>1140</v>
      </c>
      <c r="G1420" s="102" t="n">
        <v>1512</v>
      </c>
      <c r="H1420" s="103" t="s">
        <v>48</v>
      </c>
      <c r="I1420" s="103">
        <f>IFERROR(VLOOKUP(A1420,#REF!,15,0),0)+IFERROR(VLOOKUP(A1420,#REF!,25,0),0)+IFERROR(VLOOKUP(A1420,#REF!,10,0),0)+IFERROR(VLOOKUP(A1420,#REF!,14,0),0)+IFERROR(VLOOKUP(A1420,#REF!,11,0),0)+IFERROR(VLOOKUP(A1420,#REF!,10,0),0)+IFERROR(VLOOKUP(A1420,#REF!,10,0),0)+IFERROR(VLOOKUP(A1420,#REF!,9,0),0)+IFERROR(VLOOKUP(A1420,#REF!,9,0),0)+IFERROR(VLOOKUP(A1420,#REF!,9,0),0)+IFERROR(VLOOKUP(A1420,#REF!,9,0),0)</f>
        <v>0</v>
      </c>
      <c r="J1420" s="104">
        <f>IFERROR(VLOOKUP(A1420,#REF!,16,0),0)+IFERROR(VLOOKUP(A1420,#REF!,26,0),0)+IFERROR(VLOOKUP(A1420,#REF!,11,0),0)+IFERROR(VLOOKUP(A1420,#REF!,23,0),0)+IFERROR(VLOOKUP(A1420,#REF!,11,0),0)+IFERROR(VLOOKUP(A1420,#REF!,11,0),0)+IFERROR(VLOOKUP(A1420,#REF!,11,0),0)</f>
        <v>0</v>
      </c>
      <c r="K1420" s="96" t="str">
        <f>"07.02.24"</f>
        <v>07.02.24</v>
      </c>
    </row>
    <row r="1421" spans="1:11" ht="11.25" customHeight="1" outlineLevel="1">
      <c r="A1421" s="89" t="n">
        <v>38172</v>
      </c>
      <c r="B1421" s="114" t="s">
        <v>1201</v>
      </c>
      <c r="C1421" s="89" t="s">
        <v>2338</v>
      </c>
      <c r="D1421" s="89" t="s">
        <v>15</v>
      </c>
      <c r="E1421" s="89" t="s">
        <v>2339</v>
      </c>
      <c r="F1421" s="102" t="n">
        <v>941</v>
      </c>
      <c r="G1421" s="102" t="n">
        <v>1251</v>
      </c>
      <c r="H1421" s="103" t="s">
        <v>48</v>
      </c>
      <c r="I1421" s="103">
        <f>IFERROR(VLOOKUP(A1421,#REF!,15,0),0)+IFERROR(VLOOKUP(A1421,#REF!,25,0),0)+IFERROR(VLOOKUP(A1421,#REF!,10,0),0)+IFERROR(VLOOKUP(A1421,#REF!,14,0),0)+IFERROR(VLOOKUP(A1421,#REF!,11,0),0)+IFERROR(VLOOKUP(A1421,#REF!,10,0),0)+IFERROR(VLOOKUP(A1421,#REF!,10,0),0)+IFERROR(VLOOKUP(A1421,#REF!,9,0),0)+IFERROR(VLOOKUP(A1421,#REF!,9,0),0)+IFERROR(VLOOKUP(A1421,#REF!,9,0),0)+IFERROR(VLOOKUP(A1421,#REF!,9,0),0)</f>
        <v>0</v>
      </c>
      <c r="J1421" s="104">
        <f>IFERROR(VLOOKUP(A1421,#REF!,16,0),0)+IFERROR(VLOOKUP(A1421,#REF!,26,0),0)+IFERROR(VLOOKUP(A1421,#REF!,11,0),0)+IFERROR(VLOOKUP(A1421,#REF!,23,0),0)+IFERROR(VLOOKUP(A1421,#REF!,11,0),0)+IFERROR(VLOOKUP(A1421,#REF!,11,0),0)+IFERROR(VLOOKUP(A1421,#REF!,11,0),0)</f>
        <v>0</v>
      </c>
      <c r="K1421" s="96" t="str">
        <f>"07.02.24"</f>
        <v>07.02.24</v>
      </c>
    </row>
    <row r="1422" spans="1:11" ht="11.25" customHeight="1" outlineLevel="1">
      <c r="A1422" s="89" t="n">
        <v>38173</v>
      </c>
      <c r="B1422" s="114" t="s">
        <v>1201</v>
      </c>
      <c r="C1422" s="89" t="s">
        <v>2340</v>
      </c>
      <c r="D1422" s="89" t="s">
        <v>15</v>
      </c>
      <c r="E1422" s="89" t="s">
        <v>2341</v>
      </c>
      <c r="F1422" s="102" t="n">
        <v>1163</v>
      </c>
      <c r="G1422" s="102" t="n">
        <v>1545</v>
      </c>
      <c r="H1422" s="103" t="s">
        <v>48</v>
      </c>
      <c r="I1422" s="103">
        <f>IFERROR(VLOOKUP(A1422,#REF!,15,0),0)+IFERROR(VLOOKUP(A1422,#REF!,25,0),0)+IFERROR(VLOOKUP(A1422,#REF!,10,0),0)+IFERROR(VLOOKUP(A1422,#REF!,14,0),0)+IFERROR(VLOOKUP(A1422,#REF!,11,0),0)+IFERROR(VLOOKUP(A1422,#REF!,10,0),0)+IFERROR(VLOOKUP(A1422,#REF!,10,0),0)+IFERROR(VLOOKUP(A1422,#REF!,9,0),0)+IFERROR(VLOOKUP(A1422,#REF!,9,0),0)+IFERROR(VLOOKUP(A1422,#REF!,9,0),0)+IFERROR(VLOOKUP(A1422,#REF!,9,0),0)</f>
        <v>0</v>
      </c>
      <c r="J1422" s="104">
        <f>IFERROR(VLOOKUP(A1422,#REF!,16,0),0)+IFERROR(VLOOKUP(A1422,#REF!,26,0),0)+IFERROR(VLOOKUP(A1422,#REF!,11,0),0)+IFERROR(VLOOKUP(A1422,#REF!,23,0),0)+IFERROR(VLOOKUP(A1422,#REF!,11,0),0)+IFERROR(VLOOKUP(A1422,#REF!,11,0),0)+IFERROR(VLOOKUP(A1422,#REF!,11,0),0)</f>
        <v>0</v>
      </c>
      <c r="K1422" s="96" t="str">
        <f>"07.02.24"</f>
        <v>07.02.24</v>
      </c>
    </row>
    <row r="1423" spans="1:11" ht="11.25" customHeight="1" outlineLevel="1">
      <c r="A1423" s="89" t="n">
        <v>38174</v>
      </c>
      <c r="B1423" s="114" t="s">
        <v>1201</v>
      </c>
      <c r="C1423" s="89" t="s">
        <v>2342</v>
      </c>
      <c r="D1423" s="89" t="s">
        <v>15</v>
      </c>
      <c r="E1423" s="89" t="s">
        <v>2343</v>
      </c>
      <c r="F1423" s="102" t="n">
        <v>816</v>
      </c>
      <c r="G1423" s="102" t="n">
        <v>1083</v>
      </c>
      <c r="H1423" s="103" t="s">
        <v>48</v>
      </c>
      <c r="I1423" s="103">
        <f>IFERROR(VLOOKUP(A1423,#REF!,15,0),0)+IFERROR(VLOOKUP(A1423,#REF!,25,0),0)+IFERROR(VLOOKUP(A1423,#REF!,10,0),0)+IFERROR(VLOOKUP(A1423,#REF!,14,0),0)+IFERROR(VLOOKUP(A1423,#REF!,11,0),0)+IFERROR(VLOOKUP(A1423,#REF!,10,0),0)+IFERROR(VLOOKUP(A1423,#REF!,10,0),0)+IFERROR(VLOOKUP(A1423,#REF!,9,0),0)+IFERROR(VLOOKUP(A1423,#REF!,9,0),0)+IFERROR(VLOOKUP(A1423,#REF!,9,0),0)+IFERROR(VLOOKUP(A1423,#REF!,9,0),0)</f>
        <v>0</v>
      </c>
      <c r="J1423" s="104">
        <f>IFERROR(VLOOKUP(A1423,#REF!,16,0),0)+IFERROR(VLOOKUP(A1423,#REF!,26,0),0)+IFERROR(VLOOKUP(A1423,#REF!,11,0),0)+IFERROR(VLOOKUP(A1423,#REF!,23,0),0)+IFERROR(VLOOKUP(A1423,#REF!,11,0),0)+IFERROR(VLOOKUP(A1423,#REF!,11,0),0)+IFERROR(VLOOKUP(A1423,#REF!,11,0),0)</f>
        <v>0</v>
      </c>
      <c r="K1423" s="96" t="str">
        <f>"07.02.24"</f>
        <v>07.02.24</v>
      </c>
    </row>
    <row r="1424" spans="1:11" ht="11.25" customHeight="1" outlineLevel="1">
      <c r="A1424" s="89" t="n">
        <v>38175</v>
      </c>
      <c r="B1424" s="114" t="s">
        <v>1201</v>
      </c>
      <c r="C1424" s="89" t="s">
        <v>2344</v>
      </c>
      <c r="D1424" s="89" t="s">
        <v>15</v>
      </c>
      <c r="E1424" s="89" t="s">
        <v>2345</v>
      </c>
      <c r="F1424" s="102" t="n">
        <v>939</v>
      </c>
      <c r="G1424" s="102" t="n">
        <v>1248</v>
      </c>
      <c r="H1424" s="103" t="s">
        <v>48</v>
      </c>
      <c r="I1424" s="103">
        <f>IFERROR(VLOOKUP(A1424,#REF!,15,0),0)+IFERROR(VLOOKUP(A1424,#REF!,25,0),0)+IFERROR(VLOOKUP(A1424,#REF!,10,0),0)+IFERROR(VLOOKUP(A1424,#REF!,14,0),0)+IFERROR(VLOOKUP(A1424,#REF!,11,0),0)+IFERROR(VLOOKUP(A1424,#REF!,10,0),0)+IFERROR(VLOOKUP(A1424,#REF!,10,0),0)+IFERROR(VLOOKUP(A1424,#REF!,9,0),0)+IFERROR(VLOOKUP(A1424,#REF!,9,0),0)+IFERROR(VLOOKUP(A1424,#REF!,9,0),0)+IFERROR(VLOOKUP(A1424,#REF!,9,0),0)</f>
        <v>0</v>
      </c>
      <c r="J1424" s="104">
        <f>IFERROR(VLOOKUP(A1424,#REF!,16,0),0)+IFERROR(VLOOKUP(A1424,#REF!,26,0),0)+IFERROR(VLOOKUP(A1424,#REF!,11,0),0)+IFERROR(VLOOKUP(A1424,#REF!,23,0),0)+IFERROR(VLOOKUP(A1424,#REF!,11,0),0)+IFERROR(VLOOKUP(A1424,#REF!,11,0),0)+IFERROR(VLOOKUP(A1424,#REF!,11,0),0)</f>
        <v>0</v>
      </c>
      <c r="K1424" s="96" t="str">
        <f>"07.02.24"</f>
        <v>07.02.24</v>
      </c>
    </row>
    <row r="1425" spans="1:11" ht="11.25" customHeight="1" outlineLevel="1">
      <c r="A1425" s="89" t="n">
        <v>38176</v>
      </c>
      <c r="B1425" s="114" t="s">
        <v>1201</v>
      </c>
      <c r="C1425" s="89" t="s">
        <v>2346</v>
      </c>
      <c r="D1425" s="89" t="s">
        <v>15</v>
      </c>
      <c r="E1425" s="89" t="s">
        <v>2347</v>
      </c>
      <c r="F1425" s="102" t="n">
        <v>940</v>
      </c>
      <c r="G1425" s="102" t="n">
        <v>1252</v>
      </c>
      <c r="H1425" s="103" t="s">
        <v>48</v>
      </c>
      <c r="I1425" s="103">
        <f>IFERROR(VLOOKUP(A1425,#REF!,15,0),0)+IFERROR(VLOOKUP(A1425,#REF!,25,0),0)+IFERROR(VLOOKUP(A1425,#REF!,10,0),0)+IFERROR(VLOOKUP(A1425,#REF!,14,0),0)+IFERROR(VLOOKUP(A1425,#REF!,11,0),0)+IFERROR(VLOOKUP(A1425,#REF!,10,0),0)+IFERROR(VLOOKUP(A1425,#REF!,10,0),0)+IFERROR(VLOOKUP(A1425,#REF!,9,0),0)+IFERROR(VLOOKUP(A1425,#REF!,9,0),0)+IFERROR(VLOOKUP(A1425,#REF!,9,0),0)+IFERROR(VLOOKUP(A1425,#REF!,9,0),0)</f>
        <v>0</v>
      </c>
      <c r="J1425" s="104">
        <f>IFERROR(VLOOKUP(A1425,#REF!,16,0),0)+IFERROR(VLOOKUP(A1425,#REF!,26,0),0)+IFERROR(VLOOKUP(A1425,#REF!,11,0),0)+IFERROR(VLOOKUP(A1425,#REF!,23,0),0)+IFERROR(VLOOKUP(A1425,#REF!,11,0),0)+IFERROR(VLOOKUP(A1425,#REF!,11,0),0)+IFERROR(VLOOKUP(A1425,#REF!,11,0),0)</f>
        <v>0</v>
      </c>
      <c r="K1425" s="96" t="str">
        <f>"07.02.24"</f>
        <v>07.02.24</v>
      </c>
    </row>
    <row r="1426" spans="1:11" ht="11.25" customHeight="1" outlineLevel="1">
      <c r="A1426" s="89" t="n">
        <v>38177</v>
      </c>
      <c r="B1426" s="114" t="s">
        <v>1201</v>
      </c>
      <c r="C1426" s="89" t="s">
        <v>2348</v>
      </c>
      <c r="D1426" s="89" t="s">
        <v>15</v>
      </c>
      <c r="E1426" s="89" t="s">
        <v>2349</v>
      </c>
      <c r="F1426" s="102" t="n">
        <v>1125</v>
      </c>
      <c r="G1426" s="102" t="n">
        <v>1495</v>
      </c>
      <c r="H1426" s="103" t="s">
        <v>48</v>
      </c>
      <c r="I1426" s="103">
        <f>IFERROR(VLOOKUP(A1426,#REF!,15,0),0)+IFERROR(VLOOKUP(A1426,#REF!,25,0),0)+IFERROR(VLOOKUP(A1426,#REF!,10,0),0)+IFERROR(VLOOKUP(A1426,#REF!,14,0),0)+IFERROR(VLOOKUP(A1426,#REF!,11,0),0)+IFERROR(VLOOKUP(A1426,#REF!,10,0),0)+IFERROR(VLOOKUP(A1426,#REF!,10,0),0)+IFERROR(VLOOKUP(A1426,#REF!,9,0),0)+IFERROR(VLOOKUP(A1426,#REF!,9,0),0)+IFERROR(VLOOKUP(A1426,#REF!,9,0),0)+IFERROR(VLOOKUP(A1426,#REF!,9,0),0)</f>
        <v>0</v>
      </c>
      <c r="J1426" s="104">
        <f>IFERROR(VLOOKUP(A1426,#REF!,16,0),0)+IFERROR(VLOOKUP(A1426,#REF!,26,0),0)+IFERROR(VLOOKUP(A1426,#REF!,11,0),0)+IFERROR(VLOOKUP(A1426,#REF!,23,0),0)+IFERROR(VLOOKUP(A1426,#REF!,11,0),0)+IFERROR(VLOOKUP(A1426,#REF!,11,0),0)+IFERROR(VLOOKUP(A1426,#REF!,11,0),0)</f>
        <v>0</v>
      </c>
      <c r="K1426" s="96" t="str">
        <f>"07.02.24"</f>
        <v>07.02.24</v>
      </c>
    </row>
    <row r="1427" spans="1:11" ht="11.25" customHeight="1" outlineLevel="1">
      <c r="A1427" s="89" t="n">
        <v>38178</v>
      </c>
      <c r="B1427" s="114" t="s">
        <v>1201</v>
      </c>
      <c r="C1427" s="89" t="s">
        <v>2350</v>
      </c>
      <c r="D1427" s="89" t="s">
        <v>15</v>
      </c>
      <c r="E1427" s="89" t="s">
        <v>2351</v>
      </c>
      <c r="F1427" s="102" t="n">
        <v>826</v>
      </c>
      <c r="G1427" s="102" t="n">
        <v>1100</v>
      </c>
      <c r="H1427" s="103" t="s">
        <v>48</v>
      </c>
      <c r="I1427" s="103">
        <f>IFERROR(VLOOKUP(A1427,#REF!,15,0),0)+IFERROR(VLOOKUP(A1427,#REF!,25,0),0)+IFERROR(VLOOKUP(A1427,#REF!,10,0),0)+IFERROR(VLOOKUP(A1427,#REF!,14,0),0)+IFERROR(VLOOKUP(A1427,#REF!,11,0),0)+IFERROR(VLOOKUP(A1427,#REF!,10,0),0)+IFERROR(VLOOKUP(A1427,#REF!,10,0),0)+IFERROR(VLOOKUP(A1427,#REF!,9,0),0)+IFERROR(VLOOKUP(A1427,#REF!,9,0),0)+IFERROR(VLOOKUP(A1427,#REF!,9,0),0)+IFERROR(VLOOKUP(A1427,#REF!,9,0),0)</f>
        <v>0</v>
      </c>
      <c r="J1427" s="104">
        <f>IFERROR(VLOOKUP(A1427,#REF!,16,0),0)+IFERROR(VLOOKUP(A1427,#REF!,26,0),0)+IFERROR(VLOOKUP(A1427,#REF!,11,0),0)+IFERROR(VLOOKUP(A1427,#REF!,23,0),0)+IFERROR(VLOOKUP(A1427,#REF!,11,0),0)+IFERROR(VLOOKUP(A1427,#REF!,11,0),0)+IFERROR(VLOOKUP(A1427,#REF!,11,0),0)</f>
        <v>0</v>
      </c>
      <c r="K1427" s="96" t="str">
        <f>"07.02.24"</f>
        <v>07.02.24</v>
      </c>
    </row>
    <row r="1428" spans="1:11" ht="11.25" customHeight="1" outlineLevel="1">
      <c r="A1428" s="89" t="n">
        <v>38179</v>
      </c>
      <c r="B1428" s="114" t="s">
        <v>1201</v>
      </c>
      <c r="C1428" s="89" t="s">
        <v>2352</v>
      </c>
      <c r="D1428" s="89" t="s">
        <v>15</v>
      </c>
      <c r="E1428" s="89" t="s">
        <v>2353</v>
      </c>
      <c r="F1428" s="102" t="n">
        <v>829</v>
      </c>
      <c r="G1428" s="102" t="n">
        <v>1101</v>
      </c>
      <c r="H1428" s="103" t="s">
        <v>48</v>
      </c>
      <c r="I1428" s="103">
        <f>IFERROR(VLOOKUP(A1428,#REF!,15,0),0)+IFERROR(VLOOKUP(A1428,#REF!,25,0),0)+IFERROR(VLOOKUP(A1428,#REF!,10,0),0)+IFERROR(VLOOKUP(A1428,#REF!,14,0),0)+IFERROR(VLOOKUP(A1428,#REF!,11,0),0)+IFERROR(VLOOKUP(A1428,#REF!,10,0),0)+IFERROR(VLOOKUP(A1428,#REF!,10,0),0)+IFERROR(VLOOKUP(A1428,#REF!,9,0),0)+IFERROR(VLOOKUP(A1428,#REF!,9,0),0)+IFERROR(VLOOKUP(A1428,#REF!,9,0),0)+IFERROR(VLOOKUP(A1428,#REF!,9,0),0)</f>
        <v>0</v>
      </c>
      <c r="J1428" s="104">
        <f>IFERROR(VLOOKUP(A1428,#REF!,16,0),0)+IFERROR(VLOOKUP(A1428,#REF!,26,0),0)+IFERROR(VLOOKUP(A1428,#REF!,11,0),0)+IFERROR(VLOOKUP(A1428,#REF!,23,0),0)+IFERROR(VLOOKUP(A1428,#REF!,11,0),0)+IFERROR(VLOOKUP(A1428,#REF!,11,0),0)+IFERROR(VLOOKUP(A1428,#REF!,11,0),0)</f>
        <v>0</v>
      </c>
      <c r="K1428" s="96" t="str">
        <f>"07.02.24"</f>
        <v>07.02.24</v>
      </c>
    </row>
    <row r="1429" spans="1:11" ht="11.25" customHeight="1" outlineLevel="1">
      <c r="A1429" s="89" t="n">
        <v>38180</v>
      </c>
      <c r="B1429" s="114" t="s">
        <v>1201</v>
      </c>
      <c r="C1429" s="89" t="s">
        <v>2354</v>
      </c>
      <c r="D1429" s="89" t="s">
        <v>15</v>
      </c>
      <c r="E1429" s="89" t="s">
        <v>2355</v>
      </c>
      <c r="F1429" s="102" t="n">
        <v>944</v>
      </c>
      <c r="G1429" s="102" t="n">
        <v>1254</v>
      </c>
      <c r="H1429" s="103" t="s">
        <v>17</v>
      </c>
      <c r="I1429" s="103">
        <f>IFERROR(VLOOKUP(A1429,#REF!,15,0),0)+IFERROR(VLOOKUP(A1429,#REF!,25,0),0)+IFERROR(VLOOKUP(A1429,#REF!,10,0),0)+IFERROR(VLOOKUP(A1429,#REF!,14,0),0)+IFERROR(VLOOKUP(A1429,#REF!,11,0),0)+IFERROR(VLOOKUP(A1429,#REF!,10,0),0)+IFERROR(VLOOKUP(A1429,#REF!,10,0),0)+IFERROR(VLOOKUP(A1429,#REF!,9,0),0)+IFERROR(VLOOKUP(A1429,#REF!,9,0),0)+IFERROR(VLOOKUP(A1429,#REF!,9,0),0)+IFERROR(VLOOKUP(A1429,#REF!,9,0),0)</f>
        <v>0</v>
      </c>
      <c r="J1429" s="104">
        <f>IFERROR(VLOOKUP(A1429,#REF!,16,0),0)+IFERROR(VLOOKUP(A1429,#REF!,26,0),0)+IFERROR(VLOOKUP(A1429,#REF!,11,0),0)+IFERROR(VLOOKUP(A1429,#REF!,23,0),0)+IFERROR(VLOOKUP(A1429,#REF!,11,0),0)+IFERROR(VLOOKUP(A1429,#REF!,11,0),0)+IFERROR(VLOOKUP(A1429,#REF!,11,0),0)</f>
        <v>0</v>
      </c>
      <c r="K1429" s="96" t="str">
        <f>"07.02.24"</f>
        <v>07.02.24</v>
      </c>
    </row>
    <row r="1430" spans="1:11" ht="11.25" customHeight="1" outlineLevel="1">
      <c r="A1430" s="89" t="n">
        <v>38181</v>
      </c>
      <c r="B1430" s="114" t="s">
        <v>1201</v>
      </c>
      <c r="C1430" s="89" t="s">
        <v>2356</v>
      </c>
      <c r="D1430" s="89" t="s">
        <v>15</v>
      </c>
      <c r="E1430" s="89" t="s">
        <v>2357</v>
      </c>
      <c r="F1430" s="102" t="n">
        <v>1129</v>
      </c>
      <c r="G1430" s="102" t="n">
        <v>1495</v>
      </c>
      <c r="H1430" s="103" t="s">
        <v>48</v>
      </c>
      <c r="I1430" s="103">
        <f>IFERROR(VLOOKUP(A1430,#REF!,15,0),0)+IFERROR(VLOOKUP(A1430,#REF!,25,0),0)+IFERROR(VLOOKUP(A1430,#REF!,10,0),0)+IFERROR(VLOOKUP(A1430,#REF!,14,0),0)+IFERROR(VLOOKUP(A1430,#REF!,11,0),0)+IFERROR(VLOOKUP(A1430,#REF!,10,0),0)+IFERROR(VLOOKUP(A1430,#REF!,10,0),0)+IFERROR(VLOOKUP(A1430,#REF!,9,0),0)+IFERROR(VLOOKUP(A1430,#REF!,9,0),0)+IFERROR(VLOOKUP(A1430,#REF!,9,0),0)+IFERROR(VLOOKUP(A1430,#REF!,9,0),0)</f>
        <v>0</v>
      </c>
      <c r="J1430" s="104">
        <f>IFERROR(VLOOKUP(A1430,#REF!,16,0),0)+IFERROR(VLOOKUP(A1430,#REF!,26,0),0)+IFERROR(VLOOKUP(A1430,#REF!,11,0),0)+IFERROR(VLOOKUP(A1430,#REF!,23,0),0)+IFERROR(VLOOKUP(A1430,#REF!,11,0),0)+IFERROR(VLOOKUP(A1430,#REF!,11,0),0)+IFERROR(VLOOKUP(A1430,#REF!,11,0),0)</f>
        <v>0</v>
      </c>
      <c r="K1430" s="96" t="str">
        <f>"07.02.24"</f>
        <v>07.02.24</v>
      </c>
    </row>
    <row r="1431" spans="1:11" ht="11.25" customHeight="1" outlineLevel="1">
      <c r="A1431" s="89" t="n">
        <v>38182</v>
      </c>
      <c r="B1431" s="114" t="s">
        <v>1201</v>
      </c>
      <c r="C1431" s="89" t="s">
        <v>2358</v>
      </c>
      <c r="D1431" s="89" t="s">
        <v>15</v>
      </c>
      <c r="E1431" s="89" t="s">
        <v>2359</v>
      </c>
      <c r="F1431" s="102" t="n">
        <v>816</v>
      </c>
      <c r="G1431" s="102" t="n">
        <v>1083</v>
      </c>
      <c r="H1431" s="103" t="s">
        <v>48</v>
      </c>
      <c r="I1431" s="103">
        <f>IFERROR(VLOOKUP(A1431,#REF!,15,0),0)+IFERROR(VLOOKUP(A1431,#REF!,25,0),0)+IFERROR(VLOOKUP(A1431,#REF!,10,0),0)+IFERROR(VLOOKUP(A1431,#REF!,14,0),0)+IFERROR(VLOOKUP(A1431,#REF!,11,0),0)+IFERROR(VLOOKUP(A1431,#REF!,10,0),0)+IFERROR(VLOOKUP(A1431,#REF!,10,0),0)+IFERROR(VLOOKUP(A1431,#REF!,9,0),0)+IFERROR(VLOOKUP(A1431,#REF!,9,0),0)+IFERROR(VLOOKUP(A1431,#REF!,9,0),0)+IFERROR(VLOOKUP(A1431,#REF!,9,0),0)</f>
        <v>0</v>
      </c>
      <c r="J1431" s="104">
        <f>IFERROR(VLOOKUP(A1431,#REF!,16,0),0)+IFERROR(VLOOKUP(A1431,#REF!,26,0),0)+IFERROR(VLOOKUP(A1431,#REF!,11,0),0)+IFERROR(VLOOKUP(A1431,#REF!,23,0),0)+IFERROR(VLOOKUP(A1431,#REF!,11,0),0)+IFERROR(VLOOKUP(A1431,#REF!,11,0),0)+IFERROR(VLOOKUP(A1431,#REF!,11,0),0)</f>
        <v>0</v>
      </c>
      <c r="K1431" s="96" t="str">
        <f>"07.02.24"</f>
        <v>07.02.24</v>
      </c>
    </row>
    <row r="1432" spans="1:11" ht="11.25" customHeight="1" outlineLevel="1">
      <c r="A1432" s="89" t="n">
        <v>38183</v>
      </c>
      <c r="B1432" s="114" t="s">
        <v>1201</v>
      </c>
      <c r="C1432" s="89" t="s">
        <v>2360</v>
      </c>
      <c r="D1432" s="89" t="s">
        <v>15</v>
      </c>
      <c r="E1432" s="89" t="s">
        <v>2361</v>
      </c>
      <c r="F1432" s="102" t="n">
        <v>889</v>
      </c>
      <c r="G1432" s="102" t="n">
        <v>1182</v>
      </c>
      <c r="H1432" s="103" t="s">
        <v>48</v>
      </c>
      <c r="I1432" s="103">
        <f>IFERROR(VLOOKUP(A1432,#REF!,15,0),0)+IFERROR(VLOOKUP(A1432,#REF!,25,0),0)+IFERROR(VLOOKUP(A1432,#REF!,10,0),0)+IFERROR(VLOOKUP(A1432,#REF!,14,0),0)+IFERROR(VLOOKUP(A1432,#REF!,11,0),0)+IFERROR(VLOOKUP(A1432,#REF!,10,0),0)+IFERROR(VLOOKUP(A1432,#REF!,10,0),0)+IFERROR(VLOOKUP(A1432,#REF!,9,0),0)+IFERROR(VLOOKUP(A1432,#REF!,9,0),0)+IFERROR(VLOOKUP(A1432,#REF!,9,0),0)+IFERROR(VLOOKUP(A1432,#REF!,9,0),0)</f>
        <v>0</v>
      </c>
      <c r="J1432" s="104">
        <f>IFERROR(VLOOKUP(A1432,#REF!,16,0),0)+IFERROR(VLOOKUP(A1432,#REF!,26,0),0)+IFERROR(VLOOKUP(A1432,#REF!,11,0),0)+IFERROR(VLOOKUP(A1432,#REF!,23,0),0)+IFERROR(VLOOKUP(A1432,#REF!,11,0),0)+IFERROR(VLOOKUP(A1432,#REF!,11,0),0)+IFERROR(VLOOKUP(A1432,#REF!,11,0),0)</f>
        <v>0</v>
      </c>
      <c r="K1432" s="96" t="str">
        <f>"07.02.24"</f>
        <v>07.02.24</v>
      </c>
    </row>
    <row r="1433" spans="1:11" ht="11.25" customHeight="1" outlineLevel="1">
      <c r="A1433" s="89" t="n">
        <v>38184</v>
      </c>
      <c r="B1433" s="114" t="s">
        <v>1201</v>
      </c>
      <c r="C1433" s="89" t="s">
        <v>2362</v>
      </c>
      <c r="D1433" s="89" t="s">
        <v>15</v>
      </c>
      <c r="E1433" s="89" t="s">
        <v>2363</v>
      </c>
      <c r="F1433" s="102" t="n">
        <v>944</v>
      </c>
      <c r="G1433" s="102" t="n">
        <v>1254</v>
      </c>
      <c r="H1433" s="103" t="s">
        <v>48</v>
      </c>
      <c r="I1433" s="103">
        <f>IFERROR(VLOOKUP(A1433,#REF!,15,0),0)+IFERROR(VLOOKUP(A1433,#REF!,25,0),0)+IFERROR(VLOOKUP(A1433,#REF!,10,0),0)+IFERROR(VLOOKUP(A1433,#REF!,14,0),0)+IFERROR(VLOOKUP(A1433,#REF!,11,0),0)+IFERROR(VLOOKUP(A1433,#REF!,10,0),0)+IFERROR(VLOOKUP(A1433,#REF!,10,0),0)+IFERROR(VLOOKUP(A1433,#REF!,9,0),0)+IFERROR(VLOOKUP(A1433,#REF!,9,0),0)+IFERROR(VLOOKUP(A1433,#REF!,9,0),0)+IFERROR(VLOOKUP(A1433,#REF!,9,0),0)</f>
        <v>0</v>
      </c>
      <c r="J1433" s="104">
        <f>IFERROR(VLOOKUP(A1433,#REF!,16,0),0)+IFERROR(VLOOKUP(A1433,#REF!,26,0),0)+IFERROR(VLOOKUP(A1433,#REF!,11,0),0)+IFERROR(VLOOKUP(A1433,#REF!,23,0),0)+IFERROR(VLOOKUP(A1433,#REF!,11,0),0)+IFERROR(VLOOKUP(A1433,#REF!,11,0),0)+IFERROR(VLOOKUP(A1433,#REF!,11,0),0)</f>
        <v>0</v>
      </c>
      <c r="K1433" s="96" t="str">
        <f>"07.02.24"</f>
        <v>07.02.24</v>
      </c>
    </row>
    <row r="1434" spans="1:11" ht="11.25" customHeight="1" outlineLevel="1">
      <c r="A1434" s="89" t="n">
        <v>38185</v>
      </c>
      <c r="B1434" s="114" t="s">
        <v>1201</v>
      </c>
      <c r="C1434" s="89" t="s">
        <v>2364</v>
      </c>
      <c r="D1434" s="89" t="s">
        <v>15</v>
      </c>
      <c r="E1434" s="89" t="s">
        <v>2365</v>
      </c>
      <c r="F1434" s="102" t="n">
        <v>826</v>
      </c>
      <c r="G1434" s="102" t="n">
        <v>1100</v>
      </c>
      <c r="H1434" s="103" t="s">
        <v>48</v>
      </c>
      <c r="I1434" s="103">
        <f>IFERROR(VLOOKUP(A1434,#REF!,15,0),0)+IFERROR(VLOOKUP(A1434,#REF!,25,0),0)+IFERROR(VLOOKUP(A1434,#REF!,10,0),0)+IFERROR(VLOOKUP(A1434,#REF!,14,0),0)+IFERROR(VLOOKUP(A1434,#REF!,11,0),0)+IFERROR(VLOOKUP(A1434,#REF!,10,0),0)+IFERROR(VLOOKUP(A1434,#REF!,10,0),0)+IFERROR(VLOOKUP(A1434,#REF!,9,0),0)+IFERROR(VLOOKUP(A1434,#REF!,9,0),0)+IFERROR(VLOOKUP(A1434,#REF!,9,0),0)+IFERROR(VLOOKUP(A1434,#REF!,9,0),0)</f>
        <v>0</v>
      </c>
      <c r="J1434" s="104">
        <f>IFERROR(VLOOKUP(A1434,#REF!,16,0),0)+IFERROR(VLOOKUP(A1434,#REF!,26,0),0)+IFERROR(VLOOKUP(A1434,#REF!,11,0),0)+IFERROR(VLOOKUP(A1434,#REF!,23,0),0)+IFERROR(VLOOKUP(A1434,#REF!,11,0),0)+IFERROR(VLOOKUP(A1434,#REF!,11,0),0)+IFERROR(VLOOKUP(A1434,#REF!,11,0),0)</f>
        <v>0</v>
      </c>
      <c r="K1434" s="96" t="str">
        <f>"07.02.24"</f>
        <v>07.02.24</v>
      </c>
    </row>
    <row r="1435" spans="1:11" ht="11.25" customHeight="1" outlineLevel="1">
      <c r="A1435" s="89" t="n">
        <v>38186</v>
      </c>
      <c r="B1435" s="114" t="s">
        <v>1201</v>
      </c>
      <c r="C1435" s="89" t="s">
        <v>2366</v>
      </c>
      <c r="D1435" s="89" t="s">
        <v>15</v>
      </c>
      <c r="E1435" s="89" t="s">
        <v>2367</v>
      </c>
      <c r="F1435" s="102" t="n">
        <v>827</v>
      </c>
      <c r="G1435" s="102" t="n">
        <v>1098</v>
      </c>
      <c r="H1435" s="103" t="s">
        <v>48</v>
      </c>
      <c r="I1435" s="103">
        <f>IFERROR(VLOOKUP(A1435,#REF!,15,0),0)+IFERROR(VLOOKUP(A1435,#REF!,25,0),0)+IFERROR(VLOOKUP(A1435,#REF!,10,0),0)+IFERROR(VLOOKUP(A1435,#REF!,14,0),0)+IFERROR(VLOOKUP(A1435,#REF!,11,0),0)+IFERROR(VLOOKUP(A1435,#REF!,10,0),0)+IFERROR(VLOOKUP(A1435,#REF!,10,0),0)+IFERROR(VLOOKUP(A1435,#REF!,9,0),0)+IFERROR(VLOOKUP(A1435,#REF!,9,0),0)+IFERROR(VLOOKUP(A1435,#REF!,9,0),0)+IFERROR(VLOOKUP(A1435,#REF!,9,0),0)</f>
        <v>0</v>
      </c>
      <c r="J1435" s="104">
        <f>IFERROR(VLOOKUP(A1435,#REF!,16,0),0)+IFERROR(VLOOKUP(A1435,#REF!,26,0),0)+IFERROR(VLOOKUP(A1435,#REF!,11,0),0)+IFERROR(VLOOKUP(A1435,#REF!,23,0),0)+IFERROR(VLOOKUP(A1435,#REF!,11,0),0)+IFERROR(VLOOKUP(A1435,#REF!,11,0),0)+IFERROR(VLOOKUP(A1435,#REF!,11,0),0)</f>
        <v>0</v>
      </c>
      <c r="K1435" s="96" t="str">
        <f>"07.02.24"</f>
        <v>07.02.24</v>
      </c>
    </row>
    <row r="1436" spans="1:11" ht="11.25" customHeight="1" outlineLevel="1">
      <c r="A1436" s="89" t="n">
        <v>38189</v>
      </c>
      <c r="B1436" s="114" t="s">
        <v>1201</v>
      </c>
      <c r="C1436" s="89" t="s">
        <v>2368</v>
      </c>
      <c r="D1436" s="89" t="s">
        <v>15</v>
      </c>
      <c r="E1436" s="89" t="s">
        <v>2369</v>
      </c>
      <c r="F1436" s="102" t="n">
        <v>1118</v>
      </c>
      <c r="G1436" s="102" t="n">
        <v>1486</v>
      </c>
      <c r="H1436" s="103" t="s">
        <v>48</v>
      </c>
      <c r="I1436" s="103">
        <f>IFERROR(VLOOKUP(A1436,#REF!,15,0),0)+IFERROR(VLOOKUP(A1436,#REF!,25,0),0)+IFERROR(VLOOKUP(A1436,#REF!,10,0),0)+IFERROR(VLOOKUP(A1436,#REF!,14,0),0)+IFERROR(VLOOKUP(A1436,#REF!,11,0),0)+IFERROR(VLOOKUP(A1436,#REF!,10,0),0)+IFERROR(VLOOKUP(A1436,#REF!,10,0),0)+IFERROR(VLOOKUP(A1436,#REF!,9,0),0)+IFERROR(VLOOKUP(A1436,#REF!,9,0),0)+IFERROR(VLOOKUP(A1436,#REF!,9,0),0)+IFERROR(VLOOKUP(A1436,#REF!,9,0),0)</f>
        <v>0</v>
      </c>
      <c r="J1436" s="104">
        <f>IFERROR(VLOOKUP(A1436,#REF!,16,0),0)+IFERROR(VLOOKUP(A1436,#REF!,26,0),0)+IFERROR(VLOOKUP(A1436,#REF!,11,0),0)+IFERROR(VLOOKUP(A1436,#REF!,23,0),0)+IFERROR(VLOOKUP(A1436,#REF!,11,0),0)+IFERROR(VLOOKUP(A1436,#REF!,11,0),0)+IFERROR(VLOOKUP(A1436,#REF!,11,0),0)</f>
        <v>0</v>
      </c>
      <c r="K1436" s="96" t="str">
        <f>"07.02.24"</f>
        <v>07.02.24</v>
      </c>
    </row>
    <row r="1437" spans="1:11" ht="11.25" customHeight="1" outlineLevel="1">
      <c r="A1437" s="89" t="n">
        <v>38190</v>
      </c>
      <c r="B1437" s="114" t="s">
        <v>1201</v>
      </c>
      <c r="C1437" s="89" t="s">
        <v>2370</v>
      </c>
      <c r="D1437" s="89" t="s">
        <v>15</v>
      </c>
      <c r="E1437" s="89" t="s">
        <v>2371</v>
      </c>
      <c r="F1437" s="102" t="n">
        <v>794</v>
      </c>
      <c r="G1437" s="102" t="n">
        <v>1056</v>
      </c>
      <c r="H1437" s="103" t="s">
        <v>48</v>
      </c>
      <c r="I1437" s="103">
        <f>IFERROR(VLOOKUP(A1437,#REF!,15,0),0)+IFERROR(VLOOKUP(A1437,#REF!,25,0),0)+IFERROR(VLOOKUP(A1437,#REF!,10,0),0)+IFERROR(VLOOKUP(A1437,#REF!,14,0),0)+IFERROR(VLOOKUP(A1437,#REF!,11,0),0)+IFERROR(VLOOKUP(A1437,#REF!,10,0),0)+IFERROR(VLOOKUP(A1437,#REF!,10,0),0)+IFERROR(VLOOKUP(A1437,#REF!,9,0),0)+IFERROR(VLOOKUP(A1437,#REF!,9,0),0)+IFERROR(VLOOKUP(A1437,#REF!,9,0),0)+IFERROR(VLOOKUP(A1437,#REF!,9,0),0)</f>
        <v>0</v>
      </c>
      <c r="J1437" s="104">
        <f>IFERROR(VLOOKUP(A1437,#REF!,16,0),0)+IFERROR(VLOOKUP(A1437,#REF!,26,0),0)+IFERROR(VLOOKUP(A1437,#REF!,11,0),0)+IFERROR(VLOOKUP(A1437,#REF!,23,0),0)+IFERROR(VLOOKUP(A1437,#REF!,11,0),0)+IFERROR(VLOOKUP(A1437,#REF!,11,0),0)+IFERROR(VLOOKUP(A1437,#REF!,11,0),0)</f>
        <v>0</v>
      </c>
      <c r="K1437" s="96" t="str">
        <f>"07.02.24"</f>
        <v>07.02.24</v>
      </c>
    </row>
    <row r="1438" spans="1:11" ht="11.25" customHeight="1" outlineLevel="1">
      <c r="A1438" s="89" t="n">
        <v>38191</v>
      </c>
      <c r="B1438" s="114" t="s">
        <v>1201</v>
      </c>
      <c r="C1438" s="89" t="s">
        <v>2372</v>
      </c>
      <c r="D1438" s="89" t="s">
        <v>15</v>
      </c>
      <c r="E1438" s="89" t="s">
        <v>2373</v>
      </c>
      <c r="F1438" s="102" t="n">
        <v>957</v>
      </c>
      <c r="G1438" s="102" t="n">
        <v>1275</v>
      </c>
      <c r="H1438" s="103" t="s">
        <v>48</v>
      </c>
      <c r="I1438" s="103">
        <f>IFERROR(VLOOKUP(A1438,#REF!,15,0),0)+IFERROR(VLOOKUP(A1438,#REF!,25,0),0)+IFERROR(VLOOKUP(A1438,#REF!,10,0),0)+IFERROR(VLOOKUP(A1438,#REF!,14,0),0)+IFERROR(VLOOKUP(A1438,#REF!,11,0),0)+IFERROR(VLOOKUP(A1438,#REF!,10,0),0)+IFERROR(VLOOKUP(A1438,#REF!,10,0),0)+IFERROR(VLOOKUP(A1438,#REF!,9,0),0)+IFERROR(VLOOKUP(A1438,#REF!,9,0),0)+IFERROR(VLOOKUP(A1438,#REF!,9,0),0)+IFERROR(VLOOKUP(A1438,#REF!,9,0),0)</f>
        <v>0</v>
      </c>
      <c r="J1438" s="104">
        <f>IFERROR(VLOOKUP(A1438,#REF!,16,0),0)+IFERROR(VLOOKUP(A1438,#REF!,26,0),0)+IFERROR(VLOOKUP(A1438,#REF!,11,0),0)+IFERROR(VLOOKUP(A1438,#REF!,23,0),0)+IFERROR(VLOOKUP(A1438,#REF!,11,0),0)+IFERROR(VLOOKUP(A1438,#REF!,11,0),0)+IFERROR(VLOOKUP(A1438,#REF!,11,0),0)</f>
        <v>0</v>
      </c>
      <c r="K1438" s="96" t="str">
        <f>"07.02.24"</f>
        <v>07.02.24</v>
      </c>
    </row>
    <row r="1439" spans="1:11" ht="11.25" customHeight="1" outlineLevel="1">
      <c r="A1439" s="89" t="n">
        <v>38192</v>
      </c>
      <c r="B1439" s="114" t="s">
        <v>1201</v>
      </c>
      <c r="C1439" s="89" t="s">
        <v>2374</v>
      </c>
      <c r="D1439" s="89" t="s">
        <v>15</v>
      </c>
      <c r="E1439" s="89" t="s">
        <v>2375</v>
      </c>
      <c r="F1439" s="102" t="n">
        <v>1073</v>
      </c>
      <c r="G1439" s="102" t="n">
        <v>1424</v>
      </c>
      <c r="H1439" s="103" t="s">
        <v>48</v>
      </c>
      <c r="I1439" s="103">
        <f>IFERROR(VLOOKUP(A1439,#REF!,15,0),0)+IFERROR(VLOOKUP(A1439,#REF!,25,0),0)+IFERROR(VLOOKUP(A1439,#REF!,10,0),0)+IFERROR(VLOOKUP(A1439,#REF!,14,0),0)+IFERROR(VLOOKUP(A1439,#REF!,11,0),0)+IFERROR(VLOOKUP(A1439,#REF!,10,0),0)+IFERROR(VLOOKUP(A1439,#REF!,10,0),0)+IFERROR(VLOOKUP(A1439,#REF!,9,0),0)+IFERROR(VLOOKUP(A1439,#REF!,9,0),0)+IFERROR(VLOOKUP(A1439,#REF!,9,0),0)+IFERROR(VLOOKUP(A1439,#REF!,9,0),0)</f>
        <v>0</v>
      </c>
      <c r="J1439" s="104">
        <f>IFERROR(VLOOKUP(A1439,#REF!,16,0),0)+IFERROR(VLOOKUP(A1439,#REF!,26,0),0)+IFERROR(VLOOKUP(A1439,#REF!,11,0),0)+IFERROR(VLOOKUP(A1439,#REF!,23,0),0)+IFERROR(VLOOKUP(A1439,#REF!,11,0),0)+IFERROR(VLOOKUP(A1439,#REF!,11,0),0)+IFERROR(VLOOKUP(A1439,#REF!,11,0),0)</f>
        <v>0</v>
      </c>
      <c r="K1439" s="96" t="str">
        <f>"07.02.24"</f>
        <v>07.02.24</v>
      </c>
    </row>
    <row r="1440" spans="1:11" ht="11.25" customHeight="1" outlineLevel="1">
      <c r="A1440" s="89" t="n">
        <v>38193</v>
      </c>
      <c r="B1440" s="114" t="s">
        <v>1201</v>
      </c>
      <c r="C1440" s="89" t="s">
        <v>2376</v>
      </c>
      <c r="D1440" s="89" t="s">
        <v>15</v>
      </c>
      <c r="E1440" s="89" t="s">
        <v>2377</v>
      </c>
      <c r="F1440" s="102" t="n">
        <v>844</v>
      </c>
      <c r="G1440" s="102" t="n">
        <v>1120</v>
      </c>
      <c r="H1440" s="103" t="s">
        <v>48</v>
      </c>
      <c r="I1440" s="103">
        <f>IFERROR(VLOOKUP(A1440,#REF!,15,0),0)+IFERROR(VLOOKUP(A1440,#REF!,25,0),0)+IFERROR(VLOOKUP(A1440,#REF!,10,0),0)+IFERROR(VLOOKUP(A1440,#REF!,14,0),0)+IFERROR(VLOOKUP(A1440,#REF!,11,0),0)+IFERROR(VLOOKUP(A1440,#REF!,10,0),0)+IFERROR(VLOOKUP(A1440,#REF!,10,0),0)+IFERROR(VLOOKUP(A1440,#REF!,9,0),0)+IFERROR(VLOOKUP(A1440,#REF!,9,0),0)+IFERROR(VLOOKUP(A1440,#REF!,9,0),0)+IFERROR(VLOOKUP(A1440,#REF!,9,0),0)</f>
        <v>0</v>
      </c>
      <c r="J1440" s="104">
        <f>IFERROR(VLOOKUP(A1440,#REF!,16,0),0)+IFERROR(VLOOKUP(A1440,#REF!,26,0),0)+IFERROR(VLOOKUP(A1440,#REF!,11,0),0)+IFERROR(VLOOKUP(A1440,#REF!,23,0),0)+IFERROR(VLOOKUP(A1440,#REF!,11,0),0)+IFERROR(VLOOKUP(A1440,#REF!,11,0),0)+IFERROR(VLOOKUP(A1440,#REF!,11,0),0)</f>
        <v>0</v>
      </c>
      <c r="K1440" s="96" t="str">
        <f>"07.02.24"</f>
        <v>07.02.24</v>
      </c>
    </row>
    <row r="1441" spans="1:11" ht="11.25" customHeight="1" outlineLevel="1">
      <c r="A1441" s="89" t="n">
        <v>38194</v>
      </c>
      <c r="B1441" s="114" t="s">
        <v>1201</v>
      </c>
      <c r="C1441" s="89" t="s">
        <v>2378</v>
      </c>
      <c r="D1441" s="89" t="s">
        <v>15</v>
      </c>
      <c r="E1441" s="89" t="s">
        <v>2379</v>
      </c>
      <c r="F1441" s="102" t="n">
        <v>896</v>
      </c>
      <c r="G1441" s="102" t="n">
        <v>1192</v>
      </c>
      <c r="H1441" s="103" t="s">
        <v>48</v>
      </c>
      <c r="I1441" s="103">
        <f>IFERROR(VLOOKUP(A1441,#REF!,15,0),0)+IFERROR(VLOOKUP(A1441,#REF!,25,0),0)+IFERROR(VLOOKUP(A1441,#REF!,10,0),0)+IFERROR(VLOOKUP(A1441,#REF!,14,0),0)+IFERROR(VLOOKUP(A1441,#REF!,11,0),0)+IFERROR(VLOOKUP(A1441,#REF!,10,0),0)+IFERROR(VLOOKUP(A1441,#REF!,10,0),0)+IFERROR(VLOOKUP(A1441,#REF!,9,0),0)+IFERROR(VLOOKUP(A1441,#REF!,9,0),0)+IFERROR(VLOOKUP(A1441,#REF!,9,0),0)+IFERROR(VLOOKUP(A1441,#REF!,9,0),0)</f>
        <v>0</v>
      </c>
      <c r="J1441" s="104">
        <f>IFERROR(VLOOKUP(A1441,#REF!,16,0),0)+IFERROR(VLOOKUP(A1441,#REF!,26,0),0)+IFERROR(VLOOKUP(A1441,#REF!,11,0),0)+IFERROR(VLOOKUP(A1441,#REF!,23,0),0)+IFERROR(VLOOKUP(A1441,#REF!,11,0),0)+IFERROR(VLOOKUP(A1441,#REF!,11,0),0)+IFERROR(VLOOKUP(A1441,#REF!,11,0),0)</f>
        <v>0</v>
      </c>
      <c r="K1441" s="96" t="str">
        <f>"07.02.24"</f>
        <v>07.02.24</v>
      </c>
    </row>
    <row r="1442" spans="1:11" ht="11.25" customHeight="1" outlineLevel="1">
      <c r="A1442" s="89" t="n">
        <v>38195</v>
      </c>
      <c r="B1442" s="114" t="s">
        <v>1201</v>
      </c>
      <c r="C1442" s="89" t="s">
        <v>2380</v>
      </c>
      <c r="D1442" s="89" t="s">
        <v>15</v>
      </c>
      <c r="E1442" s="89" t="s">
        <v>2381</v>
      </c>
      <c r="F1442" s="102" t="n">
        <v>989</v>
      </c>
      <c r="G1442" s="102" t="n">
        <v>1314</v>
      </c>
      <c r="H1442" s="103" t="s">
        <v>48</v>
      </c>
      <c r="I1442" s="103">
        <f>IFERROR(VLOOKUP(A1442,#REF!,15,0),0)+IFERROR(VLOOKUP(A1442,#REF!,25,0),0)+IFERROR(VLOOKUP(A1442,#REF!,10,0),0)+IFERROR(VLOOKUP(A1442,#REF!,14,0),0)+IFERROR(VLOOKUP(A1442,#REF!,11,0),0)+IFERROR(VLOOKUP(A1442,#REF!,10,0),0)+IFERROR(VLOOKUP(A1442,#REF!,10,0),0)+IFERROR(VLOOKUP(A1442,#REF!,9,0),0)+IFERROR(VLOOKUP(A1442,#REF!,9,0),0)+IFERROR(VLOOKUP(A1442,#REF!,9,0),0)+IFERROR(VLOOKUP(A1442,#REF!,9,0),0)</f>
        <v>0</v>
      </c>
      <c r="J1442" s="104">
        <f>IFERROR(VLOOKUP(A1442,#REF!,16,0),0)+IFERROR(VLOOKUP(A1442,#REF!,26,0),0)+IFERROR(VLOOKUP(A1442,#REF!,11,0),0)+IFERROR(VLOOKUP(A1442,#REF!,23,0),0)+IFERROR(VLOOKUP(A1442,#REF!,11,0),0)+IFERROR(VLOOKUP(A1442,#REF!,11,0),0)+IFERROR(VLOOKUP(A1442,#REF!,11,0),0)</f>
        <v>0</v>
      </c>
      <c r="K1442" s="96" t="str">
        <f>"07.02.24"</f>
        <v>07.02.24</v>
      </c>
    </row>
    <row r="1443" spans="1:11" ht="11.25" customHeight="1" outlineLevel="1">
      <c r="A1443" s="89" t="n">
        <v>38196</v>
      </c>
      <c r="B1443" s="114" t="s">
        <v>1201</v>
      </c>
      <c r="C1443" s="89" t="s">
        <v>2382</v>
      </c>
      <c r="D1443" s="89" t="s">
        <v>15</v>
      </c>
      <c r="E1443" s="89" t="s">
        <v>2383</v>
      </c>
      <c r="F1443" s="102" t="n">
        <v>852</v>
      </c>
      <c r="G1443" s="102" t="n">
        <v>1129</v>
      </c>
      <c r="H1443" s="103" t="s">
        <v>48</v>
      </c>
      <c r="I1443" s="103">
        <f>IFERROR(VLOOKUP(A1443,#REF!,15,0),0)+IFERROR(VLOOKUP(A1443,#REF!,25,0),0)+IFERROR(VLOOKUP(A1443,#REF!,10,0),0)+IFERROR(VLOOKUP(A1443,#REF!,14,0),0)+IFERROR(VLOOKUP(A1443,#REF!,11,0),0)+IFERROR(VLOOKUP(A1443,#REF!,10,0),0)+IFERROR(VLOOKUP(A1443,#REF!,10,0),0)+IFERROR(VLOOKUP(A1443,#REF!,9,0),0)+IFERROR(VLOOKUP(A1443,#REF!,9,0),0)+IFERROR(VLOOKUP(A1443,#REF!,9,0),0)+IFERROR(VLOOKUP(A1443,#REF!,9,0),0)</f>
        <v>0</v>
      </c>
      <c r="J1443" s="104">
        <f>IFERROR(VLOOKUP(A1443,#REF!,16,0),0)+IFERROR(VLOOKUP(A1443,#REF!,26,0),0)+IFERROR(VLOOKUP(A1443,#REF!,11,0),0)+IFERROR(VLOOKUP(A1443,#REF!,23,0),0)+IFERROR(VLOOKUP(A1443,#REF!,11,0),0)+IFERROR(VLOOKUP(A1443,#REF!,11,0),0)+IFERROR(VLOOKUP(A1443,#REF!,11,0),0)</f>
        <v>0</v>
      </c>
      <c r="K1443" s="96" t="str">
        <f>"07.02.24"</f>
        <v>07.02.24</v>
      </c>
    </row>
    <row r="1444" spans="1:11" ht="11.25" customHeight="1" outlineLevel="1">
      <c r="A1444" s="89" t="n">
        <v>38197</v>
      </c>
      <c r="B1444" s="114" t="s">
        <v>1201</v>
      </c>
      <c r="C1444" s="89" t="s">
        <v>2384</v>
      </c>
      <c r="D1444" s="89" t="s">
        <v>15</v>
      </c>
      <c r="E1444" s="89" t="s">
        <v>2385</v>
      </c>
      <c r="F1444" s="102" t="n">
        <v>936</v>
      </c>
      <c r="G1444" s="102" t="n">
        <v>1243</v>
      </c>
      <c r="H1444" s="103" t="s">
        <v>48</v>
      </c>
      <c r="I1444" s="103">
        <f>IFERROR(VLOOKUP(A1444,#REF!,15,0),0)+IFERROR(VLOOKUP(A1444,#REF!,25,0),0)+IFERROR(VLOOKUP(A1444,#REF!,10,0),0)+IFERROR(VLOOKUP(A1444,#REF!,14,0),0)+IFERROR(VLOOKUP(A1444,#REF!,11,0),0)+IFERROR(VLOOKUP(A1444,#REF!,10,0),0)+IFERROR(VLOOKUP(A1444,#REF!,10,0),0)+IFERROR(VLOOKUP(A1444,#REF!,9,0),0)+IFERROR(VLOOKUP(A1444,#REF!,9,0),0)+IFERROR(VLOOKUP(A1444,#REF!,9,0),0)+IFERROR(VLOOKUP(A1444,#REF!,9,0),0)</f>
        <v>0</v>
      </c>
      <c r="J1444" s="104">
        <f>IFERROR(VLOOKUP(A1444,#REF!,16,0),0)+IFERROR(VLOOKUP(A1444,#REF!,26,0),0)+IFERROR(VLOOKUP(A1444,#REF!,11,0),0)+IFERROR(VLOOKUP(A1444,#REF!,23,0),0)+IFERROR(VLOOKUP(A1444,#REF!,11,0),0)+IFERROR(VLOOKUP(A1444,#REF!,11,0),0)+IFERROR(VLOOKUP(A1444,#REF!,11,0),0)</f>
        <v>0</v>
      </c>
      <c r="K1444" s="96" t="str">
        <f>"07.02.24"</f>
        <v>07.02.24</v>
      </c>
    </row>
    <row r="1445" spans="1:11" ht="11.25" customHeight="1" outlineLevel="1">
      <c r="A1445" s="89" t="n">
        <v>38198</v>
      </c>
      <c r="B1445" s="114" t="s">
        <v>1201</v>
      </c>
      <c r="C1445" s="89" t="s">
        <v>2386</v>
      </c>
      <c r="D1445" s="89" t="s">
        <v>15</v>
      </c>
      <c r="E1445" s="89" t="s">
        <v>2387</v>
      </c>
      <c r="F1445" s="102" t="n">
        <v>740</v>
      </c>
      <c r="G1445" s="102" t="n">
        <v>980</v>
      </c>
      <c r="H1445" s="103" t="s">
        <v>48</v>
      </c>
      <c r="I1445" s="103">
        <f>IFERROR(VLOOKUP(A1445,#REF!,15,0),0)+IFERROR(VLOOKUP(A1445,#REF!,25,0),0)+IFERROR(VLOOKUP(A1445,#REF!,10,0),0)+IFERROR(VLOOKUP(A1445,#REF!,14,0),0)+IFERROR(VLOOKUP(A1445,#REF!,11,0),0)+IFERROR(VLOOKUP(A1445,#REF!,10,0),0)+IFERROR(VLOOKUP(A1445,#REF!,10,0),0)+IFERROR(VLOOKUP(A1445,#REF!,9,0),0)+IFERROR(VLOOKUP(A1445,#REF!,9,0),0)+IFERROR(VLOOKUP(A1445,#REF!,9,0),0)+IFERROR(VLOOKUP(A1445,#REF!,9,0),0)</f>
        <v>0</v>
      </c>
      <c r="J1445" s="104">
        <f>IFERROR(VLOOKUP(A1445,#REF!,16,0),0)+IFERROR(VLOOKUP(A1445,#REF!,26,0),0)+IFERROR(VLOOKUP(A1445,#REF!,11,0),0)+IFERROR(VLOOKUP(A1445,#REF!,23,0),0)+IFERROR(VLOOKUP(A1445,#REF!,11,0),0)+IFERROR(VLOOKUP(A1445,#REF!,11,0),0)+IFERROR(VLOOKUP(A1445,#REF!,11,0),0)</f>
        <v>0</v>
      </c>
      <c r="K1445" s="96" t="str">
        <f>"07.02.24"</f>
        <v>07.02.24</v>
      </c>
    </row>
    <row r="1446" spans="1:11" ht="11.25" customHeight="1" outlineLevel="1">
      <c r="A1446" s="89" t="n">
        <v>38199</v>
      </c>
      <c r="B1446" s="114" t="s">
        <v>1201</v>
      </c>
      <c r="C1446" s="89" t="s">
        <v>2388</v>
      </c>
      <c r="D1446" s="89" t="s">
        <v>15</v>
      </c>
      <c r="E1446" s="89" t="s">
        <v>2389</v>
      </c>
      <c r="F1446" s="102" t="n">
        <v>753</v>
      </c>
      <c r="G1446" s="102" t="n">
        <v>998</v>
      </c>
      <c r="H1446" s="103" t="s">
        <v>48</v>
      </c>
      <c r="I1446" s="103">
        <f>IFERROR(VLOOKUP(A1446,#REF!,15,0),0)+IFERROR(VLOOKUP(A1446,#REF!,25,0),0)+IFERROR(VLOOKUP(A1446,#REF!,10,0),0)+IFERROR(VLOOKUP(A1446,#REF!,14,0),0)+IFERROR(VLOOKUP(A1446,#REF!,11,0),0)+IFERROR(VLOOKUP(A1446,#REF!,10,0),0)+IFERROR(VLOOKUP(A1446,#REF!,10,0),0)+IFERROR(VLOOKUP(A1446,#REF!,9,0),0)+IFERROR(VLOOKUP(A1446,#REF!,9,0),0)+IFERROR(VLOOKUP(A1446,#REF!,9,0),0)+IFERROR(VLOOKUP(A1446,#REF!,9,0),0)</f>
        <v>0</v>
      </c>
      <c r="J1446" s="104">
        <f>IFERROR(VLOOKUP(A1446,#REF!,16,0),0)+IFERROR(VLOOKUP(A1446,#REF!,26,0),0)+IFERROR(VLOOKUP(A1446,#REF!,11,0),0)+IFERROR(VLOOKUP(A1446,#REF!,23,0),0)+IFERROR(VLOOKUP(A1446,#REF!,11,0),0)+IFERROR(VLOOKUP(A1446,#REF!,11,0),0)+IFERROR(VLOOKUP(A1446,#REF!,11,0),0)</f>
        <v>0</v>
      </c>
      <c r="K1446" s="96" t="str">
        <f>"07.02.24"</f>
        <v>07.02.24</v>
      </c>
    </row>
    <row r="1447" spans="1:11" ht="11.25" customHeight="1" outlineLevel="1">
      <c r="A1447" s="89" t="n">
        <v>38200</v>
      </c>
      <c r="B1447" s="114" t="s">
        <v>1201</v>
      </c>
      <c r="C1447" s="89" t="s">
        <v>2390</v>
      </c>
      <c r="D1447" s="89" t="s">
        <v>15</v>
      </c>
      <c r="E1447" s="89" t="s">
        <v>2391</v>
      </c>
      <c r="F1447" s="102" t="n">
        <v>908</v>
      </c>
      <c r="G1447" s="102" t="n">
        <v>1205</v>
      </c>
      <c r="H1447" s="103" t="s">
        <v>48</v>
      </c>
      <c r="I1447" s="103">
        <f>IFERROR(VLOOKUP(A1447,#REF!,15,0),0)+IFERROR(VLOOKUP(A1447,#REF!,25,0),0)+IFERROR(VLOOKUP(A1447,#REF!,10,0),0)+IFERROR(VLOOKUP(A1447,#REF!,14,0),0)+IFERROR(VLOOKUP(A1447,#REF!,11,0),0)+IFERROR(VLOOKUP(A1447,#REF!,10,0),0)+IFERROR(VLOOKUP(A1447,#REF!,10,0),0)+IFERROR(VLOOKUP(A1447,#REF!,9,0),0)+IFERROR(VLOOKUP(A1447,#REF!,9,0),0)+IFERROR(VLOOKUP(A1447,#REF!,9,0),0)+IFERROR(VLOOKUP(A1447,#REF!,9,0),0)</f>
        <v>0</v>
      </c>
      <c r="J1447" s="104">
        <f>IFERROR(VLOOKUP(A1447,#REF!,16,0),0)+IFERROR(VLOOKUP(A1447,#REF!,26,0),0)+IFERROR(VLOOKUP(A1447,#REF!,11,0),0)+IFERROR(VLOOKUP(A1447,#REF!,23,0),0)+IFERROR(VLOOKUP(A1447,#REF!,11,0),0)+IFERROR(VLOOKUP(A1447,#REF!,11,0),0)+IFERROR(VLOOKUP(A1447,#REF!,11,0),0)</f>
        <v>0</v>
      </c>
      <c r="K1447" s="96" t="str">
        <f>"07.02.24"</f>
        <v>07.02.24</v>
      </c>
    </row>
    <row r="1448" spans="1:11" ht="11.25" customHeight="1" outlineLevel="1">
      <c r="A1448" s="89" t="n">
        <v>38202</v>
      </c>
      <c r="B1448" s="114" t="s">
        <v>1201</v>
      </c>
      <c r="C1448" s="89" t="s">
        <v>2392</v>
      </c>
      <c r="D1448" s="89" t="s">
        <v>15</v>
      </c>
      <c r="E1448" s="89" t="s">
        <v>2393</v>
      </c>
      <c r="F1448" s="102" t="n">
        <v>1089</v>
      </c>
      <c r="G1448" s="102" t="n">
        <v>1444</v>
      </c>
      <c r="H1448" s="103" t="s">
        <v>48</v>
      </c>
      <c r="I1448" s="103">
        <f>IFERROR(VLOOKUP(A1448,#REF!,15,0),0)+IFERROR(VLOOKUP(A1448,#REF!,25,0),0)+IFERROR(VLOOKUP(A1448,#REF!,10,0),0)+IFERROR(VLOOKUP(A1448,#REF!,14,0),0)+IFERROR(VLOOKUP(A1448,#REF!,11,0),0)+IFERROR(VLOOKUP(A1448,#REF!,10,0),0)+IFERROR(VLOOKUP(A1448,#REF!,10,0),0)+IFERROR(VLOOKUP(A1448,#REF!,9,0),0)+IFERROR(VLOOKUP(A1448,#REF!,9,0),0)+IFERROR(VLOOKUP(A1448,#REF!,9,0),0)+IFERROR(VLOOKUP(A1448,#REF!,9,0),0)</f>
        <v>0</v>
      </c>
      <c r="J1448" s="104">
        <f>IFERROR(VLOOKUP(A1448,#REF!,16,0),0)+IFERROR(VLOOKUP(A1448,#REF!,26,0),0)+IFERROR(VLOOKUP(A1448,#REF!,11,0),0)+IFERROR(VLOOKUP(A1448,#REF!,23,0),0)+IFERROR(VLOOKUP(A1448,#REF!,11,0),0)+IFERROR(VLOOKUP(A1448,#REF!,11,0),0)+IFERROR(VLOOKUP(A1448,#REF!,11,0),0)</f>
        <v>0</v>
      </c>
      <c r="K1448" s="96" t="str">
        <f>"07.02.24"</f>
        <v>07.02.24</v>
      </c>
    </row>
    <row r="1449" spans="1:11" ht="11.25" customHeight="1" outlineLevel="1">
      <c r="A1449" s="89" t="n">
        <v>38203</v>
      </c>
      <c r="B1449" s="114" t="s">
        <v>1201</v>
      </c>
      <c r="C1449" s="89" t="s">
        <v>2394</v>
      </c>
      <c r="D1449" s="89" t="s">
        <v>15</v>
      </c>
      <c r="E1449" s="89" t="s">
        <v>2395</v>
      </c>
      <c r="F1449" s="102" t="n">
        <v>963</v>
      </c>
      <c r="G1449" s="102" t="n">
        <v>1278</v>
      </c>
      <c r="H1449" s="103" t="s">
        <v>48</v>
      </c>
      <c r="I1449" s="103">
        <f>IFERROR(VLOOKUP(A1449,#REF!,15,0),0)+IFERROR(VLOOKUP(A1449,#REF!,25,0),0)+IFERROR(VLOOKUP(A1449,#REF!,10,0),0)+IFERROR(VLOOKUP(A1449,#REF!,14,0),0)+IFERROR(VLOOKUP(A1449,#REF!,11,0),0)+IFERROR(VLOOKUP(A1449,#REF!,10,0),0)+IFERROR(VLOOKUP(A1449,#REF!,10,0),0)+IFERROR(VLOOKUP(A1449,#REF!,9,0),0)+IFERROR(VLOOKUP(A1449,#REF!,9,0),0)+IFERROR(VLOOKUP(A1449,#REF!,9,0),0)+IFERROR(VLOOKUP(A1449,#REF!,9,0),0)</f>
        <v>0</v>
      </c>
      <c r="J1449" s="104">
        <f>IFERROR(VLOOKUP(A1449,#REF!,16,0),0)+IFERROR(VLOOKUP(A1449,#REF!,26,0),0)+IFERROR(VLOOKUP(A1449,#REF!,11,0),0)+IFERROR(VLOOKUP(A1449,#REF!,23,0),0)+IFERROR(VLOOKUP(A1449,#REF!,11,0),0)+IFERROR(VLOOKUP(A1449,#REF!,11,0),0)+IFERROR(VLOOKUP(A1449,#REF!,11,0),0)</f>
        <v>0</v>
      </c>
      <c r="K1449" s="96" t="str">
        <f>"07.02.24"</f>
        <v>07.02.24</v>
      </c>
    </row>
    <row r="1450" spans="1:11" ht="11.25" customHeight="1" outlineLevel="1">
      <c r="A1450" s="89" t="n">
        <v>38204</v>
      </c>
      <c r="B1450" s="114" t="s">
        <v>1201</v>
      </c>
      <c r="C1450" s="89" t="s">
        <v>2396</v>
      </c>
      <c r="D1450" s="89" t="s">
        <v>15</v>
      </c>
      <c r="E1450" s="89" t="s">
        <v>2397</v>
      </c>
      <c r="F1450" s="102" t="n">
        <v>1086</v>
      </c>
      <c r="G1450" s="102" t="n">
        <v>1442</v>
      </c>
      <c r="H1450" s="103" t="s">
        <v>48</v>
      </c>
      <c r="I1450" s="103">
        <f>IFERROR(VLOOKUP(A1450,#REF!,15,0),0)+IFERROR(VLOOKUP(A1450,#REF!,25,0),0)+IFERROR(VLOOKUP(A1450,#REF!,10,0),0)+IFERROR(VLOOKUP(A1450,#REF!,14,0),0)+IFERROR(VLOOKUP(A1450,#REF!,11,0),0)+IFERROR(VLOOKUP(A1450,#REF!,10,0),0)+IFERROR(VLOOKUP(A1450,#REF!,10,0),0)+IFERROR(VLOOKUP(A1450,#REF!,9,0),0)+IFERROR(VLOOKUP(A1450,#REF!,9,0),0)+IFERROR(VLOOKUP(A1450,#REF!,9,0),0)+IFERROR(VLOOKUP(A1450,#REF!,9,0),0)</f>
        <v>0</v>
      </c>
      <c r="J1450" s="104">
        <f>IFERROR(VLOOKUP(A1450,#REF!,16,0),0)+IFERROR(VLOOKUP(A1450,#REF!,26,0),0)+IFERROR(VLOOKUP(A1450,#REF!,11,0),0)+IFERROR(VLOOKUP(A1450,#REF!,23,0),0)+IFERROR(VLOOKUP(A1450,#REF!,11,0),0)+IFERROR(VLOOKUP(A1450,#REF!,11,0),0)+IFERROR(VLOOKUP(A1450,#REF!,11,0),0)</f>
        <v>0</v>
      </c>
      <c r="K1450" s="96" t="str">
        <f>"07.02.24"</f>
        <v>07.02.24</v>
      </c>
    </row>
    <row r="1451" spans="1:11" ht="11.25" customHeight="1" outlineLevel="1">
      <c r="A1451" s="89" t="n">
        <v>38208</v>
      </c>
      <c r="B1451" s="114" t="s">
        <v>1201</v>
      </c>
      <c r="C1451" s="89" t="s">
        <v>2398</v>
      </c>
      <c r="D1451" s="89" t="s">
        <v>15</v>
      </c>
      <c r="E1451" s="89" t="s">
        <v>2399</v>
      </c>
      <c r="F1451" s="102" t="n">
        <v>1129</v>
      </c>
      <c r="G1451" s="102" t="n">
        <v>1500</v>
      </c>
      <c r="H1451" s="103" t="s">
        <v>48</v>
      </c>
      <c r="I1451" s="103">
        <f>IFERROR(VLOOKUP(A1451,#REF!,15,0),0)+IFERROR(VLOOKUP(A1451,#REF!,25,0),0)+IFERROR(VLOOKUP(A1451,#REF!,10,0),0)+IFERROR(VLOOKUP(A1451,#REF!,14,0),0)+IFERROR(VLOOKUP(A1451,#REF!,11,0),0)+IFERROR(VLOOKUP(A1451,#REF!,10,0),0)+IFERROR(VLOOKUP(A1451,#REF!,10,0),0)+IFERROR(VLOOKUP(A1451,#REF!,9,0),0)+IFERROR(VLOOKUP(A1451,#REF!,9,0),0)+IFERROR(VLOOKUP(A1451,#REF!,9,0),0)+IFERROR(VLOOKUP(A1451,#REF!,9,0),0)</f>
        <v>0</v>
      </c>
      <c r="J1451" s="104">
        <f>IFERROR(VLOOKUP(A1451,#REF!,16,0),0)+IFERROR(VLOOKUP(A1451,#REF!,26,0),0)+IFERROR(VLOOKUP(A1451,#REF!,11,0),0)+IFERROR(VLOOKUP(A1451,#REF!,23,0),0)+IFERROR(VLOOKUP(A1451,#REF!,11,0),0)+IFERROR(VLOOKUP(A1451,#REF!,11,0),0)+IFERROR(VLOOKUP(A1451,#REF!,11,0),0)</f>
        <v>0</v>
      </c>
      <c r="K1451" s="96" t="str">
        <f>"07.02.24"</f>
        <v>07.02.24</v>
      </c>
    </row>
    <row r="1452" spans="1:11" ht="11.25" customHeight="1" outlineLevel="1">
      <c r="A1452" s="89" t="n">
        <v>476310</v>
      </c>
      <c r="B1452" s="114" t="s">
        <v>1201</v>
      </c>
      <c r="C1452" s="89" t="s">
        <v>2400</v>
      </c>
      <c r="D1452" s="89" t="s">
        <v>15</v>
      </c>
      <c r="E1452" s="89" t="s">
        <v>2401</v>
      </c>
      <c r="F1452" s="102" t="n">
        <v>466</v>
      </c>
      <c r="G1452" s="102" t="n">
        <v>618</v>
      </c>
      <c r="H1452" s="103" t="s">
        <v>48</v>
      </c>
      <c r="I1452" s="103">
        <f>IFERROR(VLOOKUP(A1452,#REF!,15,0),0)+IFERROR(VLOOKUP(A1452,#REF!,25,0),0)+IFERROR(VLOOKUP(A1452,#REF!,10,0),0)+IFERROR(VLOOKUP(A1452,#REF!,14,0),0)+IFERROR(VLOOKUP(A1452,#REF!,11,0),0)+IFERROR(VLOOKUP(A1452,#REF!,10,0),0)+IFERROR(VLOOKUP(A1452,#REF!,10,0),0)+IFERROR(VLOOKUP(A1452,#REF!,9,0),0)+IFERROR(VLOOKUP(A1452,#REF!,9,0),0)+IFERROR(VLOOKUP(A1452,#REF!,9,0),0)+IFERROR(VLOOKUP(A1452,#REF!,9,0),0)</f>
        <v>0</v>
      </c>
      <c r="J1452" s="104">
        <f>IFERROR(VLOOKUP(A1452,#REF!,16,0),0)+IFERROR(VLOOKUP(A1452,#REF!,26,0),0)+IFERROR(VLOOKUP(A1452,#REF!,11,0),0)+IFERROR(VLOOKUP(A1452,#REF!,23,0),0)+IFERROR(VLOOKUP(A1452,#REF!,11,0),0)+IFERROR(VLOOKUP(A1452,#REF!,11,0),0)+IFERROR(VLOOKUP(A1452,#REF!,11,0),0)</f>
        <v>0</v>
      </c>
      <c r="K1452" s="96" t="str">
        <f>"07.02.24"</f>
        <v>07.02.24</v>
      </c>
    </row>
    <row r="1453" spans="1:11" ht="11.25" customHeight="1" outlineLevel="1">
      <c r="A1453" s="89" t="n">
        <v>476320</v>
      </c>
      <c r="B1453" s="114" t="s">
        <v>1201</v>
      </c>
      <c r="C1453" s="89" t="s">
        <v>2402</v>
      </c>
      <c r="D1453" s="89" t="s">
        <v>15</v>
      </c>
      <c r="E1453" s="89" t="s">
        <v>2403</v>
      </c>
      <c r="F1453" s="102" t="n">
        <v>479</v>
      </c>
      <c r="G1453" s="102" t="n">
        <v>634</v>
      </c>
      <c r="H1453" s="103" t="s">
        <v>48</v>
      </c>
      <c r="I1453" s="103">
        <f>IFERROR(VLOOKUP(A1453,#REF!,15,0),0)+IFERROR(VLOOKUP(A1453,#REF!,25,0),0)+IFERROR(VLOOKUP(A1453,#REF!,10,0),0)+IFERROR(VLOOKUP(A1453,#REF!,14,0),0)+IFERROR(VLOOKUP(A1453,#REF!,11,0),0)+IFERROR(VLOOKUP(A1453,#REF!,10,0),0)+IFERROR(VLOOKUP(A1453,#REF!,10,0),0)+IFERROR(VLOOKUP(A1453,#REF!,9,0),0)+IFERROR(VLOOKUP(A1453,#REF!,9,0),0)+IFERROR(VLOOKUP(A1453,#REF!,9,0),0)+IFERROR(VLOOKUP(A1453,#REF!,9,0),0)</f>
        <v>0</v>
      </c>
      <c r="J1453" s="104">
        <f>IFERROR(VLOOKUP(A1453,#REF!,16,0),0)+IFERROR(VLOOKUP(A1453,#REF!,26,0),0)+IFERROR(VLOOKUP(A1453,#REF!,11,0),0)+IFERROR(VLOOKUP(A1453,#REF!,23,0),0)+IFERROR(VLOOKUP(A1453,#REF!,11,0),0)+IFERROR(VLOOKUP(A1453,#REF!,11,0),0)+IFERROR(VLOOKUP(A1453,#REF!,11,0),0)</f>
        <v>0</v>
      </c>
      <c r="K1453" s="96" t="str">
        <f>"07.02.24"</f>
        <v>07.02.24</v>
      </c>
    </row>
    <row r="1454" spans="1:11" ht="11.25" customHeight="1" outlineLevel="1">
      <c r="A1454" s="89" t="n">
        <v>476330</v>
      </c>
      <c r="B1454" s="114" t="s">
        <v>1201</v>
      </c>
      <c r="C1454" s="89" t="s">
        <v>2404</v>
      </c>
      <c r="D1454" s="89" t="s">
        <v>15</v>
      </c>
      <c r="E1454" s="89" t="s">
        <v>2405</v>
      </c>
      <c r="F1454" s="102" t="n">
        <v>496</v>
      </c>
      <c r="G1454" s="102" t="n">
        <v>655</v>
      </c>
      <c r="H1454" s="103" t="s">
        <v>48</v>
      </c>
      <c r="I1454" s="103">
        <f>IFERROR(VLOOKUP(A1454,#REF!,15,0),0)+IFERROR(VLOOKUP(A1454,#REF!,25,0),0)+IFERROR(VLOOKUP(A1454,#REF!,10,0),0)+IFERROR(VLOOKUP(A1454,#REF!,14,0),0)+IFERROR(VLOOKUP(A1454,#REF!,11,0),0)+IFERROR(VLOOKUP(A1454,#REF!,10,0),0)+IFERROR(VLOOKUP(A1454,#REF!,10,0),0)+IFERROR(VLOOKUP(A1454,#REF!,9,0),0)+IFERROR(VLOOKUP(A1454,#REF!,9,0),0)+IFERROR(VLOOKUP(A1454,#REF!,9,0),0)+IFERROR(VLOOKUP(A1454,#REF!,9,0),0)</f>
        <v>0</v>
      </c>
      <c r="J1454" s="104">
        <f>IFERROR(VLOOKUP(A1454,#REF!,16,0),0)+IFERROR(VLOOKUP(A1454,#REF!,26,0),0)+IFERROR(VLOOKUP(A1454,#REF!,11,0),0)+IFERROR(VLOOKUP(A1454,#REF!,23,0),0)+IFERROR(VLOOKUP(A1454,#REF!,11,0),0)+IFERROR(VLOOKUP(A1454,#REF!,11,0),0)+IFERROR(VLOOKUP(A1454,#REF!,11,0),0)</f>
        <v>0</v>
      </c>
      <c r="K1454" s="96" t="str">
        <f>"07.02.24"</f>
        <v>07.02.24</v>
      </c>
    </row>
    <row r="1455" spans="1:11" ht="11.25" customHeight="1" outlineLevel="1">
      <c r="A1455" s="89" t="n">
        <v>476340</v>
      </c>
      <c r="B1455" s="114" t="s">
        <v>1201</v>
      </c>
      <c r="C1455" s="89" t="s">
        <v>2406</v>
      </c>
      <c r="D1455" s="89" t="s">
        <v>15</v>
      </c>
      <c r="E1455" s="89" t="s">
        <v>2407</v>
      </c>
      <c r="F1455" s="102" t="n">
        <v>511</v>
      </c>
      <c r="G1455" s="102" t="n">
        <v>678</v>
      </c>
      <c r="H1455" s="103" t="s">
        <v>48</v>
      </c>
      <c r="I1455" s="103">
        <f>IFERROR(VLOOKUP(A1455,#REF!,15,0),0)+IFERROR(VLOOKUP(A1455,#REF!,25,0),0)+IFERROR(VLOOKUP(A1455,#REF!,10,0),0)+IFERROR(VLOOKUP(A1455,#REF!,14,0),0)+IFERROR(VLOOKUP(A1455,#REF!,11,0),0)+IFERROR(VLOOKUP(A1455,#REF!,10,0),0)+IFERROR(VLOOKUP(A1455,#REF!,10,0),0)+IFERROR(VLOOKUP(A1455,#REF!,9,0),0)+IFERROR(VLOOKUP(A1455,#REF!,9,0),0)+IFERROR(VLOOKUP(A1455,#REF!,9,0),0)+IFERROR(VLOOKUP(A1455,#REF!,9,0),0)</f>
        <v>0</v>
      </c>
      <c r="J1455" s="104">
        <f>IFERROR(VLOOKUP(A1455,#REF!,16,0),0)+IFERROR(VLOOKUP(A1455,#REF!,26,0),0)+IFERROR(VLOOKUP(A1455,#REF!,11,0),0)+IFERROR(VLOOKUP(A1455,#REF!,23,0),0)+IFERROR(VLOOKUP(A1455,#REF!,11,0),0)+IFERROR(VLOOKUP(A1455,#REF!,11,0),0)+IFERROR(VLOOKUP(A1455,#REF!,11,0),0)</f>
        <v>0</v>
      </c>
      <c r="K1455" s="96" t="str">
        <f>"07.02.24"</f>
        <v>07.02.24</v>
      </c>
    </row>
    <row r="1456" spans="1:11" ht="11.25" customHeight="1" outlineLevel="1">
      <c r="A1456" s="89" t="n">
        <v>476350</v>
      </c>
      <c r="B1456" s="114" t="s">
        <v>1201</v>
      </c>
      <c r="C1456" s="89" t="s">
        <v>2408</v>
      </c>
      <c r="D1456" s="89" t="s">
        <v>15</v>
      </c>
      <c r="E1456" s="89" t="s">
        <v>2409</v>
      </c>
      <c r="F1456" s="102" t="n">
        <v>545</v>
      </c>
      <c r="G1456" s="102" t="n">
        <v>725</v>
      </c>
      <c r="H1456" s="103" t="s">
        <v>48</v>
      </c>
      <c r="I1456" s="103">
        <f>IFERROR(VLOOKUP(A1456,#REF!,15,0),0)+IFERROR(VLOOKUP(A1456,#REF!,25,0),0)+IFERROR(VLOOKUP(A1456,#REF!,10,0),0)+IFERROR(VLOOKUP(A1456,#REF!,14,0),0)+IFERROR(VLOOKUP(A1456,#REF!,11,0),0)+IFERROR(VLOOKUP(A1456,#REF!,10,0),0)+IFERROR(VLOOKUP(A1456,#REF!,10,0),0)+IFERROR(VLOOKUP(A1456,#REF!,9,0),0)+IFERROR(VLOOKUP(A1456,#REF!,9,0),0)+IFERROR(VLOOKUP(A1456,#REF!,9,0),0)+IFERROR(VLOOKUP(A1456,#REF!,9,0),0)</f>
        <v>0</v>
      </c>
      <c r="J1456" s="104">
        <f>IFERROR(VLOOKUP(A1456,#REF!,16,0),0)+IFERROR(VLOOKUP(A1456,#REF!,26,0),0)+IFERROR(VLOOKUP(A1456,#REF!,11,0),0)+IFERROR(VLOOKUP(A1456,#REF!,23,0),0)+IFERROR(VLOOKUP(A1456,#REF!,11,0),0)+IFERROR(VLOOKUP(A1456,#REF!,11,0),0)+IFERROR(VLOOKUP(A1456,#REF!,11,0),0)</f>
        <v>0</v>
      </c>
      <c r="K1456" s="96" t="str">
        <f>"07.02.24"</f>
        <v>07.02.24</v>
      </c>
    </row>
    <row r="1457" spans="1:11" ht="11.25" customHeight="1" outlineLevel="1">
      <c r="A1457" s="89" t="n">
        <v>476360</v>
      </c>
      <c r="B1457" s="114" t="s">
        <v>1201</v>
      </c>
      <c r="C1457" s="89" t="s">
        <v>2410</v>
      </c>
      <c r="D1457" s="89" t="s">
        <v>15</v>
      </c>
      <c r="E1457" s="89" t="s">
        <v>2411</v>
      </c>
      <c r="F1457" s="102" t="n">
        <v>562</v>
      </c>
      <c r="G1457" s="102" t="n">
        <v>746</v>
      </c>
      <c r="H1457" s="103" t="s">
        <v>48</v>
      </c>
      <c r="I1457" s="103">
        <f>IFERROR(VLOOKUP(A1457,#REF!,15,0),0)+IFERROR(VLOOKUP(A1457,#REF!,25,0),0)+IFERROR(VLOOKUP(A1457,#REF!,10,0),0)+IFERROR(VLOOKUP(A1457,#REF!,14,0),0)+IFERROR(VLOOKUP(A1457,#REF!,11,0),0)+IFERROR(VLOOKUP(A1457,#REF!,10,0),0)+IFERROR(VLOOKUP(A1457,#REF!,10,0),0)+IFERROR(VLOOKUP(A1457,#REF!,9,0),0)+IFERROR(VLOOKUP(A1457,#REF!,9,0),0)+IFERROR(VLOOKUP(A1457,#REF!,9,0),0)+IFERROR(VLOOKUP(A1457,#REF!,9,0),0)</f>
        <v>0</v>
      </c>
      <c r="J1457" s="104">
        <f>IFERROR(VLOOKUP(A1457,#REF!,16,0),0)+IFERROR(VLOOKUP(A1457,#REF!,26,0),0)+IFERROR(VLOOKUP(A1457,#REF!,11,0),0)+IFERROR(VLOOKUP(A1457,#REF!,23,0),0)+IFERROR(VLOOKUP(A1457,#REF!,11,0),0)+IFERROR(VLOOKUP(A1457,#REF!,11,0),0)+IFERROR(VLOOKUP(A1457,#REF!,11,0),0)</f>
        <v>0</v>
      </c>
      <c r="K1457" s="96" t="str">
        <f>"07.02.24"</f>
        <v>07.02.24</v>
      </c>
    </row>
    <row r="1458" spans="1:11" ht="11.25" customHeight="1" outlineLevel="1">
      <c r="A1458" s="89" t="n">
        <v>476380</v>
      </c>
      <c r="B1458" s="114" t="s">
        <v>1201</v>
      </c>
      <c r="C1458" s="89" t="s">
        <v>2412</v>
      </c>
      <c r="D1458" s="89" t="s">
        <v>15</v>
      </c>
      <c r="E1458" s="89" t="s">
        <v>2413</v>
      </c>
      <c r="F1458" s="102" t="n">
        <v>642</v>
      </c>
      <c r="G1458" s="102" t="n">
        <v>850</v>
      </c>
      <c r="H1458" s="103" t="s">
        <v>48</v>
      </c>
      <c r="I1458" s="103">
        <f>IFERROR(VLOOKUP(A1458,#REF!,15,0),0)+IFERROR(VLOOKUP(A1458,#REF!,25,0),0)+IFERROR(VLOOKUP(A1458,#REF!,10,0),0)+IFERROR(VLOOKUP(A1458,#REF!,14,0),0)+IFERROR(VLOOKUP(A1458,#REF!,11,0),0)+IFERROR(VLOOKUP(A1458,#REF!,10,0),0)+IFERROR(VLOOKUP(A1458,#REF!,10,0),0)+IFERROR(VLOOKUP(A1458,#REF!,9,0),0)+IFERROR(VLOOKUP(A1458,#REF!,9,0),0)+IFERROR(VLOOKUP(A1458,#REF!,9,0),0)+IFERROR(VLOOKUP(A1458,#REF!,9,0),0)</f>
        <v>0</v>
      </c>
      <c r="J1458" s="104">
        <f>IFERROR(VLOOKUP(A1458,#REF!,16,0),0)+IFERROR(VLOOKUP(A1458,#REF!,26,0),0)+IFERROR(VLOOKUP(A1458,#REF!,11,0),0)+IFERROR(VLOOKUP(A1458,#REF!,23,0),0)+IFERROR(VLOOKUP(A1458,#REF!,11,0),0)+IFERROR(VLOOKUP(A1458,#REF!,11,0),0)+IFERROR(VLOOKUP(A1458,#REF!,11,0),0)</f>
        <v>0</v>
      </c>
      <c r="K1458" s="96" t="str">
        <f>"07.02.24"</f>
        <v>07.02.24</v>
      </c>
    </row>
    <row r="1459" spans="1:11" ht="11.25" customHeight="1" outlineLevel="1">
      <c r="A1459" s="89" t="n">
        <v>476390</v>
      </c>
      <c r="B1459" s="114" t="s">
        <v>1201</v>
      </c>
      <c r="C1459" s="89" t="s">
        <v>2414</v>
      </c>
      <c r="D1459" s="89" t="s">
        <v>15</v>
      </c>
      <c r="E1459" s="89" t="s">
        <v>2415</v>
      </c>
      <c r="F1459" s="102" t="n">
        <v>369</v>
      </c>
      <c r="G1459" s="102" t="n">
        <v>490</v>
      </c>
      <c r="H1459" s="103" t="s">
        <v>48</v>
      </c>
      <c r="I1459" s="103">
        <f>IFERROR(VLOOKUP(A1459,#REF!,15,0),0)+IFERROR(VLOOKUP(A1459,#REF!,25,0),0)+IFERROR(VLOOKUP(A1459,#REF!,10,0),0)+IFERROR(VLOOKUP(A1459,#REF!,14,0),0)+IFERROR(VLOOKUP(A1459,#REF!,11,0),0)+IFERROR(VLOOKUP(A1459,#REF!,10,0),0)+IFERROR(VLOOKUP(A1459,#REF!,10,0),0)+IFERROR(VLOOKUP(A1459,#REF!,9,0),0)+IFERROR(VLOOKUP(A1459,#REF!,9,0),0)+IFERROR(VLOOKUP(A1459,#REF!,9,0),0)+IFERROR(VLOOKUP(A1459,#REF!,9,0),0)</f>
        <v>0</v>
      </c>
      <c r="J1459" s="104">
        <f>IFERROR(VLOOKUP(A1459,#REF!,16,0),0)+IFERROR(VLOOKUP(A1459,#REF!,26,0),0)+IFERROR(VLOOKUP(A1459,#REF!,11,0),0)+IFERROR(VLOOKUP(A1459,#REF!,23,0),0)+IFERROR(VLOOKUP(A1459,#REF!,11,0),0)+IFERROR(VLOOKUP(A1459,#REF!,11,0),0)+IFERROR(VLOOKUP(A1459,#REF!,11,0),0)</f>
        <v>0</v>
      </c>
      <c r="K1459" s="96" t="str">
        <f>"07.02.24"</f>
        <v>07.02.24</v>
      </c>
    </row>
    <row r="1460" spans="1:11" ht="11.25" customHeight="1" outlineLevel="1">
      <c r="A1460" s="89" t="n">
        <v>476400</v>
      </c>
      <c r="B1460" s="114" t="s">
        <v>1201</v>
      </c>
      <c r="C1460" s="89" t="s">
        <v>2416</v>
      </c>
      <c r="D1460" s="89" t="s">
        <v>15</v>
      </c>
      <c r="E1460" s="89" t="s">
        <v>2417</v>
      </c>
      <c r="F1460" s="102" t="n">
        <v>381</v>
      </c>
      <c r="G1460" s="102" t="n">
        <v>503</v>
      </c>
      <c r="H1460" s="103" t="s">
        <v>48</v>
      </c>
      <c r="I1460" s="103">
        <f>IFERROR(VLOOKUP(A1460,#REF!,15,0),0)+IFERROR(VLOOKUP(A1460,#REF!,25,0),0)+IFERROR(VLOOKUP(A1460,#REF!,10,0),0)+IFERROR(VLOOKUP(A1460,#REF!,14,0),0)+IFERROR(VLOOKUP(A1460,#REF!,11,0),0)+IFERROR(VLOOKUP(A1460,#REF!,10,0),0)+IFERROR(VLOOKUP(A1460,#REF!,10,0),0)+IFERROR(VLOOKUP(A1460,#REF!,9,0),0)+IFERROR(VLOOKUP(A1460,#REF!,9,0),0)+IFERROR(VLOOKUP(A1460,#REF!,9,0),0)+IFERROR(VLOOKUP(A1460,#REF!,9,0),0)</f>
        <v>0</v>
      </c>
      <c r="J1460" s="104">
        <f>IFERROR(VLOOKUP(A1460,#REF!,16,0),0)+IFERROR(VLOOKUP(A1460,#REF!,26,0),0)+IFERROR(VLOOKUP(A1460,#REF!,11,0),0)+IFERROR(VLOOKUP(A1460,#REF!,23,0),0)+IFERROR(VLOOKUP(A1460,#REF!,11,0),0)+IFERROR(VLOOKUP(A1460,#REF!,11,0),0)+IFERROR(VLOOKUP(A1460,#REF!,11,0),0)</f>
        <v>0</v>
      </c>
      <c r="K1460" s="96" t="str">
        <f>"07.02.24"</f>
        <v>07.02.24</v>
      </c>
    </row>
    <row r="1461" spans="1:11" ht="11.25" customHeight="1" outlineLevel="1">
      <c r="A1461" s="89" t="n">
        <v>476410</v>
      </c>
      <c r="B1461" s="114" t="s">
        <v>1201</v>
      </c>
      <c r="C1461" s="89" t="s">
        <v>2418</v>
      </c>
      <c r="D1461" s="89" t="s">
        <v>15</v>
      </c>
      <c r="E1461" s="89" t="s">
        <v>2419</v>
      </c>
      <c r="F1461" s="102" t="n">
        <v>503</v>
      </c>
      <c r="G1461" s="102" t="n">
        <v>669</v>
      </c>
      <c r="H1461" s="103" t="s">
        <v>48</v>
      </c>
      <c r="I1461" s="103">
        <f>IFERROR(VLOOKUP(A1461,#REF!,15,0),0)+IFERROR(VLOOKUP(A1461,#REF!,25,0),0)+IFERROR(VLOOKUP(A1461,#REF!,10,0),0)+IFERROR(VLOOKUP(A1461,#REF!,14,0),0)+IFERROR(VLOOKUP(A1461,#REF!,11,0),0)+IFERROR(VLOOKUP(A1461,#REF!,10,0),0)+IFERROR(VLOOKUP(A1461,#REF!,10,0),0)+IFERROR(VLOOKUP(A1461,#REF!,9,0),0)+IFERROR(VLOOKUP(A1461,#REF!,9,0),0)+IFERROR(VLOOKUP(A1461,#REF!,9,0),0)+IFERROR(VLOOKUP(A1461,#REF!,9,0),0)</f>
        <v>0</v>
      </c>
      <c r="J1461" s="104">
        <f>IFERROR(VLOOKUP(A1461,#REF!,16,0),0)+IFERROR(VLOOKUP(A1461,#REF!,26,0),0)+IFERROR(VLOOKUP(A1461,#REF!,11,0),0)+IFERROR(VLOOKUP(A1461,#REF!,23,0),0)+IFERROR(VLOOKUP(A1461,#REF!,11,0),0)+IFERROR(VLOOKUP(A1461,#REF!,11,0),0)+IFERROR(VLOOKUP(A1461,#REF!,11,0),0)</f>
        <v>0</v>
      </c>
      <c r="K1461" s="96" t="str">
        <f>"07.02.24"</f>
        <v>07.02.24</v>
      </c>
    </row>
    <row r="1462" spans="1:11" ht="11.25" customHeight="1" outlineLevel="1">
      <c r="A1462" s="89" t="n">
        <v>476420</v>
      </c>
      <c r="B1462" s="114" t="s">
        <v>1201</v>
      </c>
      <c r="C1462" s="89" t="s">
        <v>2420</v>
      </c>
      <c r="D1462" s="89" t="s">
        <v>15</v>
      </c>
      <c r="E1462" s="89" t="s">
        <v>2421</v>
      </c>
      <c r="F1462" s="102" t="n">
        <v>517</v>
      </c>
      <c r="G1462" s="102" t="n">
        <v>688</v>
      </c>
      <c r="H1462" s="103" t="s">
        <v>48</v>
      </c>
      <c r="I1462" s="103">
        <f>IFERROR(VLOOKUP(A1462,#REF!,15,0),0)+IFERROR(VLOOKUP(A1462,#REF!,25,0),0)+IFERROR(VLOOKUP(A1462,#REF!,10,0),0)+IFERROR(VLOOKUP(A1462,#REF!,14,0),0)+IFERROR(VLOOKUP(A1462,#REF!,11,0),0)+IFERROR(VLOOKUP(A1462,#REF!,10,0),0)+IFERROR(VLOOKUP(A1462,#REF!,10,0),0)+IFERROR(VLOOKUP(A1462,#REF!,9,0),0)+IFERROR(VLOOKUP(A1462,#REF!,9,0),0)+IFERROR(VLOOKUP(A1462,#REF!,9,0),0)+IFERROR(VLOOKUP(A1462,#REF!,9,0),0)</f>
        <v>0</v>
      </c>
      <c r="J1462" s="104">
        <f>IFERROR(VLOOKUP(A1462,#REF!,16,0),0)+IFERROR(VLOOKUP(A1462,#REF!,26,0),0)+IFERROR(VLOOKUP(A1462,#REF!,11,0),0)+IFERROR(VLOOKUP(A1462,#REF!,23,0),0)+IFERROR(VLOOKUP(A1462,#REF!,11,0),0)+IFERROR(VLOOKUP(A1462,#REF!,11,0),0)+IFERROR(VLOOKUP(A1462,#REF!,11,0),0)</f>
        <v>0</v>
      </c>
      <c r="K1462" s="96" t="str">
        <f>"07.02.24"</f>
        <v>07.02.24</v>
      </c>
    </row>
    <row r="1463" spans="1:11" ht="11.25" customHeight="1" outlineLevel="1">
      <c r="A1463" s="89" t="n">
        <v>476430</v>
      </c>
      <c r="B1463" s="114" t="s">
        <v>1201</v>
      </c>
      <c r="C1463" s="89" t="s">
        <v>2422</v>
      </c>
      <c r="D1463" s="89" t="s">
        <v>15</v>
      </c>
      <c r="E1463" s="89" t="s">
        <v>2423</v>
      </c>
      <c r="F1463" s="102" t="n">
        <v>553</v>
      </c>
      <c r="G1463" s="102" t="n">
        <v>732</v>
      </c>
      <c r="H1463" s="103" t="s">
        <v>48</v>
      </c>
      <c r="I1463" s="103">
        <f>IFERROR(VLOOKUP(A1463,#REF!,15,0),0)+IFERROR(VLOOKUP(A1463,#REF!,25,0),0)+IFERROR(VLOOKUP(A1463,#REF!,10,0),0)+IFERROR(VLOOKUP(A1463,#REF!,14,0),0)+IFERROR(VLOOKUP(A1463,#REF!,11,0),0)+IFERROR(VLOOKUP(A1463,#REF!,10,0),0)+IFERROR(VLOOKUP(A1463,#REF!,10,0),0)+IFERROR(VLOOKUP(A1463,#REF!,9,0),0)+IFERROR(VLOOKUP(A1463,#REF!,9,0),0)+IFERROR(VLOOKUP(A1463,#REF!,9,0),0)+IFERROR(VLOOKUP(A1463,#REF!,9,0),0)</f>
        <v>0</v>
      </c>
      <c r="J1463" s="104">
        <f>IFERROR(VLOOKUP(A1463,#REF!,16,0),0)+IFERROR(VLOOKUP(A1463,#REF!,26,0),0)+IFERROR(VLOOKUP(A1463,#REF!,11,0),0)+IFERROR(VLOOKUP(A1463,#REF!,23,0),0)+IFERROR(VLOOKUP(A1463,#REF!,11,0),0)+IFERROR(VLOOKUP(A1463,#REF!,11,0),0)+IFERROR(VLOOKUP(A1463,#REF!,11,0),0)</f>
        <v>0</v>
      </c>
      <c r="K1463" s="96" t="str">
        <f>"07.02.24"</f>
        <v>07.02.24</v>
      </c>
    </row>
    <row r="1464" spans="1:11" ht="11.25" customHeight="1" outlineLevel="1">
      <c r="A1464" s="89" t="n">
        <v>476440</v>
      </c>
      <c r="B1464" s="114" t="s">
        <v>1201</v>
      </c>
      <c r="C1464" s="89" t="s">
        <v>2424</v>
      </c>
      <c r="D1464" s="89" t="s">
        <v>15</v>
      </c>
      <c r="E1464" s="89" t="s">
        <v>2425</v>
      </c>
      <c r="F1464" s="102" t="n">
        <v>753</v>
      </c>
      <c r="G1464" s="102" t="n">
        <v>998</v>
      </c>
      <c r="H1464" s="103" t="s">
        <v>48</v>
      </c>
      <c r="I1464" s="103">
        <f>IFERROR(VLOOKUP(A1464,#REF!,15,0),0)+IFERROR(VLOOKUP(A1464,#REF!,25,0),0)+IFERROR(VLOOKUP(A1464,#REF!,10,0),0)+IFERROR(VLOOKUP(A1464,#REF!,14,0),0)+IFERROR(VLOOKUP(A1464,#REF!,11,0),0)+IFERROR(VLOOKUP(A1464,#REF!,10,0),0)+IFERROR(VLOOKUP(A1464,#REF!,10,0),0)+IFERROR(VLOOKUP(A1464,#REF!,9,0),0)+IFERROR(VLOOKUP(A1464,#REF!,9,0),0)+IFERROR(VLOOKUP(A1464,#REF!,9,0),0)+IFERROR(VLOOKUP(A1464,#REF!,9,0),0)</f>
        <v>0</v>
      </c>
      <c r="J1464" s="104">
        <f>IFERROR(VLOOKUP(A1464,#REF!,16,0),0)+IFERROR(VLOOKUP(A1464,#REF!,26,0),0)+IFERROR(VLOOKUP(A1464,#REF!,11,0),0)+IFERROR(VLOOKUP(A1464,#REF!,23,0),0)+IFERROR(VLOOKUP(A1464,#REF!,11,0),0)+IFERROR(VLOOKUP(A1464,#REF!,11,0),0)+IFERROR(VLOOKUP(A1464,#REF!,11,0),0)</f>
        <v>0</v>
      </c>
      <c r="K1464" s="96" t="str">
        <f>"07.02.24"</f>
        <v>07.02.24</v>
      </c>
    </row>
    <row r="1465" spans="1:11" ht="11.25" customHeight="1" outlineLevel="1">
      <c r="A1465" s="89" t="n">
        <v>476450</v>
      </c>
      <c r="B1465" s="114" t="s">
        <v>1201</v>
      </c>
      <c r="C1465" s="89" t="s">
        <v>2426</v>
      </c>
      <c r="D1465" s="89" t="s">
        <v>15</v>
      </c>
      <c r="E1465" s="89" t="s">
        <v>2427</v>
      </c>
      <c r="F1465" s="102" t="n">
        <v>584</v>
      </c>
      <c r="G1465" s="102" t="n">
        <v>773</v>
      </c>
      <c r="H1465" s="103" t="s">
        <v>48</v>
      </c>
      <c r="I1465" s="103">
        <f>IFERROR(VLOOKUP(A1465,#REF!,15,0),0)+IFERROR(VLOOKUP(A1465,#REF!,25,0),0)+IFERROR(VLOOKUP(A1465,#REF!,10,0),0)+IFERROR(VLOOKUP(A1465,#REF!,14,0),0)+IFERROR(VLOOKUP(A1465,#REF!,11,0),0)+IFERROR(VLOOKUP(A1465,#REF!,10,0),0)+IFERROR(VLOOKUP(A1465,#REF!,10,0),0)+IFERROR(VLOOKUP(A1465,#REF!,9,0),0)+IFERROR(VLOOKUP(A1465,#REF!,9,0),0)+IFERROR(VLOOKUP(A1465,#REF!,9,0),0)+IFERROR(VLOOKUP(A1465,#REF!,9,0),0)</f>
        <v>0</v>
      </c>
      <c r="J1465" s="104">
        <f>IFERROR(VLOOKUP(A1465,#REF!,16,0),0)+IFERROR(VLOOKUP(A1465,#REF!,26,0),0)+IFERROR(VLOOKUP(A1465,#REF!,11,0),0)+IFERROR(VLOOKUP(A1465,#REF!,23,0),0)+IFERROR(VLOOKUP(A1465,#REF!,11,0),0)+IFERROR(VLOOKUP(A1465,#REF!,11,0),0)+IFERROR(VLOOKUP(A1465,#REF!,11,0),0)</f>
        <v>0</v>
      </c>
      <c r="K1465" s="96" t="str">
        <f>"07.02.24"</f>
        <v>07.02.24</v>
      </c>
    </row>
    <row r="1466" spans="1:11" ht="11.25" customHeight="1" outlineLevel="1">
      <c r="A1466" s="89" t="n">
        <v>659630</v>
      </c>
      <c r="B1466" s="114" t="s">
        <v>1201</v>
      </c>
      <c r="C1466" s="89" t="s">
        <v>2428</v>
      </c>
      <c r="D1466" s="89" t="s">
        <v>15</v>
      </c>
      <c r="E1466" s="89" t="s">
        <v>2429</v>
      </c>
      <c r="F1466" s="102" t="n">
        <v>404</v>
      </c>
      <c r="G1466" s="102" t="n">
        <v>539</v>
      </c>
      <c r="H1466" s="103" t="s">
        <v>48</v>
      </c>
      <c r="I1466" s="103">
        <f>IFERROR(VLOOKUP(A1466,#REF!,15,0),0)+IFERROR(VLOOKUP(A1466,#REF!,25,0),0)+IFERROR(VLOOKUP(A1466,#REF!,10,0),0)+IFERROR(VLOOKUP(A1466,#REF!,14,0),0)+IFERROR(VLOOKUP(A1466,#REF!,11,0),0)+IFERROR(VLOOKUP(A1466,#REF!,10,0),0)+IFERROR(VLOOKUP(A1466,#REF!,10,0),0)+IFERROR(VLOOKUP(A1466,#REF!,9,0),0)+IFERROR(VLOOKUP(A1466,#REF!,9,0),0)+IFERROR(VLOOKUP(A1466,#REF!,9,0),0)+IFERROR(VLOOKUP(A1466,#REF!,9,0),0)</f>
        <v>0</v>
      </c>
      <c r="J1466" s="104">
        <f>IFERROR(VLOOKUP(A1466,#REF!,16,0),0)+IFERROR(VLOOKUP(A1466,#REF!,26,0),0)+IFERROR(VLOOKUP(A1466,#REF!,11,0),0)+IFERROR(VLOOKUP(A1466,#REF!,23,0),0)+IFERROR(VLOOKUP(A1466,#REF!,11,0),0)+IFERROR(VLOOKUP(A1466,#REF!,11,0),0)+IFERROR(VLOOKUP(A1466,#REF!,11,0),0)</f>
        <v>0</v>
      </c>
      <c r="K1466" s="96" t="str">
        <f>"07.02.24"</f>
        <v>07.02.24</v>
      </c>
    </row>
    <row r="1467" spans="1:11" ht="11.25" customHeight="1" outlineLevel="1">
      <c r="A1467" s="89" t="n">
        <v>659670</v>
      </c>
      <c r="B1467" s="114" t="s">
        <v>1201</v>
      </c>
      <c r="C1467" s="89" t="s">
        <v>2430</v>
      </c>
      <c r="D1467" s="89" t="s">
        <v>15</v>
      </c>
      <c r="E1467" s="89" t="s">
        <v>2431</v>
      </c>
      <c r="F1467" s="102" t="n">
        <v>858</v>
      </c>
      <c r="G1467" s="102" t="n">
        <v>1140</v>
      </c>
      <c r="H1467" s="103" t="s">
        <v>48</v>
      </c>
      <c r="I1467" s="103">
        <f>IFERROR(VLOOKUP(A1467,#REF!,15,0),0)+IFERROR(VLOOKUP(A1467,#REF!,25,0),0)+IFERROR(VLOOKUP(A1467,#REF!,10,0),0)+IFERROR(VLOOKUP(A1467,#REF!,14,0),0)+IFERROR(VLOOKUP(A1467,#REF!,11,0),0)+IFERROR(VLOOKUP(A1467,#REF!,10,0),0)+IFERROR(VLOOKUP(A1467,#REF!,10,0),0)+IFERROR(VLOOKUP(A1467,#REF!,9,0),0)+IFERROR(VLOOKUP(A1467,#REF!,9,0),0)+IFERROR(VLOOKUP(A1467,#REF!,9,0),0)+IFERROR(VLOOKUP(A1467,#REF!,9,0),0)</f>
        <v>0</v>
      </c>
      <c r="J1467" s="104">
        <f>IFERROR(VLOOKUP(A1467,#REF!,16,0),0)+IFERROR(VLOOKUP(A1467,#REF!,26,0),0)+IFERROR(VLOOKUP(A1467,#REF!,11,0),0)+IFERROR(VLOOKUP(A1467,#REF!,23,0),0)+IFERROR(VLOOKUP(A1467,#REF!,11,0),0)+IFERROR(VLOOKUP(A1467,#REF!,11,0),0)+IFERROR(VLOOKUP(A1467,#REF!,11,0),0)</f>
        <v>0</v>
      </c>
      <c r="K1467" s="96" t="str">
        <f>"07.02.24"</f>
        <v>07.02.24</v>
      </c>
    </row>
    <row r="1468" spans="1:11" ht="11.25" customHeight="1" outlineLevel="1">
      <c r="A1468" s="89" t="n">
        <v>659710</v>
      </c>
      <c r="B1468" s="114" t="s">
        <v>1201</v>
      </c>
      <c r="C1468" s="89" t="s">
        <v>2432</v>
      </c>
      <c r="D1468" s="89" t="s">
        <v>15</v>
      </c>
      <c r="E1468" s="89" t="s">
        <v>2433</v>
      </c>
      <c r="F1468" s="102" t="n">
        <v>880</v>
      </c>
      <c r="G1468" s="102" t="n">
        <v>1166</v>
      </c>
      <c r="H1468" s="103" t="s">
        <v>48</v>
      </c>
      <c r="I1468" s="103">
        <f>IFERROR(VLOOKUP(A1468,#REF!,15,0),0)+IFERROR(VLOOKUP(A1468,#REF!,25,0),0)+IFERROR(VLOOKUP(A1468,#REF!,10,0),0)+IFERROR(VLOOKUP(A1468,#REF!,14,0),0)+IFERROR(VLOOKUP(A1468,#REF!,11,0),0)+IFERROR(VLOOKUP(A1468,#REF!,10,0),0)+IFERROR(VLOOKUP(A1468,#REF!,10,0),0)+IFERROR(VLOOKUP(A1468,#REF!,9,0),0)+IFERROR(VLOOKUP(A1468,#REF!,9,0),0)+IFERROR(VLOOKUP(A1468,#REF!,9,0),0)+IFERROR(VLOOKUP(A1468,#REF!,9,0),0)</f>
        <v>0</v>
      </c>
      <c r="J1468" s="104">
        <f>IFERROR(VLOOKUP(A1468,#REF!,16,0),0)+IFERROR(VLOOKUP(A1468,#REF!,26,0),0)+IFERROR(VLOOKUP(A1468,#REF!,11,0),0)+IFERROR(VLOOKUP(A1468,#REF!,23,0),0)+IFERROR(VLOOKUP(A1468,#REF!,11,0),0)+IFERROR(VLOOKUP(A1468,#REF!,11,0),0)+IFERROR(VLOOKUP(A1468,#REF!,11,0),0)</f>
        <v>0</v>
      </c>
      <c r="K1468" s="96" t="str">
        <f>"07.02.24"</f>
        <v>07.02.24</v>
      </c>
    </row>
    <row r="1469" spans="1:11" ht="11.25" customHeight="1" outlineLevel="1">
      <c r="A1469" s="89" t="n">
        <v>659730</v>
      </c>
      <c r="B1469" s="114" t="s">
        <v>1201</v>
      </c>
      <c r="C1469" s="89" t="s">
        <v>2434</v>
      </c>
      <c r="D1469" s="89" t="s">
        <v>15</v>
      </c>
      <c r="E1469" s="89" t="s">
        <v>2435</v>
      </c>
      <c r="F1469" s="102" t="n">
        <v>1362</v>
      </c>
      <c r="G1469" s="102" t="n">
        <v>1813</v>
      </c>
      <c r="H1469" s="103" t="s">
        <v>48</v>
      </c>
      <c r="I1469" s="103">
        <f>IFERROR(VLOOKUP(A1469,#REF!,15,0),0)+IFERROR(VLOOKUP(A1469,#REF!,25,0),0)+IFERROR(VLOOKUP(A1469,#REF!,10,0),0)+IFERROR(VLOOKUP(A1469,#REF!,14,0),0)+IFERROR(VLOOKUP(A1469,#REF!,11,0),0)+IFERROR(VLOOKUP(A1469,#REF!,10,0),0)+IFERROR(VLOOKUP(A1469,#REF!,10,0),0)+IFERROR(VLOOKUP(A1469,#REF!,9,0),0)+IFERROR(VLOOKUP(A1469,#REF!,9,0),0)+IFERROR(VLOOKUP(A1469,#REF!,9,0),0)+IFERROR(VLOOKUP(A1469,#REF!,9,0),0)</f>
        <v>0</v>
      </c>
      <c r="J1469" s="104">
        <f>IFERROR(VLOOKUP(A1469,#REF!,16,0),0)+IFERROR(VLOOKUP(A1469,#REF!,26,0),0)+IFERROR(VLOOKUP(A1469,#REF!,11,0),0)+IFERROR(VLOOKUP(A1469,#REF!,23,0),0)+IFERROR(VLOOKUP(A1469,#REF!,11,0),0)+IFERROR(VLOOKUP(A1469,#REF!,11,0),0)+IFERROR(VLOOKUP(A1469,#REF!,11,0),0)</f>
        <v>0</v>
      </c>
      <c r="K1469" s="96" t="str">
        <f>"07.02.24"</f>
        <v>07.02.24</v>
      </c>
    </row>
    <row r="1470" spans="1:11" ht="11.25" customHeight="1" outlineLevel="1">
      <c r="A1470" s="89" t="n">
        <v>671190</v>
      </c>
      <c r="B1470" s="114" t="s">
        <v>1201</v>
      </c>
      <c r="C1470" s="89" t="s">
        <v>2436</v>
      </c>
      <c r="D1470" s="89" t="s">
        <v>15</v>
      </c>
      <c r="E1470" s="89" t="s">
        <v>2437</v>
      </c>
      <c r="F1470" s="102" t="n">
        <v>888</v>
      </c>
      <c r="G1470" s="102" t="n">
        <v>1181</v>
      </c>
      <c r="H1470" s="103" t="s">
        <v>48</v>
      </c>
      <c r="I1470" s="103">
        <f>IFERROR(VLOOKUP(A1470,#REF!,15,0),0)+IFERROR(VLOOKUP(A1470,#REF!,25,0),0)+IFERROR(VLOOKUP(A1470,#REF!,10,0),0)+IFERROR(VLOOKUP(A1470,#REF!,14,0),0)+IFERROR(VLOOKUP(A1470,#REF!,11,0),0)+IFERROR(VLOOKUP(A1470,#REF!,10,0),0)+IFERROR(VLOOKUP(A1470,#REF!,10,0),0)+IFERROR(VLOOKUP(A1470,#REF!,9,0),0)+IFERROR(VLOOKUP(A1470,#REF!,9,0),0)+IFERROR(VLOOKUP(A1470,#REF!,9,0),0)+IFERROR(VLOOKUP(A1470,#REF!,9,0),0)</f>
        <v>0</v>
      </c>
      <c r="J1470" s="104">
        <f>IFERROR(VLOOKUP(A1470,#REF!,16,0),0)+IFERROR(VLOOKUP(A1470,#REF!,26,0),0)+IFERROR(VLOOKUP(A1470,#REF!,11,0),0)+IFERROR(VLOOKUP(A1470,#REF!,23,0),0)+IFERROR(VLOOKUP(A1470,#REF!,11,0),0)+IFERROR(VLOOKUP(A1470,#REF!,11,0),0)+IFERROR(VLOOKUP(A1470,#REF!,11,0),0)</f>
        <v>0</v>
      </c>
      <c r="K1470" s="96" t="str">
        <f>"07.02.24"</f>
        <v>07.02.24</v>
      </c>
    </row>
    <row r="1471" spans="1:11" ht="11.25" customHeight="1" outlineLevel="1">
      <c r="A1471" s="89" t="n">
        <v>671210</v>
      </c>
      <c r="B1471" s="114" t="s">
        <v>1201</v>
      </c>
      <c r="C1471" s="89" t="s">
        <v>2438</v>
      </c>
      <c r="D1471" s="89" t="s">
        <v>15</v>
      </c>
      <c r="E1471" s="89" t="s">
        <v>2439</v>
      </c>
      <c r="F1471" s="102" t="n">
        <v>830</v>
      </c>
      <c r="G1471" s="102" t="n">
        <v>1104</v>
      </c>
      <c r="H1471" s="103" t="s">
        <v>48</v>
      </c>
      <c r="I1471" s="103">
        <f>IFERROR(VLOOKUP(A1471,#REF!,15,0),0)+IFERROR(VLOOKUP(A1471,#REF!,25,0),0)+IFERROR(VLOOKUP(A1471,#REF!,10,0),0)+IFERROR(VLOOKUP(A1471,#REF!,14,0),0)+IFERROR(VLOOKUP(A1471,#REF!,11,0),0)+IFERROR(VLOOKUP(A1471,#REF!,10,0),0)+IFERROR(VLOOKUP(A1471,#REF!,10,0),0)+IFERROR(VLOOKUP(A1471,#REF!,9,0),0)+IFERROR(VLOOKUP(A1471,#REF!,9,0),0)+IFERROR(VLOOKUP(A1471,#REF!,9,0),0)+IFERROR(VLOOKUP(A1471,#REF!,9,0),0)</f>
        <v>0</v>
      </c>
      <c r="J1471" s="104">
        <f>IFERROR(VLOOKUP(A1471,#REF!,16,0),0)+IFERROR(VLOOKUP(A1471,#REF!,26,0),0)+IFERROR(VLOOKUP(A1471,#REF!,11,0),0)+IFERROR(VLOOKUP(A1471,#REF!,23,0),0)+IFERROR(VLOOKUP(A1471,#REF!,11,0),0)+IFERROR(VLOOKUP(A1471,#REF!,11,0),0)+IFERROR(VLOOKUP(A1471,#REF!,11,0),0)</f>
        <v>0</v>
      </c>
      <c r="K1471" s="96" t="str">
        <f>"07.02.24"</f>
        <v>07.02.24</v>
      </c>
    </row>
    <row r="1472" spans="1:11" ht="11.25" customHeight="1" outlineLevel="1">
      <c r="A1472" s="89" t="n">
        <v>671220</v>
      </c>
      <c r="B1472" s="114" t="s">
        <v>1201</v>
      </c>
      <c r="C1472" s="89" t="s">
        <v>2440</v>
      </c>
      <c r="D1472" s="89" t="s">
        <v>15</v>
      </c>
      <c r="E1472" s="89" t="s">
        <v>2441</v>
      </c>
      <c r="F1472" s="102" t="n">
        <v>934</v>
      </c>
      <c r="G1472" s="102" t="n">
        <v>1242</v>
      </c>
      <c r="H1472" s="103" t="s">
        <v>48</v>
      </c>
      <c r="I1472" s="103">
        <f>IFERROR(VLOOKUP(A1472,#REF!,15,0),0)+IFERROR(VLOOKUP(A1472,#REF!,25,0),0)+IFERROR(VLOOKUP(A1472,#REF!,10,0),0)+IFERROR(VLOOKUP(A1472,#REF!,14,0),0)+IFERROR(VLOOKUP(A1472,#REF!,11,0),0)+IFERROR(VLOOKUP(A1472,#REF!,10,0),0)+IFERROR(VLOOKUP(A1472,#REF!,10,0),0)+IFERROR(VLOOKUP(A1472,#REF!,9,0),0)+IFERROR(VLOOKUP(A1472,#REF!,9,0),0)+IFERROR(VLOOKUP(A1472,#REF!,9,0),0)+IFERROR(VLOOKUP(A1472,#REF!,9,0),0)</f>
        <v>0</v>
      </c>
      <c r="J1472" s="104">
        <f>IFERROR(VLOOKUP(A1472,#REF!,16,0),0)+IFERROR(VLOOKUP(A1472,#REF!,26,0),0)+IFERROR(VLOOKUP(A1472,#REF!,11,0),0)+IFERROR(VLOOKUP(A1472,#REF!,23,0),0)+IFERROR(VLOOKUP(A1472,#REF!,11,0),0)+IFERROR(VLOOKUP(A1472,#REF!,11,0),0)+IFERROR(VLOOKUP(A1472,#REF!,11,0),0)</f>
        <v>0</v>
      </c>
      <c r="K1472" s="96" t="str">
        <f>"07.02.24"</f>
        <v>07.02.24</v>
      </c>
    </row>
    <row r="1473" spans="1:11" ht="11.25" customHeight="1" outlineLevel="1">
      <c r="A1473" s="89" t="n">
        <v>671250</v>
      </c>
      <c r="B1473" s="114" t="s">
        <v>1201</v>
      </c>
      <c r="C1473" s="89" t="s">
        <v>2442</v>
      </c>
      <c r="D1473" s="89" t="s">
        <v>15</v>
      </c>
      <c r="E1473" s="89" t="s">
        <v>2443</v>
      </c>
      <c r="F1473" s="102" t="n">
        <v>1206</v>
      </c>
      <c r="G1473" s="102" t="n">
        <v>1605</v>
      </c>
      <c r="H1473" s="103" t="s">
        <v>48</v>
      </c>
      <c r="I1473" s="103">
        <f>IFERROR(VLOOKUP(A1473,#REF!,15,0),0)+IFERROR(VLOOKUP(A1473,#REF!,25,0),0)+IFERROR(VLOOKUP(A1473,#REF!,10,0),0)+IFERROR(VLOOKUP(A1473,#REF!,14,0),0)+IFERROR(VLOOKUP(A1473,#REF!,11,0),0)+IFERROR(VLOOKUP(A1473,#REF!,10,0),0)+IFERROR(VLOOKUP(A1473,#REF!,10,0),0)+IFERROR(VLOOKUP(A1473,#REF!,9,0),0)+IFERROR(VLOOKUP(A1473,#REF!,9,0),0)+IFERROR(VLOOKUP(A1473,#REF!,9,0),0)+IFERROR(VLOOKUP(A1473,#REF!,9,0),0)</f>
        <v>0</v>
      </c>
      <c r="J1473" s="104">
        <f>IFERROR(VLOOKUP(A1473,#REF!,16,0),0)+IFERROR(VLOOKUP(A1473,#REF!,26,0),0)+IFERROR(VLOOKUP(A1473,#REF!,11,0),0)+IFERROR(VLOOKUP(A1473,#REF!,23,0),0)+IFERROR(VLOOKUP(A1473,#REF!,11,0),0)+IFERROR(VLOOKUP(A1473,#REF!,11,0),0)+IFERROR(VLOOKUP(A1473,#REF!,11,0),0)</f>
        <v>0</v>
      </c>
      <c r="K1473" s="96" t="str">
        <f>"07.02.24"</f>
        <v>07.02.24</v>
      </c>
    </row>
    <row r="1474" spans="1:11" ht="11.25" customHeight="1" outlineLevel="1">
      <c r="A1474" s="89" t="n">
        <v>671270</v>
      </c>
      <c r="B1474" s="114" t="s">
        <v>1201</v>
      </c>
      <c r="C1474" s="89" t="s">
        <v>2444</v>
      </c>
      <c r="D1474" s="89" t="s">
        <v>15</v>
      </c>
      <c r="E1474" s="89" t="s">
        <v>2445</v>
      </c>
      <c r="F1474" s="102" t="n">
        <v>1031</v>
      </c>
      <c r="G1474" s="102" t="n">
        <v>1369</v>
      </c>
      <c r="H1474" s="103" t="s">
        <v>48</v>
      </c>
      <c r="I1474" s="103">
        <f>IFERROR(VLOOKUP(A1474,#REF!,15,0),0)+IFERROR(VLOOKUP(A1474,#REF!,25,0),0)+IFERROR(VLOOKUP(A1474,#REF!,10,0),0)+IFERROR(VLOOKUP(A1474,#REF!,14,0),0)+IFERROR(VLOOKUP(A1474,#REF!,11,0),0)+IFERROR(VLOOKUP(A1474,#REF!,10,0),0)+IFERROR(VLOOKUP(A1474,#REF!,10,0),0)+IFERROR(VLOOKUP(A1474,#REF!,9,0),0)+IFERROR(VLOOKUP(A1474,#REF!,9,0),0)+IFERROR(VLOOKUP(A1474,#REF!,9,0),0)+IFERROR(VLOOKUP(A1474,#REF!,9,0),0)</f>
        <v>0</v>
      </c>
      <c r="J1474" s="104">
        <f>IFERROR(VLOOKUP(A1474,#REF!,16,0),0)+IFERROR(VLOOKUP(A1474,#REF!,26,0),0)+IFERROR(VLOOKUP(A1474,#REF!,11,0),0)+IFERROR(VLOOKUP(A1474,#REF!,23,0),0)+IFERROR(VLOOKUP(A1474,#REF!,11,0),0)+IFERROR(VLOOKUP(A1474,#REF!,11,0),0)+IFERROR(VLOOKUP(A1474,#REF!,11,0),0)</f>
        <v>0</v>
      </c>
      <c r="K1474" s="96" t="str">
        <f>"07.02.24"</f>
        <v>07.02.24</v>
      </c>
    </row>
    <row r="1475" spans="1:11" ht="11.25" customHeight="1" outlineLevel="1">
      <c r="A1475" s="89" t="n">
        <v>671280</v>
      </c>
      <c r="B1475" s="114" t="s">
        <v>1201</v>
      </c>
      <c r="C1475" s="89" t="s">
        <v>2446</v>
      </c>
      <c r="D1475" s="89" t="s">
        <v>15</v>
      </c>
      <c r="E1475" s="89" t="s">
        <v>2447</v>
      </c>
      <c r="F1475" s="102" t="n">
        <v>1403</v>
      </c>
      <c r="G1475" s="102" t="n">
        <v>1866</v>
      </c>
      <c r="H1475" s="103" t="s">
        <v>48</v>
      </c>
      <c r="I1475" s="103">
        <f>IFERROR(VLOOKUP(A1475,#REF!,15,0),0)+IFERROR(VLOOKUP(A1475,#REF!,25,0),0)+IFERROR(VLOOKUP(A1475,#REF!,10,0),0)+IFERROR(VLOOKUP(A1475,#REF!,14,0),0)+IFERROR(VLOOKUP(A1475,#REF!,11,0),0)+IFERROR(VLOOKUP(A1475,#REF!,10,0),0)+IFERROR(VLOOKUP(A1475,#REF!,10,0),0)+IFERROR(VLOOKUP(A1475,#REF!,9,0),0)+IFERROR(VLOOKUP(A1475,#REF!,9,0),0)+IFERROR(VLOOKUP(A1475,#REF!,9,0),0)+IFERROR(VLOOKUP(A1475,#REF!,9,0),0)</f>
        <v>0</v>
      </c>
      <c r="J1475" s="104">
        <f>IFERROR(VLOOKUP(A1475,#REF!,16,0),0)+IFERROR(VLOOKUP(A1475,#REF!,26,0),0)+IFERROR(VLOOKUP(A1475,#REF!,11,0),0)+IFERROR(VLOOKUP(A1475,#REF!,23,0),0)+IFERROR(VLOOKUP(A1475,#REF!,11,0),0)+IFERROR(VLOOKUP(A1475,#REF!,11,0),0)+IFERROR(VLOOKUP(A1475,#REF!,11,0),0)</f>
        <v>0</v>
      </c>
      <c r="K1475" s="96" t="str">
        <f>"07.02.24"</f>
        <v>07.02.24</v>
      </c>
    </row>
    <row r="1476" spans="1:11" ht="11.25" customHeight="1" outlineLevel="1">
      <c r="A1476" s="89" t="n">
        <v>671290</v>
      </c>
      <c r="B1476" s="114" t="s">
        <v>1201</v>
      </c>
      <c r="C1476" s="89" t="s">
        <v>2448</v>
      </c>
      <c r="D1476" s="89" t="s">
        <v>407</v>
      </c>
      <c r="E1476" s="89" t="s">
        <v>2449</v>
      </c>
      <c r="F1476" s="102" t="n">
        <v>4742</v>
      </c>
      <c r="G1476" s="102" t="n">
        <v>6306</v>
      </c>
      <c r="H1476" s="103" t="s">
        <v>48</v>
      </c>
      <c r="I1476" s="103">
        <f>IFERROR(VLOOKUP(A1476,#REF!,15,0),0)+IFERROR(VLOOKUP(A1476,#REF!,25,0),0)+IFERROR(VLOOKUP(A1476,#REF!,10,0),0)+IFERROR(VLOOKUP(A1476,#REF!,14,0),0)+IFERROR(VLOOKUP(A1476,#REF!,11,0),0)+IFERROR(VLOOKUP(A1476,#REF!,10,0),0)+IFERROR(VLOOKUP(A1476,#REF!,10,0),0)+IFERROR(VLOOKUP(A1476,#REF!,9,0),0)+IFERROR(VLOOKUP(A1476,#REF!,9,0),0)+IFERROR(VLOOKUP(A1476,#REF!,9,0),0)+IFERROR(VLOOKUP(A1476,#REF!,9,0),0)</f>
        <v>0</v>
      </c>
      <c r="J1476" s="104">
        <f>IFERROR(VLOOKUP(A1476,#REF!,16,0),0)+IFERROR(VLOOKUP(A1476,#REF!,26,0),0)+IFERROR(VLOOKUP(A1476,#REF!,11,0),0)+IFERROR(VLOOKUP(A1476,#REF!,23,0),0)+IFERROR(VLOOKUP(A1476,#REF!,11,0),0)+IFERROR(VLOOKUP(A1476,#REF!,11,0),0)+IFERROR(VLOOKUP(A1476,#REF!,11,0),0)</f>
        <v>0</v>
      </c>
      <c r="K1476" s="96" t="str">
        <f>"07.02.24"</f>
        <v>07.02.24</v>
      </c>
    </row>
    <row r="1477" spans="1:11" ht="11.25" customHeight="1" outlineLevel="1">
      <c r="A1477" s="89" t="n">
        <v>671300</v>
      </c>
      <c r="B1477" s="114" t="s">
        <v>1201</v>
      </c>
      <c r="C1477" s="89" t="s">
        <v>2450</v>
      </c>
      <c r="D1477" s="89" t="s">
        <v>407</v>
      </c>
      <c r="E1477" s="89" t="s">
        <v>2451</v>
      </c>
      <c r="F1477" s="102" t="n">
        <v>2830</v>
      </c>
      <c r="G1477" s="102" t="n">
        <v>3758</v>
      </c>
      <c r="H1477" s="103" t="s">
        <v>48</v>
      </c>
      <c r="I1477" s="103">
        <f>IFERROR(VLOOKUP(A1477,#REF!,15,0),0)+IFERROR(VLOOKUP(A1477,#REF!,25,0),0)+IFERROR(VLOOKUP(A1477,#REF!,10,0),0)+IFERROR(VLOOKUP(A1477,#REF!,14,0),0)+IFERROR(VLOOKUP(A1477,#REF!,11,0),0)+IFERROR(VLOOKUP(A1477,#REF!,10,0),0)+IFERROR(VLOOKUP(A1477,#REF!,10,0),0)+IFERROR(VLOOKUP(A1477,#REF!,9,0),0)+IFERROR(VLOOKUP(A1477,#REF!,9,0),0)+IFERROR(VLOOKUP(A1477,#REF!,9,0),0)+IFERROR(VLOOKUP(A1477,#REF!,9,0),0)</f>
        <v>0</v>
      </c>
      <c r="J1477" s="104">
        <f>IFERROR(VLOOKUP(A1477,#REF!,16,0),0)+IFERROR(VLOOKUP(A1477,#REF!,26,0),0)+IFERROR(VLOOKUP(A1477,#REF!,11,0),0)+IFERROR(VLOOKUP(A1477,#REF!,23,0),0)+IFERROR(VLOOKUP(A1477,#REF!,11,0),0)+IFERROR(VLOOKUP(A1477,#REF!,11,0),0)+IFERROR(VLOOKUP(A1477,#REF!,11,0),0)</f>
        <v>0</v>
      </c>
      <c r="K1477" s="96" t="str">
        <f>"07.02.24"</f>
        <v>07.02.24</v>
      </c>
    </row>
    <row r="1478" spans="1:11" ht="11.25" customHeight="1" outlineLevel="1">
      <c r="A1478" s="89" t="n">
        <v>2516700</v>
      </c>
      <c r="B1478" s="114" t="s">
        <v>1201</v>
      </c>
      <c r="C1478" s="89" t="s">
        <v>2452</v>
      </c>
      <c r="D1478" s="89" t="s">
        <v>15</v>
      </c>
      <c r="E1478" s="89" t="s">
        <v>2453</v>
      </c>
      <c r="F1478" s="102" t="n">
        <v>938</v>
      </c>
      <c r="G1478" s="102" t="n">
        <v>1247</v>
      </c>
      <c r="H1478" s="103" t="s">
        <v>48</v>
      </c>
      <c r="I1478" s="103">
        <f>IFERROR(VLOOKUP(A1478,#REF!,15,0),0)+IFERROR(VLOOKUP(A1478,#REF!,25,0),0)+IFERROR(VLOOKUP(A1478,#REF!,10,0),0)+IFERROR(VLOOKUP(A1478,#REF!,14,0),0)+IFERROR(VLOOKUP(A1478,#REF!,11,0),0)+IFERROR(VLOOKUP(A1478,#REF!,10,0),0)+IFERROR(VLOOKUP(A1478,#REF!,10,0),0)+IFERROR(VLOOKUP(A1478,#REF!,9,0),0)+IFERROR(VLOOKUP(A1478,#REF!,9,0),0)+IFERROR(VLOOKUP(A1478,#REF!,9,0),0)+IFERROR(VLOOKUP(A1478,#REF!,9,0),0)</f>
        <v>0</v>
      </c>
      <c r="J1478" s="104">
        <f>IFERROR(VLOOKUP(A1478,#REF!,16,0),0)+IFERROR(VLOOKUP(A1478,#REF!,26,0),0)+IFERROR(VLOOKUP(A1478,#REF!,11,0),0)+IFERROR(VLOOKUP(A1478,#REF!,23,0),0)+IFERROR(VLOOKUP(A1478,#REF!,11,0),0)+IFERROR(VLOOKUP(A1478,#REF!,11,0),0)+IFERROR(VLOOKUP(A1478,#REF!,11,0),0)</f>
        <v>0</v>
      </c>
      <c r="K1478" s="96" t="str">
        <f>"07.02.24"</f>
        <v>07.02.24</v>
      </c>
    </row>
    <row r="1479" spans="1:11" ht="11.25" customHeight="1" outlineLevel="1">
      <c r="A1479" s="89" t="n">
        <v>2516710</v>
      </c>
      <c r="B1479" s="114" t="s">
        <v>1201</v>
      </c>
      <c r="C1479" s="89" t="s">
        <v>2454</v>
      </c>
      <c r="D1479" s="89" t="s">
        <v>15</v>
      </c>
      <c r="E1479" s="89" t="s">
        <v>2455</v>
      </c>
      <c r="F1479" s="102" t="n">
        <v>766</v>
      </c>
      <c r="G1479" s="102" t="n">
        <v>1019</v>
      </c>
      <c r="H1479" s="103" t="s">
        <v>48</v>
      </c>
      <c r="I1479" s="103">
        <f>IFERROR(VLOOKUP(A1479,#REF!,15,0),0)+IFERROR(VLOOKUP(A1479,#REF!,25,0),0)+IFERROR(VLOOKUP(A1479,#REF!,10,0),0)+IFERROR(VLOOKUP(A1479,#REF!,14,0),0)+IFERROR(VLOOKUP(A1479,#REF!,11,0),0)+IFERROR(VLOOKUP(A1479,#REF!,10,0),0)+IFERROR(VLOOKUP(A1479,#REF!,10,0),0)+IFERROR(VLOOKUP(A1479,#REF!,9,0),0)+IFERROR(VLOOKUP(A1479,#REF!,9,0),0)+IFERROR(VLOOKUP(A1479,#REF!,9,0),0)+IFERROR(VLOOKUP(A1479,#REF!,9,0),0)</f>
        <v>0</v>
      </c>
      <c r="J1479" s="104">
        <f>IFERROR(VLOOKUP(A1479,#REF!,16,0),0)+IFERROR(VLOOKUP(A1479,#REF!,26,0),0)+IFERROR(VLOOKUP(A1479,#REF!,11,0),0)+IFERROR(VLOOKUP(A1479,#REF!,23,0),0)+IFERROR(VLOOKUP(A1479,#REF!,11,0),0)+IFERROR(VLOOKUP(A1479,#REF!,11,0),0)+IFERROR(VLOOKUP(A1479,#REF!,11,0),0)</f>
        <v>0</v>
      </c>
      <c r="K1479" s="96" t="str">
        <f>"07.02.24"</f>
        <v>07.02.24</v>
      </c>
    </row>
    <row r="1480" spans="1:11" ht="11.25" customHeight="1" outlineLevel="1">
      <c r="A1480" s="89" t="n">
        <v>2516720</v>
      </c>
      <c r="B1480" s="114" t="s">
        <v>1201</v>
      </c>
      <c r="C1480" s="89" t="s">
        <v>2456</v>
      </c>
      <c r="D1480" s="89" t="s">
        <v>15</v>
      </c>
      <c r="E1480" s="89" t="s">
        <v>2457</v>
      </c>
      <c r="F1480" s="102" t="n">
        <v>907</v>
      </c>
      <c r="G1480" s="102" t="n">
        <v>1201</v>
      </c>
      <c r="H1480" s="103" t="s">
        <v>48</v>
      </c>
      <c r="I1480" s="103">
        <f>IFERROR(VLOOKUP(A1480,#REF!,15,0),0)+IFERROR(VLOOKUP(A1480,#REF!,25,0),0)+IFERROR(VLOOKUP(A1480,#REF!,10,0),0)+IFERROR(VLOOKUP(A1480,#REF!,14,0),0)+IFERROR(VLOOKUP(A1480,#REF!,11,0),0)+IFERROR(VLOOKUP(A1480,#REF!,10,0),0)+IFERROR(VLOOKUP(A1480,#REF!,10,0),0)+IFERROR(VLOOKUP(A1480,#REF!,9,0),0)+IFERROR(VLOOKUP(A1480,#REF!,9,0),0)+IFERROR(VLOOKUP(A1480,#REF!,9,0),0)+IFERROR(VLOOKUP(A1480,#REF!,9,0),0)</f>
        <v>0</v>
      </c>
      <c r="J1480" s="104">
        <f>IFERROR(VLOOKUP(A1480,#REF!,16,0),0)+IFERROR(VLOOKUP(A1480,#REF!,26,0),0)+IFERROR(VLOOKUP(A1480,#REF!,11,0),0)+IFERROR(VLOOKUP(A1480,#REF!,23,0),0)+IFERROR(VLOOKUP(A1480,#REF!,11,0),0)+IFERROR(VLOOKUP(A1480,#REF!,11,0),0)+IFERROR(VLOOKUP(A1480,#REF!,11,0),0)</f>
        <v>0</v>
      </c>
      <c r="K1480" s="96" t="str">
        <f>"07.02.24"</f>
        <v>07.02.24</v>
      </c>
    </row>
    <row r="1481" spans="1:11" ht="11.25" customHeight="1" outlineLevel="1">
      <c r="A1481" s="89" t="n">
        <v>2516750</v>
      </c>
      <c r="B1481" s="114" t="s">
        <v>1201</v>
      </c>
      <c r="C1481" s="89" t="s">
        <v>2458</v>
      </c>
      <c r="D1481" s="89" t="s">
        <v>15</v>
      </c>
      <c r="E1481" s="89" t="s">
        <v>2459</v>
      </c>
      <c r="F1481" s="102" t="n">
        <v>1593</v>
      </c>
      <c r="G1481" s="102" t="n">
        <v>2116</v>
      </c>
      <c r="H1481" s="103" t="s">
        <v>48</v>
      </c>
      <c r="I1481" s="103">
        <f>IFERROR(VLOOKUP(A1481,#REF!,15,0),0)+IFERROR(VLOOKUP(A1481,#REF!,25,0),0)+IFERROR(VLOOKUP(A1481,#REF!,10,0),0)+IFERROR(VLOOKUP(A1481,#REF!,14,0),0)+IFERROR(VLOOKUP(A1481,#REF!,11,0),0)+IFERROR(VLOOKUP(A1481,#REF!,10,0),0)+IFERROR(VLOOKUP(A1481,#REF!,10,0),0)+IFERROR(VLOOKUP(A1481,#REF!,9,0),0)+IFERROR(VLOOKUP(A1481,#REF!,9,0),0)+IFERROR(VLOOKUP(A1481,#REF!,9,0),0)+IFERROR(VLOOKUP(A1481,#REF!,9,0),0)</f>
        <v>0</v>
      </c>
      <c r="J1481" s="104">
        <f>IFERROR(VLOOKUP(A1481,#REF!,16,0),0)+IFERROR(VLOOKUP(A1481,#REF!,26,0),0)+IFERROR(VLOOKUP(A1481,#REF!,11,0),0)+IFERROR(VLOOKUP(A1481,#REF!,23,0),0)+IFERROR(VLOOKUP(A1481,#REF!,11,0),0)+IFERROR(VLOOKUP(A1481,#REF!,11,0),0)+IFERROR(VLOOKUP(A1481,#REF!,11,0),0)</f>
        <v>0</v>
      </c>
      <c r="K1481" s="96" t="str">
        <f>"07.02.24"</f>
        <v>07.02.24</v>
      </c>
    </row>
    <row r="1482" spans="1:11" ht="11.25" customHeight="1" outlineLevel="1">
      <c r="A1482" s="89" t="n">
        <v>2516810</v>
      </c>
      <c r="B1482" s="114" t="s">
        <v>1201</v>
      </c>
      <c r="C1482" s="89" t="s">
        <v>2460</v>
      </c>
      <c r="D1482" s="89" t="s">
        <v>15</v>
      </c>
      <c r="E1482" s="89" t="s">
        <v>2461</v>
      </c>
      <c r="F1482" s="102" t="n">
        <v>1061</v>
      </c>
      <c r="G1482" s="102" t="n">
        <v>1413</v>
      </c>
      <c r="H1482" s="103" t="s">
        <v>48</v>
      </c>
      <c r="I1482" s="103">
        <f>IFERROR(VLOOKUP(A1482,#REF!,15,0),0)+IFERROR(VLOOKUP(A1482,#REF!,25,0),0)+IFERROR(VLOOKUP(A1482,#REF!,10,0),0)+IFERROR(VLOOKUP(A1482,#REF!,14,0),0)+IFERROR(VLOOKUP(A1482,#REF!,11,0),0)+IFERROR(VLOOKUP(A1482,#REF!,10,0),0)+IFERROR(VLOOKUP(A1482,#REF!,10,0),0)+IFERROR(VLOOKUP(A1482,#REF!,9,0),0)+IFERROR(VLOOKUP(A1482,#REF!,9,0),0)+IFERROR(VLOOKUP(A1482,#REF!,9,0),0)+IFERROR(VLOOKUP(A1482,#REF!,9,0),0)</f>
        <v>0</v>
      </c>
      <c r="J1482" s="104">
        <f>IFERROR(VLOOKUP(A1482,#REF!,16,0),0)+IFERROR(VLOOKUP(A1482,#REF!,26,0),0)+IFERROR(VLOOKUP(A1482,#REF!,11,0),0)+IFERROR(VLOOKUP(A1482,#REF!,23,0),0)+IFERROR(VLOOKUP(A1482,#REF!,11,0),0)+IFERROR(VLOOKUP(A1482,#REF!,11,0),0)+IFERROR(VLOOKUP(A1482,#REF!,11,0),0)</f>
        <v>0</v>
      </c>
      <c r="K1482" s="96" t="str">
        <f>"07.02.24"</f>
        <v>07.02.24</v>
      </c>
    </row>
    <row r="1483" spans="1:11" ht="11.25" customHeight="1" outlineLevel="1">
      <c r="A1483" s="89" t="n">
        <v>2516940</v>
      </c>
      <c r="B1483" s="114" t="s">
        <v>1201</v>
      </c>
      <c r="C1483" s="89" t="s">
        <v>2462</v>
      </c>
      <c r="D1483" s="89" t="s">
        <v>15</v>
      </c>
      <c r="E1483" s="89" t="s">
        <v>2463</v>
      </c>
      <c r="F1483" s="102" t="n">
        <v>806</v>
      </c>
      <c r="G1483" s="102" t="n">
        <v>1071</v>
      </c>
      <c r="H1483" s="103" t="s">
        <v>48</v>
      </c>
      <c r="I1483" s="103">
        <f>IFERROR(VLOOKUP(A1483,#REF!,15,0),0)+IFERROR(VLOOKUP(A1483,#REF!,25,0),0)+IFERROR(VLOOKUP(A1483,#REF!,10,0),0)+IFERROR(VLOOKUP(A1483,#REF!,14,0),0)+IFERROR(VLOOKUP(A1483,#REF!,11,0),0)+IFERROR(VLOOKUP(A1483,#REF!,10,0),0)+IFERROR(VLOOKUP(A1483,#REF!,10,0),0)+IFERROR(VLOOKUP(A1483,#REF!,9,0),0)+IFERROR(VLOOKUP(A1483,#REF!,9,0),0)+IFERROR(VLOOKUP(A1483,#REF!,9,0),0)+IFERROR(VLOOKUP(A1483,#REF!,9,0),0)</f>
        <v>0</v>
      </c>
      <c r="J1483" s="104">
        <f>IFERROR(VLOOKUP(A1483,#REF!,16,0),0)+IFERROR(VLOOKUP(A1483,#REF!,26,0),0)+IFERROR(VLOOKUP(A1483,#REF!,11,0),0)+IFERROR(VLOOKUP(A1483,#REF!,23,0),0)+IFERROR(VLOOKUP(A1483,#REF!,11,0),0)+IFERROR(VLOOKUP(A1483,#REF!,11,0),0)+IFERROR(VLOOKUP(A1483,#REF!,11,0),0)</f>
        <v>0</v>
      </c>
      <c r="K1483" s="96" t="str">
        <f>"07.02.24"</f>
        <v>07.02.24</v>
      </c>
    </row>
    <row r="1484" spans="1:11" ht="11.25" customHeight="1" outlineLevel="1">
      <c r="A1484" s="89" t="n">
        <v>2516950</v>
      </c>
      <c r="B1484" s="114" t="s">
        <v>1201</v>
      </c>
      <c r="C1484" s="89" t="s">
        <v>2464</v>
      </c>
      <c r="D1484" s="89" t="s">
        <v>15</v>
      </c>
      <c r="E1484" s="89" t="s">
        <v>2465</v>
      </c>
      <c r="F1484" s="102" t="n">
        <v>934</v>
      </c>
      <c r="G1484" s="102" t="n">
        <v>1242</v>
      </c>
      <c r="H1484" s="103" t="s">
        <v>48</v>
      </c>
      <c r="I1484" s="103">
        <f>IFERROR(VLOOKUP(A1484,#REF!,15,0),0)+IFERROR(VLOOKUP(A1484,#REF!,25,0),0)+IFERROR(VLOOKUP(A1484,#REF!,10,0),0)+IFERROR(VLOOKUP(A1484,#REF!,14,0),0)+IFERROR(VLOOKUP(A1484,#REF!,11,0),0)+IFERROR(VLOOKUP(A1484,#REF!,10,0),0)+IFERROR(VLOOKUP(A1484,#REF!,10,0),0)+IFERROR(VLOOKUP(A1484,#REF!,9,0),0)+IFERROR(VLOOKUP(A1484,#REF!,9,0),0)+IFERROR(VLOOKUP(A1484,#REF!,9,0),0)+IFERROR(VLOOKUP(A1484,#REF!,9,0),0)</f>
        <v>0</v>
      </c>
      <c r="J1484" s="104">
        <f>IFERROR(VLOOKUP(A1484,#REF!,16,0),0)+IFERROR(VLOOKUP(A1484,#REF!,26,0),0)+IFERROR(VLOOKUP(A1484,#REF!,11,0),0)+IFERROR(VLOOKUP(A1484,#REF!,23,0),0)+IFERROR(VLOOKUP(A1484,#REF!,11,0),0)+IFERROR(VLOOKUP(A1484,#REF!,11,0),0)+IFERROR(VLOOKUP(A1484,#REF!,11,0),0)</f>
        <v>0</v>
      </c>
      <c r="K1484" s="96" t="str">
        <f>"07.02.24"</f>
        <v>07.02.24</v>
      </c>
    </row>
    <row r="1485" spans="1:11" ht="11.25" customHeight="1" outlineLevel="1">
      <c r="A1485" s="89" t="n">
        <v>2516960</v>
      </c>
      <c r="B1485" s="114" t="s">
        <v>1201</v>
      </c>
      <c r="C1485" s="89" t="s">
        <v>2466</v>
      </c>
      <c r="D1485" s="89" t="s">
        <v>15</v>
      </c>
      <c r="E1485" s="89" t="s">
        <v>2467</v>
      </c>
      <c r="F1485" s="102" t="n">
        <v>1201</v>
      </c>
      <c r="G1485" s="102" t="n">
        <v>1599</v>
      </c>
      <c r="H1485" s="103" t="s">
        <v>48</v>
      </c>
      <c r="I1485" s="103">
        <f>IFERROR(VLOOKUP(A1485,#REF!,15,0),0)+IFERROR(VLOOKUP(A1485,#REF!,25,0),0)+IFERROR(VLOOKUP(A1485,#REF!,10,0),0)+IFERROR(VLOOKUP(A1485,#REF!,14,0),0)+IFERROR(VLOOKUP(A1485,#REF!,11,0),0)+IFERROR(VLOOKUP(A1485,#REF!,10,0),0)+IFERROR(VLOOKUP(A1485,#REF!,10,0),0)+IFERROR(VLOOKUP(A1485,#REF!,9,0),0)+IFERROR(VLOOKUP(A1485,#REF!,9,0),0)+IFERROR(VLOOKUP(A1485,#REF!,9,0),0)+IFERROR(VLOOKUP(A1485,#REF!,9,0),0)</f>
        <v>0</v>
      </c>
      <c r="J1485" s="104">
        <f>IFERROR(VLOOKUP(A1485,#REF!,16,0),0)+IFERROR(VLOOKUP(A1485,#REF!,26,0),0)+IFERROR(VLOOKUP(A1485,#REF!,11,0),0)+IFERROR(VLOOKUP(A1485,#REF!,23,0),0)+IFERROR(VLOOKUP(A1485,#REF!,11,0),0)+IFERROR(VLOOKUP(A1485,#REF!,11,0),0)+IFERROR(VLOOKUP(A1485,#REF!,11,0),0)</f>
        <v>0</v>
      </c>
      <c r="K1485" s="96" t="str">
        <f>"07.02.24"</f>
        <v>07.02.24</v>
      </c>
    </row>
    <row r="1486" spans="1:11" ht="11.25" customHeight="1" outlineLevel="1">
      <c r="A1486" s="89" t="n">
        <v>2516970</v>
      </c>
      <c r="B1486" s="114" t="s">
        <v>1201</v>
      </c>
      <c r="C1486" s="89" t="s">
        <v>2468</v>
      </c>
      <c r="D1486" s="89" t="s">
        <v>15</v>
      </c>
      <c r="E1486" s="89" t="s">
        <v>2469</v>
      </c>
      <c r="F1486" s="102" t="n">
        <v>1846</v>
      </c>
      <c r="G1486" s="102" t="n">
        <v>2455</v>
      </c>
      <c r="H1486" s="103" t="s">
        <v>48</v>
      </c>
      <c r="I1486" s="103">
        <f>IFERROR(VLOOKUP(A1486,#REF!,15,0),0)+IFERROR(VLOOKUP(A1486,#REF!,25,0),0)+IFERROR(VLOOKUP(A1486,#REF!,10,0),0)+IFERROR(VLOOKUP(A1486,#REF!,14,0),0)+IFERROR(VLOOKUP(A1486,#REF!,11,0),0)+IFERROR(VLOOKUP(A1486,#REF!,10,0),0)+IFERROR(VLOOKUP(A1486,#REF!,10,0),0)+IFERROR(VLOOKUP(A1486,#REF!,9,0),0)+IFERROR(VLOOKUP(A1486,#REF!,9,0),0)+IFERROR(VLOOKUP(A1486,#REF!,9,0),0)+IFERROR(VLOOKUP(A1486,#REF!,9,0),0)</f>
        <v>0</v>
      </c>
      <c r="J1486" s="104">
        <f>IFERROR(VLOOKUP(A1486,#REF!,16,0),0)+IFERROR(VLOOKUP(A1486,#REF!,26,0),0)+IFERROR(VLOOKUP(A1486,#REF!,11,0),0)+IFERROR(VLOOKUP(A1486,#REF!,23,0),0)+IFERROR(VLOOKUP(A1486,#REF!,11,0),0)+IFERROR(VLOOKUP(A1486,#REF!,11,0),0)+IFERROR(VLOOKUP(A1486,#REF!,11,0),0)</f>
        <v>0</v>
      </c>
      <c r="K1486" s="96" t="str">
        <f>"07.02.24"</f>
        <v>07.02.24</v>
      </c>
    </row>
    <row r="1487" spans="1:11" ht="11.25" customHeight="1" outlineLevel="1">
      <c r="A1487" s="89" t="n">
        <v>2516980</v>
      </c>
      <c r="B1487" s="114" t="s">
        <v>1201</v>
      </c>
      <c r="C1487" s="89" t="s">
        <v>2470</v>
      </c>
      <c r="D1487" s="89" t="s">
        <v>15</v>
      </c>
      <c r="E1487" s="89" t="s">
        <v>2471</v>
      </c>
      <c r="F1487" s="102" t="n">
        <v>1846</v>
      </c>
      <c r="G1487" s="102" t="n">
        <v>2455</v>
      </c>
      <c r="H1487" s="103" t="s">
        <v>17</v>
      </c>
      <c r="I1487" s="103">
        <f>IFERROR(VLOOKUP(A1487,#REF!,15,0),0)+IFERROR(VLOOKUP(A1487,#REF!,25,0),0)+IFERROR(VLOOKUP(A1487,#REF!,10,0),0)+IFERROR(VLOOKUP(A1487,#REF!,14,0),0)+IFERROR(VLOOKUP(A1487,#REF!,11,0),0)+IFERROR(VLOOKUP(A1487,#REF!,10,0),0)+IFERROR(VLOOKUP(A1487,#REF!,10,0),0)+IFERROR(VLOOKUP(A1487,#REF!,9,0),0)+IFERROR(VLOOKUP(A1487,#REF!,9,0),0)+IFERROR(VLOOKUP(A1487,#REF!,9,0),0)+IFERROR(VLOOKUP(A1487,#REF!,9,0),0)</f>
        <v>0</v>
      </c>
      <c r="J1487" s="104">
        <f>IFERROR(VLOOKUP(A1487,#REF!,16,0),0)+IFERROR(VLOOKUP(A1487,#REF!,26,0),0)+IFERROR(VLOOKUP(A1487,#REF!,11,0),0)+IFERROR(VLOOKUP(A1487,#REF!,23,0),0)+IFERROR(VLOOKUP(A1487,#REF!,11,0),0)+IFERROR(VLOOKUP(A1487,#REF!,11,0),0)+IFERROR(VLOOKUP(A1487,#REF!,11,0),0)</f>
        <v>0</v>
      </c>
      <c r="K1487" s="96" t="str">
        <f>"07.02.24"</f>
        <v>07.02.24</v>
      </c>
    </row>
    <row r="1488" spans="1:11" ht="11.25" customHeight="1" outlineLevel="1">
      <c r="A1488" s="89" t="n">
        <v>2516990</v>
      </c>
      <c r="B1488" s="114" t="s">
        <v>1201</v>
      </c>
      <c r="C1488" s="89" t="s">
        <v>2472</v>
      </c>
      <c r="D1488" s="89" t="s">
        <v>15</v>
      </c>
      <c r="E1488" s="89" t="s">
        <v>2473</v>
      </c>
      <c r="F1488" s="102" t="n">
        <v>545</v>
      </c>
      <c r="G1488" s="102" t="n">
        <v>725</v>
      </c>
      <c r="H1488" s="103" t="s">
        <v>48</v>
      </c>
      <c r="I1488" s="103">
        <f>IFERROR(VLOOKUP(A1488,#REF!,15,0),0)+IFERROR(VLOOKUP(A1488,#REF!,25,0),0)+IFERROR(VLOOKUP(A1488,#REF!,10,0),0)+IFERROR(VLOOKUP(A1488,#REF!,14,0),0)+IFERROR(VLOOKUP(A1488,#REF!,11,0),0)+IFERROR(VLOOKUP(A1488,#REF!,10,0),0)+IFERROR(VLOOKUP(A1488,#REF!,10,0),0)+IFERROR(VLOOKUP(A1488,#REF!,9,0),0)+IFERROR(VLOOKUP(A1488,#REF!,9,0),0)+IFERROR(VLOOKUP(A1488,#REF!,9,0),0)+IFERROR(VLOOKUP(A1488,#REF!,9,0),0)</f>
        <v>0</v>
      </c>
      <c r="J1488" s="104">
        <f>IFERROR(VLOOKUP(A1488,#REF!,16,0),0)+IFERROR(VLOOKUP(A1488,#REF!,26,0),0)+IFERROR(VLOOKUP(A1488,#REF!,11,0),0)+IFERROR(VLOOKUP(A1488,#REF!,23,0),0)+IFERROR(VLOOKUP(A1488,#REF!,11,0),0)+IFERROR(VLOOKUP(A1488,#REF!,11,0),0)+IFERROR(VLOOKUP(A1488,#REF!,11,0),0)</f>
        <v>0</v>
      </c>
      <c r="K1488" s="96" t="str">
        <f>"07.02.24"</f>
        <v>07.02.24</v>
      </c>
    </row>
    <row r="1489" spans="1:11" ht="11.25" customHeight="1" outlineLevel="1">
      <c r="A1489" s="89" t="n">
        <v>2517000</v>
      </c>
      <c r="B1489" s="114" t="s">
        <v>1201</v>
      </c>
      <c r="C1489" s="89" t="s">
        <v>2474</v>
      </c>
      <c r="D1489" s="89" t="s">
        <v>15</v>
      </c>
      <c r="E1489" s="89" t="s">
        <v>2475</v>
      </c>
      <c r="F1489" s="102" t="n">
        <v>615</v>
      </c>
      <c r="G1489" s="102" t="n">
        <v>816</v>
      </c>
      <c r="H1489" s="103" t="s">
        <v>48</v>
      </c>
      <c r="I1489" s="103">
        <f>IFERROR(VLOOKUP(A1489,#REF!,15,0),0)+IFERROR(VLOOKUP(A1489,#REF!,25,0),0)+IFERROR(VLOOKUP(A1489,#REF!,10,0),0)+IFERROR(VLOOKUP(A1489,#REF!,14,0),0)+IFERROR(VLOOKUP(A1489,#REF!,11,0),0)+IFERROR(VLOOKUP(A1489,#REF!,10,0),0)+IFERROR(VLOOKUP(A1489,#REF!,10,0),0)+IFERROR(VLOOKUP(A1489,#REF!,9,0),0)+IFERROR(VLOOKUP(A1489,#REF!,9,0),0)+IFERROR(VLOOKUP(A1489,#REF!,9,0),0)+IFERROR(VLOOKUP(A1489,#REF!,9,0),0)</f>
        <v>0</v>
      </c>
      <c r="J1489" s="104">
        <f>IFERROR(VLOOKUP(A1489,#REF!,16,0),0)+IFERROR(VLOOKUP(A1489,#REF!,26,0),0)+IFERROR(VLOOKUP(A1489,#REF!,11,0),0)+IFERROR(VLOOKUP(A1489,#REF!,23,0),0)+IFERROR(VLOOKUP(A1489,#REF!,11,0),0)+IFERROR(VLOOKUP(A1489,#REF!,11,0),0)+IFERROR(VLOOKUP(A1489,#REF!,11,0),0)</f>
        <v>0</v>
      </c>
      <c r="K1489" s="96" t="str">
        <f>"07.02.24"</f>
        <v>07.02.24</v>
      </c>
    </row>
    <row r="1490" spans="1:11" ht="11.25" customHeight="1" outlineLevel="1">
      <c r="A1490" s="89" t="n">
        <v>2517010</v>
      </c>
      <c r="B1490" s="114" t="s">
        <v>1201</v>
      </c>
      <c r="C1490" s="89" t="s">
        <v>2476</v>
      </c>
      <c r="D1490" s="89" t="s">
        <v>15</v>
      </c>
      <c r="E1490" s="89" t="s">
        <v>2477</v>
      </c>
      <c r="F1490" s="102" t="n">
        <v>532</v>
      </c>
      <c r="G1490" s="102" t="n">
        <v>705</v>
      </c>
      <c r="H1490" s="103" t="s">
        <v>48</v>
      </c>
      <c r="I1490" s="103">
        <f>IFERROR(VLOOKUP(A1490,#REF!,15,0),0)+IFERROR(VLOOKUP(A1490,#REF!,25,0),0)+IFERROR(VLOOKUP(A1490,#REF!,10,0),0)+IFERROR(VLOOKUP(A1490,#REF!,14,0),0)+IFERROR(VLOOKUP(A1490,#REF!,11,0),0)+IFERROR(VLOOKUP(A1490,#REF!,10,0),0)+IFERROR(VLOOKUP(A1490,#REF!,10,0),0)+IFERROR(VLOOKUP(A1490,#REF!,9,0),0)+IFERROR(VLOOKUP(A1490,#REF!,9,0),0)+IFERROR(VLOOKUP(A1490,#REF!,9,0),0)+IFERROR(VLOOKUP(A1490,#REF!,9,0),0)</f>
        <v>0</v>
      </c>
      <c r="J1490" s="104">
        <f>IFERROR(VLOOKUP(A1490,#REF!,16,0),0)+IFERROR(VLOOKUP(A1490,#REF!,26,0),0)+IFERROR(VLOOKUP(A1490,#REF!,11,0),0)+IFERROR(VLOOKUP(A1490,#REF!,23,0),0)+IFERROR(VLOOKUP(A1490,#REF!,11,0),0)+IFERROR(VLOOKUP(A1490,#REF!,11,0),0)+IFERROR(VLOOKUP(A1490,#REF!,11,0),0)</f>
        <v>0</v>
      </c>
      <c r="K1490" s="96" t="str">
        <f>"07.02.24"</f>
        <v>07.02.24</v>
      </c>
    </row>
    <row r="1491" spans="1:11" ht="11.25" customHeight="1" outlineLevel="1">
      <c r="A1491" s="89" t="n">
        <v>2517020</v>
      </c>
      <c r="B1491" s="114" t="s">
        <v>1201</v>
      </c>
      <c r="C1491" s="89" t="s">
        <v>2478</v>
      </c>
      <c r="D1491" s="89" t="s">
        <v>15</v>
      </c>
      <c r="E1491" s="89" t="s">
        <v>2479</v>
      </c>
      <c r="F1491" s="102" t="n">
        <v>819</v>
      </c>
      <c r="G1491" s="102" t="n">
        <v>1090</v>
      </c>
      <c r="H1491" s="103" t="s">
        <v>48</v>
      </c>
      <c r="I1491" s="103">
        <f>IFERROR(VLOOKUP(A1491,#REF!,15,0),0)+IFERROR(VLOOKUP(A1491,#REF!,25,0),0)+IFERROR(VLOOKUP(A1491,#REF!,10,0),0)+IFERROR(VLOOKUP(A1491,#REF!,14,0),0)+IFERROR(VLOOKUP(A1491,#REF!,11,0),0)+IFERROR(VLOOKUP(A1491,#REF!,10,0),0)+IFERROR(VLOOKUP(A1491,#REF!,10,0),0)+IFERROR(VLOOKUP(A1491,#REF!,9,0),0)+IFERROR(VLOOKUP(A1491,#REF!,9,0),0)+IFERROR(VLOOKUP(A1491,#REF!,9,0),0)+IFERROR(VLOOKUP(A1491,#REF!,9,0),0)</f>
        <v>0</v>
      </c>
      <c r="J1491" s="104">
        <f>IFERROR(VLOOKUP(A1491,#REF!,16,0),0)+IFERROR(VLOOKUP(A1491,#REF!,26,0),0)+IFERROR(VLOOKUP(A1491,#REF!,11,0),0)+IFERROR(VLOOKUP(A1491,#REF!,23,0),0)+IFERROR(VLOOKUP(A1491,#REF!,11,0),0)+IFERROR(VLOOKUP(A1491,#REF!,11,0),0)+IFERROR(VLOOKUP(A1491,#REF!,11,0),0)</f>
        <v>0</v>
      </c>
      <c r="K1491" s="96" t="str">
        <f>"07.02.24"</f>
        <v>07.02.24</v>
      </c>
    </row>
    <row r="1492" spans="1:11" ht="11.25" customHeight="1" outlineLevel="1">
      <c r="A1492" s="89" t="n">
        <v>2517060</v>
      </c>
      <c r="B1492" s="114" t="s">
        <v>1201</v>
      </c>
      <c r="C1492" s="89" t="s">
        <v>2480</v>
      </c>
      <c r="D1492" s="89" t="s">
        <v>15</v>
      </c>
      <c r="E1492" s="89" t="s">
        <v>2481</v>
      </c>
      <c r="F1492" s="102" t="n">
        <v>693</v>
      </c>
      <c r="G1492" s="102" t="n">
        <v>919</v>
      </c>
      <c r="H1492" s="103" t="s">
        <v>48</v>
      </c>
      <c r="I1492" s="103">
        <f>IFERROR(VLOOKUP(A1492,#REF!,15,0),0)+IFERROR(VLOOKUP(A1492,#REF!,25,0),0)+IFERROR(VLOOKUP(A1492,#REF!,10,0),0)+IFERROR(VLOOKUP(A1492,#REF!,14,0),0)+IFERROR(VLOOKUP(A1492,#REF!,11,0),0)+IFERROR(VLOOKUP(A1492,#REF!,10,0),0)+IFERROR(VLOOKUP(A1492,#REF!,10,0),0)+IFERROR(VLOOKUP(A1492,#REF!,9,0),0)+IFERROR(VLOOKUP(A1492,#REF!,9,0),0)+IFERROR(VLOOKUP(A1492,#REF!,9,0),0)+IFERROR(VLOOKUP(A1492,#REF!,9,0),0)</f>
        <v>0</v>
      </c>
      <c r="J1492" s="104">
        <f>IFERROR(VLOOKUP(A1492,#REF!,16,0),0)+IFERROR(VLOOKUP(A1492,#REF!,26,0),0)+IFERROR(VLOOKUP(A1492,#REF!,11,0),0)+IFERROR(VLOOKUP(A1492,#REF!,23,0),0)+IFERROR(VLOOKUP(A1492,#REF!,11,0),0)+IFERROR(VLOOKUP(A1492,#REF!,11,0),0)+IFERROR(VLOOKUP(A1492,#REF!,11,0),0)</f>
        <v>0</v>
      </c>
      <c r="K1492" s="96" t="str">
        <f>"07.02.24"</f>
        <v>07.02.24</v>
      </c>
    </row>
    <row r="1493" spans="1:11" ht="11.25" customHeight="1" outlineLevel="1">
      <c r="A1493" s="89" t="n">
        <v>8140920</v>
      </c>
      <c r="B1493" s="114" t="s">
        <v>1201</v>
      </c>
      <c r="C1493" s="89" t="s">
        <v>2482</v>
      </c>
      <c r="D1493" s="89" t="s">
        <v>15</v>
      </c>
      <c r="E1493" s="89"/>
      <c r="F1493" s="102" t="n">
        <v>2683</v>
      </c>
      <c r="G1493" s="102" t="n">
        <v>3568</v>
      </c>
      <c r="H1493" s="103" t="s">
        <v>48</v>
      </c>
      <c r="I1493" s="103">
        <f>IFERROR(VLOOKUP(A1493,#REF!,15,0),0)+IFERROR(VLOOKUP(A1493,#REF!,25,0),0)+IFERROR(VLOOKUP(A1493,#REF!,10,0),0)+IFERROR(VLOOKUP(A1493,#REF!,14,0),0)+IFERROR(VLOOKUP(A1493,#REF!,11,0),0)+IFERROR(VLOOKUP(A1493,#REF!,10,0),0)+IFERROR(VLOOKUP(A1493,#REF!,10,0),0)+IFERROR(VLOOKUP(A1493,#REF!,9,0),0)+IFERROR(VLOOKUP(A1493,#REF!,9,0),0)+IFERROR(VLOOKUP(A1493,#REF!,9,0),0)+IFERROR(VLOOKUP(A1493,#REF!,9,0),0)</f>
        <v>0</v>
      </c>
      <c r="J1493" s="104">
        <f>IFERROR(VLOOKUP(A1493,#REF!,16,0),0)+IFERROR(VLOOKUP(A1493,#REF!,26,0),0)+IFERROR(VLOOKUP(A1493,#REF!,11,0),0)+IFERROR(VLOOKUP(A1493,#REF!,23,0),0)+IFERROR(VLOOKUP(A1493,#REF!,11,0),0)+IFERROR(VLOOKUP(A1493,#REF!,11,0),0)+IFERROR(VLOOKUP(A1493,#REF!,11,0),0)</f>
        <v>0</v>
      </c>
      <c r="K1493" s="96" t="str">
        <f>"07.02.24"</f>
        <v>07.02.24</v>
      </c>
    </row>
    <row r="1494" spans="1:11" ht="11.25" customHeight="1" outlineLevel="1">
      <c r="A1494" s="89" t="n">
        <v>8140930</v>
      </c>
      <c r="B1494" s="114" t="s">
        <v>1201</v>
      </c>
      <c r="C1494" s="89" t="s">
        <v>2483</v>
      </c>
      <c r="D1494" s="89" t="s">
        <v>15</v>
      </c>
      <c r="E1494" s="89"/>
      <c r="F1494" s="102" t="n">
        <v>2683</v>
      </c>
      <c r="G1494" s="102" t="n">
        <v>3568</v>
      </c>
      <c r="H1494" s="103" t="s">
        <v>48</v>
      </c>
      <c r="I1494" s="103">
        <f>IFERROR(VLOOKUP(A1494,#REF!,15,0),0)+IFERROR(VLOOKUP(A1494,#REF!,25,0),0)+IFERROR(VLOOKUP(A1494,#REF!,10,0),0)+IFERROR(VLOOKUP(A1494,#REF!,14,0),0)+IFERROR(VLOOKUP(A1494,#REF!,11,0),0)+IFERROR(VLOOKUP(A1494,#REF!,10,0),0)+IFERROR(VLOOKUP(A1494,#REF!,10,0),0)+IFERROR(VLOOKUP(A1494,#REF!,9,0),0)+IFERROR(VLOOKUP(A1494,#REF!,9,0),0)+IFERROR(VLOOKUP(A1494,#REF!,9,0),0)+IFERROR(VLOOKUP(A1494,#REF!,9,0),0)</f>
        <v>0</v>
      </c>
      <c r="J1494" s="104">
        <f>IFERROR(VLOOKUP(A1494,#REF!,16,0),0)+IFERROR(VLOOKUP(A1494,#REF!,26,0),0)+IFERROR(VLOOKUP(A1494,#REF!,11,0),0)+IFERROR(VLOOKUP(A1494,#REF!,23,0),0)+IFERROR(VLOOKUP(A1494,#REF!,11,0),0)+IFERROR(VLOOKUP(A1494,#REF!,11,0),0)+IFERROR(VLOOKUP(A1494,#REF!,11,0),0)</f>
        <v>0</v>
      </c>
      <c r="K1494" s="96" t="str">
        <f>"07.02.24"</f>
        <v>07.02.24</v>
      </c>
    </row>
    <row r="1495" spans="1:11" ht="11.25" customHeight="1" outlineLevel="1">
      <c r="A1495" s="89" t="n">
        <v>8140940</v>
      </c>
      <c r="B1495" s="114" t="s">
        <v>1201</v>
      </c>
      <c r="C1495" s="89" t="s">
        <v>2484</v>
      </c>
      <c r="D1495" s="89" t="s">
        <v>15</v>
      </c>
      <c r="E1495" s="89"/>
      <c r="F1495" s="102" t="n">
        <v>2683</v>
      </c>
      <c r="G1495" s="102" t="n">
        <v>3568</v>
      </c>
      <c r="H1495" s="103" t="s">
        <v>48</v>
      </c>
      <c r="I1495" s="103">
        <f>IFERROR(VLOOKUP(A1495,#REF!,15,0),0)+IFERROR(VLOOKUP(A1495,#REF!,25,0),0)+IFERROR(VLOOKUP(A1495,#REF!,10,0),0)+IFERROR(VLOOKUP(A1495,#REF!,14,0),0)+IFERROR(VLOOKUP(A1495,#REF!,11,0),0)+IFERROR(VLOOKUP(A1495,#REF!,10,0),0)+IFERROR(VLOOKUP(A1495,#REF!,10,0),0)+IFERROR(VLOOKUP(A1495,#REF!,9,0),0)+IFERROR(VLOOKUP(A1495,#REF!,9,0),0)+IFERROR(VLOOKUP(A1495,#REF!,9,0),0)+IFERROR(VLOOKUP(A1495,#REF!,9,0),0)</f>
        <v>0</v>
      </c>
      <c r="J1495" s="104">
        <f>IFERROR(VLOOKUP(A1495,#REF!,16,0),0)+IFERROR(VLOOKUP(A1495,#REF!,26,0),0)+IFERROR(VLOOKUP(A1495,#REF!,11,0),0)+IFERROR(VLOOKUP(A1495,#REF!,23,0),0)+IFERROR(VLOOKUP(A1495,#REF!,11,0),0)+IFERROR(VLOOKUP(A1495,#REF!,11,0),0)+IFERROR(VLOOKUP(A1495,#REF!,11,0),0)</f>
        <v>0</v>
      </c>
      <c r="K1495" s="96" t="str">
        <f>"07.02.24"</f>
        <v>07.02.24</v>
      </c>
    </row>
    <row r="1496" spans="1:11" ht="11.25" customHeight="1" outlineLevel="1">
      <c r="A1496" s="89" t="n">
        <v>8140960</v>
      </c>
      <c r="B1496" s="114" t="s">
        <v>1201</v>
      </c>
      <c r="C1496" s="89" t="s">
        <v>2485</v>
      </c>
      <c r="D1496" s="89" t="s">
        <v>15</v>
      </c>
      <c r="E1496" s="89"/>
      <c r="F1496" s="102" t="n">
        <v>2244</v>
      </c>
      <c r="G1496" s="102" t="n">
        <v>2982</v>
      </c>
      <c r="H1496" s="103" t="s">
        <v>48</v>
      </c>
      <c r="I1496" s="103">
        <f>IFERROR(VLOOKUP(A1496,#REF!,15,0),0)+IFERROR(VLOOKUP(A1496,#REF!,25,0),0)+IFERROR(VLOOKUP(A1496,#REF!,10,0),0)+IFERROR(VLOOKUP(A1496,#REF!,14,0),0)+IFERROR(VLOOKUP(A1496,#REF!,11,0),0)+IFERROR(VLOOKUP(A1496,#REF!,10,0),0)+IFERROR(VLOOKUP(A1496,#REF!,10,0),0)+IFERROR(VLOOKUP(A1496,#REF!,9,0),0)+IFERROR(VLOOKUP(A1496,#REF!,9,0),0)+IFERROR(VLOOKUP(A1496,#REF!,9,0),0)+IFERROR(VLOOKUP(A1496,#REF!,9,0),0)</f>
        <v>0</v>
      </c>
      <c r="J1496" s="104">
        <f>IFERROR(VLOOKUP(A1496,#REF!,16,0),0)+IFERROR(VLOOKUP(A1496,#REF!,26,0),0)+IFERROR(VLOOKUP(A1496,#REF!,11,0),0)+IFERROR(VLOOKUP(A1496,#REF!,23,0),0)+IFERROR(VLOOKUP(A1496,#REF!,11,0),0)+IFERROR(VLOOKUP(A1496,#REF!,11,0),0)+IFERROR(VLOOKUP(A1496,#REF!,11,0),0)</f>
        <v>0</v>
      </c>
      <c r="K1496" s="96" t="str">
        <f>"07.02.24"</f>
        <v>07.02.24</v>
      </c>
    </row>
    <row r="1497" spans="1:11" ht="11.25" customHeight="1" outlineLevel="1">
      <c r="A1497" s="89" t="n">
        <v>8140970</v>
      </c>
      <c r="B1497" s="114" t="s">
        <v>1201</v>
      </c>
      <c r="C1497" s="89" t="s">
        <v>2486</v>
      </c>
      <c r="D1497" s="89" t="s">
        <v>15</v>
      </c>
      <c r="E1497" s="89"/>
      <c r="F1497" s="102" t="n">
        <v>793</v>
      </c>
      <c r="G1497" s="102" t="n">
        <v>1054</v>
      </c>
      <c r="H1497" s="103" t="s">
        <v>48</v>
      </c>
      <c r="I1497" s="103">
        <f>IFERROR(VLOOKUP(A1497,#REF!,15,0),0)+IFERROR(VLOOKUP(A1497,#REF!,25,0),0)+IFERROR(VLOOKUP(A1497,#REF!,10,0),0)+IFERROR(VLOOKUP(A1497,#REF!,14,0),0)+IFERROR(VLOOKUP(A1497,#REF!,11,0),0)+IFERROR(VLOOKUP(A1497,#REF!,10,0),0)+IFERROR(VLOOKUP(A1497,#REF!,10,0),0)+IFERROR(VLOOKUP(A1497,#REF!,9,0),0)+IFERROR(VLOOKUP(A1497,#REF!,9,0),0)+IFERROR(VLOOKUP(A1497,#REF!,9,0),0)+IFERROR(VLOOKUP(A1497,#REF!,9,0),0)</f>
        <v>0</v>
      </c>
      <c r="J1497" s="104">
        <f>IFERROR(VLOOKUP(A1497,#REF!,16,0),0)+IFERROR(VLOOKUP(A1497,#REF!,26,0),0)+IFERROR(VLOOKUP(A1497,#REF!,11,0),0)+IFERROR(VLOOKUP(A1497,#REF!,23,0),0)+IFERROR(VLOOKUP(A1497,#REF!,11,0),0)+IFERROR(VLOOKUP(A1497,#REF!,11,0),0)+IFERROR(VLOOKUP(A1497,#REF!,11,0),0)</f>
        <v>0</v>
      </c>
      <c r="K1497" s="96" t="str">
        <f>"07.02.24"</f>
        <v>07.02.24</v>
      </c>
    </row>
    <row r="1498" spans="1:11" ht="11.25" customHeight="1" outlineLevel="1">
      <c r="A1498" s="89" t="n">
        <v>8140990</v>
      </c>
      <c r="B1498" s="114" t="s">
        <v>1201</v>
      </c>
      <c r="C1498" s="89" t="s">
        <v>2487</v>
      </c>
      <c r="D1498" s="89" t="s">
        <v>15</v>
      </c>
      <c r="E1498" s="89"/>
      <c r="F1498" s="102" t="n">
        <v>1706</v>
      </c>
      <c r="G1498" s="102" t="n">
        <v>2268</v>
      </c>
      <c r="H1498" s="103" t="s">
        <v>48</v>
      </c>
      <c r="I1498" s="103">
        <f>IFERROR(VLOOKUP(A1498,#REF!,15,0),0)+IFERROR(VLOOKUP(A1498,#REF!,25,0),0)+IFERROR(VLOOKUP(A1498,#REF!,10,0),0)+IFERROR(VLOOKUP(A1498,#REF!,14,0),0)+IFERROR(VLOOKUP(A1498,#REF!,11,0),0)+IFERROR(VLOOKUP(A1498,#REF!,10,0),0)+IFERROR(VLOOKUP(A1498,#REF!,10,0),0)+IFERROR(VLOOKUP(A1498,#REF!,9,0),0)+IFERROR(VLOOKUP(A1498,#REF!,9,0),0)+IFERROR(VLOOKUP(A1498,#REF!,9,0),0)+IFERROR(VLOOKUP(A1498,#REF!,9,0),0)</f>
        <v>0</v>
      </c>
      <c r="J1498" s="104">
        <f>IFERROR(VLOOKUP(A1498,#REF!,16,0),0)+IFERROR(VLOOKUP(A1498,#REF!,26,0),0)+IFERROR(VLOOKUP(A1498,#REF!,11,0),0)+IFERROR(VLOOKUP(A1498,#REF!,23,0),0)+IFERROR(VLOOKUP(A1498,#REF!,11,0),0)+IFERROR(VLOOKUP(A1498,#REF!,11,0),0)+IFERROR(VLOOKUP(A1498,#REF!,11,0),0)</f>
        <v>0</v>
      </c>
      <c r="K1498" s="96" t="str">
        <f>"07.02.24"</f>
        <v>07.02.24</v>
      </c>
    </row>
    <row r="1499" spans="1:11" ht="11.25" customHeight="1" outlineLevel="1">
      <c r="A1499" s="89" t="n">
        <v>8141000</v>
      </c>
      <c r="B1499" s="114" t="s">
        <v>1201</v>
      </c>
      <c r="C1499" s="89" t="s">
        <v>2488</v>
      </c>
      <c r="D1499" s="89" t="s">
        <v>15</v>
      </c>
      <c r="E1499" s="89"/>
      <c r="F1499" s="102" t="n">
        <v>1012</v>
      </c>
      <c r="G1499" s="102" t="n">
        <v>1344</v>
      </c>
      <c r="H1499" s="103" t="s">
        <v>48</v>
      </c>
      <c r="I1499" s="103">
        <f>IFERROR(VLOOKUP(A1499,#REF!,15,0),0)+IFERROR(VLOOKUP(A1499,#REF!,25,0),0)+IFERROR(VLOOKUP(A1499,#REF!,10,0),0)+IFERROR(VLOOKUP(A1499,#REF!,14,0),0)+IFERROR(VLOOKUP(A1499,#REF!,11,0),0)+IFERROR(VLOOKUP(A1499,#REF!,10,0),0)+IFERROR(VLOOKUP(A1499,#REF!,10,0),0)+IFERROR(VLOOKUP(A1499,#REF!,9,0),0)+IFERROR(VLOOKUP(A1499,#REF!,9,0),0)+IFERROR(VLOOKUP(A1499,#REF!,9,0),0)+IFERROR(VLOOKUP(A1499,#REF!,9,0),0)</f>
        <v>0</v>
      </c>
      <c r="J1499" s="104">
        <f>IFERROR(VLOOKUP(A1499,#REF!,16,0),0)+IFERROR(VLOOKUP(A1499,#REF!,26,0),0)+IFERROR(VLOOKUP(A1499,#REF!,11,0),0)+IFERROR(VLOOKUP(A1499,#REF!,23,0),0)+IFERROR(VLOOKUP(A1499,#REF!,11,0),0)+IFERROR(VLOOKUP(A1499,#REF!,11,0),0)+IFERROR(VLOOKUP(A1499,#REF!,11,0),0)</f>
        <v>0</v>
      </c>
      <c r="K1499" s="96" t="str">
        <f>"07.02.24"</f>
        <v>07.02.24</v>
      </c>
    </row>
    <row r="1500" spans="1:11" ht="11.25" customHeight="1" outlineLevel="1">
      <c r="A1500" s="89" t="n">
        <v>8141020</v>
      </c>
      <c r="B1500" s="114" t="s">
        <v>1201</v>
      </c>
      <c r="C1500" s="89" t="s">
        <v>2489</v>
      </c>
      <c r="D1500" s="89" t="s">
        <v>15</v>
      </c>
      <c r="E1500" s="89"/>
      <c r="F1500" s="102" t="n">
        <v>1181</v>
      </c>
      <c r="G1500" s="102" t="n">
        <v>1570</v>
      </c>
      <c r="H1500" s="103" t="s">
        <v>48</v>
      </c>
      <c r="I1500" s="103">
        <f>IFERROR(VLOOKUP(A1500,#REF!,15,0),0)+IFERROR(VLOOKUP(A1500,#REF!,25,0),0)+IFERROR(VLOOKUP(A1500,#REF!,10,0),0)+IFERROR(VLOOKUP(A1500,#REF!,14,0),0)+IFERROR(VLOOKUP(A1500,#REF!,11,0),0)+IFERROR(VLOOKUP(A1500,#REF!,10,0),0)+IFERROR(VLOOKUP(A1500,#REF!,10,0),0)+IFERROR(VLOOKUP(A1500,#REF!,9,0),0)+IFERROR(VLOOKUP(A1500,#REF!,9,0),0)+IFERROR(VLOOKUP(A1500,#REF!,9,0),0)+IFERROR(VLOOKUP(A1500,#REF!,9,0),0)</f>
        <v>0</v>
      </c>
      <c r="J1500" s="104">
        <f>IFERROR(VLOOKUP(A1500,#REF!,16,0),0)+IFERROR(VLOOKUP(A1500,#REF!,26,0),0)+IFERROR(VLOOKUP(A1500,#REF!,11,0),0)+IFERROR(VLOOKUP(A1500,#REF!,23,0),0)+IFERROR(VLOOKUP(A1500,#REF!,11,0),0)+IFERROR(VLOOKUP(A1500,#REF!,11,0),0)+IFERROR(VLOOKUP(A1500,#REF!,11,0),0)</f>
        <v>0</v>
      </c>
      <c r="K1500" s="96" t="str">
        <f>"07.02.24"</f>
        <v>07.02.24</v>
      </c>
    </row>
    <row r="1501" spans="1:11" ht="11.25" customHeight="1" outlineLevel="1">
      <c r="A1501" s="89" t="n">
        <v>8141030</v>
      </c>
      <c r="B1501" s="114" t="s">
        <v>1201</v>
      </c>
      <c r="C1501" s="89" t="s">
        <v>2490</v>
      </c>
      <c r="D1501" s="89" t="s">
        <v>15</v>
      </c>
      <c r="E1501" s="89"/>
      <c r="F1501" s="102" t="n">
        <v>1012</v>
      </c>
      <c r="G1501" s="102" t="n">
        <v>1344</v>
      </c>
      <c r="H1501" s="103" t="s">
        <v>48</v>
      </c>
      <c r="I1501" s="103">
        <f>IFERROR(VLOOKUP(A1501,#REF!,15,0),0)+IFERROR(VLOOKUP(A1501,#REF!,25,0),0)+IFERROR(VLOOKUP(A1501,#REF!,10,0),0)+IFERROR(VLOOKUP(A1501,#REF!,14,0),0)+IFERROR(VLOOKUP(A1501,#REF!,11,0),0)+IFERROR(VLOOKUP(A1501,#REF!,10,0),0)+IFERROR(VLOOKUP(A1501,#REF!,10,0),0)+IFERROR(VLOOKUP(A1501,#REF!,9,0),0)+IFERROR(VLOOKUP(A1501,#REF!,9,0),0)+IFERROR(VLOOKUP(A1501,#REF!,9,0),0)+IFERROR(VLOOKUP(A1501,#REF!,9,0),0)</f>
        <v>0</v>
      </c>
      <c r="J1501" s="104">
        <f>IFERROR(VLOOKUP(A1501,#REF!,16,0),0)+IFERROR(VLOOKUP(A1501,#REF!,26,0),0)+IFERROR(VLOOKUP(A1501,#REF!,11,0),0)+IFERROR(VLOOKUP(A1501,#REF!,23,0),0)+IFERROR(VLOOKUP(A1501,#REF!,11,0),0)+IFERROR(VLOOKUP(A1501,#REF!,11,0),0)+IFERROR(VLOOKUP(A1501,#REF!,11,0),0)</f>
        <v>0</v>
      </c>
      <c r="K1501" s="96" t="str">
        <f>"07.02.24"</f>
        <v>07.02.24</v>
      </c>
    </row>
    <row r="1502" spans="1:11" ht="11.25" customHeight="1" outlineLevel="1">
      <c r="A1502" s="89" t="n">
        <v>8141040</v>
      </c>
      <c r="B1502" s="114" t="s">
        <v>1201</v>
      </c>
      <c r="C1502" s="89" t="s">
        <v>2491</v>
      </c>
      <c r="D1502" s="89" t="s">
        <v>15</v>
      </c>
      <c r="E1502" s="89"/>
      <c r="F1502" s="102" t="n">
        <v>1147</v>
      </c>
      <c r="G1502" s="102" t="n">
        <v>1524</v>
      </c>
      <c r="H1502" s="103" t="s">
        <v>48</v>
      </c>
      <c r="I1502" s="103">
        <f>IFERROR(VLOOKUP(A1502,#REF!,15,0),0)+IFERROR(VLOOKUP(A1502,#REF!,25,0),0)+IFERROR(VLOOKUP(A1502,#REF!,10,0),0)+IFERROR(VLOOKUP(A1502,#REF!,14,0),0)+IFERROR(VLOOKUP(A1502,#REF!,11,0),0)+IFERROR(VLOOKUP(A1502,#REF!,10,0),0)+IFERROR(VLOOKUP(A1502,#REF!,10,0),0)+IFERROR(VLOOKUP(A1502,#REF!,9,0),0)+IFERROR(VLOOKUP(A1502,#REF!,9,0),0)+IFERROR(VLOOKUP(A1502,#REF!,9,0),0)+IFERROR(VLOOKUP(A1502,#REF!,9,0),0)</f>
        <v>0</v>
      </c>
      <c r="J1502" s="104">
        <f>IFERROR(VLOOKUP(A1502,#REF!,16,0),0)+IFERROR(VLOOKUP(A1502,#REF!,26,0),0)+IFERROR(VLOOKUP(A1502,#REF!,11,0),0)+IFERROR(VLOOKUP(A1502,#REF!,23,0),0)+IFERROR(VLOOKUP(A1502,#REF!,11,0),0)+IFERROR(VLOOKUP(A1502,#REF!,11,0),0)+IFERROR(VLOOKUP(A1502,#REF!,11,0),0)</f>
        <v>0</v>
      </c>
      <c r="K1502" s="96" t="str">
        <f>"07.02.24"</f>
        <v>07.02.24</v>
      </c>
    </row>
    <row r="1503" spans="1:11" ht="11.25" customHeight="1" outlineLevel="1">
      <c r="A1503" s="89" t="n">
        <v>8141050</v>
      </c>
      <c r="B1503" s="114" t="s">
        <v>1201</v>
      </c>
      <c r="C1503" s="89" t="s">
        <v>2492</v>
      </c>
      <c r="D1503" s="89" t="s">
        <v>15</v>
      </c>
      <c r="E1503" s="89"/>
      <c r="F1503" s="102" t="n">
        <v>1612</v>
      </c>
      <c r="G1503" s="102" t="n">
        <v>2144</v>
      </c>
      <c r="H1503" s="103" t="s">
        <v>48</v>
      </c>
      <c r="I1503" s="103">
        <f>IFERROR(VLOOKUP(A1503,#REF!,15,0),0)+IFERROR(VLOOKUP(A1503,#REF!,25,0),0)+IFERROR(VLOOKUP(A1503,#REF!,10,0),0)+IFERROR(VLOOKUP(A1503,#REF!,14,0),0)+IFERROR(VLOOKUP(A1503,#REF!,11,0),0)+IFERROR(VLOOKUP(A1503,#REF!,10,0),0)+IFERROR(VLOOKUP(A1503,#REF!,10,0),0)+IFERROR(VLOOKUP(A1503,#REF!,9,0),0)+IFERROR(VLOOKUP(A1503,#REF!,9,0),0)+IFERROR(VLOOKUP(A1503,#REF!,9,0),0)+IFERROR(VLOOKUP(A1503,#REF!,9,0),0)</f>
        <v>0</v>
      </c>
      <c r="J1503" s="104">
        <f>IFERROR(VLOOKUP(A1503,#REF!,16,0),0)+IFERROR(VLOOKUP(A1503,#REF!,26,0),0)+IFERROR(VLOOKUP(A1503,#REF!,11,0),0)+IFERROR(VLOOKUP(A1503,#REF!,23,0),0)+IFERROR(VLOOKUP(A1503,#REF!,11,0),0)+IFERROR(VLOOKUP(A1503,#REF!,11,0),0)+IFERROR(VLOOKUP(A1503,#REF!,11,0),0)</f>
        <v>0</v>
      </c>
      <c r="K1503" s="96" t="str">
        <f>"07.02.24"</f>
        <v>07.02.24</v>
      </c>
    </row>
    <row r="1504" spans="1:11" ht="11.25" customHeight="1" outlineLevel="1">
      <c r="A1504" s="89" t="n">
        <v>8141060</v>
      </c>
      <c r="B1504" s="114" t="s">
        <v>1201</v>
      </c>
      <c r="C1504" s="89" t="s">
        <v>2493</v>
      </c>
      <c r="D1504" s="89" t="s">
        <v>15</v>
      </c>
      <c r="E1504" s="89"/>
      <c r="F1504" s="102" t="n">
        <v>1126</v>
      </c>
      <c r="G1504" s="102" t="n">
        <v>1498</v>
      </c>
      <c r="H1504" s="103" t="s">
        <v>48</v>
      </c>
      <c r="I1504" s="103">
        <f>IFERROR(VLOOKUP(A1504,#REF!,15,0),0)+IFERROR(VLOOKUP(A1504,#REF!,25,0),0)+IFERROR(VLOOKUP(A1504,#REF!,10,0),0)+IFERROR(VLOOKUP(A1504,#REF!,14,0),0)+IFERROR(VLOOKUP(A1504,#REF!,11,0),0)+IFERROR(VLOOKUP(A1504,#REF!,10,0),0)+IFERROR(VLOOKUP(A1504,#REF!,10,0),0)+IFERROR(VLOOKUP(A1504,#REF!,9,0),0)+IFERROR(VLOOKUP(A1504,#REF!,9,0),0)+IFERROR(VLOOKUP(A1504,#REF!,9,0),0)+IFERROR(VLOOKUP(A1504,#REF!,9,0),0)</f>
        <v>0</v>
      </c>
      <c r="J1504" s="104">
        <f>IFERROR(VLOOKUP(A1504,#REF!,16,0),0)+IFERROR(VLOOKUP(A1504,#REF!,26,0),0)+IFERROR(VLOOKUP(A1504,#REF!,11,0),0)+IFERROR(VLOOKUP(A1504,#REF!,23,0),0)+IFERROR(VLOOKUP(A1504,#REF!,11,0),0)+IFERROR(VLOOKUP(A1504,#REF!,11,0),0)+IFERROR(VLOOKUP(A1504,#REF!,11,0),0)</f>
        <v>0</v>
      </c>
      <c r="K1504" s="96" t="str">
        <f>"07.02.24"</f>
        <v>07.02.24</v>
      </c>
    </row>
    <row r="1505" spans="1:11" ht="11.25" customHeight="1" outlineLevel="1">
      <c r="A1505" s="89" t="n">
        <v>8141070</v>
      </c>
      <c r="B1505" s="114" t="s">
        <v>1201</v>
      </c>
      <c r="C1505" s="89" t="s">
        <v>2494</v>
      </c>
      <c r="D1505" s="89" t="s">
        <v>15</v>
      </c>
      <c r="E1505" s="89"/>
      <c r="F1505" s="102" t="n">
        <v>912</v>
      </c>
      <c r="G1505" s="102" t="n">
        <v>1215</v>
      </c>
      <c r="H1505" s="103" t="s">
        <v>48</v>
      </c>
      <c r="I1505" s="103">
        <f>IFERROR(VLOOKUP(A1505,#REF!,15,0),0)+IFERROR(VLOOKUP(A1505,#REF!,25,0),0)+IFERROR(VLOOKUP(A1505,#REF!,10,0),0)+IFERROR(VLOOKUP(A1505,#REF!,14,0),0)+IFERROR(VLOOKUP(A1505,#REF!,11,0),0)+IFERROR(VLOOKUP(A1505,#REF!,10,0),0)+IFERROR(VLOOKUP(A1505,#REF!,10,0),0)+IFERROR(VLOOKUP(A1505,#REF!,9,0),0)+IFERROR(VLOOKUP(A1505,#REF!,9,0),0)+IFERROR(VLOOKUP(A1505,#REF!,9,0),0)+IFERROR(VLOOKUP(A1505,#REF!,9,0),0)</f>
        <v>0</v>
      </c>
      <c r="J1505" s="104">
        <f>IFERROR(VLOOKUP(A1505,#REF!,16,0),0)+IFERROR(VLOOKUP(A1505,#REF!,26,0),0)+IFERROR(VLOOKUP(A1505,#REF!,11,0),0)+IFERROR(VLOOKUP(A1505,#REF!,23,0),0)+IFERROR(VLOOKUP(A1505,#REF!,11,0),0)+IFERROR(VLOOKUP(A1505,#REF!,11,0),0)+IFERROR(VLOOKUP(A1505,#REF!,11,0),0)</f>
        <v>0</v>
      </c>
      <c r="K1505" s="96" t="str">
        <f>"07.02.24"</f>
        <v>07.02.24</v>
      </c>
    </row>
    <row r="1506" spans="1:11" ht="11.25" customHeight="1" outlineLevel="1">
      <c r="A1506" s="89" t="n">
        <v>8141080</v>
      </c>
      <c r="B1506" s="114" t="s">
        <v>1201</v>
      </c>
      <c r="C1506" s="89" t="s">
        <v>2495</v>
      </c>
      <c r="D1506" s="89" t="s">
        <v>15</v>
      </c>
      <c r="E1506" s="89"/>
      <c r="F1506" s="102" t="n">
        <v>1067</v>
      </c>
      <c r="G1506" s="102" t="n">
        <v>1418</v>
      </c>
      <c r="H1506" s="103" t="s">
        <v>48</v>
      </c>
      <c r="I1506" s="103">
        <f>IFERROR(VLOOKUP(A1506,#REF!,15,0),0)+IFERROR(VLOOKUP(A1506,#REF!,25,0),0)+IFERROR(VLOOKUP(A1506,#REF!,10,0),0)+IFERROR(VLOOKUP(A1506,#REF!,14,0),0)+IFERROR(VLOOKUP(A1506,#REF!,11,0),0)+IFERROR(VLOOKUP(A1506,#REF!,10,0),0)+IFERROR(VLOOKUP(A1506,#REF!,10,0),0)+IFERROR(VLOOKUP(A1506,#REF!,9,0),0)+IFERROR(VLOOKUP(A1506,#REF!,9,0),0)+IFERROR(VLOOKUP(A1506,#REF!,9,0),0)+IFERROR(VLOOKUP(A1506,#REF!,9,0),0)</f>
        <v>0</v>
      </c>
      <c r="J1506" s="104">
        <f>IFERROR(VLOOKUP(A1506,#REF!,16,0),0)+IFERROR(VLOOKUP(A1506,#REF!,26,0),0)+IFERROR(VLOOKUP(A1506,#REF!,11,0),0)+IFERROR(VLOOKUP(A1506,#REF!,23,0),0)+IFERROR(VLOOKUP(A1506,#REF!,11,0),0)+IFERROR(VLOOKUP(A1506,#REF!,11,0),0)+IFERROR(VLOOKUP(A1506,#REF!,11,0),0)</f>
        <v>0</v>
      </c>
      <c r="K1506" s="96" t="str">
        <f>"07.02.24"</f>
        <v>07.02.24</v>
      </c>
    </row>
    <row r="1507" spans="1:11" ht="11.25" customHeight="1" outlineLevel="1">
      <c r="A1507" s="89" t="n">
        <v>8141090</v>
      </c>
      <c r="B1507" s="114" t="s">
        <v>1201</v>
      </c>
      <c r="C1507" s="89" t="s">
        <v>2496</v>
      </c>
      <c r="D1507" s="89" t="s">
        <v>15</v>
      </c>
      <c r="E1507" s="89"/>
      <c r="F1507" s="102" t="n">
        <v>1678</v>
      </c>
      <c r="G1507" s="102" t="n">
        <v>2230</v>
      </c>
      <c r="H1507" s="103" t="s">
        <v>48</v>
      </c>
      <c r="I1507" s="103">
        <f>IFERROR(VLOOKUP(A1507,#REF!,15,0),0)+IFERROR(VLOOKUP(A1507,#REF!,25,0),0)+IFERROR(VLOOKUP(A1507,#REF!,10,0),0)+IFERROR(VLOOKUP(A1507,#REF!,14,0),0)+IFERROR(VLOOKUP(A1507,#REF!,11,0),0)+IFERROR(VLOOKUP(A1507,#REF!,10,0),0)+IFERROR(VLOOKUP(A1507,#REF!,10,0),0)+IFERROR(VLOOKUP(A1507,#REF!,9,0),0)+IFERROR(VLOOKUP(A1507,#REF!,9,0),0)+IFERROR(VLOOKUP(A1507,#REF!,9,0),0)+IFERROR(VLOOKUP(A1507,#REF!,9,0),0)</f>
        <v>0</v>
      </c>
      <c r="J1507" s="104">
        <f>IFERROR(VLOOKUP(A1507,#REF!,16,0),0)+IFERROR(VLOOKUP(A1507,#REF!,26,0),0)+IFERROR(VLOOKUP(A1507,#REF!,11,0),0)+IFERROR(VLOOKUP(A1507,#REF!,23,0),0)+IFERROR(VLOOKUP(A1507,#REF!,11,0),0)+IFERROR(VLOOKUP(A1507,#REF!,11,0),0)+IFERROR(VLOOKUP(A1507,#REF!,11,0),0)</f>
        <v>0</v>
      </c>
      <c r="K1507" s="96" t="str">
        <f>"07.02.24"</f>
        <v>07.02.24</v>
      </c>
    </row>
    <row r="1508" spans="1:11" ht="11.25" customHeight="1" outlineLevel="1">
      <c r="A1508" s="89" t="n">
        <v>8141100</v>
      </c>
      <c r="B1508" s="114" t="s">
        <v>1201</v>
      </c>
      <c r="C1508" s="89" t="s">
        <v>2497</v>
      </c>
      <c r="D1508" s="89" t="s">
        <v>15</v>
      </c>
      <c r="E1508" s="89"/>
      <c r="F1508" s="102" t="n">
        <v>1732</v>
      </c>
      <c r="G1508" s="102" t="n">
        <v>2302</v>
      </c>
      <c r="H1508" s="103" t="s">
        <v>48</v>
      </c>
      <c r="I1508" s="103">
        <f>IFERROR(VLOOKUP(A1508,#REF!,15,0),0)+IFERROR(VLOOKUP(A1508,#REF!,25,0),0)+IFERROR(VLOOKUP(A1508,#REF!,10,0),0)+IFERROR(VLOOKUP(A1508,#REF!,14,0),0)+IFERROR(VLOOKUP(A1508,#REF!,11,0),0)+IFERROR(VLOOKUP(A1508,#REF!,10,0),0)+IFERROR(VLOOKUP(A1508,#REF!,10,0),0)+IFERROR(VLOOKUP(A1508,#REF!,9,0),0)+IFERROR(VLOOKUP(A1508,#REF!,9,0),0)+IFERROR(VLOOKUP(A1508,#REF!,9,0),0)+IFERROR(VLOOKUP(A1508,#REF!,9,0),0)</f>
        <v>0</v>
      </c>
      <c r="J1508" s="104">
        <f>IFERROR(VLOOKUP(A1508,#REF!,16,0),0)+IFERROR(VLOOKUP(A1508,#REF!,26,0),0)+IFERROR(VLOOKUP(A1508,#REF!,11,0),0)+IFERROR(VLOOKUP(A1508,#REF!,23,0),0)+IFERROR(VLOOKUP(A1508,#REF!,11,0),0)+IFERROR(VLOOKUP(A1508,#REF!,11,0),0)+IFERROR(VLOOKUP(A1508,#REF!,11,0),0)</f>
        <v>0</v>
      </c>
      <c r="K1508" s="96" t="str">
        <f>"07.02.24"</f>
        <v>07.02.24</v>
      </c>
    </row>
    <row r="1509" spans="1:11" ht="11.25" customHeight="1" outlineLevel="1">
      <c r="A1509" s="89" t="n">
        <v>8141110</v>
      </c>
      <c r="B1509" s="114" t="s">
        <v>1201</v>
      </c>
      <c r="C1509" s="89" t="s">
        <v>2498</v>
      </c>
      <c r="D1509" s="89" t="s">
        <v>15</v>
      </c>
      <c r="E1509" s="89"/>
      <c r="F1509" s="102" t="n">
        <v>2058</v>
      </c>
      <c r="G1509" s="102" t="n">
        <v>2737</v>
      </c>
      <c r="H1509" s="103" t="s">
        <v>48</v>
      </c>
      <c r="I1509" s="103">
        <f>IFERROR(VLOOKUP(A1509,#REF!,15,0),0)+IFERROR(VLOOKUP(A1509,#REF!,25,0),0)+IFERROR(VLOOKUP(A1509,#REF!,10,0),0)+IFERROR(VLOOKUP(A1509,#REF!,14,0),0)+IFERROR(VLOOKUP(A1509,#REF!,11,0),0)+IFERROR(VLOOKUP(A1509,#REF!,10,0),0)+IFERROR(VLOOKUP(A1509,#REF!,10,0),0)+IFERROR(VLOOKUP(A1509,#REF!,9,0),0)+IFERROR(VLOOKUP(A1509,#REF!,9,0),0)+IFERROR(VLOOKUP(A1509,#REF!,9,0),0)+IFERROR(VLOOKUP(A1509,#REF!,9,0),0)</f>
        <v>0</v>
      </c>
      <c r="J1509" s="104">
        <f>IFERROR(VLOOKUP(A1509,#REF!,16,0),0)+IFERROR(VLOOKUP(A1509,#REF!,26,0),0)+IFERROR(VLOOKUP(A1509,#REF!,11,0),0)+IFERROR(VLOOKUP(A1509,#REF!,23,0),0)+IFERROR(VLOOKUP(A1509,#REF!,11,0),0)+IFERROR(VLOOKUP(A1509,#REF!,11,0),0)+IFERROR(VLOOKUP(A1509,#REF!,11,0),0)</f>
        <v>0</v>
      </c>
      <c r="K1509" s="96" t="str">
        <f>"07.02.24"</f>
        <v>07.02.24</v>
      </c>
    </row>
    <row r="1510" spans="1:11" ht="11.25" customHeight="1" outlineLevel="1">
      <c r="A1510" s="89" t="n">
        <v>8141120</v>
      </c>
      <c r="B1510" s="114" t="s">
        <v>1201</v>
      </c>
      <c r="C1510" s="89" t="s">
        <v>2499</v>
      </c>
      <c r="D1510" s="89" t="s">
        <v>15</v>
      </c>
      <c r="E1510" s="89"/>
      <c r="F1510" s="102" t="n">
        <v>2651</v>
      </c>
      <c r="G1510" s="102" t="n">
        <v>3525</v>
      </c>
      <c r="H1510" s="103" t="s">
        <v>48</v>
      </c>
      <c r="I1510" s="103">
        <f>IFERROR(VLOOKUP(A1510,#REF!,15,0),0)+IFERROR(VLOOKUP(A1510,#REF!,25,0),0)+IFERROR(VLOOKUP(A1510,#REF!,10,0),0)+IFERROR(VLOOKUP(A1510,#REF!,14,0),0)+IFERROR(VLOOKUP(A1510,#REF!,11,0),0)+IFERROR(VLOOKUP(A1510,#REF!,10,0),0)+IFERROR(VLOOKUP(A1510,#REF!,10,0),0)+IFERROR(VLOOKUP(A1510,#REF!,9,0),0)+IFERROR(VLOOKUP(A1510,#REF!,9,0),0)+IFERROR(VLOOKUP(A1510,#REF!,9,0),0)+IFERROR(VLOOKUP(A1510,#REF!,9,0),0)</f>
        <v>0</v>
      </c>
      <c r="J1510" s="104">
        <f>IFERROR(VLOOKUP(A1510,#REF!,16,0),0)+IFERROR(VLOOKUP(A1510,#REF!,26,0),0)+IFERROR(VLOOKUP(A1510,#REF!,11,0),0)+IFERROR(VLOOKUP(A1510,#REF!,23,0),0)+IFERROR(VLOOKUP(A1510,#REF!,11,0),0)+IFERROR(VLOOKUP(A1510,#REF!,11,0),0)+IFERROR(VLOOKUP(A1510,#REF!,11,0),0)</f>
        <v>0</v>
      </c>
      <c r="K1510" s="96" t="str">
        <f>"07.02.24"</f>
        <v>07.02.24</v>
      </c>
    </row>
    <row r="1511" spans="1:11" ht="11.25" customHeight="1" outlineLevel="1">
      <c r="A1511" s="89" t="n">
        <v>8141130</v>
      </c>
      <c r="B1511" s="114" t="s">
        <v>1201</v>
      </c>
      <c r="C1511" s="89" t="s">
        <v>2500</v>
      </c>
      <c r="D1511" s="89" t="s">
        <v>15</v>
      </c>
      <c r="E1511" s="89"/>
      <c r="F1511" s="102" t="n">
        <v>1678</v>
      </c>
      <c r="G1511" s="102" t="n">
        <v>2230</v>
      </c>
      <c r="H1511" s="103" t="s">
        <v>48</v>
      </c>
      <c r="I1511" s="103">
        <f>IFERROR(VLOOKUP(A1511,#REF!,15,0),0)+IFERROR(VLOOKUP(A1511,#REF!,25,0),0)+IFERROR(VLOOKUP(A1511,#REF!,10,0),0)+IFERROR(VLOOKUP(A1511,#REF!,14,0),0)+IFERROR(VLOOKUP(A1511,#REF!,11,0),0)+IFERROR(VLOOKUP(A1511,#REF!,10,0),0)+IFERROR(VLOOKUP(A1511,#REF!,10,0),0)+IFERROR(VLOOKUP(A1511,#REF!,9,0),0)+IFERROR(VLOOKUP(A1511,#REF!,9,0),0)+IFERROR(VLOOKUP(A1511,#REF!,9,0),0)+IFERROR(VLOOKUP(A1511,#REF!,9,0),0)</f>
        <v>0</v>
      </c>
      <c r="J1511" s="104">
        <f>IFERROR(VLOOKUP(A1511,#REF!,16,0),0)+IFERROR(VLOOKUP(A1511,#REF!,26,0),0)+IFERROR(VLOOKUP(A1511,#REF!,11,0),0)+IFERROR(VLOOKUP(A1511,#REF!,23,0),0)+IFERROR(VLOOKUP(A1511,#REF!,11,0),0)+IFERROR(VLOOKUP(A1511,#REF!,11,0),0)+IFERROR(VLOOKUP(A1511,#REF!,11,0),0)</f>
        <v>0</v>
      </c>
      <c r="K1511" s="96" t="str">
        <f>"07.02.24"</f>
        <v>07.02.24</v>
      </c>
    </row>
    <row r="1512" spans="1:11" ht="11.25" customHeight="1" outlineLevel="1">
      <c r="A1512" s="89" t="n">
        <v>8141140</v>
      </c>
      <c r="B1512" s="114" t="s">
        <v>1201</v>
      </c>
      <c r="C1512" s="89" t="s">
        <v>2501</v>
      </c>
      <c r="D1512" s="89" t="s">
        <v>15</v>
      </c>
      <c r="E1512" s="89"/>
      <c r="F1512" s="102" t="n">
        <v>1038</v>
      </c>
      <c r="G1512" s="102" t="n">
        <v>1379</v>
      </c>
      <c r="H1512" s="103" t="s">
        <v>48</v>
      </c>
      <c r="I1512" s="103">
        <f>IFERROR(VLOOKUP(A1512,#REF!,15,0),0)+IFERROR(VLOOKUP(A1512,#REF!,25,0),0)+IFERROR(VLOOKUP(A1512,#REF!,10,0),0)+IFERROR(VLOOKUP(A1512,#REF!,14,0),0)+IFERROR(VLOOKUP(A1512,#REF!,11,0),0)+IFERROR(VLOOKUP(A1512,#REF!,10,0),0)+IFERROR(VLOOKUP(A1512,#REF!,10,0),0)+IFERROR(VLOOKUP(A1512,#REF!,9,0),0)+IFERROR(VLOOKUP(A1512,#REF!,9,0),0)+IFERROR(VLOOKUP(A1512,#REF!,9,0),0)+IFERROR(VLOOKUP(A1512,#REF!,9,0),0)</f>
        <v>0</v>
      </c>
      <c r="J1512" s="104">
        <f>IFERROR(VLOOKUP(A1512,#REF!,16,0),0)+IFERROR(VLOOKUP(A1512,#REF!,26,0),0)+IFERROR(VLOOKUP(A1512,#REF!,11,0),0)+IFERROR(VLOOKUP(A1512,#REF!,23,0),0)+IFERROR(VLOOKUP(A1512,#REF!,11,0),0)+IFERROR(VLOOKUP(A1512,#REF!,11,0),0)+IFERROR(VLOOKUP(A1512,#REF!,11,0),0)</f>
        <v>0</v>
      </c>
      <c r="K1512" s="96" t="str">
        <f>"07.02.24"</f>
        <v>07.02.24</v>
      </c>
    </row>
    <row r="1513" spans="1:11" ht="11.25" customHeight="1" outlineLevel="1">
      <c r="A1513" s="89" t="n">
        <v>8141150</v>
      </c>
      <c r="B1513" s="114" t="s">
        <v>1201</v>
      </c>
      <c r="C1513" s="89" t="s">
        <v>2502</v>
      </c>
      <c r="D1513" s="89" t="s">
        <v>15</v>
      </c>
      <c r="E1513" s="89"/>
      <c r="F1513" s="102" t="n">
        <v>585</v>
      </c>
      <c r="G1513" s="102" t="n">
        <v>776</v>
      </c>
      <c r="H1513" s="103" t="s">
        <v>48</v>
      </c>
      <c r="I1513" s="103">
        <f>IFERROR(VLOOKUP(A1513,#REF!,15,0),0)+IFERROR(VLOOKUP(A1513,#REF!,25,0),0)+IFERROR(VLOOKUP(A1513,#REF!,10,0),0)+IFERROR(VLOOKUP(A1513,#REF!,14,0),0)+IFERROR(VLOOKUP(A1513,#REF!,11,0),0)+IFERROR(VLOOKUP(A1513,#REF!,10,0),0)+IFERROR(VLOOKUP(A1513,#REF!,10,0),0)+IFERROR(VLOOKUP(A1513,#REF!,9,0),0)+IFERROR(VLOOKUP(A1513,#REF!,9,0),0)+IFERROR(VLOOKUP(A1513,#REF!,9,0),0)+IFERROR(VLOOKUP(A1513,#REF!,9,0),0)</f>
        <v>0</v>
      </c>
      <c r="J1513" s="104">
        <f>IFERROR(VLOOKUP(A1513,#REF!,16,0),0)+IFERROR(VLOOKUP(A1513,#REF!,26,0),0)+IFERROR(VLOOKUP(A1513,#REF!,11,0),0)+IFERROR(VLOOKUP(A1513,#REF!,23,0),0)+IFERROR(VLOOKUP(A1513,#REF!,11,0),0)+IFERROR(VLOOKUP(A1513,#REF!,11,0),0)+IFERROR(VLOOKUP(A1513,#REF!,11,0),0)</f>
        <v>0</v>
      </c>
      <c r="K1513" s="96" t="str">
        <f>"07.02.24"</f>
        <v>07.02.24</v>
      </c>
    </row>
    <row r="1514" spans="1:11" ht="11.25" customHeight="1" outlineLevel="1">
      <c r="A1514" s="89" t="n">
        <v>8141160</v>
      </c>
      <c r="B1514" s="114" t="s">
        <v>1201</v>
      </c>
      <c r="C1514" s="89" t="s">
        <v>2503</v>
      </c>
      <c r="D1514" s="89" t="s">
        <v>15</v>
      </c>
      <c r="E1514" s="89"/>
      <c r="F1514" s="102" t="n">
        <v>1181</v>
      </c>
      <c r="G1514" s="102" t="n">
        <v>1571</v>
      </c>
      <c r="H1514" s="103" t="s">
        <v>17</v>
      </c>
      <c r="I1514" s="103">
        <f>IFERROR(VLOOKUP(A1514,#REF!,15,0),0)+IFERROR(VLOOKUP(A1514,#REF!,25,0),0)+IFERROR(VLOOKUP(A1514,#REF!,10,0),0)+IFERROR(VLOOKUP(A1514,#REF!,14,0),0)+IFERROR(VLOOKUP(A1514,#REF!,11,0),0)+IFERROR(VLOOKUP(A1514,#REF!,10,0),0)+IFERROR(VLOOKUP(A1514,#REF!,10,0),0)+IFERROR(VLOOKUP(A1514,#REF!,9,0),0)+IFERROR(VLOOKUP(A1514,#REF!,9,0),0)+IFERROR(VLOOKUP(A1514,#REF!,9,0),0)+IFERROR(VLOOKUP(A1514,#REF!,9,0),0)</f>
        <v>0</v>
      </c>
      <c r="J1514" s="104">
        <f>IFERROR(VLOOKUP(A1514,#REF!,16,0),0)+IFERROR(VLOOKUP(A1514,#REF!,26,0),0)+IFERROR(VLOOKUP(A1514,#REF!,11,0),0)+IFERROR(VLOOKUP(A1514,#REF!,23,0),0)+IFERROR(VLOOKUP(A1514,#REF!,11,0),0)+IFERROR(VLOOKUP(A1514,#REF!,11,0),0)+IFERROR(VLOOKUP(A1514,#REF!,11,0),0)</f>
        <v>0</v>
      </c>
      <c r="K1514" s="96" t="str">
        <f>"07.02.24"</f>
        <v>07.02.24</v>
      </c>
    </row>
    <row r="1515" spans="1:11" ht="11.25" customHeight="1" outlineLevel="1">
      <c r="A1515" s="89" t="n">
        <v>8141170</v>
      </c>
      <c r="B1515" s="114" t="s">
        <v>1201</v>
      </c>
      <c r="C1515" s="89" t="s">
        <v>2504</v>
      </c>
      <c r="D1515" s="89" t="s">
        <v>15</v>
      </c>
      <c r="E1515" s="89"/>
      <c r="F1515" s="102" t="n">
        <v>991</v>
      </c>
      <c r="G1515" s="102" t="n">
        <v>1316</v>
      </c>
      <c r="H1515" s="103" t="s">
        <v>48</v>
      </c>
      <c r="I1515" s="103">
        <f>IFERROR(VLOOKUP(A1515,#REF!,15,0),0)+IFERROR(VLOOKUP(A1515,#REF!,25,0),0)+IFERROR(VLOOKUP(A1515,#REF!,10,0),0)+IFERROR(VLOOKUP(A1515,#REF!,14,0),0)+IFERROR(VLOOKUP(A1515,#REF!,11,0),0)+IFERROR(VLOOKUP(A1515,#REF!,10,0),0)+IFERROR(VLOOKUP(A1515,#REF!,10,0),0)+IFERROR(VLOOKUP(A1515,#REF!,9,0),0)+IFERROR(VLOOKUP(A1515,#REF!,9,0),0)+IFERROR(VLOOKUP(A1515,#REF!,9,0),0)+IFERROR(VLOOKUP(A1515,#REF!,9,0),0)</f>
        <v>0</v>
      </c>
      <c r="J1515" s="104">
        <f>IFERROR(VLOOKUP(A1515,#REF!,16,0),0)+IFERROR(VLOOKUP(A1515,#REF!,26,0),0)+IFERROR(VLOOKUP(A1515,#REF!,11,0),0)+IFERROR(VLOOKUP(A1515,#REF!,23,0),0)+IFERROR(VLOOKUP(A1515,#REF!,11,0),0)+IFERROR(VLOOKUP(A1515,#REF!,11,0),0)+IFERROR(VLOOKUP(A1515,#REF!,11,0),0)</f>
        <v>0</v>
      </c>
      <c r="K1515" s="96" t="str">
        <f>"07.02.24"</f>
        <v>07.02.24</v>
      </c>
    </row>
    <row r="1516" spans="1:11" ht="11.25" customHeight="1" outlineLevel="1">
      <c r="A1516" s="89" t="n">
        <v>8141180</v>
      </c>
      <c r="B1516" s="114" t="s">
        <v>1201</v>
      </c>
      <c r="C1516" s="89" t="s">
        <v>2505</v>
      </c>
      <c r="D1516" s="89" t="s">
        <v>15</v>
      </c>
      <c r="E1516" s="89"/>
      <c r="F1516" s="102" t="n">
        <v>991</v>
      </c>
      <c r="G1516" s="102" t="n">
        <v>1316</v>
      </c>
      <c r="H1516" s="103" t="s">
        <v>48</v>
      </c>
      <c r="I1516" s="103">
        <f>IFERROR(VLOOKUP(A1516,#REF!,15,0),0)+IFERROR(VLOOKUP(A1516,#REF!,25,0),0)+IFERROR(VLOOKUP(A1516,#REF!,10,0),0)+IFERROR(VLOOKUP(A1516,#REF!,14,0),0)+IFERROR(VLOOKUP(A1516,#REF!,11,0),0)+IFERROR(VLOOKUP(A1516,#REF!,10,0),0)+IFERROR(VLOOKUP(A1516,#REF!,10,0),0)+IFERROR(VLOOKUP(A1516,#REF!,9,0),0)+IFERROR(VLOOKUP(A1516,#REF!,9,0),0)+IFERROR(VLOOKUP(A1516,#REF!,9,0),0)+IFERROR(VLOOKUP(A1516,#REF!,9,0),0)</f>
        <v>0</v>
      </c>
      <c r="J1516" s="104">
        <f>IFERROR(VLOOKUP(A1516,#REF!,16,0),0)+IFERROR(VLOOKUP(A1516,#REF!,26,0),0)+IFERROR(VLOOKUP(A1516,#REF!,11,0),0)+IFERROR(VLOOKUP(A1516,#REF!,23,0),0)+IFERROR(VLOOKUP(A1516,#REF!,11,0),0)+IFERROR(VLOOKUP(A1516,#REF!,11,0),0)+IFERROR(VLOOKUP(A1516,#REF!,11,0),0)</f>
        <v>0</v>
      </c>
      <c r="K1516" s="96" t="str">
        <f>"07.02.24"</f>
        <v>07.02.24</v>
      </c>
    </row>
    <row r="1517" spans="1:11" ht="11.25" customHeight="1" outlineLevel="1">
      <c r="A1517" s="89" t="n">
        <v>8141190</v>
      </c>
      <c r="B1517" s="114" t="s">
        <v>1201</v>
      </c>
      <c r="C1517" s="89" t="s">
        <v>2506</v>
      </c>
      <c r="D1517" s="89" t="s">
        <v>15</v>
      </c>
      <c r="E1517" s="89"/>
      <c r="F1517" s="102" t="n">
        <v>1005</v>
      </c>
      <c r="G1517" s="102" t="n">
        <v>1336</v>
      </c>
      <c r="H1517" s="103" t="s">
        <v>48</v>
      </c>
      <c r="I1517" s="103">
        <f>IFERROR(VLOOKUP(A1517,#REF!,15,0),0)+IFERROR(VLOOKUP(A1517,#REF!,25,0),0)+IFERROR(VLOOKUP(A1517,#REF!,10,0),0)+IFERROR(VLOOKUP(A1517,#REF!,14,0),0)+IFERROR(VLOOKUP(A1517,#REF!,11,0),0)+IFERROR(VLOOKUP(A1517,#REF!,10,0),0)+IFERROR(VLOOKUP(A1517,#REF!,10,0),0)+IFERROR(VLOOKUP(A1517,#REF!,9,0),0)+IFERROR(VLOOKUP(A1517,#REF!,9,0),0)+IFERROR(VLOOKUP(A1517,#REF!,9,0),0)+IFERROR(VLOOKUP(A1517,#REF!,9,0),0)</f>
        <v>0</v>
      </c>
      <c r="J1517" s="104">
        <f>IFERROR(VLOOKUP(A1517,#REF!,16,0),0)+IFERROR(VLOOKUP(A1517,#REF!,26,0),0)+IFERROR(VLOOKUP(A1517,#REF!,11,0),0)+IFERROR(VLOOKUP(A1517,#REF!,23,0),0)+IFERROR(VLOOKUP(A1517,#REF!,11,0),0)+IFERROR(VLOOKUP(A1517,#REF!,11,0),0)+IFERROR(VLOOKUP(A1517,#REF!,11,0),0)</f>
        <v>0</v>
      </c>
      <c r="K1517" s="96" t="str">
        <f>"07.02.24"</f>
        <v>07.02.24</v>
      </c>
    </row>
    <row r="1518" spans="1:11" ht="11.25" customHeight="1" outlineLevel="1">
      <c r="A1518" s="89" t="n">
        <v>8141200</v>
      </c>
      <c r="B1518" s="114" t="s">
        <v>1201</v>
      </c>
      <c r="C1518" s="89" t="s">
        <v>2507</v>
      </c>
      <c r="D1518" s="89" t="s">
        <v>15</v>
      </c>
      <c r="E1518" s="89"/>
      <c r="F1518" s="102" t="n">
        <v>999</v>
      </c>
      <c r="G1518" s="102" t="n">
        <v>1326</v>
      </c>
      <c r="H1518" s="103" t="s">
        <v>48</v>
      </c>
      <c r="I1518" s="103">
        <f>IFERROR(VLOOKUP(A1518,#REF!,15,0),0)+IFERROR(VLOOKUP(A1518,#REF!,25,0),0)+IFERROR(VLOOKUP(A1518,#REF!,10,0),0)+IFERROR(VLOOKUP(A1518,#REF!,14,0),0)+IFERROR(VLOOKUP(A1518,#REF!,11,0),0)+IFERROR(VLOOKUP(A1518,#REF!,10,0),0)+IFERROR(VLOOKUP(A1518,#REF!,10,0),0)+IFERROR(VLOOKUP(A1518,#REF!,9,0),0)+IFERROR(VLOOKUP(A1518,#REF!,9,0),0)+IFERROR(VLOOKUP(A1518,#REF!,9,0),0)+IFERROR(VLOOKUP(A1518,#REF!,9,0),0)</f>
        <v>0</v>
      </c>
      <c r="J1518" s="104">
        <f>IFERROR(VLOOKUP(A1518,#REF!,16,0),0)+IFERROR(VLOOKUP(A1518,#REF!,26,0),0)+IFERROR(VLOOKUP(A1518,#REF!,11,0),0)+IFERROR(VLOOKUP(A1518,#REF!,23,0),0)+IFERROR(VLOOKUP(A1518,#REF!,11,0),0)+IFERROR(VLOOKUP(A1518,#REF!,11,0),0)+IFERROR(VLOOKUP(A1518,#REF!,11,0),0)</f>
        <v>0</v>
      </c>
      <c r="K1518" s="96" t="str">
        <f>"07.02.24"</f>
        <v>07.02.24</v>
      </c>
    </row>
    <row r="1519" spans="1:11" ht="11.25" customHeight="1" outlineLevel="1">
      <c r="A1519" s="89" t="n">
        <v>8141210</v>
      </c>
      <c r="B1519" s="114" t="s">
        <v>1201</v>
      </c>
      <c r="C1519" s="89" t="s">
        <v>2508</v>
      </c>
      <c r="D1519" s="89" t="s">
        <v>15</v>
      </c>
      <c r="E1519" s="89"/>
      <c r="F1519" s="102" t="n">
        <v>1080</v>
      </c>
      <c r="G1519" s="102" t="n">
        <v>1435</v>
      </c>
      <c r="H1519" s="103" t="s">
        <v>48</v>
      </c>
      <c r="I1519" s="103">
        <f>IFERROR(VLOOKUP(A1519,#REF!,15,0),0)+IFERROR(VLOOKUP(A1519,#REF!,25,0),0)+IFERROR(VLOOKUP(A1519,#REF!,10,0),0)+IFERROR(VLOOKUP(A1519,#REF!,14,0),0)+IFERROR(VLOOKUP(A1519,#REF!,11,0),0)+IFERROR(VLOOKUP(A1519,#REF!,10,0),0)+IFERROR(VLOOKUP(A1519,#REF!,10,0),0)+IFERROR(VLOOKUP(A1519,#REF!,9,0),0)+IFERROR(VLOOKUP(A1519,#REF!,9,0),0)+IFERROR(VLOOKUP(A1519,#REF!,9,0),0)+IFERROR(VLOOKUP(A1519,#REF!,9,0),0)</f>
        <v>0</v>
      </c>
      <c r="J1519" s="104">
        <f>IFERROR(VLOOKUP(A1519,#REF!,16,0),0)+IFERROR(VLOOKUP(A1519,#REF!,26,0),0)+IFERROR(VLOOKUP(A1519,#REF!,11,0),0)+IFERROR(VLOOKUP(A1519,#REF!,23,0),0)+IFERROR(VLOOKUP(A1519,#REF!,11,0),0)+IFERROR(VLOOKUP(A1519,#REF!,11,0),0)+IFERROR(VLOOKUP(A1519,#REF!,11,0),0)</f>
        <v>0</v>
      </c>
      <c r="K1519" s="96" t="str">
        <f>"07.02.24"</f>
        <v>07.02.24</v>
      </c>
    </row>
    <row r="1520" spans="1:11" ht="11.25" customHeight="1" outlineLevel="1">
      <c r="A1520" s="89" t="n">
        <v>8141220</v>
      </c>
      <c r="B1520" s="114" t="s">
        <v>1201</v>
      </c>
      <c r="C1520" s="89" t="s">
        <v>2509</v>
      </c>
      <c r="D1520" s="89" t="s">
        <v>15</v>
      </c>
      <c r="E1520" s="89"/>
      <c r="F1520" s="102" t="n">
        <v>2812</v>
      </c>
      <c r="G1520" s="102" t="n">
        <v>3737</v>
      </c>
      <c r="H1520" s="103" t="s">
        <v>48</v>
      </c>
      <c r="I1520" s="103">
        <f>IFERROR(VLOOKUP(A1520,#REF!,15,0),0)+IFERROR(VLOOKUP(A1520,#REF!,25,0),0)+IFERROR(VLOOKUP(A1520,#REF!,10,0),0)+IFERROR(VLOOKUP(A1520,#REF!,14,0),0)+IFERROR(VLOOKUP(A1520,#REF!,11,0),0)+IFERROR(VLOOKUP(A1520,#REF!,10,0),0)+IFERROR(VLOOKUP(A1520,#REF!,10,0),0)+IFERROR(VLOOKUP(A1520,#REF!,9,0),0)+IFERROR(VLOOKUP(A1520,#REF!,9,0),0)+IFERROR(VLOOKUP(A1520,#REF!,9,0),0)+IFERROR(VLOOKUP(A1520,#REF!,9,0),0)</f>
        <v>0</v>
      </c>
      <c r="J1520" s="104">
        <f>IFERROR(VLOOKUP(A1520,#REF!,16,0),0)+IFERROR(VLOOKUP(A1520,#REF!,26,0),0)+IFERROR(VLOOKUP(A1520,#REF!,11,0),0)+IFERROR(VLOOKUP(A1520,#REF!,23,0),0)+IFERROR(VLOOKUP(A1520,#REF!,11,0),0)+IFERROR(VLOOKUP(A1520,#REF!,11,0),0)+IFERROR(VLOOKUP(A1520,#REF!,11,0),0)</f>
        <v>0</v>
      </c>
      <c r="K1520" s="96" t="str">
        <f>"07.02.24"</f>
        <v>07.02.24</v>
      </c>
    </row>
    <row r="1521" spans="1:11" ht="11.25" customHeight="1" outlineLevel="1">
      <c r="A1521" s="89" t="n">
        <v>8141230</v>
      </c>
      <c r="B1521" s="114" t="s">
        <v>1201</v>
      </c>
      <c r="C1521" s="89" t="s">
        <v>2510</v>
      </c>
      <c r="D1521" s="89" t="s">
        <v>15</v>
      </c>
      <c r="E1521" s="89"/>
      <c r="F1521" s="102" t="n">
        <v>2699</v>
      </c>
      <c r="G1521" s="102" t="n">
        <v>3589</v>
      </c>
      <c r="H1521" s="103" t="s">
        <v>48</v>
      </c>
      <c r="I1521" s="103">
        <f>IFERROR(VLOOKUP(A1521,#REF!,15,0),0)+IFERROR(VLOOKUP(A1521,#REF!,25,0),0)+IFERROR(VLOOKUP(A1521,#REF!,10,0),0)+IFERROR(VLOOKUP(A1521,#REF!,14,0),0)+IFERROR(VLOOKUP(A1521,#REF!,11,0),0)+IFERROR(VLOOKUP(A1521,#REF!,10,0),0)+IFERROR(VLOOKUP(A1521,#REF!,10,0),0)+IFERROR(VLOOKUP(A1521,#REF!,9,0),0)+IFERROR(VLOOKUP(A1521,#REF!,9,0),0)+IFERROR(VLOOKUP(A1521,#REF!,9,0),0)+IFERROR(VLOOKUP(A1521,#REF!,9,0),0)</f>
        <v>0</v>
      </c>
      <c r="J1521" s="104">
        <f>IFERROR(VLOOKUP(A1521,#REF!,16,0),0)+IFERROR(VLOOKUP(A1521,#REF!,26,0),0)+IFERROR(VLOOKUP(A1521,#REF!,11,0),0)+IFERROR(VLOOKUP(A1521,#REF!,23,0),0)+IFERROR(VLOOKUP(A1521,#REF!,11,0),0)+IFERROR(VLOOKUP(A1521,#REF!,11,0),0)+IFERROR(VLOOKUP(A1521,#REF!,11,0),0)</f>
        <v>0</v>
      </c>
      <c r="K1521" s="96" t="str">
        <f>"07.02.24"</f>
        <v>07.02.24</v>
      </c>
    </row>
    <row r="1522" spans="1:11" ht="11.25" customHeight="1" outlineLevel="1">
      <c r="A1522" s="89" t="n">
        <v>8141240</v>
      </c>
      <c r="B1522" s="114" t="s">
        <v>1201</v>
      </c>
      <c r="C1522" s="89" t="s">
        <v>2511</v>
      </c>
      <c r="D1522" s="89" t="s">
        <v>15</v>
      </c>
      <c r="E1522" s="89"/>
      <c r="F1522" s="102" t="n">
        <v>2812</v>
      </c>
      <c r="G1522" s="102" t="n">
        <v>3737</v>
      </c>
      <c r="H1522" s="103" t="s">
        <v>48</v>
      </c>
      <c r="I1522" s="103">
        <f>IFERROR(VLOOKUP(A1522,#REF!,15,0),0)+IFERROR(VLOOKUP(A1522,#REF!,25,0),0)+IFERROR(VLOOKUP(A1522,#REF!,10,0),0)+IFERROR(VLOOKUP(A1522,#REF!,14,0),0)+IFERROR(VLOOKUP(A1522,#REF!,11,0),0)+IFERROR(VLOOKUP(A1522,#REF!,10,0),0)+IFERROR(VLOOKUP(A1522,#REF!,10,0),0)+IFERROR(VLOOKUP(A1522,#REF!,9,0),0)+IFERROR(VLOOKUP(A1522,#REF!,9,0),0)+IFERROR(VLOOKUP(A1522,#REF!,9,0),0)+IFERROR(VLOOKUP(A1522,#REF!,9,0),0)</f>
        <v>0</v>
      </c>
      <c r="J1522" s="104">
        <f>IFERROR(VLOOKUP(A1522,#REF!,16,0),0)+IFERROR(VLOOKUP(A1522,#REF!,26,0),0)+IFERROR(VLOOKUP(A1522,#REF!,11,0),0)+IFERROR(VLOOKUP(A1522,#REF!,23,0),0)+IFERROR(VLOOKUP(A1522,#REF!,11,0),0)+IFERROR(VLOOKUP(A1522,#REF!,11,0),0)+IFERROR(VLOOKUP(A1522,#REF!,11,0),0)</f>
        <v>0</v>
      </c>
      <c r="K1522" s="96" t="str">
        <f>"07.02.24"</f>
        <v>07.02.24</v>
      </c>
    </row>
    <row r="1523" spans="1:11" ht="11.25" customHeight="1" outlineLevel="1">
      <c r="A1523" s="89" t="n">
        <v>8141250</v>
      </c>
      <c r="B1523" s="114" t="s">
        <v>1201</v>
      </c>
      <c r="C1523" s="89" t="s">
        <v>2512</v>
      </c>
      <c r="D1523" s="89" t="s">
        <v>15</v>
      </c>
      <c r="E1523" s="89"/>
      <c r="F1523" s="102" t="n">
        <v>2812</v>
      </c>
      <c r="G1523" s="102" t="n">
        <v>3737</v>
      </c>
      <c r="H1523" s="103" t="s">
        <v>48</v>
      </c>
      <c r="I1523" s="103">
        <f>IFERROR(VLOOKUP(A1523,#REF!,15,0),0)+IFERROR(VLOOKUP(A1523,#REF!,25,0),0)+IFERROR(VLOOKUP(A1523,#REF!,10,0),0)+IFERROR(VLOOKUP(A1523,#REF!,14,0),0)+IFERROR(VLOOKUP(A1523,#REF!,11,0),0)+IFERROR(VLOOKUP(A1523,#REF!,10,0),0)+IFERROR(VLOOKUP(A1523,#REF!,10,0),0)+IFERROR(VLOOKUP(A1523,#REF!,9,0),0)+IFERROR(VLOOKUP(A1523,#REF!,9,0),0)+IFERROR(VLOOKUP(A1523,#REF!,9,0),0)+IFERROR(VLOOKUP(A1523,#REF!,9,0),0)</f>
        <v>0</v>
      </c>
      <c r="J1523" s="104">
        <f>IFERROR(VLOOKUP(A1523,#REF!,16,0),0)+IFERROR(VLOOKUP(A1523,#REF!,26,0),0)+IFERROR(VLOOKUP(A1523,#REF!,11,0),0)+IFERROR(VLOOKUP(A1523,#REF!,23,0),0)+IFERROR(VLOOKUP(A1523,#REF!,11,0),0)+IFERROR(VLOOKUP(A1523,#REF!,11,0),0)+IFERROR(VLOOKUP(A1523,#REF!,11,0),0)</f>
        <v>0</v>
      </c>
      <c r="K1523" s="96" t="str">
        <f>"07.02.24"</f>
        <v>07.02.24</v>
      </c>
    </row>
    <row r="1524" spans="1:11" ht="11.25" customHeight="1" outlineLevel="1">
      <c r="A1524" s="89" t="n">
        <v>8141260</v>
      </c>
      <c r="B1524" s="114" t="s">
        <v>1201</v>
      </c>
      <c r="C1524" s="89" t="s">
        <v>2513</v>
      </c>
      <c r="D1524" s="89" t="s">
        <v>15</v>
      </c>
      <c r="E1524" s="89"/>
      <c r="F1524" s="102" t="n">
        <v>2781</v>
      </c>
      <c r="G1524" s="102" t="n">
        <v>3695</v>
      </c>
      <c r="H1524" s="103" t="s">
        <v>48</v>
      </c>
      <c r="I1524" s="103">
        <f>IFERROR(VLOOKUP(A1524,#REF!,15,0),0)+IFERROR(VLOOKUP(A1524,#REF!,25,0),0)+IFERROR(VLOOKUP(A1524,#REF!,10,0),0)+IFERROR(VLOOKUP(A1524,#REF!,14,0),0)+IFERROR(VLOOKUP(A1524,#REF!,11,0),0)+IFERROR(VLOOKUP(A1524,#REF!,10,0),0)+IFERROR(VLOOKUP(A1524,#REF!,10,0),0)+IFERROR(VLOOKUP(A1524,#REF!,9,0),0)+IFERROR(VLOOKUP(A1524,#REF!,9,0),0)+IFERROR(VLOOKUP(A1524,#REF!,9,0),0)+IFERROR(VLOOKUP(A1524,#REF!,9,0),0)</f>
        <v>0</v>
      </c>
      <c r="J1524" s="104">
        <f>IFERROR(VLOOKUP(A1524,#REF!,16,0),0)+IFERROR(VLOOKUP(A1524,#REF!,26,0),0)+IFERROR(VLOOKUP(A1524,#REF!,11,0),0)+IFERROR(VLOOKUP(A1524,#REF!,23,0),0)+IFERROR(VLOOKUP(A1524,#REF!,11,0),0)+IFERROR(VLOOKUP(A1524,#REF!,11,0),0)+IFERROR(VLOOKUP(A1524,#REF!,11,0),0)</f>
        <v>0</v>
      </c>
      <c r="K1524" s="96" t="str">
        <f>"07.02.24"</f>
        <v>07.02.24</v>
      </c>
    </row>
    <row r="1525" spans="1:11" ht="11.25" customHeight="1" outlineLevel="1">
      <c r="A1525" s="89" t="n">
        <v>8141260</v>
      </c>
      <c r="B1525" s="114" t="s">
        <v>1201</v>
      </c>
      <c r="C1525" s="89" t="s">
        <v>2513</v>
      </c>
      <c r="D1525" s="89" t="s">
        <v>15</v>
      </c>
      <c r="E1525" s="89"/>
      <c r="F1525" s="102" t="n">
        <v>2781</v>
      </c>
      <c r="G1525" s="102" t="n">
        <v>3695</v>
      </c>
      <c r="H1525" s="103" t="s">
        <v>48</v>
      </c>
      <c r="I1525" s="103">
        <f>IFERROR(VLOOKUP(A1525,#REF!,15,0),0)+IFERROR(VLOOKUP(A1525,#REF!,25,0),0)+IFERROR(VLOOKUP(A1525,#REF!,10,0),0)+IFERROR(VLOOKUP(A1525,#REF!,14,0),0)+IFERROR(VLOOKUP(A1525,#REF!,11,0),0)+IFERROR(VLOOKUP(A1525,#REF!,10,0),0)+IFERROR(VLOOKUP(A1525,#REF!,10,0),0)+IFERROR(VLOOKUP(A1525,#REF!,9,0),0)+IFERROR(VLOOKUP(A1525,#REF!,9,0),0)+IFERROR(VLOOKUP(A1525,#REF!,9,0),0)+IFERROR(VLOOKUP(A1525,#REF!,9,0),0)</f>
        <v>0</v>
      </c>
      <c r="J1525" s="104">
        <f>IFERROR(VLOOKUP(A1525,#REF!,16,0),0)+IFERROR(VLOOKUP(A1525,#REF!,26,0),0)+IFERROR(VLOOKUP(A1525,#REF!,11,0),0)+IFERROR(VLOOKUP(A1525,#REF!,23,0),0)+IFERROR(VLOOKUP(A1525,#REF!,11,0),0)+IFERROR(VLOOKUP(A1525,#REF!,11,0),0)+IFERROR(VLOOKUP(A1525,#REF!,11,0),0)</f>
        <v>0</v>
      </c>
      <c r="K1525" s="96" t="str">
        <f>"07.02.24"</f>
        <v>07.02.24</v>
      </c>
    </row>
    <row r="1526" spans="1:11" ht="11.25" customHeight="1" outlineLevel="1">
      <c r="A1526" s="89" t="n">
        <v>8141280</v>
      </c>
      <c r="B1526" s="114" t="s">
        <v>1201</v>
      </c>
      <c r="C1526" s="89" t="s">
        <v>2514</v>
      </c>
      <c r="D1526" s="89" t="s">
        <v>15</v>
      </c>
      <c r="E1526" s="89"/>
      <c r="F1526" s="102" t="n">
        <v>1522</v>
      </c>
      <c r="G1526" s="102" t="n">
        <v>2024</v>
      </c>
      <c r="H1526" s="103" t="s">
        <v>48</v>
      </c>
      <c r="I1526" s="103">
        <f>IFERROR(VLOOKUP(A1526,#REF!,15,0),0)+IFERROR(VLOOKUP(A1526,#REF!,25,0),0)+IFERROR(VLOOKUP(A1526,#REF!,10,0),0)+IFERROR(VLOOKUP(A1526,#REF!,14,0),0)+IFERROR(VLOOKUP(A1526,#REF!,11,0),0)+IFERROR(VLOOKUP(A1526,#REF!,10,0),0)+IFERROR(VLOOKUP(A1526,#REF!,10,0),0)+IFERROR(VLOOKUP(A1526,#REF!,9,0),0)+IFERROR(VLOOKUP(A1526,#REF!,9,0),0)+IFERROR(VLOOKUP(A1526,#REF!,9,0),0)+IFERROR(VLOOKUP(A1526,#REF!,9,0),0)</f>
        <v>0</v>
      </c>
      <c r="J1526" s="104">
        <f>IFERROR(VLOOKUP(A1526,#REF!,16,0),0)+IFERROR(VLOOKUP(A1526,#REF!,26,0),0)+IFERROR(VLOOKUP(A1526,#REF!,11,0),0)+IFERROR(VLOOKUP(A1526,#REF!,23,0),0)+IFERROR(VLOOKUP(A1526,#REF!,11,0),0)+IFERROR(VLOOKUP(A1526,#REF!,11,0),0)+IFERROR(VLOOKUP(A1526,#REF!,11,0),0)</f>
        <v>0</v>
      </c>
      <c r="K1526" s="96" t="str">
        <f>"07.02.24"</f>
        <v>07.02.24</v>
      </c>
    </row>
    <row r="1527" spans="1:11" ht="11.25" customHeight="1" outlineLevel="1">
      <c r="A1527" s="89" t="n">
        <v>8141290</v>
      </c>
      <c r="B1527" s="114" t="s">
        <v>1201</v>
      </c>
      <c r="C1527" s="89" t="s">
        <v>2515</v>
      </c>
      <c r="D1527" s="89" t="s">
        <v>15</v>
      </c>
      <c r="E1527" s="89"/>
      <c r="F1527" s="102" t="n">
        <v>2160</v>
      </c>
      <c r="G1527" s="102" t="n">
        <v>2872</v>
      </c>
      <c r="H1527" s="103" t="s">
        <v>48</v>
      </c>
      <c r="I1527" s="103">
        <f>IFERROR(VLOOKUP(A1527,#REF!,15,0),0)+IFERROR(VLOOKUP(A1527,#REF!,25,0),0)+IFERROR(VLOOKUP(A1527,#REF!,10,0),0)+IFERROR(VLOOKUP(A1527,#REF!,14,0),0)+IFERROR(VLOOKUP(A1527,#REF!,11,0),0)+IFERROR(VLOOKUP(A1527,#REF!,10,0),0)+IFERROR(VLOOKUP(A1527,#REF!,10,0),0)+IFERROR(VLOOKUP(A1527,#REF!,9,0),0)+IFERROR(VLOOKUP(A1527,#REF!,9,0),0)+IFERROR(VLOOKUP(A1527,#REF!,9,0),0)+IFERROR(VLOOKUP(A1527,#REF!,9,0),0)</f>
        <v>0</v>
      </c>
      <c r="J1527" s="104">
        <f>IFERROR(VLOOKUP(A1527,#REF!,16,0),0)+IFERROR(VLOOKUP(A1527,#REF!,26,0),0)+IFERROR(VLOOKUP(A1527,#REF!,11,0),0)+IFERROR(VLOOKUP(A1527,#REF!,23,0),0)+IFERROR(VLOOKUP(A1527,#REF!,11,0),0)+IFERROR(VLOOKUP(A1527,#REF!,11,0),0)+IFERROR(VLOOKUP(A1527,#REF!,11,0),0)</f>
        <v>0</v>
      </c>
      <c r="K1527" s="96" t="str">
        <f>"07.02.24"</f>
        <v>07.02.24</v>
      </c>
    </row>
    <row r="1528" spans="1:11" ht="11.25" customHeight="1" outlineLevel="1">
      <c r="A1528" s="89" t="n">
        <v>8141300</v>
      </c>
      <c r="B1528" s="114" t="s">
        <v>1201</v>
      </c>
      <c r="C1528" s="89" t="s">
        <v>2516</v>
      </c>
      <c r="D1528" s="89" t="s">
        <v>15</v>
      </c>
      <c r="E1528" s="89"/>
      <c r="F1528" s="102" t="n">
        <v>4231</v>
      </c>
      <c r="G1528" s="102" t="n">
        <v>5622</v>
      </c>
      <c r="H1528" s="103" t="s">
        <v>48</v>
      </c>
      <c r="I1528" s="103">
        <f>IFERROR(VLOOKUP(A1528,#REF!,15,0),0)+IFERROR(VLOOKUP(A1528,#REF!,25,0),0)+IFERROR(VLOOKUP(A1528,#REF!,10,0),0)+IFERROR(VLOOKUP(A1528,#REF!,14,0),0)+IFERROR(VLOOKUP(A1528,#REF!,11,0),0)+IFERROR(VLOOKUP(A1528,#REF!,10,0),0)+IFERROR(VLOOKUP(A1528,#REF!,10,0),0)+IFERROR(VLOOKUP(A1528,#REF!,9,0),0)+IFERROR(VLOOKUP(A1528,#REF!,9,0),0)+IFERROR(VLOOKUP(A1528,#REF!,9,0),0)+IFERROR(VLOOKUP(A1528,#REF!,9,0),0)</f>
        <v>0</v>
      </c>
      <c r="J1528" s="104">
        <f>IFERROR(VLOOKUP(A1528,#REF!,16,0),0)+IFERROR(VLOOKUP(A1528,#REF!,26,0),0)+IFERROR(VLOOKUP(A1528,#REF!,11,0),0)+IFERROR(VLOOKUP(A1528,#REF!,23,0),0)+IFERROR(VLOOKUP(A1528,#REF!,11,0),0)+IFERROR(VLOOKUP(A1528,#REF!,11,0),0)+IFERROR(VLOOKUP(A1528,#REF!,11,0),0)</f>
        <v>0</v>
      </c>
      <c r="K1528" s="96" t="str">
        <f>"07.02.24"</f>
        <v>07.02.24</v>
      </c>
    </row>
    <row r="1529" spans="1:11" ht="11.25" customHeight="1" outlineLevel="1">
      <c r="A1529" s="89" t="n">
        <v>8141310</v>
      </c>
      <c r="B1529" s="114" t="s">
        <v>1201</v>
      </c>
      <c r="C1529" s="89" t="s">
        <v>2517</v>
      </c>
      <c r="D1529" s="89" t="s">
        <v>15</v>
      </c>
      <c r="E1529" s="89"/>
      <c r="F1529" s="102" t="n">
        <v>4030</v>
      </c>
      <c r="G1529" s="102" t="n">
        <v>5362</v>
      </c>
      <c r="H1529" s="103" t="s">
        <v>48</v>
      </c>
      <c r="I1529" s="103">
        <f>IFERROR(VLOOKUP(A1529,#REF!,15,0),0)+IFERROR(VLOOKUP(A1529,#REF!,25,0),0)+IFERROR(VLOOKUP(A1529,#REF!,10,0),0)+IFERROR(VLOOKUP(A1529,#REF!,14,0),0)+IFERROR(VLOOKUP(A1529,#REF!,11,0),0)+IFERROR(VLOOKUP(A1529,#REF!,10,0),0)+IFERROR(VLOOKUP(A1529,#REF!,10,0),0)+IFERROR(VLOOKUP(A1529,#REF!,9,0),0)+IFERROR(VLOOKUP(A1529,#REF!,9,0),0)+IFERROR(VLOOKUP(A1529,#REF!,9,0),0)+IFERROR(VLOOKUP(A1529,#REF!,9,0),0)</f>
        <v>0</v>
      </c>
      <c r="J1529" s="104">
        <f>IFERROR(VLOOKUP(A1529,#REF!,16,0),0)+IFERROR(VLOOKUP(A1529,#REF!,26,0),0)+IFERROR(VLOOKUP(A1529,#REF!,11,0),0)+IFERROR(VLOOKUP(A1529,#REF!,23,0),0)+IFERROR(VLOOKUP(A1529,#REF!,11,0),0)+IFERROR(VLOOKUP(A1529,#REF!,11,0),0)+IFERROR(VLOOKUP(A1529,#REF!,11,0),0)</f>
        <v>0</v>
      </c>
      <c r="K1529" s="96" t="str">
        <f>"07.02.24"</f>
        <v>07.02.24</v>
      </c>
    </row>
    <row r="1530" spans="1:11" ht="11.25" customHeight="1" outlineLevel="1">
      <c r="A1530" s="89" t="n">
        <v>8141320</v>
      </c>
      <c r="B1530" s="114" t="s">
        <v>1201</v>
      </c>
      <c r="C1530" s="89" t="s">
        <v>2518</v>
      </c>
      <c r="D1530" s="89" t="s">
        <v>15</v>
      </c>
      <c r="E1530" s="89"/>
      <c r="F1530" s="102" t="n">
        <v>456</v>
      </c>
      <c r="G1530" s="102" t="n">
        <v>605</v>
      </c>
      <c r="H1530" s="103" t="s">
        <v>48</v>
      </c>
      <c r="I1530" s="103">
        <f>IFERROR(VLOOKUP(A1530,#REF!,15,0),0)+IFERROR(VLOOKUP(A1530,#REF!,25,0),0)+IFERROR(VLOOKUP(A1530,#REF!,10,0),0)+IFERROR(VLOOKUP(A1530,#REF!,14,0),0)+IFERROR(VLOOKUP(A1530,#REF!,11,0),0)+IFERROR(VLOOKUP(A1530,#REF!,10,0),0)+IFERROR(VLOOKUP(A1530,#REF!,10,0),0)+IFERROR(VLOOKUP(A1530,#REF!,9,0),0)+IFERROR(VLOOKUP(A1530,#REF!,9,0),0)+IFERROR(VLOOKUP(A1530,#REF!,9,0),0)+IFERROR(VLOOKUP(A1530,#REF!,9,0),0)</f>
        <v>0</v>
      </c>
      <c r="J1530" s="104">
        <f>IFERROR(VLOOKUP(A1530,#REF!,16,0),0)+IFERROR(VLOOKUP(A1530,#REF!,26,0),0)+IFERROR(VLOOKUP(A1530,#REF!,11,0),0)+IFERROR(VLOOKUP(A1530,#REF!,23,0),0)+IFERROR(VLOOKUP(A1530,#REF!,11,0),0)+IFERROR(VLOOKUP(A1530,#REF!,11,0),0)+IFERROR(VLOOKUP(A1530,#REF!,11,0),0)</f>
        <v>0</v>
      </c>
      <c r="K1530" s="96" t="str">
        <f>"07.02.24"</f>
        <v>07.02.24</v>
      </c>
    </row>
    <row r="1531" spans="1:11" ht="11.25" customHeight="1" outlineLevel="1">
      <c r="A1531" s="89" t="n">
        <v>8141330</v>
      </c>
      <c r="B1531" s="114" t="s">
        <v>1201</v>
      </c>
      <c r="C1531" s="89" t="s">
        <v>2519</v>
      </c>
      <c r="D1531" s="89" t="s">
        <v>15</v>
      </c>
      <c r="E1531" s="89"/>
      <c r="F1531" s="102" t="n">
        <v>849</v>
      </c>
      <c r="G1531" s="102" t="n">
        <v>1126</v>
      </c>
      <c r="H1531" s="103" t="s">
        <v>48</v>
      </c>
      <c r="I1531" s="103">
        <f>IFERROR(VLOOKUP(A1531,#REF!,15,0),0)+IFERROR(VLOOKUP(A1531,#REF!,25,0),0)+IFERROR(VLOOKUP(A1531,#REF!,10,0),0)+IFERROR(VLOOKUP(A1531,#REF!,14,0),0)+IFERROR(VLOOKUP(A1531,#REF!,11,0),0)+IFERROR(VLOOKUP(A1531,#REF!,10,0),0)+IFERROR(VLOOKUP(A1531,#REF!,10,0),0)+IFERROR(VLOOKUP(A1531,#REF!,9,0),0)+IFERROR(VLOOKUP(A1531,#REF!,9,0),0)+IFERROR(VLOOKUP(A1531,#REF!,9,0),0)+IFERROR(VLOOKUP(A1531,#REF!,9,0),0)</f>
        <v>0</v>
      </c>
      <c r="J1531" s="104">
        <f>IFERROR(VLOOKUP(A1531,#REF!,16,0),0)+IFERROR(VLOOKUP(A1531,#REF!,26,0),0)+IFERROR(VLOOKUP(A1531,#REF!,11,0),0)+IFERROR(VLOOKUP(A1531,#REF!,23,0),0)+IFERROR(VLOOKUP(A1531,#REF!,11,0),0)+IFERROR(VLOOKUP(A1531,#REF!,11,0),0)+IFERROR(VLOOKUP(A1531,#REF!,11,0),0)</f>
        <v>0</v>
      </c>
      <c r="K1531" s="96" t="str">
        <f>"07.02.24"</f>
        <v>07.02.24</v>
      </c>
    </row>
    <row r="1532" spans="1:11" ht="11.25" customHeight="1" outlineLevel="1">
      <c r="A1532" s="89" t="n">
        <v>8141340</v>
      </c>
      <c r="B1532" s="114" t="s">
        <v>1201</v>
      </c>
      <c r="C1532" s="89" t="s">
        <v>2520</v>
      </c>
      <c r="D1532" s="89" t="s">
        <v>15</v>
      </c>
      <c r="E1532" s="89"/>
      <c r="F1532" s="102" t="n">
        <v>1165</v>
      </c>
      <c r="G1532" s="102" t="n">
        <v>1547</v>
      </c>
      <c r="H1532" s="103" t="s">
        <v>48</v>
      </c>
      <c r="I1532" s="103">
        <f>IFERROR(VLOOKUP(A1532,#REF!,15,0),0)+IFERROR(VLOOKUP(A1532,#REF!,25,0),0)+IFERROR(VLOOKUP(A1532,#REF!,10,0),0)+IFERROR(VLOOKUP(A1532,#REF!,14,0),0)+IFERROR(VLOOKUP(A1532,#REF!,11,0),0)+IFERROR(VLOOKUP(A1532,#REF!,10,0),0)+IFERROR(VLOOKUP(A1532,#REF!,10,0),0)+IFERROR(VLOOKUP(A1532,#REF!,9,0),0)+IFERROR(VLOOKUP(A1532,#REF!,9,0),0)+IFERROR(VLOOKUP(A1532,#REF!,9,0),0)+IFERROR(VLOOKUP(A1532,#REF!,9,0),0)</f>
        <v>0</v>
      </c>
      <c r="J1532" s="104">
        <f>IFERROR(VLOOKUP(A1532,#REF!,16,0),0)+IFERROR(VLOOKUP(A1532,#REF!,26,0),0)+IFERROR(VLOOKUP(A1532,#REF!,11,0),0)+IFERROR(VLOOKUP(A1532,#REF!,23,0),0)+IFERROR(VLOOKUP(A1532,#REF!,11,0),0)+IFERROR(VLOOKUP(A1532,#REF!,11,0),0)+IFERROR(VLOOKUP(A1532,#REF!,11,0),0)</f>
        <v>0</v>
      </c>
      <c r="K1532" s="96" t="str">
        <f>"07.02.24"</f>
        <v>07.02.24</v>
      </c>
    </row>
    <row r="1533" spans="1:11" ht="11.25" customHeight="1" outlineLevel="1">
      <c r="A1533" s="89" t="n">
        <v>8141350</v>
      </c>
      <c r="B1533" s="114" t="s">
        <v>1201</v>
      </c>
      <c r="C1533" s="89" t="s">
        <v>2521</v>
      </c>
      <c r="D1533" s="89" t="s">
        <v>15</v>
      </c>
      <c r="E1533" s="89"/>
      <c r="F1533" s="102" t="n">
        <v>830</v>
      </c>
      <c r="G1533" s="102" t="n">
        <v>1103</v>
      </c>
      <c r="H1533" s="103" t="s">
        <v>48</v>
      </c>
      <c r="I1533" s="103">
        <f>IFERROR(VLOOKUP(A1533,#REF!,15,0),0)+IFERROR(VLOOKUP(A1533,#REF!,25,0),0)+IFERROR(VLOOKUP(A1533,#REF!,10,0),0)+IFERROR(VLOOKUP(A1533,#REF!,14,0),0)+IFERROR(VLOOKUP(A1533,#REF!,11,0),0)+IFERROR(VLOOKUP(A1533,#REF!,10,0),0)+IFERROR(VLOOKUP(A1533,#REF!,10,0),0)+IFERROR(VLOOKUP(A1533,#REF!,9,0),0)+IFERROR(VLOOKUP(A1533,#REF!,9,0),0)+IFERROR(VLOOKUP(A1533,#REF!,9,0),0)+IFERROR(VLOOKUP(A1533,#REF!,9,0),0)</f>
        <v>0</v>
      </c>
      <c r="J1533" s="104">
        <f>IFERROR(VLOOKUP(A1533,#REF!,16,0),0)+IFERROR(VLOOKUP(A1533,#REF!,26,0),0)+IFERROR(VLOOKUP(A1533,#REF!,11,0),0)+IFERROR(VLOOKUP(A1533,#REF!,23,0),0)+IFERROR(VLOOKUP(A1533,#REF!,11,0),0)+IFERROR(VLOOKUP(A1533,#REF!,11,0),0)+IFERROR(VLOOKUP(A1533,#REF!,11,0),0)</f>
        <v>0</v>
      </c>
      <c r="K1533" s="96" t="str">
        <f>"07.02.24"</f>
        <v>07.02.24</v>
      </c>
    </row>
    <row r="1534" spans="1:11" ht="11.25" customHeight="1" outlineLevel="1">
      <c r="A1534" s="89" t="n">
        <v>8141360</v>
      </c>
      <c r="B1534" s="114" t="s">
        <v>1201</v>
      </c>
      <c r="C1534" s="89" t="s">
        <v>2522</v>
      </c>
      <c r="D1534" s="89" t="s">
        <v>15</v>
      </c>
      <c r="E1534" s="89"/>
      <c r="F1534" s="102" t="n">
        <v>1172</v>
      </c>
      <c r="G1534" s="102" t="n">
        <v>1558</v>
      </c>
      <c r="H1534" s="103" t="s">
        <v>48</v>
      </c>
      <c r="I1534" s="103">
        <f>IFERROR(VLOOKUP(A1534,#REF!,15,0),0)+IFERROR(VLOOKUP(A1534,#REF!,25,0),0)+IFERROR(VLOOKUP(A1534,#REF!,10,0),0)+IFERROR(VLOOKUP(A1534,#REF!,14,0),0)+IFERROR(VLOOKUP(A1534,#REF!,11,0),0)+IFERROR(VLOOKUP(A1534,#REF!,10,0),0)+IFERROR(VLOOKUP(A1534,#REF!,10,0),0)+IFERROR(VLOOKUP(A1534,#REF!,9,0),0)+IFERROR(VLOOKUP(A1534,#REF!,9,0),0)+IFERROR(VLOOKUP(A1534,#REF!,9,0),0)+IFERROR(VLOOKUP(A1534,#REF!,9,0),0)</f>
        <v>0</v>
      </c>
      <c r="J1534" s="104">
        <f>IFERROR(VLOOKUP(A1534,#REF!,16,0),0)+IFERROR(VLOOKUP(A1534,#REF!,26,0),0)+IFERROR(VLOOKUP(A1534,#REF!,11,0),0)+IFERROR(VLOOKUP(A1534,#REF!,23,0),0)+IFERROR(VLOOKUP(A1534,#REF!,11,0),0)+IFERROR(VLOOKUP(A1534,#REF!,11,0),0)+IFERROR(VLOOKUP(A1534,#REF!,11,0),0)</f>
        <v>0</v>
      </c>
      <c r="K1534" s="96" t="str">
        <f>"07.02.24"</f>
        <v>07.02.24</v>
      </c>
    </row>
    <row r="1535" spans="1:11" ht="11.25" customHeight="1" outlineLevel="1">
      <c r="A1535" s="89" t="n">
        <v>8141380</v>
      </c>
      <c r="B1535" s="114" t="s">
        <v>1201</v>
      </c>
      <c r="C1535" s="89" t="s">
        <v>2523</v>
      </c>
      <c r="D1535" s="89" t="s">
        <v>15</v>
      </c>
      <c r="E1535" s="89"/>
      <c r="F1535" s="102" t="n">
        <v>746</v>
      </c>
      <c r="G1535" s="102" t="n">
        <v>992</v>
      </c>
      <c r="H1535" s="103" t="s">
        <v>17</v>
      </c>
      <c r="I1535" s="103">
        <f>IFERROR(VLOOKUP(A1535,#REF!,15,0),0)+IFERROR(VLOOKUP(A1535,#REF!,25,0),0)+IFERROR(VLOOKUP(A1535,#REF!,10,0),0)+IFERROR(VLOOKUP(A1535,#REF!,14,0),0)+IFERROR(VLOOKUP(A1535,#REF!,11,0),0)+IFERROR(VLOOKUP(A1535,#REF!,10,0),0)+IFERROR(VLOOKUP(A1535,#REF!,10,0),0)+IFERROR(VLOOKUP(A1535,#REF!,9,0),0)+IFERROR(VLOOKUP(A1535,#REF!,9,0),0)+IFERROR(VLOOKUP(A1535,#REF!,9,0),0)+IFERROR(VLOOKUP(A1535,#REF!,9,0),0)</f>
        <v>0</v>
      </c>
      <c r="J1535" s="104">
        <f>IFERROR(VLOOKUP(A1535,#REF!,16,0),0)+IFERROR(VLOOKUP(A1535,#REF!,26,0),0)+IFERROR(VLOOKUP(A1535,#REF!,11,0),0)+IFERROR(VLOOKUP(A1535,#REF!,23,0),0)+IFERROR(VLOOKUP(A1535,#REF!,11,0),0)+IFERROR(VLOOKUP(A1535,#REF!,11,0),0)+IFERROR(VLOOKUP(A1535,#REF!,11,0),0)</f>
        <v>0</v>
      </c>
      <c r="K1535" s="96" t="str">
        <f>"07.02.24"</f>
        <v>07.02.24</v>
      </c>
    </row>
    <row r="1536" spans="1:11" ht="11.25" customHeight="1" outlineLevel="1">
      <c r="A1536" s="89" t="n">
        <v>8141390</v>
      </c>
      <c r="B1536" s="114" t="s">
        <v>1201</v>
      </c>
      <c r="C1536" s="89" t="s">
        <v>2524</v>
      </c>
      <c r="D1536" s="89" t="s">
        <v>15</v>
      </c>
      <c r="E1536" s="89"/>
      <c r="F1536" s="102" t="n">
        <v>999</v>
      </c>
      <c r="G1536" s="102" t="n">
        <v>1326</v>
      </c>
      <c r="H1536" s="103" t="s">
        <v>48</v>
      </c>
      <c r="I1536" s="103">
        <f>IFERROR(VLOOKUP(A1536,#REF!,15,0),0)+IFERROR(VLOOKUP(A1536,#REF!,25,0),0)+IFERROR(VLOOKUP(A1536,#REF!,10,0),0)+IFERROR(VLOOKUP(A1536,#REF!,14,0),0)+IFERROR(VLOOKUP(A1536,#REF!,11,0),0)+IFERROR(VLOOKUP(A1536,#REF!,10,0),0)+IFERROR(VLOOKUP(A1536,#REF!,10,0),0)+IFERROR(VLOOKUP(A1536,#REF!,9,0),0)+IFERROR(VLOOKUP(A1536,#REF!,9,0),0)+IFERROR(VLOOKUP(A1536,#REF!,9,0),0)+IFERROR(VLOOKUP(A1536,#REF!,9,0),0)</f>
        <v>0</v>
      </c>
      <c r="J1536" s="104">
        <f>IFERROR(VLOOKUP(A1536,#REF!,16,0),0)+IFERROR(VLOOKUP(A1536,#REF!,26,0),0)+IFERROR(VLOOKUP(A1536,#REF!,11,0),0)+IFERROR(VLOOKUP(A1536,#REF!,23,0),0)+IFERROR(VLOOKUP(A1536,#REF!,11,0),0)+IFERROR(VLOOKUP(A1536,#REF!,11,0),0)+IFERROR(VLOOKUP(A1536,#REF!,11,0),0)</f>
        <v>0</v>
      </c>
      <c r="K1536" s="96" t="str">
        <f>"07.02.24"</f>
        <v>07.02.24</v>
      </c>
    </row>
    <row r="1537" spans="1:11" ht="11.25" customHeight="1" outlineLevel="1">
      <c r="A1537" s="89" t="n">
        <v>8141400</v>
      </c>
      <c r="B1537" s="114" t="s">
        <v>1201</v>
      </c>
      <c r="C1537" s="89" t="s">
        <v>2525</v>
      </c>
      <c r="D1537" s="89" t="s">
        <v>15</v>
      </c>
      <c r="E1537" s="89"/>
      <c r="F1537" s="102" t="n">
        <v>1129</v>
      </c>
      <c r="G1537" s="102" t="n">
        <v>1495</v>
      </c>
      <c r="H1537" s="103" t="s">
        <v>17</v>
      </c>
      <c r="I1537" s="103">
        <f>IFERROR(VLOOKUP(A1537,#REF!,15,0),0)+IFERROR(VLOOKUP(A1537,#REF!,25,0),0)+IFERROR(VLOOKUP(A1537,#REF!,10,0),0)+IFERROR(VLOOKUP(A1537,#REF!,14,0),0)+IFERROR(VLOOKUP(A1537,#REF!,11,0),0)+IFERROR(VLOOKUP(A1537,#REF!,10,0),0)+IFERROR(VLOOKUP(A1537,#REF!,10,0),0)+IFERROR(VLOOKUP(A1537,#REF!,9,0),0)+IFERROR(VLOOKUP(A1537,#REF!,9,0),0)+IFERROR(VLOOKUP(A1537,#REF!,9,0),0)+IFERROR(VLOOKUP(A1537,#REF!,9,0),0)</f>
        <v>0</v>
      </c>
      <c r="J1537" s="104">
        <f>IFERROR(VLOOKUP(A1537,#REF!,16,0),0)+IFERROR(VLOOKUP(A1537,#REF!,26,0),0)+IFERROR(VLOOKUP(A1537,#REF!,11,0),0)+IFERROR(VLOOKUP(A1537,#REF!,23,0),0)+IFERROR(VLOOKUP(A1537,#REF!,11,0),0)+IFERROR(VLOOKUP(A1537,#REF!,11,0),0)+IFERROR(VLOOKUP(A1537,#REF!,11,0),0)</f>
        <v>0</v>
      </c>
      <c r="K1537" s="96" t="str">
        <f>"07.02.24"</f>
        <v>07.02.24</v>
      </c>
    </row>
    <row r="1538" spans="1:11" ht="11.25" customHeight="1" outlineLevel="1">
      <c r="A1538" s="89" t="n">
        <v>8141410</v>
      </c>
      <c r="B1538" s="114" t="s">
        <v>1201</v>
      </c>
      <c r="C1538" s="89" t="s">
        <v>2526</v>
      </c>
      <c r="D1538" s="89" t="s">
        <v>15</v>
      </c>
      <c r="E1538" s="89"/>
      <c r="F1538" s="102" t="n">
        <v>1323</v>
      </c>
      <c r="G1538" s="102" t="n">
        <v>1761</v>
      </c>
      <c r="H1538" s="103" t="s">
        <v>48</v>
      </c>
      <c r="I1538" s="103">
        <f>IFERROR(VLOOKUP(A1538,#REF!,15,0),0)+IFERROR(VLOOKUP(A1538,#REF!,25,0),0)+IFERROR(VLOOKUP(A1538,#REF!,10,0),0)+IFERROR(VLOOKUP(A1538,#REF!,14,0),0)+IFERROR(VLOOKUP(A1538,#REF!,11,0),0)+IFERROR(VLOOKUP(A1538,#REF!,10,0),0)+IFERROR(VLOOKUP(A1538,#REF!,10,0),0)+IFERROR(VLOOKUP(A1538,#REF!,9,0),0)+IFERROR(VLOOKUP(A1538,#REF!,9,0),0)+IFERROR(VLOOKUP(A1538,#REF!,9,0),0)+IFERROR(VLOOKUP(A1538,#REF!,9,0),0)</f>
        <v>0</v>
      </c>
      <c r="J1538" s="104">
        <f>IFERROR(VLOOKUP(A1538,#REF!,16,0),0)+IFERROR(VLOOKUP(A1538,#REF!,26,0),0)+IFERROR(VLOOKUP(A1538,#REF!,11,0),0)+IFERROR(VLOOKUP(A1538,#REF!,23,0),0)+IFERROR(VLOOKUP(A1538,#REF!,11,0),0)+IFERROR(VLOOKUP(A1538,#REF!,11,0),0)+IFERROR(VLOOKUP(A1538,#REF!,11,0),0)</f>
        <v>0</v>
      </c>
      <c r="K1538" s="96" t="str">
        <f>"07.02.24"</f>
        <v>07.02.24</v>
      </c>
    </row>
    <row r="1539" spans="1:11" ht="11.25" customHeight="1" outlineLevel="1">
      <c r="A1539" s="89" t="n">
        <v>8141420</v>
      </c>
      <c r="B1539" s="114" t="s">
        <v>1201</v>
      </c>
      <c r="C1539" s="89" t="s">
        <v>2527</v>
      </c>
      <c r="D1539" s="89" t="s">
        <v>15</v>
      </c>
      <c r="E1539" s="89"/>
      <c r="F1539" s="102" t="n">
        <v>564</v>
      </c>
      <c r="G1539" s="102" t="n">
        <v>751</v>
      </c>
      <c r="H1539" s="103" t="s">
        <v>48</v>
      </c>
      <c r="I1539" s="103">
        <f>IFERROR(VLOOKUP(A1539,#REF!,15,0),0)+IFERROR(VLOOKUP(A1539,#REF!,25,0),0)+IFERROR(VLOOKUP(A1539,#REF!,10,0),0)+IFERROR(VLOOKUP(A1539,#REF!,14,0),0)+IFERROR(VLOOKUP(A1539,#REF!,11,0),0)+IFERROR(VLOOKUP(A1539,#REF!,10,0),0)+IFERROR(VLOOKUP(A1539,#REF!,10,0),0)+IFERROR(VLOOKUP(A1539,#REF!,9,0),0)+IFERROR(VLOOKUP(A1539,#REF!,9,0),0)+IFERROR(VLOOKUP(A1539,#REF!,9,0),0)+IFERROR(VLOOKUP(A1539,#REF!,9,0),0)</f>
        <v>0</v>
      </c>
      <c r="J1539" s="104">
        <f>IFERROR(VLOOKUP(A1539,#REF!,16,0),0)+IFERROR(VLOOKUP(A1539,#REF!,26,0),0)+IFERROR(VLOOKUP(A1539,#REF!,11,0),0)+IFERROR(VLOOKUP(A1539,#REF!,23,0),0)+IFERROR(VLOOKUP(A1539,#REF!,11,0),0)+IFERROR(VLOOKUP(A1539,#REF!,11,0),0)+IFERROR(VLOOKUP(A1539,#REF!,11,0),0)</f>
        <v>0</v>
      </c>
      <c r="K1539" s="96" t="str">
        <f>"07.02.24"</f>
        <v>07.02.24</v>
      </c>
    </row>
    <row r="1540" spans="1:11" ht="11.25" customHeight="1" outlineLevel="1">
      <c r="A1540" s="89" t="n">
        <v>8141430</v>
      </c>
      <c r="B1540" s="114" t="s">
        <v>1201</v>
      </c>
      <c r="C1540" s="89" t="s">
        <v>2528</v>
      </c>
      <c r="D1540" s="89" t="s">
        <v>15</v>
      </c>
      <c r="E1540" s="89"/>
      <c r="F1540" s="102" t="n">
        <v>642</v>
      </c>
      <c r="G1540" s="102" t="n">
        <v>850</v>
      </c>
      <c r="H1540" s="103" t="s">
        <v>48</v>
      </c>
      <c r="I1540" s="103">
        <f>IFERROR(VLOOKUP(A1540,#REF!,15,0),0)+IFERROR(VLOOKUP(A1540,#REF!,25,0),0)+IFERROR(VLOOKUP(A1540,#REF!,10,0),0)+IFERROR(VLOOKUP(A1540,#REF!,14,0),0)+IFERROR(VLOOKUP(A1540,#REF!,11,0),0)+IFERROR(VLOOKUP(A1540,#REF!,10,0),0)+IFERROR(VLOOKUP(A1540,#REF!,10,0),0)+IFERROR(VLOOKUP(A1540,#REF!,9,0),0)+IFERROR(VLOOKUP(A1540,#REF!,9,0),0)+IFERROR(VLOOKUP(A1540,#REF!,9,0),0)+IFERROR(VLOOKUP(A1540,#REF!,9,0),0)</f>
        <v>0</v>
      </c>
      <c r="J1540" s="104">
        <f>IFERROR(VLOOKUP(A1540,#REF!,16,0),0)+IFERROR(VLOOKUP(A1540,#REF!,26,0),0)+IFERROR(VLOOKUP(A1540,#REF!,11,0),0)+IFERROR(VLOOKUP(A1540,#REF!,23,0),0)+IFERROR(VLOOKUP(A1540,#REF!,11,0),0)+IFERROR(VLOOKUP(A1540,#REF!,11,0),0)+IFERROR(VLOOKUP(A1540,#REF!,11,0),0)</f>
        <v>0</v>
      </c>
      <c r="K1540" s="96" t="str">
        <f>"07.02.24"</f>
        <v>07.02.24</v>
      </c>
    </row>
    <row r="1541" spans="1:11" ht="11.25" customHeight="1" outlineLevel="1">
      <c r="A1541" s="89" t="n">
        <v>8141440</v>
      </c>
      <c r="B1541" s="114" t="s">
        <v>1201</v>
      </c>
      <c r="C1541" s="89" t="s">
        <v>2529</v>
      </c>
      <c r="D1541" s="89" t="s">
        <v>15</v>
      </c>
      <c r="E1541" s="89"/>
      <c r="F1541" s="102" t="n">
        <v>793</v>
      </c>
      <c r="G1541" s="102" t="n">
        <v>1054</v>
      </c>
      <c r="H1541" s="103" t="s">
        <v>48</v>
      </c>
      <c r="I1541" s="103">
        <f>IFERROR(VLOOKUP(A1541,#REF!,15,0),0)+IFERROR(VLOOKUP(A1541,#REF!,25,0),0)+IFERROR(VLOOKUP(A1541,#REF!,10,0),0)+IFERROR(VLOOKUP(A1541,#REF!,14,0),0)+IFERROR(VLOOKUP(A1541,#REF!,11,0),0)+IFERROR(VLOOKUP(A1541,#REF!,10,0),0)+IFERROR(VLOOKUP(A1541,#REF!,10,0),0)+IFERROR(VLOOKUP(A1541,#REF!,9,0),0)+IFERROR(VLOOKUP(A1541,#REF!,9,0),0)+IFERROR(VLOOKUP(A1541,#REF!,9,0),0)+IFERROR(VLOOKUP(A1541,#REF!,9,0),0)</f>
        <v>0</v>
      </c>
      <c r="J1541" s="104">
        <f>IFERROR(VLOOKUP(A1541,#REF!,16,0),0)+IFERROR(VLOOKUP(A1541,#REF!,26,0),0)+IFERROR(VLOOKUP(A1541,#REF!,11,0),0)+IFERROR(VLOOKUP(A1541,#REF!,23,0),0)+IFERROR(VLOOKUP(A1541,#REF!,11,0),0)+IFERROR(VLOOKUP(A1541,#REF!,11,0),0)+IFERROR(VLOOKUP(A1541,#REF!,11,0),0)</f>
        <v>0</v>
      </c>
      <c r="K1541" s="96" t="str">
        <f>"07.02.24"</f>
        <v>07.02.24</v>
      </c>
    </row>
    <row r="1542" spans="1:11" ht="11.25" customHeight="1" outlineLevel="1">
      <c r="A1542" s="89" t="n">
        <v>8141450</v>
      </c>
      <c r="B1542" s="114" t="s">
        <v>1201</v>
      </c>
      <c r="C1542" s="89" t="s">
        <v>2530</v>
      </c>
      <c r="D1542" s="89" t="s">
        <v>15</v>
      </c>
      <c r="E1542" s="89"/>
      <c r="F1542" s="102" t="n">
        <v>852</v>
      </c>
      <c r="G1542" s="102" t="n">
        <v>1129</v>
      </c>
      <c r="H1542" s="103" t="s">
        <v>48</v>
      </c>
      <c r="I1542" s="103">
        <f>IFERROR(VLOOKUP(A1542,#REF!,15,0),0)+IFERROR(VLOOKUP(A1542,#REF!,25,0),0)+IFERROR(VLOOKUP(A1542,#REF!,10,0),0)+IFERROR(VLOOKUP(A1542,#REF!,14,0),0)+IFERROR(VLOOKUP(A1542,#REF!,11,0),0)+IFERROR(VLOOKUP(A1542,#REF!,10,0),0)+IFERROR(VLOOKUP(A1542,#REF!,10,0),0)+IFERROR(VLOOKUP(A1542,#REF!,9,0),0)+IFERROR(VLOOKUP(A1542,#REF!,9,0),0)+IFERROR(VLOOKUP(A1542,#REF!,9,0),0)+IFERROR(VLOOKUP(A1542,#REF!,9,0),0)</f>
        <v>0</v>
      </c>
      <c r="J1542" s="104">
        <f>IFERROR(VLOOKUP(A1542,#REF!,16,0),0)+IFERROR(VLOOKUP(A1542,#REF!,26,0),0)+IFERROR(VLOOKUP(A1542,#REF!,11,0),0)+IFERROR(VLOOKUP(A1542,#REF!,23,0),0)+IFERROR(VLOOKUP(A1542,#REF!,11,0),0)+IFERROR(VLOOKUP(A1542,#REF!,11,0),0)+IFERROR(VLOOKUP(A1542,#REF!,11,0),0)</f>
        <v>0</v>
      </c>
      <c r="K1542" s="96" t="str">
        <f>"07.02.24"</f>
        <v>07.02.24</v>
      </c>
    </row>
    <row r="1543" spans="1:11" ht="11.25" customHeight="1" outlineLevel="1">
      <c r="A1543" s="89" t="n">
        <v>8141460</v>
      </c>
      <c r="B1543" s="114" t="s">
        <v>1201</v>
      </c>
      <c r="C1543" s="89" t="s">
        <v>2531</v>
      </c>
      <c r="D1543" s="89" t="s">
        <v>15</v>
      </c>
      <c r="E1543" s="89"/>
      <c r="F1543" s="102" t="n">
        <v>398</v>
      </c>
      <c r="G1543" s="102" t="n">
        <v>530</v>
      </c>
      <c r="H1543" s="103" t="s">
        <v>17</v>
      </c>
      <c r="I1543" s="103">
        <f>IFERROR(VLOOKUP(A1543,#REF!,15,0),0)+IFERROR(VLOOKUP(A1543,#REF!,25,0),0)+IFERROR(VLOOKUP(A1543,#REF!,10,0),0)+IFERROR(VLOOKUP(A1543,#REF!,14,0),0)+IFERROR(VLOOKUP(A1543,#REF!,11,0),0)+IFERROR(VLOOKUP(A1543,#REF!,10,0),0)+IFERROR(VLOOKUP(A1543,#REF!,10,0),0)+IFERROR(VLOOKUP(A1543,#REF!,9,0),0)+IFERROR(VLOOKUP(A1543,#REF!,9,0),0)+IFERROR(VLOOKUP(A1543,#REF!,9,0),0)+IFERROR(VLOOKUP(A1543,#REF!,9,0),0)</f>
        <v>0</v>
      </c>
      <c r="J1543" s="104">
        <f>IFERROR(VLOOKUP(A1543,#REF!,16,0),0)+IFERROR(VLOOKUP(A1543,#REF!,26,0),0)+IFERROR(VLOOKUP(A1543,#REF!,11,0),0)+IFERROR(VLOOKUP(A1543,#REF!,23,0),0)+IFERROR(VLOOKUP(A1543,#REF!,11,0),0)+IFERROR(VLOOKUP(A1543,#REF!,11,0),0)+IFERROR(VLOOKUP(A1543,#REF!,11,0),0)</f>
        <v>0</v>
      </c>
      <c r="K1543" s="96" t="str">
        <f>"07.02.24"</f>
        <v>07.02.24</v>
      </c>
    </row>
    <row r="1544" spans="1:11" ht="11.25" customHeight="1" outlineLevel="1">
      <c r="A1544" s="89" t="n">
        <v>8141470</v>
      </c>
      <c r="B1544" s="114" t="s">
        <v>1201</v>
      </c>
      <c r="C1544" s="89" t="s">
        <v>2532</v>
      </c>
      <c r="D1544" s="89" t="s">
        <v>15</v>
      </c>
      <c r="E1544" s="89"/>
      <c r="F1544" s="102" t="n">
        <v>445</v>
      </c>
      <c r="G1544" s="102" t="n">
        <v>592</v>
      </c>
      <c r="H1544" s="103" t="s">
        <v>48</v>
      </c>
      <c r="I1544" s="103">
        <f>IFERROR(VLOOKUP(A1544,#REF!,15,0),0)+IFERROR(VLOOKUP(A1544,#REF!,25,0),0)+IFERROR(VLOOKUP(A1544,#REF!,10,0),0)+IFERROR(VLOOKUP(A1544,#REF!,14,0),0)+IFERROR(VLOOKUP(A1544,#REF!,11,0),0)+IFERROR(VLOOKUP(A1544,#REF!,10,0),0)+IFERROR(VLOOKUP(A1544,#REF!,10,0),0)+IFERROR(VLOOKUP(A1544,#REF!,9,0),0)+IFERROR(VLOOKUP(A1544,#REF!,9,0),0)+IFERROR(VLOOKUP(A1544,#REF!,9,0),0)+IFERROR(VLOOKUP(A1544,#REF!,9,0),0)</f>
        <v>0</v>
      </c>
      <c r="J1544" s="104">
        <f>IFERROR(VLOOKUP(A1544,#REF!,16,0),0)+IFERROR(VLOOKUP(A1544,#REF!,26,0),0)+IFERROR(VLOOKUP(A1544,#REF!,11,0),0)+IFERROR(VLOOKUP(A1544,#REF!,23,0),0)+IFERROR(VLOOKUP(A1544,#REF!,11,0),0)+IFERROR(VLOOKUP(A1544,#REF!,11,0),0)+IFERROR(VLOOKUP(A1544,#REF!,11,0),0)</f>
        <v>0</v>
      </c>
      <c r="K1544" s="96" t="str">
        <f>"07.02.24"</f>
        <v>07.02.24</v>
      </c>
    </row>
    <row r="1545" spans="1:11" ht="11.25" customHeight="1" outlineLevel="1">
      <c r="A1545" s="89" t="n">
        <v>8141480</v>
      </c>
      <c r="B1545" s="114" t="s">
        <v>1201</v>
      </c>
      <c r="C1545" s="89" t="s">
        <v>2533</v>
      </c>
      <c r="D1545" s="89" t="s">
        <v>15</v>
      </c>
      <c r="E1545" s="89"/>
      <c r="F1545" s="102" t="n">
        <v>489</v>
      </c>
      <c r="G1545" s="102" t="n">
        <v>649</v>
      </c>
      <c r="H1545" s="103" t="s">
        <v>48</v>
      </c>
      <c r="I1545" s="103">
        <f>IFERROR(VLOOKUP(A1545,#REF!,15,0),0)+IFERROR(VLOOKUP(A1545,#REF!,25,0),0)+IFERROR(VLOOKUP(A1545,#REF!,10,0),0)+IFERROR(VLOOKUP(A1545,#REF!,14,0),0)+IFERROR(VLOOKUP(A1545,#REF!,11,0),0)+IFERROR(VLOOKUP(A1545,#REF!,10,0),0)+IFERROR(VLOOKUP(A1545,#REF!,10,0),0)+IFERROR(VLOOKUP(A1545,#REF!,9,0),0)+IFERROR(VLOOKUP(A1545,#REF!,9,0),0)+IFERROR(VLOOKUP(A1545,#REF!,9,0),0)+IFERROR(VLOOKUP(A1545,#REF!,9,0),0)</f>
        <v>0</v>
      </c>
      <c r="J1545" s="104">
        <f>IFERROR(VLOOKUP(A1545,#REF!,16,0),0)+IFERROR(VLOOKUP(A1545,#REF!,26,0),0)+IFERROR(VLOOKUP(A1545,#REF!,11,0),0)+IFERROR(VLOOKUP(A1545,#REF!,23,0),0)+IFERROR(VLOOKUP(A1545,#REF!,11,0),0)+IFERROR(VLOOKUP(A1545,#REF!,11,0),0)+IFERROR(VLOOKUP(A1545,#REF!,11,0),0)</f>
        <v>0</v>
      </c>
      <c r="K1545" s="96" t="str">
        <f>"07.02.24"</f>
        <v>07.02.24</v>
      </c>
    </row>
    <row r="1546" spans="1:11" ht="11.25" customHeight="1" outlineLevel="1">
      <c r="A1546" s="89" t="n">
        <v>8141490</v>
      </c>
      <c r="B1546" s="114" t="s">
        <v>1201</v>
      </c>
      <c r="C1546" s="89" t="s">
        <v>2534</v>
      </c>
      <c r="D1546" s="89" t="s">
        <v>15</v>
      </c>
      <c r="E1546" s="89"/>
      <c r="F1546" s="102" t="n">
        <v>1764</v>
      </c>
      <c r="G1546" s="102" t="n">
        <v>2344</v>
      </c>
      <c r="H1546" s="103" t="s">
        <v>48</v>
      </c>
      <c r="I1546" s="103">
        <f>IFERROR(VLOOKUP(A1546,#REF!,15,0),0)+IFERROR(VLOOKUP(A1546,#REF!,25,0),0)+IFERROR(VLOOKUP(A1546,#REF!,10,0),0)+IFERROR(VLOOKUP(A1546,#REF!,14,0),0)+IFERROR(VLOOKUP(A1546,#REF!,11,0),0)+IFERROR(VLOOKUP(A1546,#REF!,10,0),0)+IFERROR(VLOOKUP(A1546,#REF!,10,0),0)+IFERROR(VLOOKUP(A1546,#REF!,9,0),0)+IFERROR(VLOOKUP(A1546,#REF!,9,0),0)+IFERROR(VLOOKUP(A1546,#REF!,9,0),0)+IFERROR(VLOOKUP(A1546,#REF!,9,0),0)</f>
        <v>0</v>
      </c>
      <c r="J1546" s="104">
        <f>IFERROR(VLOOKUP(A1546,#REF!,16,0),0)+IFERROR(VLOOKUP(A1546,#REF!,26,0),0)+IFERROR(VLOOKUP(A1546,#REF!,11,0),0)+IFERROR(VLOOKUP(A1546,#REF!,23,0),0)+IFERROR(VLOOKUP(A1546,#REF!,11,0),0)+IFERROR(VLOOKUP(A1546,#REF!,11,0),0)+IFERROR(VLOOKUP(A1546,#REF!,11,0),0)</f>
        <v>0</v>
      </c>
      <c r="K1546" s="96" t="str">
        <f>"07.02.24"</f>
        <v>07.02.24</v>
      </c>
    </row>
    <row r="1547" spans="1:11" ht="11.25" customHeight="1" outlineLevel="1">
      <c r="A1547" s="89" t="n">
        <v>8141500</v>
      </c>
      <c r="B1547" s="114" t="s">
        <v>1201</v>
      </c>
      <c r="C1547" s="89" t="s">
        <v>2535</v>
      </c>
      <c r="D1547" s="89" t="s">
        <v>15</v>
      </c>
      <c r="E1547" s="89"/>
      <c r="F1547" s="102" t="n">
        <v>1379</v>
      </c>
      <c r="G1547" s="102" t="n">
        <v>1834</v>
      </c>
      <c r="H1547" s="103" t="s">
        <v>48</v>
      </c>
      <c r="I1547" s="103">
        <f>IFERROR(VLOOKUP(A1547,#REF!,15,0),0)+IFERROR(VLOOKUP(A1547,#REF!,25,0),0)+IFERROR(VLOOKUP(A1547,#REF!,10,0),0)+IFERROR(VLOOKUP(A1547,#REF!,14,0),0)+IFERROR(VLOOKUP(A1547,#REF!,11,0),0)+IFERROR(VLOOKUP(A1547,#REF!,10,0),0)+IFERROR(VLOOKUP(A1547,#REF!,10,0),0)+IFERROR(VLOOKUP(A1547,#REF!,9,0),0)+IFERROR(VLOOKUP(A1547,#REF!,9,0),0)+IFERROR(VLOOKUP(A1547,#REF!,9,0),0)+IFERROR(VLOOKUP(A1547,#REF!,9,0),0)</f>
        <v>0</v>
      </c>
      <c r="J1547" s="104">
        <f>IFERROR(VLOOKUP(A1547,#REF!,16,0),0)+IFERROR(VLOOKUP(A1547,#REF!,26,0),0)+IFERROR(VLOOKUP(A1547,#REF!,11,0),0)+IFERROR(VLOOKUP(A1547,#REF!,23,0),0)+IFERROR(VLOOKUP(A1547,#REF!,11,0),0)+IFERROR(VLOOKUP(A1547,#REF!,11,0),0)+IFERROR(VLOOKUP(A1547,#REF!,11,0),0)</f>
        <v>0</v>
      </c>
      <c r="K1547" s="96" t="str">
        <f>"07.02.24"</f>
        <v>07.02.24</v>
      </c>
    </row>
    <row r="1548" spans="1:11" ht="11.25" customHeight="1" outlineLevel="1">
      <c r="A1548" s="89" t="n">
        <v>8141510</v>
      </c>
      <c r="B1548" s="114" t="s">
        <v>1201</v>
      </c>
      <c r="C1548" s="89" t="s">
        <v>2536</v>
      </c>
      <c r="D1548" s="89" t="s">
        <v>15</v>
      </c>
      <c r="E1548" s="89"/>
      <c r="F1548" s="102" t="n">
        <v>1548</v>
      </c>
      <c r="G1548" s="102" t="n">
        <v>2061</v>
      </c>
      <c r="H1548" s="103" t="s">
        <v>48</v>
      </c>
      <c r="I1548" s="103">
        <f>IFERROR(VLOOKUP(A1548,#REF!,15,0),0)+IFERROR(VLOOKUP(A1548,#REF!,25,0),0)+IFERROR(VLOOKUP(A1548,#REF!,10,0),0)+IFERROR(VLOOKUP(A1548,#REF!,14,0),0)+IFERROR(VLOOKUP(A1548,#REF!,11,0),0)+IFERROR(VLOOKUP(A1548,#REF!,10,0),0)+IFERROR(VLOOKUP(A1548,#REF!,10,0),0)+IFERROR(VLOOKUP(A1548,#REF!,9,0),0)+IFERROR(VLOOKUP(A1548,#REF!,9,0),0)+IFERROR(VLOOKUP(A1548,#REF!,9,0),0)+IFERROR(VLOOKUP(A1548,#REF!,9,0),0)</f>
        <v>0</v>
      </c>
      <c r="J1548" s="104">
        <f>IFERROR(VLOOKUP(A1548,#REF!,16,0),0)+IFERROR(VLOOKUP(A1548,#REF!,26,0),0)+IFERROR(VLOOKUP(A1548,#REF!,11,0),0)+IFERROR(VLOOKUP(A1548,#REF!,23,0),0)+IFERROR(VLOOKUP(A1548,#REF!,11,0),0)+IFERROR(VLOOKUP(A1548,#REF!,11,0),0)+IFERROR(VLOOKUP(A1548,#REF!,11,0),0)</f>
        <v>0</v>
      </c>
      <c r="K1548" s="96" t="str">
        <f>"07.02.24"</f>
        <v>07.02.24</v>
      </c>
    </row>
    <row r="1549" spans="1:11" ht="11.25" customHeight="1" outlineLevel="1">
      <c r="A1549" s="89" t="n">
        <v>8141520</v>
      </c>
      <c r="B1549" s="114" t="s">
        <v>1201</v>
      </c>
      <c r="C1549" s="89" t="s">
        <v>2537</v>
      </c>
      <c r="D1549" s="89" t="s">
        <v>15</v>
      </c>
      <c r="E1549" s="89"/>
      <c r="F1549" s="102" t="n">
        <v>672</v>
      </c>
      <c r="G1549" s="102" t="n">
        <v>892</v>
      </c>
      <c r="H1549" s="103" t="s">
        <v>48</v>
      </c>
      <c r="I1549" s="103">
        <f>IFERROR(VLOOKUP(A1549,#REF!,15,0),0)+IFERROR(VLOOKUP(A1549,#REF!,25,0),0)+IFERROR(VLOOKUP(A1549,#REF!,10,0),0)+IFERROR(VLOOKUP(A1549,#REF!,14,0),0)+IFERROR(VLOOKUP(A1549,#REF!,11,0),0)+IFERROR(VLOOKUP(A1549,#REF!,10,0),0)+IFERROR(VLOOKUP(A1549,#REF!,10,0),0)+IFERROR(VLOOKUP(A1549,#REF!,9,0),0)+IFERROR(VLOOKUP(A1549,#REF!,9,0),0)+IFERROR(VLOOKUP(A1549,#REF!,9,0),0)+IFERROR(VLOOKUP(A1549,#REF!,9,0),0)</f>
        <v>0</v>
      </c>
      <c r="J1549" s="104">
        <f>IFERROR(VLOOKUP(A1549,#REF!,16,0),0)+IFERROR(VLOOKUP(A1549,#REF!,26,0),0)+IFERROR(VLOOKUP(A1549,#REF!,11,0),0)+IFERROR(VLOOKUP(A1549,#REF!,23,0),0)+IFERROR(VLOOKUP(A1549,#REF!,11,0),0)+IFERROR(VLOOKUP(A1549,#REF!,11,0),0)+IFERROR(VLOOKUP(A1549,#REF!,11,0),0)</f>
        <v>0</v>
      </c>
      <c r="K1549" s="96" t="str">
        <f>"07.02.24"</f>
        <v>07.02.24</v>
      </c>
    </row>
    <row r="1550" spans="1:11" ht="11.25" customHeight="1" outlineLevel="1">
      <c r="A1550" s="89" t="n">
        <v>8141530</v>
      </c>
      <c r="B1550" s="114" t="s">
        <v>1201</v>
      </c>
      <c r="C1550" s="89" t="s">
        <v>2538</v>
      </c>
      <c r="D1550" s="89" t="s">
        <v>15</v>
      </c>
      <c r="E1550" s="89"/>
      <c r="F1550" s="102" t="n">
        <v>731</v>
      </c>
      <c r="G1550" s="102" t="n">
        <v>971</v>
      </c>
      <c r="H1550" s="103" t="s">
        <v>48</v>
      </c>
      <c r="I1550" s="103">
        <f>IFERROR(VLOOKUP(A1550,#REF!,15,0),0)+IFERROR(VLOOKUP(A1550,#REF!,25,0),0)+IFERROR(VLOOKUP(A1550,#REF!,10,0),0)+IFERROR(VLOOKUP(A1550,#REF!,14,0),0)+IFERROR(VLOOKUP(A1550,#REF!,11,0),0)+IFERROR(VLOOKUP(A1550,#REF!,10,0),0)+IFERROR(VLOOKUP(A1550,#REF!,10,0),0)+IFERROR(VLOOKUP(A1550,#REF!,9,0),0)+IFERROR(VLOOKUP(A1550,#REF!,9,0),0)+IFERROR(VLOOKUP(A1550,#REF!,9,0),0)+IFERROR(VLOOKUP(A1550,#REF!,9,0),0)</f>
        <v>0</v>
      </c>
      <c r="J1550" s="104">
        <f>IFERROR(VLOOKUP(A1550,#REF!,16,0),0)+IFERROR(VLOOKUP(A1550,#REF!,26,0),0)+IFERROR(VLOOKUP(A1550,#REF!,11,0),0)+IFERROR(VLOOKUP(A1550,#REF!,23,0),0)+IFERROR(VLOOKUP(A1550,#REF!,11,0),0)+IFERROR(VLOOKUP(A1550,#REF!,11,0),0)+IFERROR(VLOOKUP(A1550,#REF!,11,0),0)</f>
        <v>0</v>
      </c>
      <c r="K1550" s="96" t="str">
        <f>"07.02.24"</f>
        <v>07.02.24</v>
      </c>
    </row>
    <row r="1551" spans="1:11" ht="11.25" customHeight="1" outlineLevel="1">
      <c r="A1551" s="89" t="n">
        <v>8141540</v>
      </c>
      <c r="B1551" s="114" t="s">
        <v>1201</v>
      </c>
      <c r="C1551" s="89" t="s">
        <v>2539</v>
      </c>
      <c r="D1551" s="89" t="s">
        <v>15</v>
      </c>
      <c r="E1551" s="89"/>
      <c r="F1551" s="102" t="n">
        <v>853</v>
      </c>
      <c r="G1551" s="102" t="n">
        <v>1132</v>
      </c>
      <c r="H1551" s="103" t="s">
        <v>48</v>
      </c>
      <c r="I1551" s="103">
        <f>IFERROR(VLOOKUP(A1551,#REF!,15,0),0)+IFERROR(VLOOKUP(A1551,#REF!,25,0),0)+IFERROR(VLOOKUP(A1551,#REF!,10,0),0)+IFERROR(VLOOKUP(A1551,#REF!,14,0),0)+IFERROR(VLOOKUP(A1551,#REF!,11,0),0)+IFERROR(VLOOKUP(A1551,#REF!,10,0),0)+IFERROR(VLOOKUP(A1551,#REF!,10,0),0)+IFERROR(VLOOKUP(A1551,#REF!,9,0),0)+IFERROR(VLOOKUP(A1551,#REF!,9,0),0)+IFERROR(VLOOKUP(A1551,#REF!,9,0),0)+IFERROR(VLOOKUP(A1551,#REF!,9,0),0)</f>
        <v>0</v>
      </c>
      <c r="J1551" s="104">
        <f>IFERROR(VLOOKUP(A1551,#REF!,16,0),0)+IFERROR(VLOOKUP(A1551,#REF!,26,0),0)+IFERROR(VLOOKUP(A1551,#REF!,11,0),0)+IFERROR(VLOOKUP(A1551,#REF!,23,0),0)+IFERROR(VLOOKUP(A1551,#REF!,11,0),0)+IFERROR(VLOOKUP(A1551,#REF!,11,0),0)+IFERROR(VLOOKUP(A1551,#REF!,11,0),0)</f>
        <v>0</v>
      </c>
      <c r="K1551" s="96" t="str">
        <f>"07.02.24"</f>
        <v>07.02.24</v>
      </c>
    </row>
    <row r="1552" spans="1:11" ht="11.25" customHeight="1" outlineLevel="1">
      <c r="A1552" s="89" t="n">
        <v>8141560</v>
      </c>
      <c r="B1552" s="114" t="s">
        <v>1201</v>
      </c>
      <c r="C1552" s="89" t="s">
        <v>2540</v>
      </c>
      <c r="D1552" s="89" t="s">
        <v>15</v>
      </c>
      <c r="E1552" s="89"/>
      <c r="F1552" s="102" t="n">
        <v>1833</v>
      </c>
      <c r="G1552" s="102" t="n">
        <v>2436</v>
      </c>
      <c r="H1552" s="103" t="s">
        <v>48</v>
      </c>
      <c r="I1552" s="103">
        <f>IFERROR(VLOOKUP(A1552,#REF!,15,0),0)+IFERROR(VLOOKUP(A1552,#REF!,25,0),0)+IFERROR(VLOOKUP(A1552,#REF!,10,0),0)+IFERROR(VLOOKUP(A1552,#REF!,14,0),0)+IFERROR(VLOOKUP(A1552,#REF!,11,0),0)+IFERROR(VLOOKUP(A1552,#REF!,10,0),0)+IFERROR(VLOOKUP(A1552,#REF!,10,0),0)+IFERROR(VLOOKUP(A1552,#REF!,9,0),0)+IFERROR(VLOOKUP(A1552,#REF!,9,0),0)+IFERROR(VLOOKUP(A1552,#REF!,9,0),0)+IFERROR(VLOOKUP(A1552,#REF!,9,0),0)</f>
        <v>0</v>
      </c>
      <c r="J1552" s="104">
        <f>IFERROR(VLOOKUP(A1552,#REF!,16,0),0)+IFERROR(VLOOKUP(A1552,#REF!,26,0),0)+IFERROR(VLOOKUP(A1552,#REF!,11,0),0)+IFERROR(VLOOKUP(A1552,#REF!,23,0),0)+IFERROR(VLOOKUP(A1552,#REF!,11,0),0)+IFERROR(VLOOKUP(A1552,#REF!,11,0),0)+IFERROR(VLOOKUP(A1552,#REF!,11,0),0)</f>
        <v>0</v>
      </c>
      <c r="K1552" s="96" t="str">
        <f>"07.02.24"</f>
        <v>07.02.24</v>
      </c>
    </row>
    <row r="1553" spans="1:11" ht="11.25" customHeight="1" outlineLevel="1">
      <c r="A1553" s="89" t="n">
        <v>8141570</v>
      </c>
      <c r="B1553" s="114" t="s">
        <v>1201</v>
      </c>
      <c r="C1553" s="89" t="s">
        <v>2541</v>
      </c>
      <c r="D1553" s="89" t="s">
        <v>15</v>
      </c>
      <c r="E1553" s="89"/>
      <c r="F1553" s="102" t="n">
        <v>543</v>
      </c>
      <c r="G1553" s="102" t="n">
        <v>720</v>
      </c>
      <c r="H1553" s="103" t="s">
        <v>48</v>
      </c>
      <c r="I1553" s="103">
        <f>IFERROR(VLOOKUP(A1553,#REF!,15,0),0)+IFERROR(VLOOKUP(A1553,#REF!,25,0),0)+IFERROR(VLOOKUP(A1553,#REF!,10,0),0)+IFERROR(VLOOKUP(A1553,#REF!,14,0),0)+IFERROR(VLOOKUP(A1553,#REF!,11,0),0)+IFERROR(VLOOKUP(A1553,#REF!,10,0),0)+IFERROR(VLOOKUP(A1553,#REF!,10,0),0)+IFERROR(VLOOKUP(A1553,#REF!,9,0),0)+IFERROR(VLOOKUP(A1553,#REF!,9,0),0)+IFERROR(VLOOKUP(A1553,#REF!,9,0),0)+IFERROR(VLOOKUP(A1553,#REF!,9,0),0)</f>
        <v>0</v>
      </c>
      <c r="J1553" s="104">
        <f>IFERROR(VLOOKUP(A1553,#REF!,16,0),0)+IFERROR(VLOOKUP(A1553,#REF!,26,0),0)+IFERROR(VLOOKUP(A1553,#REF!,11,0),0)+IFERROR(VLOOKUP(A1553,#REF!,23,0),0)+IFERROR(VLOOKUP(A1553,#REF!,11,0),0)+IFERROR(VLOOKUP(A1553,#REF!,11,0),0)+IFERROR(VLOOKUP(A1553,#REF!,11,0),0)</f>
        <v>0</v>
      </c>
      <c r="K1553" s="96" t="str">
        <f>"07.02.24"</f>
        <v>07.02.24</v>
      </c>
    </row>
    <row r="1554" spans="1:11" ht="11.25" customHeight="1" outlineLevel="1">
      <c r="A1554" s="89" t="n">
        <v>8141580</v>
      </c>
      <c r="B1554" s="114" t="s">
        <v>1201</v>
      </c>
      <c r="C1554" s="89" t="s">
        <v>2542</v>
      </c>
      <c r="D1554" s="89" t="s">
        <v>15</v>
      </c>
      <c r="E1554" s="89"/>
      <c r="F1554" s="102" t="n">
        <v>1024</v>
      </c>
      <c r="G1554" s="102" t="n">
        <v>1362</v>
      </c>
      <c r="H1554" s="103" t="s">
        <v>48</v>
      </c>
      <c r="I1554" s="103">
        <f>IFERROR(VLOOKUP(A1554,#REF!,15,0),0)+IFERROR(VLOOKUP(A1554,#REF!,25,0),0)+IFERROR(VLOOKUP(A1554,#REF!,10,0),0)+IFERROR(VLOOKUP(A1554,#REF!,14,0),0)+IFERROR(VLOOKUP(A1554,#REF!,11,0),0)+IFERROR(VLOOKUP(A1554,#REF!,10,0),0)+IFERROR(VLOOKUP(A1554,#REF!,10,0),0)+IFERROR(VLOOKUP(A1554,#REF!,9,0),0)+IFERROR(VLOOKUP(A1554,#REF!,9,0),0)+IFERROR(VLOOKUP(A1554,#REF!,9,0),0)+IFERROR(VLOOKUP(A1554,#REF!,9,0),0)</f>
        <v>0</v>
      </c>
      <c r="J1554" s="104">
        <f>IFERROR(VLOOKUP(A1554,#REF!,16,0),0)+IFERROR(VLOOKUP(A1554,#REF!,26,0),0)+IFERROR(VLOOKUP(A1554,#REF!,11,0),0)+IFERROR(VLOOKUP(A1554,#REF!,23,0),0)+IFERROR(VLOOKUP(A1554,#REF!,11,0),0)+IFERROR(VLOOKUP(A1554,#REF!,11,0),0)+IFERROR(VLOOKUP(A1554,#REF!,11,0),0)</f>
        <v>0</v>
      </c>
      <c r="K1554" s="96" t="str">
        <f>"07.02.24"</f>
        <v>07.02.24</v>
      </c>
    </row>
    <row r="1555" spans="1:11" ht="11.25" customHeight="1" outlineLevel="1">
      <c r="A1555" s="89" t="n">
        <v>8141590</v>
      </c>
      <c r="B1555" s="114" t="s">
        <v>1201</v>
      </c>
      <c r="C1555" s="89" t="s">
        <v>2543</v>
      </c>
      <c r="D1555" s="89" t="s">
        <v>15</v>
      </c>
      <c r="E1555" s="89"/>
      <c r="F1555" s="102" t="n">
        <v>796</v>
      </c>
      <c r="G1555" s="102" t="n">
        <v>1059</v>
      </c>
      <c r="H1555" s="103" t="s">
        <v>48</v>
      </c>
      <c r="I1555" s="103">
        <f>IFERROR(VLOOKUP(A1555,#REF!,15,0),0)+IFERROR(VLOOKUP(A1555,#REF!,25,0),0)+IFERROR(VLOOKUP(A1555,#REF!,10,0),0)+IFERROR(VLOOKUP(A1555,#REF!,14,0),0)+IFERROR(VLOOKUP(A1555,#REF!,11,0),0)+IFERROR(VLOOKUP(A1555,#REF!,10,0),0)+IFERROR(VLOOKUP(A1555,#REF!,10,0),0)+IFERROR(VLOOKUP(A1555,#REF!,9,0),0)+IFERROR(VLOOKUP(A1555,#REF!,9,0),0)+IFERROR(VLOOKUP(A1555,#REF!,9,0),0)+IFERROR(VLOOKUP(A1555,#REF!,9,0),0)</f>
        <v>0</v>
      </c>
      <c r="J1555" s="104">
        <f>IFERROR(VLOOKUP(A1555,#REF!,16,0),0)+IFERROR(VLOOKUP(A1555,#REF!,26,0),0)+IFERROR(VLOOKUP(A1555,#REF!,11,0),0)+IFERROR(VLOOKUP(A1555,#REF!,23,0),0)+IFERROR(VLOOKUP(A1555,#REF!,11,0),0)+IFERROR(VLOOKUP(A1555,#REF!,11,0),0)+IFERROR(VLOOKUP(A1555,#REF!,11,0),0)</f>
        <v>0</v>
      </c>
      <c r="K1555" s="96" t="str">
        <f>"07.02.24"</f>
        <v>07.02.24</v>
      </c>
    </row>
    <row r="1556" spans="1:11" ht="11.25" customHeight="1" outlineLevel="1">
      <c r="A1556" s="89" t="n">
        <v>8141600</v>
      </c>
      <c r="B1556" s="114" t="s">
        <v>1201</v>
      </c>
      <c r="C1556" s="89" t="s">
        <v>2544</v>
      </c>
      <c r="D1556" s="89" t="s">
        <v>15</v>
      </c>
      <c r="E1556" s="89"/>
      <c r="F1556" s="102" t="n">
        <v>1109</v>
      </c>
      <c r="G1556" s="102" t="n">
        <v>1477</v>
      </c>
      <c r="H1556" s="103" t="s">
        <v>48</v>
      </c>
      <c r="I1556" s="103">
        <f>IFERROR(VLOOKUP(A1556,#REF!,15,0),0)+IFERROR(VLOOKUP(A1556,#REF!,25,0),0)+IFERROR(VLOOKUP(A1556,#REF!,10,0),0)+IFERROR(VLOOKUP(A1556,#REF!,14,0),0)+IFERROR(VLOOKUP(A1556,#REF!,11,0),0)+IFERROR(VLOOKUP(A1556,#REF!,10,0),0)+IFERROR(VLOOKUP(A1556,#REF!,10,0),0)+IFERROR(VLOOKUP(A1556,#REF!,9,0),0)+IFERROR(VLOOKUP(A1556,#REF!,9,0),0)+IFERROR(VLOOKUP(A1556,#REF!,9,0),0)+IFERROR(VLOOKUP(A1556,#REF!,9,0),0)</f>
        <v>0</v>
      </c>
      <c r="J1556" s="104">
        <f>IFERROR(VLOOKUP(A1556,#REF!,16,0),0)+IFERROR(VLOOKUP(A1556,#REF!,26,0),0)+IFERROR(VLOOKUP(A1556,#REF!,11,0),0)+IFERROR(VLOOKUP(A1556,#REF!,23,0),0)+IFERROR(VLOOKUP(A1556,#REF!,11,0),0)+IFERROR(VLOOKUP(A1556,#REF!,11,0),0)+IFERROR(VLOOKUP(A1556,#REF!,11,0),0)</f>
        <v>0</v>
      </c>
      <c r="K1556" s="96" t="str">
        <f>"07.02.24"</f>
        <v>07.02.24</v>
      </c>
    </row>
    <row r="1557" spans="1:11" ht="11.25" customHeight="1" outlineLevel="1">
      <c r="A1557" s="89" t="n">
        <v>8141610</v>
      </c>
      <c r="B1557" s="114" t="s">
        <v>1201</v>
      </c>
      <c r="C1557" s="89" t="s">
        <v>2545</v>
      </c>
      <c r="D1557" s="89" t="s">
        <v>15</v>
      </c>
      <c r="E1557" s="89"/>
      <c r="F1557" s="102" t="n">
        <v>1163</v>
      </c>
      <c r="G1557" s="102" t="n">
        <v>1545</v>
      </c>
      <c r="H1557" s="103" t="s">
        <v>48</v>
      </c>
      <c r="I1557" s="103">
        <f>IFERROR(VLOOKUP(A1557,#REF!,15,0),0)+IFERROR(VLOOKUP(A1557,#REF!,25,0),0)+IFERROR(VLOOKUP(A1557,#REF!,10,0),0)+IFERROR(VLOOKUP(A1557,#REF!,14,0),0)+IFERROR(VLOOKUP(A1557,#REF!,11,0),0)+IFERROR(VLOOKUP(A1557,#REF!,10,0),0)+IFERROR(VLOOKUP(A1557,#REF!,10,0),0)+IFERROR(VLOOKUP(A1557,#REF!,9,0),0)+IFERROR(VLOOKUP(A1557,#REF!,9,0),0)+IFERROR(VLOOKUP(A1557,#REF!,9,0),0)+IFERROR(VLOOKUP(A1557,#REF!,9,0),0)</f>
        <v>0</v>
      </c>
      <c r="J1557" s="104">
        <f>IFERROR(VLOOKUP(A1557,#REF!,16,0),0)+IFERROR(VLOOKUP(A1557,#REF!,26,0),0)+IFERROR(VLOOKUP(A1557,#REF!,11,0),0)+IFERROR(VLOOKUP(A1557,#REF!,23,0),0)+IFERROR(VLOOKUP(A1557,#REF!,11,0),0)+IFERROR(VLOOKUP(A1557,#REF!,11,0),0)+IFERROR(VLOOKUP(A1557,#REF!,11,0),0)</f>
        <v>0</v>
      </c>
      <c r="K1557" s="96" t="str">
        <f>"07.02.24"</f>
        <v>07.02.24</v>
      </c>
    </row>
    <row r="1558" spans="1:11" ht="11.25" customHeight="1" outlineLevel="1">
      <c r="A1558" s="89" t="n">
        <v>8141620</v>
      </c>
      <c r="B1558" s="114" t="s">
        <v>1201</v>
      </c>
      <c r="C1558" s="89" t="s">
        <v>2546</v>
      </c>
      <c r="D1558" s="89" t="s">
        <v>15</v>
      </c>
      <c r="E1558" s="89"/>
      <c r="F1558" s="102" t="n">
        <v>1437</v>
      </c>
      <c r="G1558" s="102" t="n">
        <v>1908</v>
      </c>
      <c r="H1558" s="103" t="s">
        <v>48</v>
      </c>
      <c r="I1558" s="103">
        <f>IFERROR(VLOOKUP(A1558,#REF!,15,0),0)+IFERROR(VLOOKUP(A1558,#REF!,25,0),0)+IFERROR(VLOOKUP(A1558,#REF!,10,0),0)+IFERROR(VLOOKUP(A1558,#REF!,14,0),0)+IFERROR(VLOOKUP(A1558,#REF!,11,0),0)+IFERROR(VLOOKUP(A1558,#REF!,10,0),0)+IFERROR(VLOOKUP(A1558,#REF!,10,0),0)+IFERROR(VLOOKUP(A1558,#REF!,9,0),0)+IFERROR(VLOOKUP(A1558,#REF!,9,0),0)+IFERROR(VLOOKUP(A1558,#REF!,9,0),0)+IFERROR(VLOOKUP(A1558,#REF!,9,0),0)</f>
        <v>0</v>
      </c>
      <c r="J1558" s="104">
        <f>IFERROR(VLOOKUP(A1558,#REF!,16,0),0)+IFERROR(VLOOKUP(A1558,#REF!,26,0),0)+IFERROR(VLOOKUP(A1558,#REF!,11,0),0)+IFERROR(VLOOKUP(A1558,#REF!,23,0),0)+IFERROR(VLOOKUP(A1558,#REF!,11,0),0)+IFERROR(VLOOKUP(A1558,#REF!,11,0),0)+IFERROR(VLOOKUP(A1558,#REF!,11,0),0)</f>
        <v>0</v>
      </c>
      <c r="K1558" s="96" t="str">
        <f>"07.02.24"</f>
        <v>07.02.24</v>
      </c>
    </row>
    <row r="1559" spans="1:11" ht="11.25" customHeight="1" outlineLevel="1">
      <c r="A1559" s="89" t="n">
        <v>8141630</v>
      </c>
      <c r="B1559" s="114" t="s">
        <v>1201</v>
      </c>
      <c r="C1559" s="89" t="s">
        <v>2544</v>
      </c>
      <c r="D1559" s="89" t="s">
        <v>15</v>
      </c>
      <c r="E1559" s="89"/>
      <c r="F1559" s="102" t="n">
        <v>955</v>
      </c>
      <c r="G1559" s="102" t="n">
        <v>1270</v>
      </c>
      <c r="H1559" s="103" t="s">
        <v>17</v>
      </c>
      <c r="I1559" s="103">
        <f>IFERROR(VLOOKUP(A1559,#REF!,15,0),0)+IFERROR(VLOOKUP(A1559,#REF!,25,0),0)+IFERROR(VLOOKUP(A1559,#REF!,10,0),0)+IFERROR(VLOOKUP(A1559,#REF!,14,0),0)+IFERROR(VLOOKUP(A1559,#REF!,11,0),0)+IFERROR(VLOOKUP(A1559,#REF!,10,0),0)+IFERROR(VLOOKUP(A1559,#REF!,10,0),0)+IFERROR(VLOOKUP(A1559,#REF!,9,0),0)+IFERROR(VLOOKUP(A1559,#REF!,9,0),0)+IFERROR(VLOOKUP(A1559,#REF!,9,0),0)+IFERROR(VLOOKUP(A1559,#REF!,9,0),0)</f>
        <v>0</v>
      </c>
      <c r="J1559" s="104">
        <f>IFERROR(VLOOKUP(A1559,#REF!,16,0),0)+IFERROR(VLOOKUP(A1559,#REF!,26,0),0)+IFERROR(VLOOKUP(A1559,#REF!,11,0),0)+IFERROR(VLOOKUP(A1559,#REF!,23,0),0)+IFERROR(VLOOKUP(A1559,#REF!,11,0),0)+IFERROR(VLOOKUP(A1559,#REF!,11,0),0)+IFERROR(VLOOKUP(A1559,#REF!,11,0),0)</f>
        <v>0</v>
      </c>
      <c r="K1559" s="96" t="str">
        <f>"07.02.24"</f>
        <v>07.02.24</v>
      </c>
    </row>
    <row r="1560" spans="1:11" ht="11.25" customHeight="1" outlineLevel="1">
      <c r="A1560" s="89" t="n">
        <v>8141640</v>
      </c>
      <c r="B1560" s="114" t="s">
        <v>1201</v>
      </c>
      <c r="C1560" s="89" t="s">
        <v>2547</v>
      </c>
      <c r="D1560" s="89" t="s">
        <v>15</v>
      </c>
      <c r="E1560" s="89"/>
      <c r="F1560" s="102" t="n">
        <v>1406</v>
      </c>
      <c r="G1560" s="102" t="n">
        <v>1868</v>
      </c>
      <c r="H1560" s="103" t="s">
        <v>48</v>
      </c>
      <c r="I1560" s="103">
        <f>IFERROR(VLOOKUP(A1560,#REF!,15,0),0)+IFERROR(VLOOKUP(A1560,#REF!,25,0),0)+IFERROR(VLOOKUP(A1560,#REF!,10,0),0)+IFERROR(VLOOKUP(A1560,#REF!,14,0),0)+IFERROR(VLOOKUP(A1560,#REF!,11,0),0)+IFERROR(VLOOKUP(A1560,#REF!,10,0),0)+IFERROR(VLOOKUP(A1560,#REF!,10,0),0)+IFERROR(VLOOKUP(A1560,#REF!,9,0),0)+IFERROR(VLOOKUP(A1560,#REF!,9,0),0)+IFERROR(VLOOKUP(A1560,#REF!,9,0),0)+IFERROR(VLOOKUP(A1560,#REF!,9,0),0)</f>
        <v>0</v>
      </c>
      <c r="J1560" s="104">
        <f>IFERROR(VLOOKUP(A1560,#REF!,16,0),0)+IFERROR(VLOOKUP(A1560,#REF!,26,0),0)+IFERROR(VLOOKUP(A1560,#REF!,11,0),0)+IFERROR(VLOOKUP(A1560,#REF!,23,0),0)+IFERROR(VLOOKUP(A1560,#REF!,11,0),0)+IFERROR(VLOOKUP(A1560,#REF!,11,0),0)+IFERROR(VLOOKUP(A1560,#REF!,11,0),0)</f>
        <v>0</v>
      </c>
      <c r="K1560" s="96" t="str">
        <f>"07.02.24"</f>
        <v>07.02.24</v>
      </c>
    </row>
    <row r="1561" spans="1:11" ht="11.25" customHeight="1" outlineLevel="1">
      <c r="A1561" s="89" t="n">
        <v>8141650</v>
      </c>
      <c r="B1561" s="114" t="s">
        <v>1201</v>
      </c>
      <c r="C1561" s="89" t="s">
        <v>2548</v>
      </c>
      <c r="D1561" s="89" t="s">
        <v>15</v>
      </c>
      <c r="E1561" s="89"/>
      <c r="F1561" s="102" t="n">
        <v>770</v>
      </c>
      <c r="G1561" s="102" t="n">
        <v>1019</v>
      </c>
      <c r="H1561" s="103" t="s">
        <v>48</v>
      </c>
      <c r="I1561" s="103">
        <f>IFERROR(VLOOKUP(A1561,#REF!,15,0),0)+IFERROR(VLOOKUP(A1561,#REF!,25,0),0)+IFERROR(VLOOKUP(A1561,#REF!,10,0),0)+IFERROR(VLOOKUP(A1561,#REF!,14,0),0)+IFERROR(VLOOKUP(A1561,#REF!,11,0),0)+IFERROR(VLOOKUP(A1561,#REF!,10,0),0)+IFERROR(VLOOKUP(A1561,#REF!,10,0),0)+IFERROR(VLOOKUP(A1561,#REF!,9,0),0)+IFERROR(VLOOKUP(A1561,#REF!,9,0),0)+IFERROR(VLOOKUP(A1561,#REF!,9,0),0)+IFERROR(VLOOKUP(A1561,#REF!,9,0),0)</f>
        <v>0</v>
      </c>
      <c r="J1561" s="104">
        <f>IFERROR(VLOOKUP(A1561,#REF!,16,0),0)+IFERROR(VLOOKUP(A1561,#REF!,26,0),0)+IFERROR(VLOOKUP(A1561,#REF!,11,0),0)+IFERROR(VLOOKUP(A1561,#REF!,23,0),0)+IFERROR(VLOOKUP(A1561,#REF!,11,0),0)+IFERROR(VLOOKUP(A1561,#REF!,11,0),0)+IFERROR(VLOOKUP(A1561,#REF!,11,0),0)</f>
        <v>0</v>
      </c>
      <c r="K1561" s="96" t="str">
        <f>"07.02.24"</f>
        <v>07.02.24</v>
      </c>
    </row>
    <row r="1562" spans="1:11" ht="11.25" customHeight="1" outlineLevel="1">
      <c r="A1562" s="89" t="n">
        <v>8141660</v>
      </c>
      <c r="B1562" s="114" t="s">
        <v>1201</v>
      </c>
      <c r="C1562" s="89" t="s">
        <v>2549</v>
      </c>
      <c r="D1562" s="89" t="s">
        <v>15</v>
      </c>
      <c r="E1562" s="89"/>
      <c r="F1562" s="102" t="n">
        <v>813</v>
      </c>
      <c r="G1562" s="102" t="n">
        <v>1080</v>
      </c>
      <c r="H1562" s="103" t="s">
        <v>48</v>
      </c>
      <c r="I1562" s="103">
        <f>IFERROR(VLOOKUP(A1562,#REF!,15,0),0)+IFERROR(VLOOKUP(A1562,#REF!,25,0),0)+IFERROR(VLOOKUP(A1562,#REF!,10,0),0)+IFERROR(VLOOKUP(A1562,#REF!,14,0),0)+IFERROR(VLOOKUP(A1562,#REF!,11,0),0)+IFERROR(VLOOKUP(A1562,#REF!,10,0),0)+IFERROR(VLOOKUP(A1562,#REF!,10,0),0)+IFERROR(VLOOKUP(A1562,#REF!,9,0),0)+IFERROR(VLOOKUP(A1562,#REF!,9,0),0)+IFERROR(VLOOKUP(A1562,#REF!,9,0),0)+IFERROR(VLOOKUP(A1562,#REF!,9,0),0)</f>
        <v>0</v>
      </c>
      <c r="J1562" s="104">
        <f>IFERROR(VLOOKUP(A1562,#REF!,16,0),0)+IFERROR(VLOOKUP(A1562,#REF!,26,0),0)+IFERROR(VLOOKUP(A1562,#REF!,11,0),0)+IFERROR(VLOOKUP(A1562,#REF!,23,0),0)+IFERROR(VLOOKUP(A1562,#REF!,11,0),0)+IFERROR(VLOOKUP(A1562,#REF!,11,0),0)+IFERROR(VLOOKUP(A1562,#REF!,11,0),0)</f>
        <v>0</v>
      </c>
      <c r="K1562" s="96" t="str">
        <f>"07.02.24"</f>
        <v>07.02.24</v>
      </c>
    </row>
    <row r="1563" spans="1:11" ht="11.25" customHeight="1" outlineLevel="1">
      <c r="A1563" s="89" t="n">
        <v>8141670</v>
      </c>
      <c r="B1563" s="114" t="s">
        <v>1201</v>
      </c>
      <c r="C1563" s="89" t="s">
        <v>2550</v>
      </c>
      <c r="D1563" s="89" t="s">
        <v>15</v>
      </c>
      <c r="E1563" s="89"/>
      <c r="F1563" s="102" t="n">
        <v>940</v>
      </c>
      <c r="G1563" s="102" t="n">
        <v>1250</v>
      </c>
      <c r="H1563" s="103" t="s">
        <v>48</v>
      </c>
      <c r="I1563" s="103">
        <f>IFERROR(VLOOKUP(A1563,#REF!,15,0),0)+IFERROR(VLOOKUP(A1563,#REF!,25,0),0)+IFERROR(VLOOKUP(A1563,#REF!,10,0),0)+IFERROR(VLOOKUP(A1563,#REF!,14,0),0)+IFERROR(VLOOKUP(A1563,#REF!,11,0),0)+IFERROR(VLOOKUP(A1563,#REF!,10,0),0)+IFERROR(VLOOKUP(A1563,#REF!,10,0),0)+IFERROR(VLOOKUP(A1563,#REF!,9,0),0)+IFERROR(VLOOKUP(A1563,#REF!,9,0),0)+IFERROR(VLOOKUP(A1563,#REF!,9,0),0)+IFERROR(VLOOKUP(A1563,#REF!,9,0),0)</f>
        <v>0</v>
      </c>
      <c r="J1563" s="104">
        <f>IFERROR(VLOOKUP(A1563,#REF!,16,0),0)+IFERROR(VLOOKUP(A1563,#REF!,26,0),0)+IFERROR(VLOOKUP(A1563,#REF!,11,0),0)+IFERROR(VLOOKUP(A1563,#REF!,23,0),0)+IFERROR(VLOOKUP(A1563,#REF!,11,0),0)+IFERROR(VLOOKUP(A1563,#REF!,11,0),0)+IFERROR(VLOOKUP(A1563,#REF!,11,0),0)</f>
        <v>0</v>
      </c>
      <c r="K1563" s="96" t="str">
        <f>"07.02.24"</f>
        <v>07.02.24</v>
      </c>
    </row>
    <row r="1564" spans="1:11" ht="11.25" customHeight="1" outlineLevel="1">
      <c r="A1564" s="89" t="n">
        <v>8141270</v>
      </c>
      <c r="B1564" s="114" t="s">
        <v>1201</v>
      </c>
      <c r="C1564" s="89" t="s">
        <v>2551</v>
      </c>
      <c r="D1564" s="89" t="s">
        <v>15</v>
      </c>
      <c r="E1564" s="89"/>
      <c r="F1564" s="102" t="n">
        <v>2781</v>
      </c>
      <c r="G1564" s="102" t="n">
        <v>3695</v>
      </c>
      <c r="H1564" s="103" t="s">
        <v>48</v>
      </c>
      <c r="I1564" s="103">
        <f>IFERROR(VLOOKUP(A1564,#REF!,15,0),0)+IFERROR(VLOOKUP(A1564,#REF!,25,0),0)+IFERROR(VLOOKUP(A1564,#REF!,10,0),0)+IFERROR(VLOOKUP(A1564,#REF!,14,0),0)+IFERROR(VLOOKUP(A1564,#REF!,11,0),0)+IFERROR(VLOOKUP(A1564,#REF!,10,0),0)+IFERROR(VLOOKUP(A1564,#REF!,10,0),0)+IFERROR(VLOOKUP(A1564,#REF!,9,0),0)+IFERROR(VLOOKUP(A1564,#REF!,9,0),0)+IFERROR(VLOOKUP(A1564,#REF!,9,0),0)+IFERROR(VLOOKUP(A1564,#REF!,9,0),0)</f>
        <v>0</v>
      </c>
      <c r="J1564" s="104">
        <f>IFERROR(VLOOKUP(A1564,#REF!,16,0),0)+IFERROR(VLOOKUP(A1564,#REF!,26,0),0)+IFERROR(VLOOKUP(A1564,#REF!,11,0),0)+IFERROR(VLOOKUP(A1564,#REF!,23,0),0)+IFERROR(VLOOKUP(A1564,#REF!,11,0),0)+IFERROR(VLOOKUP(A1564,#REF!,11,0),0)+IFERROR(VLOOKUP(A1564,#REF!,11,0),0)</f>
        <v>0</v>
      </c>
      <c r="K1564" s="96" t="str">
        <f>"07.02.24"</f>
        <v>07.02.24</v>
      </c>
    </row>
    <row r="1565" spans="1:11" ht="11.25" customHeight="1" outlineLevel="1">
      <c r="A1565" s="89" t="n">
        <v>8142420</v>
      </c>
      <c r="B1565" s="114" t="s">
        <v>1201</v>
      </c>
      <c r="C1565" s="89" t="s">
        <v>2552</v>
      </c>
      <c r="D1565" s="89" t="s">
        <v>15</v>
      </c>
      <c r="E1565" s="89"/>
      <c r="F1565" s="102" t="n">
        <v>344</v>
      </c>
      <c r="G1565" s="102" t="n">
        <v>456</v>
      </c>
      <c r="H1565" s="103" t="s">
        <v>48</v>
      </c>
      <c r="I1565" s="103">
        <f>IFERROR(VLOOKUP(A1565,#REF!,15,0),0)+IFERROR(VLOOKUP(A1565,#REF!,25,0),0)+IFERROR(VLOOKUP(A1565,#REF!,10,0),0)+IFERROR(VLOOKUP(A1565,#REF!,14,0),0)+IFERROR(VLOOKUP(A1565,#REF!,11,0),0)+IFERROR(VLOOKUP(A1565,#REF!,10,0),0)+IFERROR(VLOOKUP(A1565,#REF!,10,0),0)+IFERROR(VLOOKUP(A1565,#REF!,9,0),0)+IFERROR(VLOOKUP(A1565,#REF!,9,0),0)+IFERROR(VLOOKUP(A1565,#REF!,9,0),0)+IFERROR(VLOOKUP(A1565,#REF!,9,0),0)</f>
        <v>0</v>
      </c>
      <c r="J1565" s="104">
        <f>IFERROR(VLOOKUP(A1565,#REF!,16,0),0)+IFERROR(VLOOKUP(A1565,#REF!,26,0),0)+IFERROR(VLOOKUP(A1565,#REF!,11,0),0)+IFERROR(VLOOKUP(A1565,#REF!,23,0),0)+IFERROR(VLOOKUP(A1565,#REF!,11,0),0)+IFERROR(VLOOKUP(A1565,#REF!,11,0),0)+IFERROR(VLOOKUP(A1565,#REF!,11,0),0)</f>
        <v>0</v>
      </c>
      <c r="K1565" s="96" t="str">
        <f>"07.02.24"</f>
        <v>07.02.24</v>
      </c>
    </row>
    <row r="1566" spans="1:11" ht="11.25" customHeight="1" outlineLevel="1">
      <c r="A1566" s="89" t="n">
        <v>8142430</v>
      </c>
      <c r="B1566" s="114" t="s">
        <v>1201</v>
      </c>
      <c r="C1566" s="89" t="s">
        <v>2553</v>
      </c>
      <c r="D1566" s="89" t="s">
        <v>15</v>
      </c>
      <c r="E1566" s="89"/>
      <c r="F1566" s="102" t="n">
        <v>368</v>
      </c>
      <c r="G1566" s="102" t="n">
        <v>485</v>
      </c>
      <c r="H1566" s="103" t="s">
        <v>17</v>
      </c>
      <c r="I1566" s="103">
        <f>IFERROR(VLOOKUP(A1566,#REF!,15,0),0)+IFERROR(VLOOKUP(A1566,#REF!,25,0),0)+IFERROR(VLOOKUP(A1566,#REF!,10,0),0)+IFERROR(VLOOKUP(A1566,#REF!,14,0),0)+IFERROR(VLOOKUP(A1566,#REF!,11,0),0)+IFERROR(VLOOKUP(A1566,#REF!,10,0),0)+IFERROR(VLOOKUP(A1566,#REF!,10,0),0)+IFERROR(VLOOKUP(A1566,#REF!,9,0),0)+IFERROR(VLOOKUP(A1566,#REF!,9,0),0)+IFERROR(VLOOKUP(A1566,#REF!,9,0),0)+IFERROR(VLOOKUP(A1566,#REF!,9,0),0)</f>
        <v>0</v>
      </c>
      <c r="J1566" s="104">
        <f>IFERROR(VLOOKUP(A1566,#REF!,16,0),0)+IFERROR(VLOOKUP(A1566,#REF!,26,0),0)+IFERROR(VLOOKUP(A1566,#REF!,11,0),0)+IFERROR(VLOOKUP(A1566,#REF!,23,0),0)+IFERROR(VLOOKUP(A1566,#REF!,11,0),0)+IFERROR(VLOOKUP(A1566,#REF!,11,0),0)+IFERROR(VLOOKUP(A1566,#REF!,11,0),0)</f>
        <v>0</v>
      </c>
      <c r="K1566" s="96" t="str">
        <f>"07.02.24"</f>
        <v>07.02.24</v>
      </c>
    </row>
    <row r="1567" spans="1:11" ht="11.25" customHeight="1" outlineLevel="1">
      <c r="A1567" s="89" t="n">
        <v>8142510</v>
      </c>
      <c r="B1567" s="114" t="s">
        <v>1201</v>
      </c>
      <c r="C1567" s="89" t="s">
        <v>2554</v>
      </c>
      <c r="D1567" s="89" t="s">
        <v>15</v>
      </c>
      <c r="E1567" s="89"/>
      <c r="F1567" s="102" t="n">
        <v>755</v>
      </c>
      <c r="G1567" s="102" t="n">
        <v>1003</v>
      </c>
      <c r="H1567" s="103" t="s">
        <v>48</v>
      </c>
      <c r="I1567" s="103">
        <f>IFERROR(VLOOKUP(A1567,#REF!,15,0),0)+IFERROR(VLOOKUP(A1567,#REF!,25,0),0)+IFERROR(VLOOKUP(A1567,#REF!,10,0),0)+IFERROR(VLOOKUP(A1567,#REF!,14,0),0)+IFERROR(VLOOKUP(A1567,#REF!,11,0),0)+IFERROR(VLOOKUP(A1567,#REF!,10,0),0)+IFERROR(VLOOKUP(A1567,#REF!,10,0),0)+IFERROR(VLOOKUP(A1567,#REF!,9,0),0)+IFERROR(VLOOKUP(A1567,#REF!,9,0),0)+IFERROR(VLOOKUP(A1567,#REF!,9,0),0)+IFERROR(VLOOKUP(A1567,#REF!,9,0),0)</f>
        <v>0</v>
      </c>
      <c r="J1567" s="104">
        <f>IFERROR(VLOOKUP(A1567,#REF!,16,0),0)+IFERROR(VLOOKUP(A1567,#REF!,26,0),0)+IFERROR(VLOOKUP(A1567,#REF!,11,0),0)+IFERROR(VLOOKUP(A1567,#REF!,23,0),0)+IFERROR(VLOOKUP(A1567,#REF!,11,0),0)+IFERROR(VLOOKUP(A1567,#REF!,11,0),0)+IFERROR(VLOOKUP(A1567,#REF!,11,0),0)</f>
        <v>0</v>
      </c>
      <c r="K1567" s="96" t="str">
        <f>"07.02.24"</f>
        <v>07.02.24</v>
      </c>
    </row>
    <row r="1568" spans="1:11" ht="11.25" customHeight="1" outlineLevel="1">
      <c r="A1568" s="89" t="n">
        <v>8142520</v>
      </c>
      <c r="B1568" s="114" t="s">
        <v>1201</v>
      </c>
      <c r="C1568" s="89" t="s">
        <v>2555</v>
      </c>
      <c r="D1568" s="89" t="s">
        <v>15</v>
      </c>
      <c r="E1568" s="89"/>
      <c r="F1568" s="102" t="n">
        <v>742</v>
      </c>
      <c r="G1568" s="102" t="n">
        <v>985</v>
      </c>
      <c r="H1568" s="103" t="s">
        <v>17</v>
      </c>
      <c r="I1568" s="103">
        <f>IFERROR(VLOOKUP(A1568,#REF!,15,0),0)+IFERROR(VLOOKUP(A1568,#REF!,25,0),0)+IFERROR(VLOOKUP(A1568,#REF!,10,0),0)+IFERROR(VLOOKUP(A1568,#REF!,14,0),0)+IFERROR(VLOOKUP(A1568,#REF!,11,0),0)+IFERROR(VLOOKUP(A1568,#REF!,10,0),0)+IFERROR(VLOOKUP(A1568,#REF!,10,0),0)+IFERROR(VLOOKUP(A1568,#REF!,9,0),0)+IFERROR(VLOOKUP(A1568,#REF!,9,0),0)+IFERROR(VLOOKUP(A1568,#REF!,9,0),0)+IFERROR(VLOOKUP(A1568,#REF!,9,0),0)</f>
        <v>0</v>
      </c>
      <c r="J1568" s="104">
        <f>IFERROR(VLOOKUP(A1568,#REF!,16,0),0)+IFERROR(VLOOKUP(A1568,#REF!,26,0),0)+IFERROR(VLOOKUP(A1568,#REF!,11,0),0)+IFERROR(VLOOKUP(A1568,#REF!,23,0),0)+IFERROR(VLOOKUP(A1568,#REF!,11,0),0)+IFERROR(VLOOKUP(A1568,#REF!,11,0),0)+IFERROR(VLOOKUP(A1568,#REF!,11,0),0)</f>
        <v>0</v>
      </c>
      <c r="K1568" s="96" t="str">
        <f>"07.02.24"</f>
        <v>07.02.24</v>
      </c>
    </row>
    <row r="1569" spans="1:11" ht="11.25" customHeight="1" outlineLevel="1">
      <c r="A1569" s="89" t="n">
        <v>8142410</v>
      </c>
      <c r="B1569" s="114" t="s">
        <v>1201</v>
      </c>
      <c r="C1569" s="89" t="s">
        <v>2556</v>
      </c>
      <c r="D1569" s="89" t="s">
        <v>15</v>
      </c>
      <c r="E1569" s="89"/>
      <c r="F1569" s="102" t="n">
        <v>357</v>
      </c>
      <c r="G1569" s="102" t="n">
        <v>476</v>
      </c>
      <c r="H1569" s="103" t="s">
        <v>17</v>
      </c>
      <c r="I1569" s="103">
        <f>IFERROR(VLOOKUP(A1569,#REF!,15,0),0)+IFERROR(VLOOKUP(A1569,#REF!,25,0),0)+IFERROR(VLOOKUP(A1569,#REF!,10,0),0)+IFERROR(VLOOKUP(A1569,#REF!,14,0),0)+IFERROR(VLOOKUP(A1569,#REF!,11,0),0)+IFERROR(VLOOKUP(A1569,#REF!,10,0),0)+IFERROR(VLOOKUP(A1569,#REF!,10,0),0)+IFERROR(VLOOKUP(A1569,#REF!,9,0),0)+IFERROR(VLOOKUP(A1569,#REF!,9,0),0)+IFERROR(VLOOKUP(A1569,#REF!,9,0),0)+IFERROR(VLOOKUP(A1569,#REF!,9,0),0)</f>
        <v>0</v>
      </c>
      <c r="J1569" s="104">
        <f>IFERROR(VLOOKUP(A1569,#REF!,16,0),0)+IFERROR(VLOOKUP(A1569,#REF!,26,0),0)+IFERROR(VLOOKUP(A1569,#REF!,11,0),0)+IFERROR(VLOOKUP(A1569,#REF!,23,0),0)+IFERROR(VLOOKUP(A1569,#REF!,11,0),0)+IFERROR(VLOOKUP(A1569,#REF!,11,0),0)+IFERROR(VLOOKUP(A1569,#REF!,11,0),0)</f>
        <v>0</v>
      </c>
      <c r="K1569" s="96" t="str">
        <f>"07.02.24"</f>
        <v>07.02.24</v>
      </c>
    </row>
    <row r="1570" spans="1:11" ht="11.25" customHeight="1" outlineLevel="1">
      <c r="A1570" s="89" t="n">
        <v>8142440</v>
      </c>
      <c r="B1570" s="114" t="s">
        <v>1201</v>
      </c>
      <c r="C1570" s="89" t="s">
        <v>2557</v>
      </c>
      <c r="D1570" s="89" t="s">
        <v>15</v>
      </c>
      <c r="E1570" s="89"/>
      <c r="F1570" s="102" t="n">
        <v>372</v>
      </c>
      <c r="G1570" s="102" t="n">
        <v>494</v>
      </c>
      <c r="H1570" s="103" t="s">
        <v>17</v>
      </c>
      <c r="I1570" s="103">
        <f>IFERROR(VLOOKUP(A1570,#REF!,15,0),0)+IFERROR(VLOOKUP(A1570,#REF!,25,0),0)+IFERROR(VLOOKUP(A1570,#REF!,10,0),0)+IFERROR(VLOOKUP(A1570,#REF!,14,0),0)+IFERROR(VLOOKUP(A1570,#REF!,11,0),0)+IFERROR(VLOOKUP(A1570,#REF!,10,0),0)+IFERROR(VLOOKUP(A1570,#REF!,10,0),0)+IFERROR(VLOOKUP(A1570,#REF!,9,0),0)+IFERROR(VLOOKUP(A1570,#REF!,9,0),0)+IFERROR(VLOOKUP(A1570,#REF!,9,0),0)+IFERROR(VLOOKUP(A1570,#REF!,9,0),0)</f>
        <v>0</v>
      </c>
      <c r="J1570" s="104">
        <f>IFERROR(VLOOKUP(A1570,#REF!,16,0),0)+IFERROR(VLOOKUP(A1570,#REF!,26,0),0)+IFERROR(VLOOKUP(A1570,#REF!,11,0),0)+IFERROR(VLOOKUP(A1570,#REF!,23,0),0)+IFERROR(VLOOKUP(A1570,#REF!,11,0),0)+IFERROR(VLOOKUP(A1570,#REF!,11,0),0)+IFERROR(VLOOKUP(A1570,#REF!,11,0),0)</f>
        <v>0</v>
      </c>
      <c r="K1570" s="96" t="str">
        <f>"07.02.24"</f>
        <v>07.02.24</v>
      </c>
    </row>
    <row r="1571" spans="1:11" ht="11.25" customHeight="1" outlineLevel="1">
      <c r="A1571" s="89" t="n">
        <v>8142450</v>
      </c>
      <c r="B1571" s="114" t="s">
        <v>1201</v>
      </c>
      <c r="C1571" s="89" t="s">
        <v>2558</v>
      </c>
      <c r="D1571" s="89" t="s">
        <v>15</v>
      </c>
      <c r="E1571" s="89"/>
      <c r="F1571" s="102" t="n">
        <v>483</v>
      </c>
      <c r="G1571" s="102" t="n">
        <v>644</v>
      </c>
      <c r="H1571" s="103" t="s">
        <v>17</v>
      </c>
      <c r="I1571" s="103">
        <f>IFERROR(VLOOKUP(A1571,#REF!,15,0),0)+IFERROR(VLOOKUP(A1571,#REF!,25,0),0)+IFERROR(VLOOKUP(A1571,#REF!,10,0),0)+IFERROR(VLOOKUP(A1571,#REF!,14,0),0)+IFERROR(VLOOKUP(A1571,#REF!,11,0),0)+IFERROR(VLOOKUP(A1571,#REF!,10,0),0)+IFERROR(VLOOKUP(A1571,#REF!,10,0),0)+IFERROR(VLOOKUP(A1571,#REF!,9,0),0)+IFERROR(VLOOKUP(A1571,#REF!,9,0),0)+IFERROR(VLOOKUP(A1571,#REF!,9,0),0)+IFERROR(VLOOKUP(A1571,#REF!,9,0),0)</f>
        <v>0</v>
      </c>
      <c r="J1571" s="104">
        <f>IFERROR(VLOOKUP(A1571,#REF!,16,0),0)+IFERROR(VLOOKUP(A1571,#REF!,26,0),0)+IFERROR(VLOOKUP(A1571,#REF!,11,0),0)+IFERROR(VLOOKUP(A1571,#REF!,23,0),0)+IFERROR(VLOOKUP(A1571,#REF!,11,0),0)+IFERROR(VLOOKUP(A1571,#REF!,11,0),0)+IFERROR(VLOOKUP(A1571,#REF!,11,0),0)</f>
        <v>0</v>
      </c>
      <c r="K1571" s="96" t="str">
        <f>"07.02.24"</f>
        <v>07.02.24</v>
      </c>
    </row>
    <row r="1572" spans="1:11" ht="11.25" customHeight="1" outlineLevel="1">
      <c r="A1572" s="89" t="n">
        <v>8142490</v>
      </c>
      <c r="B1572" s="114" t="s">
        <v>1201</v>
      </c>
      <c r="C1572" s="89" t="s">
        <v>2559</v>
      </c>
      <c r="D1572" s="89" t="s">
        <v>15</v>
      </c>
      <c r="E1572" s="89"/>
      <c r="F1572" s="102" t="n">
        <v>725</v>
      </c>
      <c r="G1572" s="102" t="n">
        <v>964</v>
      </c>
      <c r="H1572" s="103" t="s">
        <v>17</v>
      </c>
      <c r="I1572" s="103">
        <f>IFERROR(VLOOKUP(A1572,#REF!,15,0),0)+IFERROR(VLOOKUP(A1572,#REF!,25,0),0)+IFERROR(VLOOKUP(A1572,#REF!,10,0),0)+IFERROR(VLOOKUP(A1572,#REF!,14,0),0)+IFERROR(VLOOKUP(A1572,#REF!,11,0),0)+IFERROR(VLOOKUP(A1572,#REF!,10,0),0)+IFERROR(VLOOKUP(A1572,#REF!,10,0),0)+IFERROR(VLOOKUP(A1572,#REF!,9,0),0)+IFERROR(VLOOKUP(A1572,#REF!,9,0),0)+IFERROR(VLOOKUP(A1572,#REF!,9,0),0)+IFERROR(VLOOKUP(A1572,#REF!,9,0),0)</f>
        <v>0</v>
      </c>
      <c r="J1572" s="104">
        <f>IFERROR(VLOOKUP(A1572,#REF!,16,0),0)+IFERROR(VLOOKUP(A1572,#REF!,26,0),0)+IFERROR(VLOOKUP(A1572,#REF!,11,0),0)+IFERROR(VLOOKUP(A1572,#REF!,23,0),0)+IFERROR(VLOOKUP(A1572,#REF!,11,0),0)+IFERROR(VLOOKUP(A1572,#REF!,11,0),0)+IFERROR(VLOOKUP(A1572,#REF!,11,0),0)</f>
        <v>0</v>
      </c>
      <c r="K1572" s="96" t="str">
        <f>"07.02.24"</f>
        <v>07.02.24</v>
      </c>
    </row>
    <row r="1573" spans="1:11" ht="11.25" customHeight="1" outlineLevel="1">
      <c r="A1573" s="89" t="n">
        <v>8142500</v>
      </c>
      <c r="B1573" s="114" t="s">
        <v>1201</v>
      </c>
      <c r="C1573" s="89" t="s">
        <v>2560</v>
      </c>
      <c r="D1573" s="89" t="s">
        <v>15</v>
      </c>
      <c r="E1573" s="89"/>
      <c r="F1573" s="102" t="n">
        <v>742</v>
      </c>
      <c r="G1573" s="102" t="n">
        <v>985</v>
      </c>
      <c r="H1573" s="103" t="s">
        <v>17</v>
      </c>
      <c r="I1573" s="103">
        <f>IFERROR(VLOOKUP(A1573,#REF!,15,0),0)+IFERROR(VLOOKUP(A1573,#REF!,25,0),0)+IFERROR(VLOOKUP(A1573,#REF!,10,0),0)+IFERROR(VLOOKUP(A1573,#REF!,14,0),0)+IFERROR(VLOOKUP(A1573,#REF!,11,0),0)+IFERROR(VLOOKUP(A1573,#REF!,10,0),0)+IFERROR(VLOOKUP(A1573,#REF!,10,0),0)+IFERROR(VLOOKUP(A1573,#REF!,9,0),0)+IFERROR(VLOOKUP(A1573,#REF!,9,0),0)+IFERROR(VLOOKUP(A1573,#REF!,9,0),0)+IFERROR(VLOOKUP(A1573,#REF!,9,0),0)</f>
        <v>0</v>
      </c>
      <c r="J1573" s="104">
        <f>IFERROR(VLOOKUP(A1573,#REF!,16,0),0)+IFERROR(VLOOKUP(A1573,#REF!,26,0),0)+IFERROR(VLOOKUP(A1573,#REF!,11,0),0)+IFERROR(VLOOKUP(A1573,#REF!,23,0),0)+IFERROR(VLOOKUP(A1573,#REF!,11,0),0)+IFERROR(VLOOKUP(A1573,#REF!,11,0),0)+IFERROR(VLOOKUP(A1573,#REF!,11,0),0)</f>
        <v>0</v>
      </c>
      <c r="K1573" s="96" t="str">
        <f>"07.02.24"</f>
        <v>07.02.24</v>
      </c>
    </row>
    <row r="1574" spans="1:11" ht="11.25" customHeight="1" outlineLevel="1">
      <c r="A1574" s="89" t="n">
        <v>8142530</v>
      </c>
      <c r="B1574" s="114" t="s">
        <v>1201</v>
      </c>
      <c r="C1574" s="89" t="s">
        <v>2561</v>
      </c>
      <c r="D1574" s="89" t="s">
        <v>15</v>
      </c>
      <c r="E1574" s="89"/>
      <c r="F1574" s="102" t="n">
        <v>755</v>
      </c>
      <c r="G1574" s="102" t="n">
        <v>1003</v>
      </c>
      <c r="H1574" s="103" t="s">
        <v>17</v>
      </c>
      <c r="I1574" s="103">
        <f>IFERROR(VLOOKUP(A1574,#REF!,15,0),0)+IFERROR(VLOOKUP(A1574,#REF!,25,0),0)+IFERROR(VLOOKUP(A1574,#REF!,10,0),0)+IFERROR(VLOOKUP(A1574,#REF!,14,0),0)+IFERROR(VLOOKUP(A1574,#REF!,11,0),0)+IFERROR(VLOOKUP(A1574,#REF!,10,0),0)+IFERROR(VLOOKUP(A1574,#REF!,10,0),0)+IFERROR(VLOOKUP(A1574,#REF!,9,0),0)+IFERROR(VLOOKUP(A1574,#REF!,9,0),0)+IFERROR(VLOOKUP(A1574,#REF!,9,0),0)+IFERROR(VLOOKUP(A1574,#REF!,9,0),0)</f>
        <v>0</v>
      </c>
      <c r="J1574" s="104">
        <f>IFERROR(VLOOKUP(A1574,#REF!,16,0),0)+IFERROR(VLOOKUP(A1574,#REF!,26,0),0)+IFERROR(VLOOKUP(A1574,#REF!,11,0),0)+IFERROR(VLOOKUP(A1574,#REF!,23,0),0)+IFERROR(VLOOKUP(A1574,#REF!,11,0),0)+IFERROR(VLOOKUP(A1574,#REF!,11,0),0)+IFERROR(VLOOKUP(A1574,#REF!,11,0),0)</f>
        <v>0</v>
      </c>
      <c r="K1574" s="96" t="str">
        <f>"07.02.24"</f>
        <v>07.02.24</v>
      </c>
    </row>
    <row r="1575" spans="1:11" ht="11.25" customHeight="1">
      <c r="A1575" s="88" t="s">
        <v>2562</v>
      </c>
      <c r="B1575" s="115"/>
      <c r="C1575" s="88"/>
      <c r="D1575" s="88"/>
      <c r="E1575" s="88"/>
      <c r="F1575" s="105"/>
      <c r="G1575" s="105"/>
      <c r="H1575" s="106"/>
      <c r="I1575" s="106"/>
      <c r="J1575" s="107"/>
      <c r="K1575" s="96" t="str">
        <f>"07.02.24"</f>
        <v>07.02.24</v>
      </c>
    </row>
    <row r="1576" spans="1:11" ht="11.25" customHeight="1" outlineLevel="1">
      <c r="A1576" s="89" t="n">
        <v>21773</v>
      </c>
      <c r="B1576" s="114" t="s">
        <v>1201</v>
      </c>
      <c r="C1576" s="89" t="s">
        <v>2563</v>
      </c>
      <c r="D1576" s="89" t="s">
        <v>15</v>
      </c>
      <c r="E1576" s="89" t="s">
        <v>2564</v>
      </c>
      <c r="F1576" s="102" t="n">
        <v>224</v>
      </c>
      <c r="G1576" s="102" t="n">
        <v>296</v>
      </c>
      <c r="H1576" s="103" t="s">
        <v>48</v>
      </c>
      <c r="I1576" s="103">
        <f>IFERROR(VLOOKUP(A1576,#REF!,15,0),0)+IFERROR(VLOOKUP(A1576,#REF!,25,0),0)+IFERROR(VLOOKUP(A1576,#REF!,10,0),0)+IFERROR(VLOOKUP(A1576,#REF!,14,0),0)+IFERROR(VLOOKUP(A1576,#REF!,11,0),0)+IFERROR(VLOOKUP(A1576,#REF!,10,0),0)+IFERROR(VLOOKUP(A1576,#REF!,10,0),0)+IFERROR(VLOOKUP(A1576,#REF!,9,0),0)+IFERROR(VLOOKUP(A1576,#REF!,9,0),0)+IFERROR(VLOOKUP(A1576,#REF!,9,0),0)+IFERROR(VLOOKUP(A1576,#REF!,9,0),0)</f>
        <v>0</v>
      </c>
      <c r="J1576" s="104">
        <f>IFERROR(VLOOKUP(A1576,#REF!,16,0),0)+IFERROR(VLOOKUP(A1576,#REF!,26,0),0)+IFERROR(VLOOKUP(A1576,#REF!,11,0),0)+IFERROR(VLOOKUP(A1576,#REF!,23,0),0)+IFERROR(VLOOKUP(A1576,#REF!,11,0),0)+IFERROR(VLOOKUP(A1576,#REF!,11,0),0)+IFERROR(VLOOKUP(A1576,#REF!,11,0),0)</f>
        <v>0</v>
      </c>
      <c r="K1576" s="96" t="str">
        <f>"07.02.24"</f>
        <v>07.02.24</v>
      </c>
    </row>
    <row r="1577" spans="1:11" ht="11.25" customHeight="1" outlineLevel="1">
      <c r="A1577" s="89" t="n">
        <v>21776</v>
      </c>
      <c r="B1577" s="114" t="s">
        <v>1201</v>
      </c>
      <c r="C1577" s="89" t="s">
        <v>2565</v>
      </c>
      <c r="D1577" s="89" t="s">
        <v>15</v>
      </c>
      <c r="E1577" s="89" t="s">
        <v>2566</v>
      </c>
      <c r="F1577" s="102" t="n">
        <v>434</v>
      </c>
      <c r="G1577" s="102" t="n">
        <v>575</v>
      </c>
      <c r="H1577" s="103" t="s">
        <v>48</v>
      </c>
      <c r="I1577" s="103">
        <f>IFERROR(VLOOKUP(A1577,#REF!,15,0),0)+IFERROR(VLOOKUP(A1577,#REF!,25,0),0)+IFERROR(VLOOKUP(A1577,#REF!,10,0),0)+IFERROR(VLOOKUP(A1577,#REF!,14,0),0)+IFERROR(VLOOKUP(A1577,#REF!,11,0),0)+IFERROR(VLOOKUP(A1577,#REF!,10,0),0)+IFERROR(VLOOKUP(A1577,#REF!,10,0),0)+IFERROR(VLOOKUP(A1577,#REF!,9,0),0)+IFERROR(VLOOKUP(A1577,#REF!,9,0),0)+IFERROR(VLOOKUP(A1577,#REF!,9,0),0)+IFERROR(VLOOKUP(A1577,#REF!,9,0),0)</f>
        <v>0</v>
      </c>
      <c r="J1577" s="104">
        <f>IFERROR(VLOOKUP(A1577,#REF!,16,0),0)+IFERROR(VLOOKUP(A1577,#REF!,26,0),0)+IFERROR(VLOOKUP(A1577,#REF!,11,0),0)+IFERROR(VLOOKUP(A1577,#REF!,23,0),0)+IFERROR(VLOOKUP(A1577,#REF!,11,0),0)+IFERROR(VLOOKUP(A1577,#REF!,11,0),0)+IFERROR(VLOOKUP(A1577,#REF!,11,0),0)</f>
        <v>0</v>
      </c>
      <c r="K1577" s="96" t="str">
        <f>"07.02.24"</f>
        <v>07.02.24</v>
      </c>
    </row>
    <row r="1578" spans="1:11" ht="11.25" customHeight="1" outlineLevel="1">
      <c r="A1578" s="89" t="n">
        <v>21777</v>
      </c>
      <c r="B1578" s="114" t="s">
        <v>1201</v>
      </c>
      <c r="C1578" s="89" t="s">
        <v>2567</v>
      </c>
      <c r="D1578" s="89" t="s">
        <v>15</v>
      </c>
      <c r="E1578" s="89" t="s">
        <v>2568</v>
      </c>
      <c r="F1578" s="102" t="n">
        <v>576</v>
      </c>
      <c r="G1578" s="102" t="n">
        <v>763</v>
      </c>
      <c r="H1578" s="103" t="s">
        <v>48</v>
      </c>
      <c r="I1578" s="103">
        <f>IFERROR(VLOOKUP(A1578,#REF!,15,0),0)+IFERROR(VLOOKUP(A1578,#REF!,25,0),0)+IFERROR(VLOOKUP(A1578,#REF!,10,0),0)+IFERROR(VLOOKUP(A1578,#REF!,14,0),0)+IFERROR(VLOOKUP(A1578,#REF!,11,0),0)+IFERROR(VLOOKUP(A1578,#REF!,10,0),0)+IFERROR(VLOOKUP(A1578,#REF!,10,0),0)+IFERROR(VLOOKUP(A1578,#REF!,9,0),0)+IFERROR(VLOOKUP(A1578,#REF!,9,0),0)+IFERROR(VLOOKUP(A1578,#REF!,9,0),0)+IFERROR(VLOOKUP(A1578,#REF!,9,0),0)</f>
        <v>0</v>
      </c>
      <c r="J1578" s="104">
        <f>IFERROR(VLOOKUP(A1578,#REF!,16,0),0)+IFERROR(VLOOKUP(A1578,#REF!,26,0),0)+IFERROR(VLOOKUP(A1578,#REF!,11,0),0)+IFERROR(VLOOKUP(A1578,#REF!,23,0),0)+IFERROR(VLOOKUP(A1578,#REF!,11,0),0)+IFERROR(VLOOKUP(A1578,#REF!,11,0),0)+IFERROR(VLOOKUP(A1578,#REF!,11,0),0)</f>
        <v>0</v>
      </c>
      <c r="K1578" s="96" t="str">
        <f>"07.02.24"</f>
        <v>07.02.24</v>
      </c>
    </row>
    <row r="1579" spans="1:11" ht="11.25" customHeight="1" outlineLevel="1">
      <c r="A1579" s="89" t="n">
        <v>21778</v>
      </c>
      <c r="B1579" s="114" t="s">
        <v>1201</v>
      </c>
      <c r="C1579" s="89" t="s">
        <v>2569</v>
      </c>
      <c r="D1579" s="89" t="s">
        <v>15</v>
      </c>
      <c r="E1579" s="89" t="s">
        <v>2570</v>
      </c>
      <c r="F1579" s="102" t="n">
        <v>323</v>
      </c>
      <c r="G1579" s="102" t="n">
        <v>430</v>
      </c>
      <c r="H1579" s="103" t="s">
        <v>17</v>
      </c>
      <c r="I1579" s="103">
        <f>IFERROR(VLOOKUP(A1579,#REF!,15,0),0)+IFERROR(VLOOKUP(A1579,#REF!,25,0),0)+IFERROR(VLOOKUP(A1579,#REF!,10,0),0)+IFERROR(VLOOKUP(A1579,#REF!,14,0),0)+IFERROR(VLOOKUP(A1579,#REF!,11,0),0)+IFERROR(VLOOKUP(A1579,#REF!,10,0),0)+IFERROR(VLOOKUP(A1579,#REF!,10,0),0)+IFERROR(VLOOKUP(A1579,#REF!,9,0),0)+IFERROR(VLOOKUP(A1579,#REF!,9,0),0)+IFERROR(VLOOKUP(A1579,#REF!,9,0),0)+IFERROR(VLOOKUP(A1579,#REF!,9,0),0)</f>
        <v>0</v>
      </c>
      <c r="J1579" s="104">
        <f>IFERROR(VLOOKUP(A1579,#REF!,16,0),0)+IFERROR(VLOOKUP(A1579,#REF!,26,0),0)+IFERROR(VLOOKUP(A1579,#REF!,11,0),0)+IFERROR(VLOOKUP(A1579,#REF!,23,0),0)+IFERROR(VLOOKUP(A1579,#REF!,11,0),0)+IFERROR(VLOOKUP(A1579,#REF!,11,0),0)+IFERROR(VLOOKUP(A1579,#REF!,11,0),0)</f>
        <v>0</v>
      </c>
      <c r="K1579" s="96" t="str">
        <f>"07.02.24"</f>
        <v>07.02.24</v>
      </c>
    </row>
    <row r="1580" spans="1:11" ht="11.25" customHeight="1" outlineLevel="1">
      <c r="A1580" s="89" t="n">
        <v>21779</v>
      </c>
      <c r="B1580" s="114" t="s">
        <v>1201</v>
      </c>
      <c r="C1580" s="89" t="s">
        <v>2571</v>
      </c>
      <c r="D1580" s="89" t="s">
        <v>15</v>
      </c>
      <c r="E1580" s="89" t="s">
        <v>2572</v>
      </c>
      <c r="F1580" s="102" t="n">
        <v>511</v>
      </c>
      <c r="G1580" s="102" t="n">
        <v>677</v>
      </c>
      <c r="H1580" s="103" t="s">
        <v>48</v>
      </c>
      <c r="I1580" s="103">
        <f>IFERROR(VLOOKUP(A1580,#REF!,15,0),0)+IFERROR(VLOOKUP(A1580,#REF!,25,0),0)+IFERROR(VLOOKUP(A1580,#REF!,10,0),0)+IFERROR(VLOOKUP(A1580,#REF!,14,0),0)+IFERROR(VLOOKUP(A1580,#REF!,11,0),0)+IFERROR(VLOOKUP(A1580,#REF!,10,0),0)+IFERROR(VLOOKUP(A1580,#REF!,10,0),0)+IFERROR(VLOOKUP(A1580,#REF!,9,0),0)+IFERROR(VLOOKUP(A1580,#REF!,9,0),0)+IFERROR(VLOOKUP(A1580,#REF!,9,0),0)+IFERROR(VLOOKUP(A1580,#REF!,9,0),0)</f>
        <v>0</v>
      </c>
      <c r="J1580" s="104">
        <f>IFERROR(VLOOKUP(A1580,#REF!,16,0),0)+IFERROR(VLOOKUP(A1580,#REF!,26,0),0)+IFERROR(VLOOKUP(A1580,#REF!,11,0),0)+IFERROR(VLOOKUP(A1580,#REF!,23,0),0)+IFERROR(VLOOKUP(A1580,#REF!,11,0),0)+IFERROR(VLOOKUP(A1580,#REF!,11,0),0)+IFERROR(VLOOKUP(A1580,#REF!,11,0),0)</f>
        <v>0</v>
      </c>
      <c r="K1580" s="96" t="str">
        <f>"07.02.24"</f>
        <v>07.02.24</v>
      </c>
    </row>
    <row r="1581" spans="1:11" ht="11.25" customHeight="1" outlineLevel="1">
      <c r="A1581" s="89" t="n">
        <v>21780</v>
      </c>
      <c r="B1581" s="114" t="s">
        <v>1201</v>
      </c>
      <c r="C1581" s="89" t="s">
        <v>2573</v>
      </c>
      <c r="D1581" s="89" t="s">
        <v>15</v>
      </c>
      <c r="E1581" s="89" t="s">
        <v>2574</v>
      </c>
      <c r="F1581" s="102" t="n">
        <v>324</v>
      </c>
      <c r="G1581" s="102" t="n">
        <v>434</v>
      </c>
      <c r="H1581" s="103" t="s">
        <v>48</v>
      </c>
      <c r="I1581" s="103">
        <f>IFERROR(VLOOKUP(A1581,#REF!,15,0),0)+IFERROR(VLOOKUP(A1581,#REF!,25,0),0)+IFERROR(VLOOKUP(A1581,#REF!,10,0),0)+IFERROR(VLOOKUP(A1581,#REF!,14,0),0)+IFERROR(VLOOKUP(A1581,#REF!,11,0),0)+IFERROR(VLOOKUP(A1581,#REF!,10,0),0)+IFERROR(VLOOKUP(A1581,#REF!,10,0),0)+IFERROR(VLOOKUP(A1581,#REF!,9,0),0)+IFERROR(VLOOKUP(A1581,#REF!,9,0),0)+IFERROR(VLOOKUP(A1581,#REF!,9,0),0)+IFERROR(VLOOKUP(A1581,#REF!,9,0),0)</f>
        <v>0</v>
      </c>
      <c r="J1581" s="104">
        <f>IFERROR(VLOOKUP(A1581,#REF!,16,0),0)+IFERROR(VLOOKUP(A1581,#REF!,26,0),0)+IFERROR(VLOOKUP(A1581,#REF!,11,0),0)+IFERROR(VLOOKUP(A1581,#REF!,23,0),0)+IFERROR(VLOOKUP(A1581,#REF!,11,0),0)+IFERROR(VLOOKUP(A1581,#REF!,11,0),0)+IFERROR(VLOOKUP(A1581,#REF!,11,0),0)</f>
        <v>0</v>
      </c>
      <c r="K1581" s="96" t="str">
        <f>"07.02.24"</f>
        <v>07.02.24</v>
      </c>
    </row>
    <row r="1582" spans="1:11" ht="11.25" customHeight="1" outlineLevel="1">
      <c r="A1582" s="89" t="n">
        <v>21781</v>
      </c>
      <c r="B1582" s="114" t="s">
        <v>1201</v>
      </c>
      <c r="C1582" s="89" t="s">
        <v>2575</v>
      </c>
      <c r="D1582" s="89" t="s">
        <v>15</v>
      </c>
      <c r="E1582" s="89" t="s">
        <v>2576</v>
      </c>
      <c r="F1582" s="102" t="n">
        <v>524</v>
      </c>
      <c r="G1582" s="102" t="n">
        <v>697</v>
      </c>
      <c r="H1582" s="103" t="s">
        <v>48</v>
      </c>
      <c r="I1582" s="103">
        <f>IFERROR(VLOOKUP(A1582,#REF!,15,0),0)+IFERROR(VLOOKUP(A1582,#REF!,25,0),0)+IFERROR(VLOOKUP(A1582,#REF!,10,0),0)+IFERROR(VLOOKUP(A1582,#REF!,14,0),0)+IFERROR(VLOOKUP(A1582,#REF!,11,0),0)+IFERROR(VLOOKUP(A1582,#REF!,10,0),0)+IFERROR(VLOOKUP(A1582,#REF!,10,0),0)+IFERROR(VLOOKUP(A1582,#REF!,9,0),0)+IFERROR(VLOOKUP(A1582,#REF!,9,0),0)+IFERROR(VLOOKUP(A1582,#REF!,9,0),0)+IFERROR(VLOOKUP(A1582,#REF!,9,0),0)</f>
        <v>0</v>
      </c>
      <c r="J1582" s="104">
        <f>IFERROR(VLOOKUP(A1582,#REF!,16,0),0)+IFERROR(VLOOKUP(A1582,#REF!,26,0),0)+IFERROR(VLOOKUP(A1582,#REF!,11,0),0)+IFERROR(VLOOKUP(A1582,#REF!,23,0),0)+IFERROR(VLOOKUP(A1582,#REF!,11,0),0)+IFERROR(VLOOKUP(A1582,#REF!,11,0),0)+IFERROR(VLOOKUP(A1582,#REF!,11,0),0)</f>
        <v>0</v>
      </c>
      <c r="K1582" s="96" t="str">
        <f>"07.02.24"</f>
        <v>07.02.24</v>
      </c>
    </row>
    <row r="1583" spans="1:11" ht="11.25" customHeight="1" outlineLevel="1">
      <c r="A1583" s="89" t="n">
        <v>21782</v>
      </c>
      <c r="B1583" s="114" t="s">
        <v>1201</v>
      </c>
      <c r="C1583" s="89" t="s">
        <v>2577</v>
      </c>
      <c r="D1583" s="89" t="s">
        <v>15</v>
      </c>
      <c r="E1583" s="89" t="s">
        <v>2578</v>
      </c>
      <c r="F1583" s="102" t="n">
        <v>636</v>
      </c>
      <c r="G1583" s="102" t="n">
        <v>844</v>
      </c>
      <c r="H1583" s="103" t="s">
        <v>48</v>
      </c>
      <c r="I1583" s="103">
        <f>IFERROR(VLOOKUP(A1583,#REF!,15,0),0)+IFERROR(VLOOKUP(A1583,#REF!,25,0),0)+IFERROR(VLOOKUP(A1583,#REF!,10,0),0)+IFERROR(VLOOKUP(A1583,#REF!,14,0),0)+IFERROR(VLOOKUP(A1583,#REF!,11,0),0)+IFERROR(VLOOKUP(A1583,#REF!,10,0),0)+IFERROR(VLOOKUP(A1583,#REF!,10,0),0)+IFERROR(VLOOKUP(A1583,#REF!,9,0),0)+IFERROR(VLOOKUP(A1583,#REF!,9,0),0)+IFERROR(VLOOKUP(A1583,#REF!,9,0),0)+IFERROR(VLOOKUP(A1583,#REF!,9,0),0)</f>
        <v>0</v>
      </c>
      <c r="J1583" s="104">
        <f>IFERROR(VLOOKUP(A1583,#REF!,16,0),0)+IFERROR(VLOOKUP(A1583,#REF!,26,0),0)+IFERROR(VLOOKUP(A1583,#REF!,11,0),0)+IFERROR(VLOOKUP(A1583,#REF!,23,0),0)+IFERROR(VLOOKUP(A1583,#REF!,11,0),0)+IFERROR(VLOOKUP(A1583,#REF!,11,0),0)+IFERROR(VLOOKUP(A1583,#REF!,11,0),0)</f>
        <v>0</v>
      </c>
      <c r="K1583" s="96" t="str">
        <f>"07.02.24"</f>
        <v>07.02.24</v>
      </c>
    </row>
    <row r="1584" spans="1:11" ht="11.25" customHeight="1" outlineLevel="1">
      <c r="A1584" s="89" t="n">
        <v>22208</v>
      </c>
      <c r="B1584" s="114" t="s">
        <v>1201</v>
      </c>
      <c r="C1584" s="89" t="s">
        <v>2579</v>
      </c>
      <c r="D1584" s="89" t="s">
        <v>15</v>
      </c>
      <c r="E1584" s="89" t="s">
        <v>2580</v>
      </c>
      <c r="F1584" s="102" t="n">
        <v>858</v>
      </c>
      <c r="G1584" s="102" t="n">
        <v>1137</v>
      </c>
      <c r="H1584" s="103" t="s">
        <v>48</v>
      </c>
      <c r="I1584" s="103">
        <f>IFERROR(VLOOKUP(A1584,#REF!,15,0),0)+IFERROR(VLOOKUP(A1584,#REF!,25,0),0)+IFERROR(VLOOKUP(A1584,#REF!,10,0),0)+IFERROR(VLOOKUP(A1584,#REF!,14,0),0)+IFERROR(VLOOKUP(A1584,#REF!,11,0),0)+IFERROR(VLOOKUP(A1584,#REF!,10,0),0)+IFERROR(VLOOKUP(A1584,#REF!,10,0),0)+IFERROR(VLOOKUP(A1584,#REF!,9,0),0)+IFERROR(VLOOKUP(A1584,#REF!,9,0),0)+IFERROR(VLOOKUP(A1584,#REF!,9,0),0)+IFERROR(VLOOKUP(A1584,#REF!,9,0),0)</f>
        <v>0</v>
      </c>
      <c r="J1584" s="104">
        <f>IFERROR(VLOOKUP(A1584,#REF!,16,0),0)+IFERROR(VLOOKUP(A1584,#REF!,26,0),0)+IFERROR(VLOOKUP(A1584,#REF!,11,0),0)+IFERROR(VLOOKUP(A1584,#REF!,23,0),0)+IFERROR(VLOOKUP(A1584,#REF!,11,0),0)+IFERROR(VLOOKUP(A1584,#REF!,11,0),0)+IFERROR(VLOOKUP(A1584,#REF!,11,0),0)</f>
        <v>0</v>
      </c>
      <c r="K1584" s="96" t="str">
        <f>"07.02.24"</f>
        <v>07.02.24</v>
      </c>
    </row>
    <row r="1585" spans="1:11" ht="11.25" customHeight="1" outlineLevel="1">
      <c r="A1585" s="89" t="n">
        <v>22218</v>
      </c>
      <c r="B1585" s="114" t="s">
        <v>1201</v>
      </c>
      <c r="C1585" s="89" t="s">
        <v>2581</v>
      </c>
      <c r="D1585" s="89" t="s">
        <v>15</v>
      </c>
      <c r="E1585" s="89" t="s">
        <v>2582</v>
      </c>
      <c r="F1585" s="102" t="n">
        <v>294</v>
      </c>
      <c r="G1585" s="102" t="n">
        <v>390</v>
      </c>
      <c r="H1585" s="103" t="s">
        <v>48</v>
      </c>
      <c r="I1585" s="103">
        <f>IFERROR(VLOOKUP(A1585,#REF!,15,0),0)+IFERROR(VLOOKUP(A1585,#REF!,25,0),0)+IFERROR(VLOOKUP(A1585,#REF!,10,0),0)+IFERROR(VLOOKUP(A1585,#REF!,14,0),0)+IFERROR(VLOOKUP(A1585,#REF!,11,0),0)+IFERROR(VLOOKUP(A1585,#REF!,10,0),0)+IFERROR(VLOOKUP(A1585,#REF!,10,0),0)+IFERROR(VLOOKUP(A1585,#REF!,9,0),0)+IFERROR(VLOOKUP(A1585,#REF!,9,0),0)+IFERROR(VLOOKUP(A1585,#REF!,9,0),0)+IFERROR(VLOOKUP(A1585,#REF!,9,0),0)</f>
        <v>0</v>
      </c>
      <c r="J1585" s="104">
        <f>IFERROR(VLOOKUP(A1585,#REF!,16,0),0)+IFERROR(VLOOKUP(A1585,#REF!,26,0),0)+IFERROR(VLOOKUP(A1585,#REF!,11,0),0)+IFERROR(VLOOKUP(A1585,#REF!,23,0),0)+IFERROR(VLOOKUP(A1585,#REF!,11,0),0)+IFERROR(VLOOKUP(A1585,#REF!,11,0),0)+IFERROR(VLOOKUP(A1585,#REF!,11,0),0)</f>
        <v>0</v>
      </c>
      <c r="K1585" s="96" t="str">
        <f>"07.02.24"</f>
        <v>07.02.24</v>
      </c>
    </row>
    <row r="1586" spans="1:11" ht="11.25" customHeight="1" outlineLevel="1">
      <c r="A1586" s="89" t="n">
        <v>22219</v>
      </c>
      <c r="B1586" s="114" t="s">
        <v>1201</v>
      </c>
      <c r="C1586" s="89" t="s">
        <v>2583</v>
      </c>
      <c r="D1586" s="89" t="s">
        <v>15</v>
      </c>
      <c r="E1586" s="89" t="s">
        <v>2584</v>
      </c>
      <c r="F1586" s="102" t="n">
        <v>393</v>
      </c>
      <c r="G1586" s="102" t="n">
        <v>522</v>
      </c>
      <c r="H1586" s="103" t="s">
        <v>48</v>
      </c>
      <c r="I1586" s="103">
        <f>IFERROR(VLOOKUP(A1586,#REF!,15,0),0)+IFERROR(VLOOKUP(A1586,#REF!,25,0),0)+IFERROR(VLOOKUP(A1586,#REF!,10,0),0)+IFERROR(VLOOKUP(A1586,#REF!,14,0),0)+IFERROR(VLOOKUP(A1586,#REF!,11,0),0)+IFERROR(VLOOKUP(A1586,#REF!,10,0),0)+IFERROR(VLOOKUP(A1586,#REF!,10,0),0)+IFERROR(VLOOKUP(A1586,#REF!,9,0),0)+IFERROR(VLOOKUP(A1586,#REF!,9,0),0)+IFERROR(VLOOKUP(A1586,#REF!,9,0),0)+IFERROR(VLOOKUP(A1586,#REF!,9,0),0)</f>
        <v>0</v>
      </c>
      <c r="J1586" s="104">
        <f>IFERROR(VLOOKUP(A1586,#REF!,16,0),0)+IFERROR(VLOOKUP(A1586,#REF!,26,0),0)+IFERROR(VLOOKUP(A1586,#REF!,11,0),0)+IFERROR(VLOOKUP(A1586,#REF!,23,0),0)+IFERROR(VLOOKUP(A1586,#REF!,11,0),0)+IFERROR(VLOOKUP(A1586,#REF!,11,0),0)+IFERROR(VLOOKUP(A1586,#REF!,11,0),0)</f>
        <v>0</v>
      </c>
      <c r="K1586" s="96" t="str">
        <f>"07.02.24"</f>
        <v>07.02.24</v>
      </c>
    </row>
    <row r="1587" spans="1:11" ht="11.25" customHeight="1" outlineLevel="1">
      <c r="A1587" s="89" t="n">
        <v>22220</v>
      </c>
      <c r="B1587" s="114" t="s">
        <v>1201</v>
      </c>
      <c r="C1587" s="89" t="s">
        <v>2585</v>
      </c>
      <c r="D1587" s="89" t="s">
        <v>15</v>
      </c>
      <c r="E1587" s="89" t="s">
        <v>2586</v>
      </c>
      <c r="F1587" s="102" t="n">
        <v>262</v>
      </c>
      <c r="G1587" s="102" t="n">
        <v>344</v>
      </c>
      <c r="H1587" s="103" t="s">
        <v>48</v>
      </c>
      <c r="I1587" s="103">
        <f>IFERROR(VLOOKUP(A1587,#REF!,15,0),0)+IFERROR(VLOOKUP(A1587,#REF!,25,0),0)+IFERROR(VLOOKUP(A1587,#REF!,10,0),0)+IFERROR(VLOOKUP(A1587,#REF!,14,0),0)+IFERROR(VLOOKUP(A1587,#REF!,11,0),0)+IFERROR(VLOOKUP(A1587,#REF!,10,0),0)+IFERROR(VLOOKUP(A1587,#REF!,10,0),0)+IFERROR(VLOOKUP(A1587,#REF!,9,0),0)+IFERROR(VLOOKUP(A1587,#REF!,9,0),0)+IFERROR(VLOOKUP(A1587,#REF!,9,0),0)+IFERROR(VLOOKUP(A1587,#REF!,9,0),0)</f>
        <v>0</v>
      </c>
      <c r="J1587" s="104">
        <f>IFERROR(VLOOKUP(A1587,#REF!,16,0),0)+IFERROR(VLOOKUP(A1587,#REF!,26,0),0)+IFERROR(VLOOKUP(A1587,#REF!,11,0),0)+IFERROR(VLOOKUP(A1587,#REF!,23,0),0)+IFERROR(VLOOKUP(A1587,#REF!,11,0),0)+IFERROR(VLOOKUP(A1587,#REF!,11,0),0)+IFERROR(VLOOKUP(A1587,#REF!,11,0),0)</f>
        <v>0</v>
      </c>
      <c r="K1587" s="96" t="str">
        <f>"07.02.24"</f>
        <v>07.02.24</v>
      </c>
    </row>
    <row r="1588" spans="1:11" ht="11.25" customHeight="1" outlineLevel="1">
      <c r="A1588" s="89" t="n">
        <v>22221</v>
      </c>
      <c r="B1588" s="114" t="s">
        <v>1201</v>
      </c>
      <c r="C1588" s="89" t="s">
        <v>2587</v>
      </c>
      <c r="D1588" s="89" t="s">
        <v>15</v>
      </c>
      <c r="E1588" s="89" t="s">
        <v>2588</v>
      </c>
      <c r="F1588" s="102" t="n">
        <v>312</v>
      </c>
      <c r="G1588" s="102" t="n">
        <v>415</v>
      </c>
      <c r="H1588" s="103" t="s">
        <v>48</v>
      </c>
      <c r="I1588" s="103">
        <f>IFERROR(VLOOKUP(A1588,#REF!,15,0),0)+IFERROR(VLOOKUP(A1588,#REF!,25,0),0)+IFERROR(VLOOKUP(A1588,#REF!,10,0),0)+IFERROR(VLOOKUP(A1588,#REF!,14,0),0)+IFERROR(VLOOKUP(A1588,#REF!,11,0),0)+IFERROR(VLOOKUP(A1588,#REF!,10,0),0)+IFERROR(VLOOKUP(A1588,#REF!,10,0),0)+IFERROR(VLOOKUP(A1588,#REF!,9,0),0)+IFERROR(VLOOKUP(A1588,#REF!,9,0),0)+IFERROR(VLOOKUP(A1588,#REF!,9,0),0)+IFERROR(VLOOKUP(A1588,#REF!,9,0),0)</f>
        <v>0</v>
      </c>
      <c r="J1588" s="104">
        <f>IFERROR(VLOOKUP(A1588,#REF!,16,0),0)+IFERROR(VLOOKUP(A1588,#REF!,26,0),0)+IFERROR(VLOOKUP(A1588,#REF!,11,0),0)+IFERROR(VLOOKUP(A1588,#REF!,23,0),0)+IFERROR(VLOOKUP(A1588,#REF!,11,0),0)+IFERROR(VLOOKUP(A1588,#REF!,11,0),0)+IFERROR(VLOOKUP(A1588,#REF!,11,0),0)</f>
        <v>0</v>
      </c>
      <c r="K1588" s="96" t="str">
        <f>"07.02.24"</f>
        <v>07.02.24</v>
      </c>
    </row>
    <row r="1589" spans="1:11" ht="11.25" customHeight="1" outlineLevel="1">
      <c r="A1589" s="89" t="n">
        <v>22222</v>
      </c>
      <c r="B1589" s="114" t="s">
        <v>1201</v>
      </c>
      <c r="C1589" s="89" t="s">
        <v>2589</v>
      </c>
      <c r="D1589" s="89" t="s">
        <v>15</v>
      </c>
      <c r="E1589" s="89" t="s">
        <v>2590</v>
      </c>
      <c r="F1589" s="102" t="n">
        <v>528</v>
      </c>
      <c r="G1589" s="102" t="n">
        <v>700</v>
      </c>
      <c r="H1589" s="103" t="s">
        <v>17</v>
      </c>
      <c r="I1589" s="103">
        <f>IFERROR(VLOOKUP(A1589,#REF!,15,0),0)+IFERROR(VLOOKUP(A1589,#REF!,25,0),0)+IFERROR(VLOOKUP(A1589,#REF!,10,0),0)+IFERROR(VLOOKUP(A1589,#REF!,14,0),0)+IFERROR(VLOOKUP(A1589,#REF!,11,0),0)+IFERROR(VLOOKUP(A1589,#REF!,10,0),0)+IFERROR(VLOOKUP(A1589,#REF!,10,0),0)+IFERROR(VLOOKUP(A1589,#REF!,9,0),0)+IFERROR(VLOOKUP(A1589,#REF!,9,0),0)+IFERROR(VLOOKUP(A1589,#REF!,9,0),0)+IFERROR(VLOOKUP(A1589,#REF!,9,0),0)</f>
        <v>0</v>
      </c>
      <c r="J1589" s="104">
        <f>IFERROR(VLOOKUP(A1589,#REF!,16,0),0)+IFERROR(VLOOKUP(A1589,#REF!,26,0),0)+IFERROR(VLOOKUP(A1589,#REF!,11,0),0)+IFERROR(VLOOKUP(A1589,#REF!,23,0),0)+IFERROR(VLOOKUP(A1589,#REF!,11,0),0)+IFERROR(VLOOKUP(A1589,#REF!,11,0),0)+IFERROR(VLOOKUP(A1589,#REF!,11,0),0)</f>
        <v>0</v>
      </c>
      <c r="K1589" s="96" t="str">
        <f>"07.02.24"</f>
        <v>07.02.24</v>
      </c>
    </row>
    <row r="1590" spans="1:11" ht="11.25" customHeight="1" outlineLevel="1">
      <c r="A1590" s="89" t="n">
        <v>22223</v>
      </c>
      <c r="B1590" s="114" t="s">
        <v>1201</v>
      </c>
      <c r="C1590" s="89" t="s">
        <v>2591</v>
      </c>
      <c r="D1590" s="89" t="s">
        <v>15</v>
      </c>
      <c r="E1590" s="89" t="s">
        <v>2592</v>
      </c>
      <c r="F1590" s="102" t="n">
        <v>728</v>
      </c>
      <c r="G1590" s="102" t="n">
        <v>969</v>
      </c>
      <c r="H1590" s="103" t="s">
        <v>48</v>
      </c>
      <c r="I1590" s="103">
        <f>IFERROR(VLOOKUP(A1590,#REF!,15,0),0)+IFERROR(VLOOKUP(A1590,#REF!,25,0),0)+IFERROR(VLOOKUP(A1590,#REF!,10,0),0)+IFERROR(VLOOKUP(A1590,#REF!,14,0),0)+IFERROR(VLOOKUP(A1590,#REF!,11,0),0)+IFERROR(VLOOKUP(A1590,#REF!,10,0),0)+IFERROR(VLOOKUP(A1590,#REF!,10,0),0)+IFERROR(VLOOKUP(A1590,#REF!,9,0),0)+IFERROR(VLOOKUP(A1590,#REF!,9,0),0)+IFERROR(VLOOKUP(A1590,#REF!,9,0),0)+IFERROR(VLOOKUP(A1590,#REF!,9,0),0)</f>
        <v>0</v>
      </c>
      <c r="J1590" s="104">
        <f>IFERROR(VLOOKUP(A1590,#REF!,16,0),0)+IFERROR(VLOOKUP(A1590,#REF!,26,0),0)+IFERROR(VLOOKUP(A1590,#REF!,11,0),0)+IFERROR(VLOOKUP(A1590,#REF!,23,0),0)+IFERROR(VLOOKUP(A1590,#REF!,11,0),0)+IFERROR(VLOOKUP(A1590,#REF!,11,0),0)+IFERROR(VLOOKUP(A1590,#REF!,11,0),0)</f>
        <v>0</v>
      </c>
      <c r="K1590" s="96" t="str">
        <f>"07.02.24"</f>
        <v>07.02.24</v>
      </c>
    </row>
    <row r="1591" spans="1:11" ht="11.25" customHeight="1" outlineLevel="1">
      <c r="A1591" s="89" t="n">
        <v>22225</v>
      </c>
      <c r="B1591" s="114" t="s">
        <v>1201</v>
      </c>
      <c r="C1591" s="89" t="s">
        <v>2593</v>
      </c>
      <c r="D1591" s="89" t="s">
        <v>15</v>
      </c>
      <c r="E1591" s="89" t="s">
        <v>2594</v>
      </c>
      <c r="F1591" s="102" t="n">
        <v>415</v>
      </c>
      <c r="G1591" s="102" t="n">
        <v>551</v>
      </c>
      <c r="H1591" s="103" t="s">
        <v>48</v>
      </c>
      <c r="I1591" s="103">
        <f>IFERROR(VLOOKUP(A1591,#REF!,15,0),0)+IFERROR(VLOOKUP(A1591,#REF!,25,0),0)+IFERROR(VLOOKUP(A1591,#REF!,10,0),0)+IFERROR(VLOOKUP(A1591,#REF!,14,0),0)+IFERROR(VLOOKUP(A1591,#REF!,11,0),0)+IFERROR(VLOOKUP(A1591,#REF!,10,0),0)+IFERROR(VLOOKUP(A1591,#REF!,10,0),0)+IFERROR(VLOOKUP(A1591,#REF!,9,0),0)+IFERROR(VLOOKUP(A1591,#REF!,9,0),0)+IFERROR(VLOOKUP(A1591,#REF!,9,0),0)+IFERROR(VLOOKUP(A1591,#REF!,9,0),0)</f>
        <v>0</v>
      </c>
      <c r="J1591" s="104">
        <f>IFERROR(VLOOKUP(A1591,#REF!,16,0),0)+IFERROR(VLOOKUP(A1591,#REF!,26,0),0)+IFERROR(VLOOKUP(A1591,#REF!,11,0),0)+IFERROR(VLOOKUP(A1591,#REF!,23,0),0)+IFERROR(VLOOKUP(A1591,#REF!,11,0),0)+IFERROR(VLOOKUP(A1591,#REF!,11,0),0)+IFERROR(VLOOKUP(A1591,#REF!,11,0),0)</f>
        <v>0</v>
      </c>
      <c r="K1591" s="96" t="str">
        <f>"07.02.24"</f>
        <v>07.02.24</v>
      </c>
    </row>
    <row r="1592" spans="1:11" ht="11.25" customHeight="1" outlineLevel="1">
      <c r="A1592" s="89" t="n">
        <v>22226</v>
      </c>
      <c r="B1592" s="114" t="s">
        <v>1201</v>
      </c>
      <c r="C1592" s="89" t="s">
        <v>2595</v>
      </c>
      <c r="D1592" s="89" t="s">
        <v>15</v>
      </c>
      <c r="E1592" s="89" t="s">
        <v>2596</v>
      </c>
      <c r="F1592" s="102" t="n">
        <v>485</v>
      </c>
      <c r="G1592" s="102" t="n">
        <v>642</v>
      </c>
      <c r="H1592" s="103" t="s">
        <v>17</v>
      </c>
      <c r="I1592" s="103">
        <f>IFERROR(VLOOKUP(A1592,#REF!,15,0),0)+IFERROR(VLOOKUP(A1592,#REF!,25,0),0)+IFERROR(VLOOKUP(A1592,#REF!,10,0),0)+IFERROR(VLOOKUP(A1592,#REF!,14,0),0)+IFERROR(VLOOKUP(A1592,#REF!,11,0),0)+IFERROR(VLOOKUP(A1592,#REF!,10,0),0)+IFERROR(VLOOKUP(A1592,#REF!,10,0),0)+IFERROR(VLOOKUP(A1592,#REF!,9,0),0)+IFERROR(VLOOKUP(A1592,#REF!,9,0),0)+IFERROR(VLOOKUP(A1592,#REF!,9,0),0)+IFERROR(VLOOKUP(A1592,#REF!,9,0),0)</f>
        <v>0</v>
      </c>
      <c r="J1592" s="104">
        <f>IFERROR(VLOOKUP(A1592,#REF!,16,0),0)+IFERROR(VLOOKUP(A1592,#REF!,26,0),0)+IFERROR(VLOOKUP(A1592,#REF!,11,0),0)+IFERROR(VLOOKUP(A1592,#REF!,23,0),0)+IFERROR(VLOOKUP(A1592,#REF!,11,0),0)+IFERROR(VLOOKUP(A1592,#REF!,11,0),0)+IFERROR(VLOOKUP(A1592,#REF!,11,0),0)</f>
        <v>0</v>
      </c>
      <c r="K1592" s="96" t="str">
        <f>"07.02.24"</f>
        <v>07.02.24</v>
      </c>
    </row>
    <row r="1593" spans="1:11" ht="11.25" customHeight="1" outlineLevel="1">
      <c r="A1593" s="89" t="n">
        <v>22227</v>
      </c>
      <c r="B1593" s="114" t="s">
        <v>1201</v>
      </c>
      <c r="C1593" s="89" t="s">
        <v>2597</v>
      </c>
      <c r="D1593" s="89" t="s">
        <v>15</v>
      </c>
      <c r="E1593" s="89" t="s">
        <v>2598</v>
      </c>
      <c r="F1593" s="102" t="n">
        <v>622</v>
      </c>
      <c r="G1593" s="102" t="n">
        <v>828</v>
      </c>
      <c r="H1593" s="103" t="s">
        <v>48</v>
      </c>
      <c r="I1593" s="103">
        <f>IFERROR(VLOOKUP(A1593,#REF!,15,0),0)+IFERROR(VLOOKUP(A1593,#REF!,25,0),0)+IFERROR(VLOOKUP(A1593,#REF!,10,0),0)+IFERROR(VLOOKUP(A1593,#REF!,14,0),0)+IFERROR(VLOOKUP(A1593,#REF!,11,0),0)+IFERROR(VLOOKUP(A1593,#REF!,10,0),0)+IFERROR(VLOOKUP(A1593,#REF!,10,0),0)+IFERROR(VLOOKUP(A1593,#REF!,9,0),0)+IFERROR(VLOOKUP(A1593,#REF!,9,0),0)+IFERROR(VLOOKUP(A1593,#REF!,9,0),0)+IFERROR(VLOOKUP(A1593,#REF!,9,0),0)</f>
        <v>0</v>
      </c>
      <c r="J1593" s="104">
        <f>IFERROR(VLOOKUP(A1593,#REF!,16,0),0)+IFERROR(VLOOKUP(A1593,#REF!,26,0),0)+IFERROR(VLOOKUP(A1593,#REF!,11,0),0)+IFERROR(VLOOKUP(A1593,#REF!,23,0),0)+IFERROR(VLOOKUP(A1593,#REF!,11,0),0)+IFERROR(VLOOKUP(A1593,#REF!,11,0),0)+IFERROR(VLOOKUP(A1593,#REF!,11,0),0)</f>
        <v>0</v>
      </c>
      <c r="K1593" s="96" t="str">
        <f>"07.02.24"</f>
        <v>07.02.24</v>
      </c>
    </row>
    <row r="1594" spans="1:11" ht="11.25" customHeight="1" outlineLevel="1">
      <c r="A1594" s="89" t="n">
        <v>22228</v>
      </c>
      <c r="B1594" s="114" t="s">
        <v>1201</v>
      </c>
      <c r="C1594" s="89" t="s">
        <v>2599</v>
      </c>
      <c r="D1594" s="89" t="s">
        <v>15</v>
      </c>
      <c r="E1594" s="89" t="s">
        <v>2600</v>
      </c>
      <c r="F1594" s="102" t="n">
        <v>753</v>
      </c>
      <c r="G1594" s="102" t="n">
        <v>999</v>
      </c>
      <c r="H1594" s="103" t="s">
        <v>48</v>
      </c>
      <c r="I1594" s="103">
        <f>IFERROR(VLOOKUP(A1594,#REF!,15,0),0)+IFERROR(VLOOKUP(A1594,#REF!,25,0),0)+IFERROR(VLOOKUP(A1594,#REF!,10,0),0)+IFERROR(VLOOKUP(A1594,#REF!,14,0),0)+IFERROR(VLOOKUP(A1594,#REF!,11,0),0)+IFERROR(VLOOKUP(A1594,#REF!,10,0),0)+IFERROR(VLOOKUP(A1594,#REF!,10,0),0)+IFERROR(VLOOKUP(A1594,#REF!,9,0),0)+IFERROR(VLOOKUP(A1594,#REF!,9,0),0)+IFERROR(VLOOKUP(A1594,#REF!,9,0),0)+IFERROR(VLOOKUP(A1594,#REF!,9,0),0)</f>
        <v>0</v>
      </c>
      <c r="J1594" s="104">
        <f>IFERROR(VLOOKUP(A1594,#REF!,16,0),0)+IFERROR(VLOOKUP(A1594,#REF!,26,0),0)+IFERROR(VLOOKUP(A1594,#REF!,11,0),0)+IFERROR(VLOOKUP(A1594,#REF!,23,0),0)+IFERROR(VLOOKUP(A1594,#REF!,11,0),0)+IFERROR(VLOOKUP(A1594,#REF!,11,0),0)+IFERROR(VLOOKUP(A1594,#REF!,11,0),0)</f>
        <v>0</v>
      </c>
      <c r="K1594" s="96" t="str">
        <f>"07.02.24"</f>
        <v>07.02.24</v>
      </c>
    </row>
    <row r="1595" spans="1:11" ht="11.25" customHeight="1" outlineLevel="1">
      <c r="A1595" s="89" t="n">
        <v>22229</v>
      </c>
      <c r="B1595" s="114" t="s">
        <v>1201</v>
      </c>
      <c r="C1595" s="89" t="s">
        <v>2601</v>
      </c>
      <c r="D1595" s="89" t="s">
        <v>15</v>
      </c>
      <c r="E1595" s="89" t="s">
        <v>2602</v>
      </c>
      <c r="F1595" s="102" t="n">
        <v>931</v>
      </c>
      <c r="G1595" s="102" t="n">
        <v>1238</v>
      </c>
      <c r="H1595" s="103" t="s">
        <v>48</v>
      </c>
      <c r="I1595" s="103">
        <f>IFERROR(VLOOKUP(A1595,#REF!,15,0),0)+IFERROR(VLOOKUP(A1595,#REF!,25,0),0)+IFERROR(VLOOKUP(A1595,#REF!,10,0),0)+IFERROR(VLOOKUP(A1595,#REF!,14,0),0)+IFERROR(VLOOKUP(A1595,#REF!,11,0),0)+IFERROR(VLOOKUP(A1595,#REF!,10,0),0)+IFERROR(VLOOKUP(A1595,#REF!,10,0),0)+IFERROR(VLOOKUP(A1595,#REF!,9,0),0)+IFERROR(VLOOKUP(A1595,#REF!,9,0),0)+IFERROR(VLOOKUP(A1595,#REF!,9,0),0)+IFERROR(VLOOKUP(A1595,#REF!,9,0),0)</f>
        <v>0</v>
      </c>
      <c r="J1595" s="104">
        <f>IFERROR(VLOOKUP(A1595,#REF!,16,0),0)+IFERROR(VLOOKUP(A1595,#REF!,26,0),0)+IFERROR(VLOOKUP(A1595,#REF!,11,0),0)+IFERROR(VLOOKUP(A1595,#REF!,23,0),0)+IFERROR(VLOOKUP(A1595,#REF!,11,0),0)+IFERROR(VLOOKUP(A1595,#REF!,11,0),0)+IFERROR(VLOOKUP(A1595,#REF!,11,0),0)</f>
        <v>0</v>
      </c>
      <c r="K1595" s="96" t="str">
        <f>"07.02.24"</f>
        <v>07.02.24</v>
      </c>
    </row>
    <row r="1596" spans="1:11" ht="11.25" customHeight="1" outlineLevel="1">
      <c r="A1596" s="89" t="n">
        <v>22340</v>
      </c>
      <c r="B1596" s="114" t="s">
        <v>1201</v>
      </c>
      <c r="C1596" s="89" t="s">
        <v>2603</v>
      </c>
      <c r="D1596" s="89" t="s">
        <v>15</v>
      </c>
      <c r="E1596" s="89" t="s">
        <v>2604</v>
      </c>
      <c r="F1596" s="102" t="n">
        <v>90</v>
      </c>
      <c r="G1596" s="102" t="n">
        <v>116</v>
      </c>
      <c r="H1596" s="103" t="s">
        <v>48</v>
      </c>
      <c r="I1596" s="103">
        <f>IFERROR(VLOOKUP(A1596,#REF!,15,0),0)+IFERROR(VLOOKUP(A1596,#REF!,25,0),0)+IFERROR(VLOOKUP(A1596,#REF!,10,0),0)+IFERROR(VLOOKUP(A1596,#REF!,14,0),0)+IFERROR(VLOOKUP(A1596,#REF!,11,0),0)+IFERROR(VLOOKUP(A1596,#REF!,10,0),0)+IFERROR(VLOOKUP(A1596,#REF!,10,0),0)+IFERROR(VLOOKUP(A1596,#REF!,9,0),0)+IFERROR(VLOOKUP(A1596,#REF!,9,0),0)+IFERROR(VLOOKUP(A1596,#REF!,9,0),0)+IFERROR(VLOOKUP(A1596,#REF!,9,0),0)</f>
        <v>0</v>
      </c>
      <c r="J1596" s="104">
        <f>IFERROR(VLOOKUP(A1596,#REF!,16,0),0)+IFERROR(VLOOKUP(A1596,#REF!,26,0),0)+IFERROR(VLOOKUP(A1596,#REF!,11,0),0)+IFERROR(VLOOKUP(A1596,#REF!,23,0),0)+IFERROR(VLOOKUP(A1596,#REF!,11,0),0)+IFERROR(VLOOKUP(A1596,#REF!,11,0),0)+IFERROR(VLOOKUP(A1596,#REF!,11,0),0)</f>
        <v>0</v>
      </c>
      <c r="K1596" s="96" t="str">
        <f>"07.02.24"</f>
        <v>07.02.24</v>
      </c>
    </row>
    <row r="1597" spans="1:11" ht="11.25" customHeight="1" outlineLevel="1">
      <c r="A1597" s="89" t="n">
        <v>22341</v>
      </c>
      <c r="B1597" s="114" t="s">
        <v>1201</v>
      </c>
      <c r="C1597" s="89" t="s">
        <v>2605</v>
      </c>
      <c r="D1597" s="89" t="s">
        <v>15</v>
      </c>
      <c r="E1597" s="89" t="s">
        <v>2606</v>
      </c>
      <c r="F1597" s="102" t="n">
        <v>177</v>
      </c>
      <c r="G1597" s="102" t="n">
        <v>231</v>
      </c>
      <c r="H1597" s="103" t="s">
        <v>48</v>
      </c>
      <c r="I1597" s="103">
        <f>IFERROR(VLOOKUP(A1597,#REF!,15,0),0)+IFERROR(VLOOKUP(A1597,#REF!,25,0),0)+IFERROR(VLOOKUP(A1597,#REF!,10,0),0)+IFERROR(VLOOKUP(A1597,#REF!,14,0),0)+IFERROR(VLOOKUP(A1597,#REF!,11,0),0)+IFERROR(VLOOKUP(A1597,#REF!,10,0),0)+IFERROR(VLOOKUP(A1597,#REF!,10,0),0)+IFERROR(VLOOKUP(A1597,#REF!,9,0),0)+IFERROR(VLOOKUP(A1597,#REF!,9,0),0)+IFERROR(VLOOKUP(A1597,#REF!,9,0),0)+IFERROR(VLOOKUP(A1597,#REF!,9,0),0)</f>
        <v>0</v>
      </c>
      <c r="J1597" s="104">
        <f>IFERROR(VLOOKUP(A1597,#REF!,16,0),0)+IFERROR(VLOOKUP(A1597,#REF!,26,0),0)+IFERROR(VLOOKUP(A1597,#REF!,11,0),0)+IFERROR(VLOOKUP(A1597,#REF!,23,0),0)+IFERROR(VLOOKUP(A1597,#REF!,11,0),0)+IFERROR(VLOOKUP(A1597,#REF!,11,0),0)+IFERROR(VLOOKUP(A1597,#REF!,11,0),0)</f>
        <v>0</v>
      </c>
      <c r="K1597" s="96" t="str">
        <f>"07.02.24"</f>
        <v>07.02.24</v>
      </c>
    </row>
    <row r="1598" spans="1:11" ht="11.25" customHeight="1" outlineLevel="1">
      <c r="A1598" s="89" t="n">
        <v>22342</v>
      </c>
      <c r="B1598" s="114" t="s">
        <v>1201</v>
      </c>
      <c r="C1598" s="89" t="s">
        <v>2607</v>
      </c>
      <c r="D1598" s="89" t="s">
        <v>15</v>
      </c>
      <c r="E1598" s="89" t="s">
        <v>2608</v>
      </c>
      <c r="F1598" s="102" t="n">
        <v>107</v>
      </c>
      <c r="G1598" s="102" t="n">
        <v>139</v>
      </c>
      <c r="H1598" s="103" t="s">
        <v>48</v>
      </c>
      <c r="I1598" s="103">
        <f>IFERROR(VLOOKUP(A1598,#REF!,15,0),0)+IFERROR(VLOOKUP(A1598,#REF!,25,0),0)+IFERROR(VLOOKUP(A1598,#REF!,10,0),0)+IFERROR(VLOOKUP(A1598,#REF!,14,0),0)+IFERROR(VLOOKUP(A1598,#REF!,11,0),0)+IFERROR(VLOOKUP(A1598,#REF!,10,0),0)+IFERROR(VLOOKUP(A1598,#REF!,10,0),0)+IFERROR(VLOOKUP(A1598,#REF!,9,0),0)+IFERROR(VLOOKUP(A1598,#REF!,9,0),0)+IFERROR(VLOOKUP(A1598,#REF!,9,0),0)+IFERROR(VLOOKUP(A1598,#REF!,9,0),0)</f>
        <v>0</v>
      </c>
      <c r="J1598" s="104">
        <f>IFERROR(VLOOKUP(A1598,#REF!,16,0),0)+IFERROR(VLOOKUP(A1598,#REF!,26,0),0)+IFERROR(VLOOKUP(A1598,#REF!,11,0),0)+IFERROR(VLOOKUP(A1598,#REF!,23,0),0)+IFERROR(VLOOKUP(A1598,#REF!,11,0),0)+IFERROR(VLOOKUP(A1598,#REF!,11,0),0)+IFERROR(VLOOKUP(A1598,#REF!,11,0),0)</f>
        <v>0</v>
      </c>
      <c r="K1598" s="96" t="str">
        <f>"07.02.24"</f>
        <v>07.02.24</v>
      </c>
    </row>
    <row r="1599" spans="1:11" ht="11.25" customHeight="1" outlineLevel="1">
      <c r="A1599" s="89" t="n">
        <v>22343</v>
      </c>
      <c r="B1599" s="114" t="s">
        <v>1201</v>
      </c>
      <c r="C1599" s="89" t="s">
        <v>2609</v>
      </c>
      <c r="D1599" s="89" t="s">
        <v>15</v>
      </c>
      <c r="E1599" s="89" t="s">
        <v>2610</v>
      </c>
      <c r="F1599" s="102" t="n">
        <v>224</v>
      </c>
      <c r="G1599" s="102" t="n">
        <v>297</v>
      </c>
      <c r="H1599" s="103" t="s">
        <v>48</v>
      </c>
      <c r="I1599" s="103">
        <f>IFERROR(VLOOKUP(A1599,#REF!,15,0),0)+IFERROR(VLOOKUP(A1599,#REF!,25,0),0)+IFERROR(VLOOKUP(A1599,#REF!,10,0),0)+IFERROR(VLOOKUP(A1599,#REF!,14,0),0)+IFERROR(VLOOKUP(A1599,#REF!,11,0),0)+IFERROR(VLOOKUP(A1599,#REF!,10,0),0)+IFERROR(VLOOKUP(A1599,#REF!,10,0),0)+IFERROR(VLOOKUP(A1599,#REF!,9,0),0)+IFERROR(VLOOKUP(A1599,#REF!,9,0),0)+IFERROR(VLOOKUP(A1599,#REF!,9,0),0)+IFERROR(VLOOKUP(A1599,#REF!,9,0),0)</f>
        <v>0</v>
      </c>
      <c r="J1599" s="104">
        <f>IFERROR(VLOOKUP(A1599,#REF!,16,0),0)+IFERROR(VLOOKUP(A1599,#REF!,26,0),0)+IFERROR(VLOOKUP(A1599,#REF!,11,0),0)+IFERROR(VLOOKUP(A1599,#REF!,23,0),0)+IFERROR(VLOOKUP(A1599,#REF!,11,0),0)+IFERROR(VLOOKUP(A1599,#REF!,11,0),0)+IFERROR(VLOOKUP(A1599,#REF!,11,0),0)</f>
        <v>0</v>
      </c>
      <c r="K1599" s="96" t="str">
        <f>"07.02.24"</f>
        <v>07.02.24</v>
      </c>
    </row>
    <row r="1600" spans="1:11" ht="11.25" customHeight="1" outlineLevel="1">
      <c r="A1600" s="89" t="n">
        <v>22344</v>
      </c>
      <c r="B1600" s="114" t="s">
        <v>1201</v>
      </c>
      <c r="C1600" s="89" t="s">
        <v>2611</v>
      </c>
      <c r="D1600" s="89" t="s">
        <v>15</v>
      </c>
      <c r="E1600" s="89" t="s">
        <v>2612</v>
      </c>
      <c r="F1600" s="102" t="n">
        <v>115</v>
      </c>
      <c r="G1600" s="102" t="n">
        <v>153</v>
      </c>
      <c r="H1600" s="103" t="s">
        <v>48</v>
      </c>
      <c r="I1600" s="103">
        <f>IFERROR(VLOOKUP(A1600,#REF!,15,0),0)+IFERROR(VLOOKUP(A1600,#REF!,25,0),0)+IFERROR(VLOOKUP(A1600,#REF!,10,0),0)+IFERROR(VLOOKUP(A1600,#REF!,14,0),0)+IFERROR(VLOOKUP(A1600,#REF!,11,0),0)+IFERROR(VLOOKUP(A1600,#REF!,10,0),0)+IFERROR(VLOOKUP(A1600,#REF!,10,0),0)+IFERROR(VLOOKUP(A1600,#REF!,9,0),0)+IFERROR(VLOOKUP(A1600,#REF!,9,0),0)+IFERROR(VLOOKUP(A1600,#REF!,9,0),0)+IFERROR(VLOOKUP(A1600,#REF!,9,0),0)</f>
        <v>0</v>
      </c>
      <c r="J1600" s="104">
        <f>IFERROR(VLOOKUP(A1600,#REF!,16,0),0)+IFERROR(VLOOKUP(A1600,#REF!,26,0),0)+IFERROR(VLOOKUP(A1600,#REF!,11,0),0)+IFERROR(VLOOKUP(A1600,#REF!,23,0),0)+IFERROR(VLOOKUP(A1600,#REF!,11,0),0)+IFERROR(VLOOKUP(A1600,#REF!,11,0),0)+IFERROR(VLOOKUP(A1600,#REF!,11,0),0)</f>
        <v>0</v>
      </c>
      <c r="K1600" s="96" t="str">
        <f>"07.02.24"</f>
        <v>07.02.24</v>
      </c>
    </row>
    <row r="1601" spans="1:11" ht="11.25" customHeight="1" outlineLevel="1">
      <c r="A1601" s="89" t="n">
        <v>22345</v>
      </c>
      <c r="B1601" s="114" t="s">
        <v>1201</v>
      </c>
      <c r="C1601" s="89" t="s">
        <v>2613</v>
      </c>
      <c r="D1601" s="89" t="s">
        <v>15</v>
      </c>
      <c r="E1601" s="89" t="s">
        <v>2614</v>
      </c>
      <c r="F1601" s="102" t="n">
        <v>269</v>
      </c>
      <c r="G1601" s="102" t="n">
        <v>357</v>
      </c>
      <c r="H1601" s="103" t="s">
        <v>48</v>
      </c>
      <c r="I1601" s="103">
        <f>IFERROR(VLOOKUP(A1601,#REF!,15,0),0)+IFERROR(VLOOKUP(A1601,#REF!,25,0),0)+IFERROR(VLOOKUP(A1601,#REF!,10,0),0)+IFERROR(VLOOKUP(A1601,#REF!,14,0),0)+IFERROR(VLOOKUP(A1601,#REF!,11,0),0)+IFERROR(VLOOKUP(A1601,#REF!,10,0),0)+IFERROR(VLOOKUP(A1601,#REF!,10,0),0)+IFERROR(VLOOKUP(A1601,#REF!,9,0),0)+IFERROR(VLOOKUP(A1601,#REF!,9,0),0)+IFERROR(VLOOKUP(A1601,#REF!,9,0),0)+IFERROR(VLOOKUP(A1601,#REF!,9,0),0)</f>
        <v>0</v>
      </c>
      <c r="J1601" s="104">
        <f>IFERROR(VLOOKUP(A1601,#REF!,16,0),0)+IFERROR(VLOOKUP(A1601,#REF!,26,0),0)+IFERROR(VLOOKUP(A1601,#REF!,11,0),0)+IFERROR(VLOOKUP(A1601,#REF!,23,0),0)+IFERROR(VLOOKUP(A1601,#REF!,11,0),0)+IFERROR(VLOOKUP(A1601,#REF!,11,0),0)+IFERROR(VLOOKUP(A1601,#REF!,11,0),0)</f>
        <v>0</v>
      </c>
      <c r="K1601" s="96" t="str">
        <f>"07.02.24"</f>
        <v>07.02.24</v>
      </c>
    </row>
    <row r="1602" spans="1:11" ht="11.25" customHeight="1" outlineLevel="1">
      <c r="A1602" s="89" t="n">
        <v>22378</v>
      </c>
      <c r="B1602" s="114" t="s">
        <v>1201</v>
      </c>
      <c r="C1602" s="89" t="s">
        <v>2615</v>
      </c>
      <c r="D1602" s="89" t="s">
        <v>15</v>
      </c>
      <c r="E1602" s="89" t="s">
        <v>2616</v>
      </c>
      <c r="F1602" s="102" t="n">
        <v>112</v>
      </c>
      <c r="G1602" s="102" t="n">
        <v>149</v>
      </c>
      <c r="H1602" s="103" t="s">
        <v>48</v>
      </c>
      <c r="I1602" s="103">
        <f>IFERROR(VLOOKUP(A1602,#REF!,15,0),0)+IFERROR(VLOOKUP(A1602,#REF!,25,0),0)+IFERROR(VLOOKUP(A1602,#REF!,10,0),0)+IFERROR(VLOOKUP(A1602,#REF!,14,0),0)+IFERROR(VLOOKUP(A1602,#REF!,11,0),0)+IFERROR(VLOOKUP(A1602,#REF!,10,0),0)+IFERROR(VLOOKUP(A1602,#REF!,10,0),0)+IFERROR(VLOOKUP(A1602,#REF!,9,0),0)+IFERROR(VLOOKUP(A1602,#REF!,9,0),0)+IFERROR(VLOOKUP(A1602,#REF!,9,0),0)+IFERROR(VLOOKUP(A1602,#REF!,9,0),0)</f>
        <v>0</v>
      </c>
      <c r="J1602" s="104">
        <f>IFERROR(VLOOKUP(A1602,#REF!,16,0),0)+IFERROR(VLOOKUP(A1602,#REF!,26,0),0)+IFERROR(VLOOKUP(A1602,#REF!,11,0),0)+IFERROR(VLOOKUP(A1602,#REF!,23,0),0)+IFERROR(VLOOKUP(A1602,#REF!,11,0),0)+IFERROR(VLOOKUP(A1602,#REF!,11,0),0)+IFERROR(VLOOKUP(A1602,#REF!,11,0),0)</f>
        <v>0</v>
      </c>
      <c r="K1602" s="96" t="str">
        <f>"07.02.24"</f>
        <v>07.02.24</v>
      </c>
    </row>
    <row r="1603" spans="1:11" ht="11.25" customHeight="1" outlineLevel="1">
      <c r="A1603" s="89" t="n">
        <v>22379</v>
      </c>
      <c r="B1603" s="114" t="s">
        <v>1201</v>
      </c>
      <c r="C1603" s="89" t="s">
        <v>2617</v>
      </c>
      <c r="D1603" s="89" t="s">
        <v>15</v>
      </c>
      <c r="E1603" s="89" t="s">
        <v>2618</v>
      </c>
      <c r="F1603" s="102" t="n">
        <v>141</v>
      </c>
      <c r="G1603" s="102" t="n">
        <v>187</v>
      </c>
      <c r="H1603" s="103" t="s">
        <v>48</v>
      </c>
      <c r="I1603" s="103">
        <f>IFERROR(VLOOKUP(A1603,#REF!,15,0),0)+IFERROR(VLOOKUP(A1603,#REF!,25,0),0)+IFERROR(VLOOKUP(A1603,#REF!,10,0),0)+IFERROR(VLOOKUP(A1603,#REF!,14,0),0)+IFERROR(VLOOKUP(A1603,#REF!,11,0),0)+IFERROR(VLOOKUP(A1603,#REF!,10,0),0)+IFERROR(VLOOKUP(A1603,#REF!,10,0),0)+IFERROR(VLOOKUP(A1603,#REF!,9,0),0)+IFERROR(VLOOKUP(A1603,#REF!,9,0),0)+IFERROR(VLOOKUP(A1603,#REF!,9,0),0)+IFERROR(VLOOKUP(A1603,#REF!,9,0),0)</f>
        <v>0</v>
      </c>
      <c r="J1603" s="104">
        <f>IFERROR(VLOOKUP(A1603,#REF!,16,0),0)+IFERROR(VLOOKUP(A1603,#REF!,26,0),0)+IFERROR(VLOOKUP(A1603,#REF!,11,0),0)+IFERROR(VLOOKUP(A1603,#REF!,23,0),0)+IFERROR(VLOOKUP(A1603,#REF!,11,0),0)+IFERROR(VLOOKUP(A1603,#REF!,11,0),0)+IFERROR(VLOOKUP(A1603,#REF!,11,0),0)</f>
        <v>0</v>
      </c>
      <c r="K1603" s="96" t="str">
        <f>"07.02.24"</f>
        <v>07.02.24</v>
      </c>
    </row>
    <row r="1604" spans="1:11" ht="11.25" customHeight="1" outlineLevel="1">
      <c r="A1604" s="89" t="n">
        <v>22381</v>
      </c>
      <c r="B1604" s="114" t="s">
        <v>1201</v>
      </c>
      <c r="C1604" s="89" t="s">
        <v>2619</v>
      </c>
      <c r="D1604" s="89" t="s">
        <v>15</v>
      </c>
      <c r="E1604" s="89" t="s">
        <v>2620</v>
      </c>
      <c r="F1604" s="102" t="n">
        <v>167</v>
      </c>
      <c r="G1604" s="102" t="n">
        <v>220</v>
      </c>
      <c r="H1604" s="103" t="s">
        <v>48</v>
      </c>
      <c r="I1604" s="103">
        <f>IFERROR(VLOOKUP(A1604,#REF!,15,0),0)+IFERROR(VLOOKUP(A1604,#REF!,25,0),0)+IFERROR(VLOOKUP(A1604,#REF!,10,0),0)+IFERROR(VLOOKUP(A1604,#REF!,14,0),0)+IFERROR(VLOOKUP(A1604,#REF!,11,0),0)+IFERROR(VLOOKUP(A1604,#REF!,10,0),0)+IFERROR(VLOOKUP(A1604,#REF!,10,0),0)+IFERROR(VLOOKUP(A1604,#REF!,9,0),0)+IFERROR(VLOOKUP(A1604,#REF!,9,0),0)+IFERROR(VLOOKUP(A1604,#REF!,9,0),0)+IFERROR(VLOOKUP(A1604,#REF!,9,0),0)</f>
        <v>0</v>
      </c>
      <c r="J1604" s="104">
        <f>IFERROR(VLOOKUP(A1604,#REF!,16,0),0)+IFERROR(VLOOKUP(A1604,#REF!,26,0),0)+IFERROR(VLOOKUP(A1604,#REF!,11,0),0)+IFERROR(VLOOKUP(A1604,#REF!,23,0),0)+IFERROR(VLOOKUP(A1604,#REF!,11,0),0)+IFERROR(VLOOKUP(A1604,#REF!,11,0),0)+IFERROR(VLOOKUP(A1604,#REF!,11,0),0)</f>
        <v>0</v>
      </c>
      <c r="K1604" s="96" t="str">
        <f>"07.02.24"</f>
        <v>07.02.24</v>
      </c>
    </row>
    <row r="1605" spans="1:11" ht="11.25" customHeight="1" outlineLevel="1">
      <c r="A1605" s="89" t="n">
        <v>22382</v>
      </c>
      <c r="B1605" s="114" t="s">
        <v>1201</v>
      </c>
      <c r="C1605" s="89" t="s">
        <v>2621</v>
      </c>
      <c r="D1605" s="89" t="s">
        <v>15</v>
      </c>
      <c r="E1605" s="89" t="s">
        <v>2622</v>
      </c>
      <c r="F1605" s="102" t="n">
        <v>245</v>
      </c>
      <c r="G1605" s="102" t="n">
        <v>323</v>
      </c>
      <c r="H1605" s="103" t="s">
        <v>17</v>
      </c>
      <c r="I1605" s="103">
        <f>IFERROR(VLOOKUP(A1605,#REF!,15,0),0)+IFERROR(VLOOKUP(A1605,#REF!,25,0),0)+IFERROR(VLOOKUP(A1605,#REF!,10,0),0)+IFERROR(VLOOKUP(A1605,#REF!,14,0),0)+IFERROR(VLOOKUP(A1605,#REF!,11,0),0)+IFERROR(VLOOKUP(A1605,#REF!,10,0),0)+IFERROR(VLOOKUP(A1605,#REF!,10,0),0)+IFERROR(VLOOKUP(A1605,#REF!,9,0),0)+IFERROR(VLOOKUP(A1605,#REF!,9,0),0)+IFERROR(VLOOKUP(A1605,#REF!,9,0),0)+IFERROR(VLOOKUP(A1605,#REF!,9,0),0)</f>
        <v>0</v>
      </c>
      <c r="J1605" s="104">
        <f>IFERROR(VLOOKUP(A1605,#REF!,16,0),0)+IFERROR(VLOOKUP(A1605,#REF!,26,0),0)+IFERROR(VLOOKUP(A1605,#REF!,11,0),0)+IFERROR(VLOOKUP(A1605,#REF!,23,0),0)+IFERROR(VLOOKUP(A1605,#REF!,11,0),0)+IFERROR(VLOOKUP(A1605,#REF!,11,0),0)+IFERROR(VLOOKUP(A1605,#REF!,11,0),0)</f>
        <v>0</v>
      </c>
      <c r="K1605" s="96" t="str">
        <f>"07.02.24"</f>
        <v>07.02.24</v>
      </c>
    </row>
    <row r="1606" spans="1:11" ht="11.25" customHeight="1" outlineLevel="1">
      <c r="A1606" s="89" t="n">
        <v>22383</v>
      </c>
      <c r="B1606" s="114" t="s">
        <v>1201</v>
      </c>
      <c r="C1606" s="89" t="s">
        <v>2623</v>
      </c>
      <c r="D1606" s="89" t="s">
        <v>15</v>
      </c>
      <c r="E1606" s="89" t="s">
        <v>2624</v>
      </c>
      <c r="F1606" s="102" t="n">
        <v>99</v>
      </c>
      <c r="G1606" s="102" t="n">
        <v>133</v>
      </c>
      <c r="H1606" s="103" t="s">
        <v>48</v>
      </c>
      <c r="I1606" s="103">
        <f>IFERROR(VLOOKUP(A1606,#REF!,15,0),0)+IFERROR(VLOOKUP(A1606,#REF!,25,0),0)+IFERROR(VLOOKUP(A1606,#REF!,10,0),0)+IFERROR(VLOOKUP(A1606,#REF!,14,0),0)+IFERROR(VLOOKUP(A1606,#REF!,11,0),0)+IFERROR(VLOOKUP(A1606,#REF!,10,0),0)+IFERROR(VLOOKUP(A1606,#REF!,10,0),0)+IFERROR(VLOOKUP(A1606,#REF!,9,0),0)+IFERROR(VLOOKUP(A1606,#REF!,9,0),0)+IFERROR(VLOOKUP(A1606,#REF!,9,0),0)+IFERROR(VLOOKUP(A1606,#REF!,9,0),0)</f>
        <v>0</v>
      </c>
      <c r="J1606" s="104">
        <f>IFERROR(VLOOKUP(A1606,#REF!,16,0),0)+IFERROR(VLOOKUP(A1606,#REF!,26,0),0)+IFERROR(VLOOKUP(A1606,#REF!,11,0),0)+IFERROR(VLOOKUP(A1606,#REF!,23,0),0)+IFERROR(VLOOKUP(A1606,#REF!,11,0),0)+IFERROR(VLOOKUP(A1606,#REF!,11,0),0)+IFERROR(VLOOKUP(A1606,#REF!,11,0),0)</f>
        <v>0</v>
      </c>
      <c r="K1606" s="96" t="str">
        <f>"07.02.24"</f>
        <v>07.02.24</v>
      </c>
    </row>
    <row r="1607" spans="1:11" ht="11.25" customHeight="1" outlineLevel="1">
      <c r="A1607" s="89" t="n">
        <v>22384</v>
      </c>
      <c r="B1607" s="114" t="s">
        <v>1201</v>
      </c>
      <c r="C1607" s="89" t="s">
        <v>2625</v>
      </c>
      <c r="D1607" s="89" t="s">
        <v>15</v>
      </c>
      <c r="E1607" s="89" t="s">
        <v>2626</v>
      </c>
      <c r="F1607" s="102" t="n">
        <v>112</v>
      </c>
      <c r="G1607" s="102" t="n">
        <v>149</v>
      </c>
      <c r="H1607" s="103" t="s">
        <v>48</v>
      </c>
      <c r="I1607" s="103">
        <f>IFERROR(VLOOKUP(A1607,#REF!,15,0),0)+IFERROR(VLOOKUP(A1607,#REF!,25,0),0)+IFERROR(VLOOKUP(A1607,#REF!,10,0),0)+IFERROR(VLOOKUP(A1607,#REF!,14,0),0)+IFERROR(VLOOKUP(A1607,#REF!,11,0),0)+IFERROR(VLOOKUP(A1607,#REF!,10,0),0)+IFERROR(VLOOKUP(A1607,#REF!,10,0),0)+IFERROR(VLOOKUP(A1607,#REF!,9,0),0)+IFERROR(VLOOKUP(A1607,#REF!,9,0),0)+IFERROR(VLOOKUP(A1607,#REF!,9,0),0)+IFERROR(VLOOKUP(A1607,#REF!,9,0),0)</f>
        <v>0</v>
      </c>
      <c r="J1607" s="104">
        <f>IFERROR(VLOOKUP(A1607,#REF!,16,0),0)+IFERROR(VLOOKUP(A1607,#REF!,26,0),0)+IFERROR(VLOOKUP(A1607,#REF!,11,0),0)+IFERROR(VLOOKUP(A1607,#REF!,23,0),0)+IFERROR(VLOOKUP(A1607,#REF!,11,0),0)+IFERROR(VLOOKUP(A1607,#REF!,11,0),0)+IFERROR(VLOOKUP(A1607,#REF!,11,0),0)</f>
        <v>0</v>
      </c>
      <c r="K1607" s="96" t="str">
        <f>"07.02.24"</f>
        <v>07.02.24</v>
      </c>
    </row>
    <row r="1608" spans="1:11" ht="11.25" customHeight="1" outlineLevel="1">
      <c r="A1608" s="89" t="n">
        <v>22385</v>
      </c>
      <c r="B1608" s="114" t="s">
        <v>1201</v>
      </c>
      <c r="C1608" s="89" t="s">
        <v>2627</v>
      </c>
      <c r="D1608" s="89" t="s">
        <v>15</v>
      </c>
      <c r="E1608" s="89" t="s">
        <v>2628</v>
      </c>
      <c r="F1608" s="102" t="n">
        <v>107</v>
      </c>
      <c r="G1608" s="102" t="n">
        <v>139</v>
      </c>
      <c r="H1608" s="103" t="s">
        <v>48</v>
      </c>
      <c r="I1608" s="103">
        <f>IFERROR(VLOOKUP(A1608,#REF!,15,0),0)+IFERROR(VLOOKUP(A1608,#REF!,25,0),0)+IFERROR(VLOOKUP(A1608,#REF!,10,0),0)+IFERROR(VLOOKUP(A1608,#REF!,14,0),0)+IFERROR(VLOOKUP(A1608,#REF!,11,0),0)+IFERROR(VLOOKUP(A1608,#REF!,10,0),0)+IFERROR(VLOOKUP(A1608,#REF!,10,0),0)+IFERROR(VLOOKUP(A1608,#REF!,9,0),0)+IFERROR(VLOOKUP(A1608,#REF!,9,0),0)+IFERROR(VLOOKUP(A1608,#REF!,9,0),0)+IFERROR(VLOOKUP(A1608,#REF!,9,0),0)</f>
        <v>0</v>
      </c>
      <c r="J1608" s="104">
        <f>IFERROR(VLOOKUP(A1608,#REF!,16,0),0)+IFERROR(VLOOKUP(A1608,#REF!,26,0),0)+IFERROR(VLOOKUP(A1608,#REF!,11,0),0)+IFERROR(VLOOKUP(A1608,#REF!,23,0),0)+IFERROR(VLOOKUP(A1608,#REF!,11,0),0)+IFERROR(VLOOKUP(A1608,#REF!,11,0),0)+IFERROR(VLOOKUP(A1608,#REF!,11,0),0)</f>
        <v>0</v>
      </c>
      <c r="K1608" s="96" t="str">
        <f>"07.02.24"</f>
        <v>07.02.24</v>
      </c>
    </row>
    <row r="1609" spans="1:11" ht="11.25" customHeight="1" outlineLevel="1">
      <c r="A1609" s="89" t="n">
        <v>22386</v>
      </c>
      <c r="B1609" s="114" t="s">
        <v>1201</v>
      </c>
      <c r="C1609" s="89" t="s">
        <v>2629</v>
      </c>
      <c r="D1609" s="89" t="s">
        <v>15</v>
      </c>
      <c r="E1609" s="89" t="s">
        <v>2630</v>
      </c>
      <c r="F1609" s="102" t="n">
        <v>135</v>
      </c>
      <c r="G1609" s="102" t="n">
        <v>180</v>
      </c>
      <c r="H1609" s="103" t="s">
        <v>48</v>
      </c>
      <c r="I1609" s="103">
        <f>IFERROR(VLOOKUP(A1609,#REF!,15,0),0)+IFERROR(VLOOKUP(A1609,#REF!,25,0),0)+IFERROR(VLOOKUP(A1609,#REF!,10,0),0)+IFERROR(VLOOKUP(A1609,#REF!,14,0),0)+IFERROR(VLOOKUP(A1609,#REF!,11,0),0)+IFERROR(VLOOKUP(A1609,#REF!,10,0),0)+IFERROR(VLOOKUP(A1609,#REF!,10,0),0)+IFERROR(VLOOKUP(A1609,#REF!,9,0),0)+IFERROR(VLOOKUP(A1609,#REF!,9,0),0)+IFERROR(VLOOKUP(A1609,#REF!,9,0),0)+IFERROR(VLOOKUP(A1609,#REF!,9,0),0)</f>
        <v>0</v>
      </c>
      <c r="J1609" s="104">
        <f>IFERROR(VLOOKUP(A1609,#REF!,16,0),0)+IFERROR(VLOOKUP(A1609,#REF!,26,0),0)+IFERROR(VLOOKUP(A1609,#REF!,11,0),0)+IFERROR(VLOOKUP(A1609,#REF!,23,0),0)+IFERROR(VLOOKUP(A1609,#REF!,11,0),0)+IFERROR(VLOOKUP(A1609,#REF!,11,0),0)+IFERROR(VLOOKUP(A1609,#REF!,11,0),0)</f>
        <v>0</v>
      </c>
      <c r="K1609" s="96" t="str">
        <f>"07.02.24"</f>
        <v>07.02.24</v>
      </c>
    </row>
    <row r="1610" spans="1:11" ht="11.25" customHeight="1" outlineLevel="1">
      <c r="A1610" s="89" t="n">
        <v>22387</v>
      </c>
      <c r="B1610" s="114" t="s">
        <v>1201</v>
      </c>
      <c r="C1610" s="89" t="s">
        <v>2631</v>
      </c>
      <c r="D1610" s="89" t="s">
        <v>15</v>
      </c>
      <c r="E1610" s="89" t="s">
        <v>2632</v>
      </c>
      <c r="F1610" s="102" t="n">
        <v>161</v>
      </c>
      <c r="G1610" s="102" t="n">
        <v>216</v>
      </c>
      <c r="H1610" s="103" t="s">
        <v>48</v>
      </c>
      <c r="I1610" s="103">
        <f>IFERROR(VLOOKUP(A1610,#REF!,15,0),0)+IFERROR(VLOOKUP(A1610,#REF!,25,0),0)+IFERROR(VLOOKUP(A1610,#REF!,10,0),0)+IFERROR(VLOOKUP(A1610,#REF!,14,0),0)+IFERROR(VLOOKUP(A1610,#REF!,11,0),0)+IFERROR(VLOOKUP(A1610,#REF!,10,0),0)+IFERROR(VLOOKUP(A1610,#REF!,10,0),0)+IFERROR(VLOOKUP(A1610,#REF!,9,0),0)+IFERROR(VLOOKUP(A1610,#REF!,9,0),0)+IFERROR(VLOOKUP(A1610,#REF!,9,0),0)+IFERROR(VLOOKUP(A1610,#REF!,9,0),0)</f>
        <v>0</v>
      </c>
      <c r="J1610" s="104">
        <f>IFERROR(VLOOKUP(A1610,#REF!,16,0),0)+IFERROR(VLOOKUP(A1610,#REF!,26,0),0)+IFERROR(VLOOKUP(A1610,#REF!,11,0),0)+IFERROR(VLOOKUP(A1610,#REF!,23,0),0)+IFERROR(VLOOKUP(A1610,#REF!,11,0),0)+IFERROR(VLOOKUP(A1610,#REF!,11,0),0)+IFERROR(VLOOKUP(A1610,#REF!,11,0),0)</f>
        <v>0</v>
      </c>
      <c r="K1610" s="96" t="str">
        <f>"07.02.24"</f>
        <v>07.02.24</v>
      </c>
    </row>
    <row r="1611" spans="1:11" ht="11.25" customHeight="1" outlineLevel="1">
      <c r="A1611" s="89" t="n">
        <v>22388</v>
      </c>
      <c r="B1611" s="114" t="s">
        <v>1201</v>
      </c>
      <c r="C1611" s="89" t="s">
        <v>2633</v>
      </c>
      <c r="D1611" s="89" t="s">
        <v>15</v>
      </c>
      <c r="E1611" s="89" t="s">
        <v>2634</v>
      </c>
      <c r="F1611" s="102" t="n">
        <v>115</v>
      </c>
      <c r="G1611" s="102" t="n">
        <v>153</v>
      </c>
      <c r="H1611" s="103" t="s">
        <v>48</v>
      </c>
      <c r="I1611" s="103">
        <f>IFERROR(VLOOKUP(A1611,#REF!,15,0),0)+IFERROR(VLOOKUP(A1611,#REF!,25,0),0)+IFERROR(VLOOKUP(A1611,#REF!,10,0),0)+IFERROR(VLOOKUP(A1611,#REF!,14,0),0)+IFERROR(VLOOKUP(A1611,#REF!,11,0),0)+IFERROR(VLOOKUP(A1611,#REF!,10,0),0)+IFERROR(VLOOKUP(A1611,#REF!,10,0),0)+IFERROR(VLOOKUP(A1611,#REF!,9,0),0)+IFERROR(VLOOKUP(A1611,#REF!,9,0),0)+IFERROR(VLOOKUP(A1611,#REF!,9,0),0)+IFERROR(VLOOKUP(A1611,#REF!,9,0),0)</f>
        <v>0</v>
      </c>
      <c r="J1611" s="104">
        <f>IFERROR(VLOOKUP(A1611,#REF!,16,0),0)+IFERROR(VLOOKUP(A1611,#REF!,26,0),0)+IFERROR(VLOOKUP(A1611,#REF!,11,0),0)+IFERROR(VLOOKUP(A1611,#REF!,23,0),0)+IFERROR(VLOOKUP(A1611,#REF!,11,0),0)+IFERROR(VLOOKUP(A1611,#REF!,11,0),0)+IFERROR(VLOOKUP(A1611,#REF!,11,0),0)</f>
        <v>0</v>
      </c>
      <c r="K1611" s="96" t="str">
        <f>"07.02.24"</f>
        <v>07.02.24</v>
      </c>
    </row>
    <row r="1612" spans="1:11" ht="11.25" customHeight="1" outlineLevel="1">
      <c r="A1612" s="89" t="n">
        <v>22389</v>
      </c>
      <c r="B1612" s="114" t="s">
        <v>1201</v>
      </c>
      <c r="C1612" s="89" t="s">
        <v>2635</v>
      </c>
      <c r="D1612" s="89" t="s">
        <v>15</v>
      </c>
      <c r="E1612" s="89" t="s">
        <v>2636</v>
      </c>
      <c r="F1612" s="102" t="n">
        <v>161</v>
      </c>
      <c r="G1612" s="102" t="n">
        <v>216</v>
      </c>
      <c r="H1612" s="103" t="s">
        <v>48</v>
      </c>
      <c r="I1612" s="103">
        <f>IFERROR(VLOOKUP(A1612,#REF!,15,0),0)+IFERROR(VLOOKUP(A1612,#REF!,25,0),0)+IFERROR(VLOOKUP(A1612,#REF!,10,0),0)+IFERROR(VLOOKUP(A1612,#REF!,14,0),0)+IFERROR(VLOOKUP(A1612,#REF!,11,0),0)+IFERROR(VLOOKUP(A1612,#REF!,10,0),0)+IFERROR(VLOOKUP(A1612,#REF!,10,0),0)+IFERROR(VLOOKUP(A1612,#REF!,9,0),0)+IFERROR(VLOOKUP(A1612,#REF!,9,0),0)+IFERROR(VLOOKUP(A1612,#REF!,9,0),0)+IFERROR(VLOOKUP(A1612,#REF!,9,0),0)</f>
        <v>0</v>
      </c>
      <c r="J1612" s="104">
        <f>IFERROR(VLOOKUP(A1612,#REF!,16,0),0)+IFERROR(VLOOKUP(A1612,#REF!,26,0),0)+IFERROR(VLOOKUP(A1612,#REF!,11,0),0)+IFERROR(VLOOKUP(A1612,#REF!,23,0),0)+IFERROR(VLOOKUP(A1612,#REF!,11,0),0)+IFERROR(VLOOKUP(A1612,#REF!,11,0),0)+IFERROR(VLOOKUP(A1612,#REF!,11,0),0)</f>
        <v>0</v>
      </c>
      <c r="K1612" s="96" t="str">
        <f>"07.02.24"</f>
        <v>07.02.24</v>
      </c>
    </row>
    <row r="1613" spans="1:11" ht="11.25" customHeight="1" outlineLevel="1">
      <c r="A1613" s="89" t="n">
        <v>22390</v>
      </c>
      <c r="B1613" s="114" t="s">
        <v>1201</v>
      </c>
      <c r="C1613" s="89" t="s">
        <v>2637</v>
      </c>
      <c r="D1613" s="89" t="s">
        <v>15</v>
      </c>
      <c r="E1613" s="89" t="s">
        <v>2638</v>
      </c>
      <c r="F1613" s="102" t="n">
        <v>303</v>
      </c>
      <c r="G1613" s="102" t="n">
        <v>405</v>
      </c>
      <c r="H1613" s="103" t="s">
        <v>48</v>
      </c>
      <c r="I1613" s="103">
        <f>IFERROR(VLOOKUP(A1613,#REF!,15,0),0)+IFERROR(VLOOKUP(A1613,#REF!,25,0),0)+IFERROR(VLOOKUP(A1613,#REF!,10,0),0)+IFERROR(VLOOKUP(A1613,#REF!,14,0),0)+IFERROR(VLOOKUP(A1613,#REF!,11,0),0)+IFERROR(VLOOKUP(A1613,#REF!,10,0),0)+IFERROR(VLOOKUP(A1613,#REF!,10,0),0)+IFERROR(VLOOKUP(A1613,#REF!,9,0),0)+IFERROR(VLOOKUP(A1613,#REF!,9,0),0)+IFERROR(VLOOKUP(A1613,#REF!,9,0),0)+IFERROR(VLOOKUP(A1613,#REF!,9,0),0)</f>
        <v>0</v>
      </c>
      <c r="J1613" s="104">
        <f>IFERROR(VLOOKUP(A1613,#REF!,16,0),0)+IFERROR(VLOOKUP(A1613,#REF!,26,0),0)+IFERROR(VLOOKUP(A1613,#REF!,11,0),0)+IFERROR(VLOOKUP(A1613,#REF!,23,0),0)+IFERROR(VLOOKUP(A1613,#REF!,11,0),0)+IFERROR(VLOOKUP(A1613,#REF!,11,0),0)+IFERROR(VLOOKUP(A1613,#REF!,11,0),0)</f>
        <v>0</v>
      </c>
      <c r="K1613" s="96" t="str">
        <f>"07.02.24"</f>
        <v>07.02.24</v>
      </c>
    </row>
    <row r="1614" spans="1:11" ht="11.25" customHeight="1" outlineLevel="1">
      <c r="A1614" s="89" t="n">
        <v>22391</v>
      </c>
      <c r="B1614" s="114" t="s">
        <v>1201</v>
      </c>
      <c r="C1614" s="89" t="s">
        <v>2639</v>
      </c>
      <c r="D1614" s="89" t="s">
        <v>15</v>
      </c>
      <c r="E1614" s="89" t="s">
        <v>2640</v>
      </c>
      <c r="F1614" s="102" t="n">
        <v>301</v>
      </c>
      <c r="G1614" s="102" t="n">
        <v>402</v>
      </c>
      <c r="H1614" s="103" t="s">
        <v>48</v>
      </c>
      <c r="I1614" s="103">
        <f>IFERROR(VLOOKUP(A1614,#REF!,15,0),0)+IFERROR(VLOOKUP(A1614,#REF!,25,0),0)+IFERROR(VLOOKUP(A1614,#REF!,10,0),0)+IFERROR(VLOOKUP(A1614,#REF!,14,0),0)+IFERROR(VLOOKUP(A1614,#REF!,11,0),0)+IFERROR(VLOOKUP(A1614,#REF!,10,0),0)+IFERROR(VLOOKUP(A1614,#REF!,10,0),0)+IFERROR(VLOOKUP(A1614,#REF!,9,0),0)+IFERROR(VLOOKUP(A1614,#REF!,9,0),0)+IFERROR(VLOOKUP(A1614,#REF!,9,0),0)+IFERROR(VLOOKUP(A1614,#REF!,9,0),0)</f>
        <v>0</v>
      </c>
      <c r="J1614" s="104">
        <f>IFERROR(VLOOKUP(A1614,#REF!,16,0),0)+IFERROR(VLOOKUP(A1614,#REF!,26,0),0)+IFERROR(VLOOKUP(A1614,#REF!,11,0),0)+IFERROR(VLOOKUP(A1614,#REF!,23,0),0)+IFERROR(VLOOKUP(A1614,#REF!,11,0),0)+IFERROR(VLOOKUP(A1614,#REF!,11,0),0)+IFERROR(VLOOKUP(A1614,#REF!,11,0),0)</f>
        <v>0</v>
      </c>
      <c r="K1614" s="96" t="str">
        <f>"07.02.24"</f>
        <v>07.02.24</v>
      </c>
    </row>
    <row r="1615" spans="1:11" ht="11.25" customHeight="1" outlineLevel="1">
      <c r="A1615" s="89" t="n">
        <v>22392</v>
      </c>
      <c r="B1615" s="114" t="s">
        <v>1201</v>
      </c>
      <c r="C1615" s="89" t="s">
        <v>2641</v>
      </c>
      <c r="D1615" s="89" t="s">
        <v>15</v>
      </c>
      <c r="E1615" s="89" t="s">
        <v>2642</v>
      </c>
      <c r="F1615" s="102" t="n">
        <v>351</v>
      </c>
      <c r="G1615" s="102" t="n">
        <v>465</v>
      </c>
      <c r="H1615" s="103" t="s">
        <v>48</v>
      </c>
      <c r="I1615" s="103">
        <f>IFERROR(VLOOKUP(A1615,#REF!,15,0),0)+IFERROR(VLOOKUP(A1615,#REF!,25,0),0)+IFERROR(VLOOKUP(A1615,#REF!,10,0),0)+IFERROR(VLOOKUP(A1615,#REF!,14,0),0)+IFERROR(VLOOKUP(A1615,#REF!,11,0),0)+IFERROR(VLOOKUP(A1615,#REF!,10,0),0)+IFERROR(VLOOKUP(A1615,#REF!,10,0),0)+IFERROR(VLOOKUP(A1615,#REF!,9,0),0)+IFERROR(VLOOKUP(A1615,#REF!,9,0),0)+IFERROR(VLOOKUP(A1615,#REF!,9,0),0)+IFERROR(VLOOKUP(A1615,#REF!,9,0),0)</f>
        <v>0</v>
      </c>
      <c r="J1615" s="104">
        <f>IFERROR(VLOOKUP(A1615,#REF!,16,0),0)+IFERROR(VLOOKUP(A1615,#REF!,26,0),0)+IFERROR(VLOOKUP(A1615,#REF!,11,0),0)+IFERROR(VLOOKUP(A1615,#REF!,23,0),0)+IFERROR(VLOOKUP(A1615,#REF!,11,0),0)+IFERROR(VLOOKUP(A1615,#REF!,11,0),0)+IFERROR(VLOOKUP(A1615,#REF!,11,0),0)</f>
        <v>0</v>
      </c>
      <c r="K1615" s="96" t="str">
        <f>"07.02.24"</f>
        <v>07.02.24</v>
      </c>
    </row>
    <row r="1616" spans="1:11" ht="11.25" customHeight="1" outlineLevel="1">
      <c r="A1616" s="89" t="n">
        <v>22393</v>
      </c>
      <c r="B1616" s="114" t="s">
        <v>1201</v>
      </c>
      <c r="C1616" s="89" t="s">
        <v>2643</v>
      </c>
      <c r="D1616" s="89" t="s">
        <v>15</v>
      </c>
      <c r="E1616" s="89" t="s">
        <v>2644</v>
      </c>
      <c r="F1616" s="102" t="n">
        <v>238</v>
      </c>
      <c r="G1616" s="102" t="n">
        <v>317</v>
      </c>
      <c r="H1616" s="103" t="s">
        <v>17</v>
      </c>
      <c r="I1616" s="103">
        <f>IFERROR(VLOOKUP(A1616,#REF!,15,0),0)+IFERROR(VLOOKUP(A1616,#REF!,25,0),0)+IFERROR(VLOOKUP(A1616,#REF!,10,0),0)+IFERROR(VLOOKUP(A1616,#REF!,14,0),0)+IFERROR(VLOOKUP(A1616,#REF!,11,0),0)+IFERROR(VLOOKUP(A1616,#REF!,10,0),0)+IFERROR(VLOOKUP(A1616,#REF!,10,0),0)+IFERROR(VLOOKUP(A1616,#REF!,9,0),0)+IFERROR(VLOOKUP(A1616,#REF!,9,0),0)+IFERROR(VLOOKUP(A1616,#REF!,9,0),0)+IFERROR(VLOOKUP(A1616,#REF!,9,0),0)</f>
        <v>0</v>
      </c>
      <c r="J1616" s="104">
        <f>IFERROR(VLOOKUP(A1616,#REF!,16,0),0)+IFERROR(VLOOKUP(A1616,#REF!,26,0),0)+IFERROR(VLOOKUP(A1616,#REF!,11,0),0)+IFERROR(VLOOKUP(A1616,#REF!,23,0),0)+IFERROR(VLOOKUP(A1616,#REF!,11,0),0)+IFERROR(VLOOKUP(A1616,#REF!,11,0),0)+IFERROR(VLOOKUP(A1616,#REF!,11,0),0)</f>
        <v>0</v>
      </c>
      <c r="K1616" s="96" t="str">
        <f>"07.02.24"</f>
        <v>07.02.24</v>
      </c>
    </row>
    <row r="1617" spans="1:11" ht="11.25" customHeight="1" outlineLevel="1">
      <c r="A1617" s="89" t="n">
        <v>22394</v>
      </c>
      <c r="B1617" s="114" t="s">
        <v>1201</v>
      </c>
      <c r="C1617" s="89" t="s">
        <v>2645</v>
      </c>
      <c r="D1617" s="89" t="s">
        <v>15</v>
      </c>
      <c r="E1617" s="89" t="s">
        <v>2646</v>
      </c>
      <c r="F1617" s="102" t="n">
        <v>260</v>
      </c>
      <c r="G1617" s="102" t="n">
        <v>344</v>
      </c>
      <c r="H1617" s="103" t="s">
        <v>48</v>
      </c>
      <c r="I1617" s="103">
        <f>IFERROR(VLOOKUP(A1617,#REF!,15,0),0)+IFERROR(VLOOKUP(A1617,#REF!,25,0),0)+IFERROR(VLOOKUP(A1617,#REF!,10,0),0)+IFERROR(VLOOKUP(A1617,#REF!,14,0),0)+IFERROR(VLOOKUP(A1617,#REF!,11,0),0)+IFERROR(VLOOKUP(A1617,#REF!,10,0),0)+IFERROR(VLOOKUP(A1617,#REF!,10,0),0)+IFERROR(VLOOKUP(A1617,#REF!,9,0),0)+IFERROR(VLOOKUP(A1617,#REF!,9,0),0)+IFERROR(VLOOKUP(A1617,#REF!,9,0),0)+IFERROR(VLOOKUP(A1617,#REF!,9,0),0)</f>
        <v>0</v>
      </c>
      <c r="J1617" s="104">
        <f>IFERROR(VLOOKUP(A1617,#REF!,16,0),0)+IFERROR(VLOOKUP(A1617,#REF!,26,0),0)+IFERROR(VLOOKUP(A1617,#REF!,11,0),0)+IFERROR(VLOOKUP(A1617,#REF!,23,0),0)+IFERROR(VLOOKUP(A1617,#REF!,11,0),0)+IFERROR(VLOOKUP(A1617,#REF!,11,0),0)+IFERROR(VLOOKUP(A1617,#REF!,11,0),0)</f>
        <v>0</v>
      </c>
      <c r="K1617" s="96" t="str">
        <f>"07.02.24"</f>
        <v>07.02.24</v>
      </c>
    </row>
    <row r="1618" spans="1:11" ht="11.25" customHeight="1" outlineLevel="1">
      <c r="A1618" s="89" t="n">
        <v>22395</v>
      </c>
      <c r="B1618" s="114" t="s">
        <v>1201</v>
      </c>
      <c r="C1618" s="89" t="s">
        <v>2647</v>
      </c>
      <c r="D1618" s="89" t="s">
        <v>15</v>
      </c>
      <c r="E1618" s="89" t="s">
        <v>2648</v>
      </c>
      <c r="F1618" s="102" t="n">
        <v>275</v>
      </c>
      <c r="G1618" s="102" t="n">
        <v>364</v>
      </c>
      <c r="H1618" s="103" t="s">
        <v>48</v>
      </c>
      <c r="I1618" s="103">
        <f>IFERROR(VLOOKUP(A1618,#REF!,15,0),0)+IFERROR(VLOOKUP(A1618,#REF!,25,0),0)+IFERROR(VLOOKUP(A1618,#REF!,10,0),0)+IFERROR(VLOOKUP(A1618,#REF!,14,0),0)+IFERROR(VLOOKUP(A1618,#REF!,11,0),0)+IFERROR(VLOOKUP(A1618,#REF!,10,0),0)+IFERROR(VLOOKUP(A1618,#REF!,10,0),0)+IFERROR(VLOOKUP(A1618,#REF!,9,0),0)+IFERROR(VLOOKUP(A1618,#REF!,9,0),0)+IFERROR(VLOOKUP(A1618,#REF!,9,0),0)+IFERROR(VLOOKUP(A1618,#REF!,9,0),0)</f>
        <v>0</v>
      </c>
      <c r="J1618" s="104">
        <f>IFERROR(VLOOKUP(A1618,#REF!,16,0),0)+IFERROR(VLOOKUP(A1618,#REF!,26,0),0)+IFERROR(VLOOKUP(A1618,#REF!,11,0),0)+IFERROR(VLOOKUP(A1618,#REF!,23,0),0)+IFERROR(VLOOKUP(A1618,#REF!,11,0),0)+IFERROR(VLOOKUP(A1618,#REF!,11,0),0)+IFERROR(VLOOKUP(A1618,#REF!,11,0),0)</f>
        <v>0</v>
      </c>
      <c r="K1618" s="96" t="str">
        <f>"07.02.24"</f>
        <v>07.02.24</v>
      </c>
    </row>
    <row r="1619" spans="1:11" ht="11.25" customHeight="1" outlineLevel="1">
      <c r="A1619" s="89" t="n">
        <v>22396</v>
      </c>
      <c r="B1619" s="114" t="s">
        <v>1201</v>
      </c>
      <c r="C1619" s="89" t="s">
        <v>2649</v>
      </c>
      <c r="D1619" s="89" t="s">
        <v>15</v>
      </c>
      <c r="E1619" s="89" t="s">
        <v>2650</v>
      </c>
      <c r="F1619" s="102" t="n">
        <v>378</v>
      </c>
      <c r="G1619" s="102" t="n">
        <v>501</v>
      </c>
      <c r="H1619" s="103" t="s">
        <v>48</v>
      </c>
      <c r="I1619" s="103">
        <f>IFERROR(VLOOKUP(A1619,#REF!,15,0),0)+IFERROR(VLOOKUP(A1619,#REF!,25,0),0)+IFERROR(VLOOKUP(A1619,#REF!,10,0),0)+IFERROR(VLOOKUP(A1619,#REF!,14,0),0)+IFERROR(VLOOKUP(A1619,#REF!,11,0),0)+IFERROR(VLOOKUP(A1619,#REF!,10,0),0)+IFERROR(VLOOKUP(A1619,#REF!,10,0),0)+IFERROR(VLOOKUP(A1619,#REF!,9,0),0)+IFERROR(VLOOKUP(A1619,#REF!,9,0),0)+IFERROR(VLOOKUP(A1619,#REF!,9,0),0)+IFERROR(VLOOKUP(A1619,#REF!,9,0),0)</f>
        <v>0</v>
      </c>
      <c r="J1619" s="104">
        <f>IFERROR(VLOOKUP(A1619,#REF!,16,0),0)+IFERROR(VLOOKUP(A1619,#REF!,26,0),0)+IFERROR(VLOOKUP(A1619,#REF!,11,0),0)+IFERROR(VLOOKUP(A1619,#REF!,23,0),0)+IFERROR(VLOOKUP(A1619,#REF!,11,0),0)+IFERROR(VLOOKUP(A1619,#REF!,11,0),0)+IFERROR(VLOOKUP(A1619,#REF!,11,0),0)</f>
        <v>0</v>
      </c>
      <c r="K1619" s="96" t="str">
        <f>"07.02.24"</f>
        <v>07.02.24</v>
      </c>
    </row>
    <row r="1620" spans="1:11" ht="11.25" customHeight="1" outlineLevel="1">
      <c r="A1620" s="89" t="n">
        <v>22397</v>
      </c>
      <c r="B1620" s="114" t="s">
        <v>1201</v>
      </c>
      <c r="C1620" s="89" t="s">
        <v>2651</v>
      </c>
      <c r="D1620" s="89" t="s">
        <v>15</v>
      </c>
      <c r="E1620" s="89" t="s">
        <v>2652</v>
      </c>
      <c r="F1620" s="102" t="n">
        <v>196</v>
      </c>
      <c r="G1620" s="102" t="n">
        <v>259</v>
      </c>
      <c r="H1620" s="103" t="s">
        <v>17</v>
      </c>
      <c r="I1620" s="103">
        <f>IFERROR(VLOOKUP(A1620,#REF!,15,0),0)+IFERROR(VLOOKUP(A1620,#REF!,25,0),0)+IFERROR(VLOOKUP(A1620,#REF!,10,0),0)+IFERROR(VLOOKUP(A1620,#REF!,14,0),0)+IFERROR(VLOOKUP(A1620,#REF!,11,0),0)+IFERROR(VLOOKUP(A1620,#REF!,10,0),0)+IFERROR(VLOOKUP(A1620,#REF!,10,0),0)+IFERROR(VLOOKUP(A1620,#REF!,9,0),0)+IFERROR(VLOOKUP(A1620,#REF!,9,0),0)+IFERROR(VLOOKUP(A1620,#REF!,9,0),0)+IFERROR(VLOOKUP(A1620,#REF!,9,0),0)</f>
        <v>0</v>
      </c>
      <c r="J1620" s="104">
        <f>IFERROR(VLOOKUP(A1620,#REF!,16,0),0)+IFERROR(VLOOKUP(A1620,#REF!,26,0),0)+IFERROR(VLOOKUP(A1620,#REF!,11,0),0)+IFERROR(VLOOKUP(A1620,#REF!,23,0),0)+IFERROR(VLOOKUP(A1620,#REF!,11,0),0)+IFERROR(VLOOKUP(A1620,#REF!,11,0),0)+IFERROR(VLOOKUP(A1620,#REF!,11,0),0)</f>
        <v>0</v>
      </c>
      <c r="K1620" s="96" t="str">
        <f>"07.02.24"</f>
        <v>07.02.24</v>
      </c>
    </row>
    <row r="1621" spans="1:11" ht="11.25" customHeight="1" outlineLevel="1">
      <c r="A1621" s="89" t="n">
        <v>22398</v>
      </c>
      <c r="B1621" s="114" t="s">
        <v>1201</v>
      </c>
      <c r="C1621" s="89" t="s">
        <v>2653</v>
      </c>
      <c r="D1621" s="89" t="s">
        <v>15</v>
      </c>
      <c r="E1621" s="89" t="s">
        <v>2654</v>
      </c>
      <c r="F1621" s="102" t="n">
        <v>236</v>
      </c>
      <c r="G1621" s="102" t="n">
        <v>311</v>
      </c>
      <c r="H1621" s="103" t="s">
        <v>48</v>
      </c>
      <c r="I1621" s="103">
        <f>IFERROR(VLOOKUP(A1621,#REF!,15,0),0)+IFERROR(VLOOKUP(A1621,#REF!,25,0),0)+IFERROR(VLOOKUP(A1621,#REF!,10,0),0)+IFERROR(VLOOKUP(A1621,#REF!,14,0),0)+IFERROR(VLOOKUP(A1621,#REF!,11,0),0)+IFERROR(VLOOKUP(A1621,#REF!,10,0),0)+IFERROR(VLOOKUP(A1621,#REF!,10,0),0)+IFERROR(VLOOKUP(A1621,#REF!,9,0),0)+IFERROR(VLOOKUP(A1621,#REF!,9,0),0)+IFERROR(VLOOKUP(A1621,#REF!,9,0),0)+IFERROR(VLOOKUP(A1621,#REF!,9,0),0)</f>
        <v>0</v>
      </c>
      <c r="J1621" s="104">
        <f>IFERROR(VLOOKUP(A1621,#REF!,16,0),0)+IFERROR(VLOOKUP(A1621,#REF!,26,0),0)+IFERROR(VLOOKUP(A1621,#REF!,11,0),0)+IFERROR(VLOOKUP(A1621,#REF!,23,0),0)+IFERROR(VLOOKUP(A1621,#REF!,11,0),0)+IFERROR(VLOOKUP(A1621,#REF!,11,0),0)+IFERROR(VLOOKUP(A1621,#REF!,11,0),0)</f>
        <v>0</v>
      </c>
      <c r="K1621" s="96" t="str">
        <f>"07.02.24"</f>
        <v>07.02.24</v>
      </c>
    </row>
    <row r="1622" spans="1:11" ht="11.25" customHeight="1" outlineLevel="1">
      <c r="A1622" s="89" t="n">
        <v>22399</v>
      </c>
      <c r="B1622" s="114" t="s">
        <v>1201</v>
      </c>
      <c r="C1622" s="89" t="s">
        <v>2655</v>
      </c>
      <c r="D1622" s="89" t="s">
        <v>15</v>
      </c>
      <c r="E1622" s="89" t="s">
        <v>2656</v>
      </c>
      <c r="F1622" s="102" t="n">
        <v>269</v>
      </c>
      <c r="G1622" s="102" t="n">
        <v>353</v>
      </c>
      <c r="H1622" s="103" t="s">
        <v>17</v>
      </c>
      <c r="I1622" s="103">
        <f>IFERROR(VLOOKUP(A1622,#REF!,15,0),0)+IFERROR(VLOOKUP(A1622,#REF!,25,0),0)+IFERROR(VLOOKUP(A1622,#REF!,10,0),0)+IFERROR(VLOOKUP(A1622,#REF!,14,0),0)+IFERROR(VLOOKUP(A1622,#REF!,11,0),0)+IFERROR(VLOOKUP(A1622,#REF!,10,0),0)+IFERROR(VLOOKUP(A1622,#REF!,10,0),0)+IFERROR(VLOOKUP(A1622,#REF!,9,0),0)+IFERROR(VLOOKUP(A1622,#REF!,9,0),0)+IFERROR(VLOOKUP(A1622,#REF!,9,0),0)+IFERROR(VLOOKUP(A1622,#REF!,9,0),0)</f>
        <v>0</v>
      </c>
      <c r="J1622" s="104">
        <f>IFERROR(VLOOKUP(A1622,#REF!,16,0),0)+IFERROR(VLOOKUP(A1622,#REF!,26,0),0)+IFERROR(VLOOKUP(A1622,#REF!,11,0),0)+IFERROR(VLOOKUP(A1622,#REF!,23,0),0)+IFERROR(VLOOKUP(A1622,#REF!,11,0),0)+IFERROR(VLOOKUP(A1622,#REF!,11,0),0)+IFERROR(VLOOKUP(A1622,#REF!,11,0),0)</f>
        <v>0</v>
      </c>
      <c r="K1622" s="96" t="str">
        <f>"07.02.24"</f>
        <v>07.02.24</v>
      </c>
    </row>
    <row r="1623" spans="1:11" ht="11.25" customHeight="1" outlineLevel="1">
      <c r="A1623" s="89" t="n">
        <v>22400</v>
      </c>
      <c r="B1623" s="114" t="s">
        <v>1201</v>
      </c>
      <c r="C1623" s="89" t="s">
        <v>2657</v>
      </c>
      <c r="D1623" s="89" t="s">
        <v>15</v>
      </c>
      <c r="E1623" s="89" t="s">
        <v>2658</v>
      </c>
      <c r="F1623" s="102" t="n">
        <v>128</v>
      </c>
      <c r="G1623" s="102" t="n">
        <v>170</v>
      </c>
      <c r="H1623" s="103" t="s">
        <v>48</v>
      </c>
      <c r="I1623" s="103">
        <f>IFERROR(VLOOKUP(A1623,#REF!,15,0),0)+IFERROR(VLOOKUP(A1623,#REF!,25,0),0)+IFERROR(VLOOKUP(A1623,#REF!,10,0),0)+IFERROR(VLOOKUP(A1623,#REF!,14,0),0)+IFERROR(VLOOKUP(A1623,#REF!,11,0),0)+IFERROR(VLOOKUP(A1623,#REF!,10,0),0)+IFERROR(VLOOKUP(A1623,#REF!,10,0),0)+IFERROR(VLOOKUP(A1623,#REF!,9,0),0)+IFERROR(VLOOKUP(A1623,#REF!,9,0),0)+IFERROR(VLOOKUP(A1623,#REF!,9,0),0)+IFERROR(VLOOKUP(A1623,#REF!,9,0),0)</f>
        <v>0</v>
      </c>
      <c r="J1623" s="104">
        <f>IFERROR(VLOOKUP(A1623,#REF!,16,0),0)+IFERROR(VLOOKUP(A1623,#REF!,26,0),0)+IFERROR(VLOOKUP(A1623,#REF!,11,0),0)+IFERROR(VLOOKUP(A1623,#REF!,23,0),0)+IFERROR(VLOOKUP(A1623,#REF!,11,0),0)+IFERROR(VLOOKUP(A1623,#REF!,11,0),0)+IFERROR(VLOOKUP(A1623,#REF!,11,0),0)</f>
        <v>0</v>
      </c>
      <c r="K1623" s="96" t="str">
        <f>"07.02.24"</f>
        <v>07.02.24</v>
      </c>
    </row>
    <row r="1624" spans="1:11" ht="11.25" customHeight="1" outlineLevel="1">
      <c r="A1624" s="89" t="n">
        <v>22401</v>
      </c>
      <c r="B1624" s="114" t="s">
        <v>1201</v>
      </c>
      <c r="C1624" s="89" t="s">
        <v>2659</v>
      </c>
      <c r="D1624" s="89" t="s">
        <v>15</v>
      </c>
      <c r="E1624" s="89" t="s">
        <v>2660</v>
      </c>
      <c r="F1624" s="102" t="n">
        <v>103</v>
      </c>
      <c r="G1624" s="102" t="n">
        <v>136</v>
      </c>
      <c r="H1624" s="103" t="s">
        <v>48</v>
      </c>
      <c r="I1624" s="103">
        <f>IFERROR(VLOOKUP(A1624,#REF!,15,0),0)+IFERROR(VLOOKUP(A1624,#REF!,25,0),0)+IFERROR(VLOOKUP(A1624,#REF!,10,0),0)+IFERROR(VLOOKUP(A1624,#REF!,14,0),0)+IFERROR(VLOOKUP(A1624,#REF!,11,0),0)+IFERROR(VLOOKUP(A1624,#REF!,10,0),0)+IFERROR(VLOOKUP(A1624,#REF!,10,0),0)+IFERROR(VLOOKUP(A1624,#REF!,9,0),0)+IFERROR(VLOOKUP(A1624,#REF!,9,0),0)+IFERROR(VLOOKUP(A1624,#REF!,9,0),0)+IFERROR(VLOOKUP(A1624,#REF!,9,0),0)</f>
        <v>0</v>
      </c>
      <c r="J1624" s="104">
        <f>IFERROR(VLOOKUP(A1624,#REF!,16,0),0)+IFERROR(VLOOKUP(A1624,#REF!,26,0),0)+IFERROR(VLOOKUP(A1624,#REF!,11,0),0)+IFERROR(VLOOKUP(A1624,#REF!,23,0),0)+IFERROR(VLOOKUP(A1624,#REF!,11,0),0)+IFERROR(VLOOKUP(A1624,#REF!,11,0),0)+IFERROR(VLOOKUP(A1624,#REF!,11,0),0)</f>
        <v>0</v>
      </c>
      <c r="K1624" s="96" t="str">
        <f>"07.02.24"</f>
        <v>07.02.24</v>
      </c>
    </row>
    <row r="1625" spans="1:11" ht="11.25" customHeight="1" outlineLevel="1">
      <c r="A1625" s="89" t="n">
        <v>22402</v>
      </c>
      <c r="B1625" s="114" t="s">
        <v>1201</v>
      </c>
      <c r="C1625" s="89" t="s">
        <v>2661</v>
      </c>
      <c r="D1625" s="89" t="s">
        <v>15</v>
      </c>
      <c r="E1625" s="89" t="s">
        <v>2662</v>
      </c>
      <c r="F1625" s="102" t="n">
        <v>103</v>
      </c>
      <c r="G1625" s="102" t="n">
        <v>136</v>
      </c>
      <c r="H1625" s="103" t="s">
        <v>48</v>
      </c>
      <c r="I1625" s="103">
        <f>IFERROR(VLOOKUP(A1625,#REF!,15,0),0)+IFERROR(VLOOKUP(A1625,#REF!,25,0),0)+IFERROR(VLOOKUP(A1625,#REF!,10,0),0)+IFERROR(VLOOKUP(A1625,#REF!,14,0),0)+IFERROR(VLOOKUP(A1625,#REF!,11,0),0)+IFERROR(VLOOKUP(A1625,#REF!,10,0),0)+IFERROR(VLOOKUP(A1625,#REF!,10,0),0)+IFERROR(VLOOKUP(A1625,#REF!,9,0),0)+IFERROR(VLOOKUP(A1625,#REF!,9,0),0)+IFERROR(VLOOKUP(A1625,#REF!,9,0),0)+IFERROR(VLOOKUP(A1625,#REF!,9,0),0)</f>
        <v>0</v>
      </c>
      <c r="J1625" s="104">
        <f>IFERROR(VLOOKUP(A1625,#REF!,16,0),0)+IFERROR(VLOOKUP(A1625,#REF!,26,0),0)+IFERROR(VLOOKUP(A1625,#REF!,11,0),0)+IFERROR(VLOOKUP(A1625,#REF!,23,0),0)+IFERROR(VLOOKUP(A1625,#REF!,11,0),0)+IFERROR(VLOOKUP(A1625,#REF!,11,0),0)+IFERROR(VLOOKUP(A1625,#REF!,11,0),0)</f>
        <v>0</v>
      </c>
      <c r="K1625" s="96" t="str">
        <f>"07.02.24"</f>
        <v>07.02.24</v>
      </c>
    </row>
    <row r="1626" spans="1:11" ht="11.25" customHeight="1" outlineLevel="1">
      <c r="A1626" s="89" t="n">
        <v>22403</v>
      </c>
      <c r="B1626" s="114" t="s">
        <v>1201</v>
      </c>
      <c r="C1626" s="89" t="s">
        <v>2663</v>
      </c>
      <c r="D1626" s="89" t="s">
        <v>15</v>
      </c>
      <c r="E1626" s="89" t="s">
        <v>2664</v>
      </c>
      <c r="F1626" s="102" t="n">
        <v>171</v>
      </c>
      <c r="G1626" s="102" t="n">
        <v>227</v>
      </c>
      <c r="H1626" s="103" t="s">
        <v>48</v>
      </c>
      <c r="I1626" s="103">
        <f>IFERROR(VLOOKUP(A1626,#REF!,15,0),0)+IFERROR(VLOOKUP(A1626,#REF!,25,0),0)+IFERROR(VLOOKUP(A1626,#REF!,10,0),0)+IFERROR(VLOOKUP(A1626,#REF!,14,0),0)+IFERROR(VLOOKUP(A1626,#REF!,11,0),0)+IFERROR(VLOOKUP(A1626,#REF!,10,0),0)+IFERROR(VLOOKUP(A1626,#REF!,10,0),0)+IFERROR(VLOOKUP(A1626,#REF!,9,0),0)+IFERROR(VLOOKUP(A1626,#REF!,9,0),0)+IFERROR(VLOOKUP(A1626,#REF!,9,0),0)+IFERROR(VLOOKUP(A1626,#REF!,9,0),0)</f>
        <v>0</v>
      </c>
      <c r="J1626" s="104">
        <f>IFERROR(VLOOKUP(A1626,#REF!,16,0),0)+IFERROR(VLOOKUP(A1626,#REF!,26,0),0)+IFERROR(VLOOKUP(A1626,#REF!,11,0),0)+IFERROR(VLOOKUP(A1626,#REF!,23,0),0)+IFERROR(VLOOKUP(A1626,#REF!,11,0),0)+IFERROR(VLOOKUP(A1626,#REF!,11,0),0)+IFERROR(VLOOKUP(A1626,#REF!,11,0),0)</f>
        <v>0</v>
      </c>
      <c r="K1626" s="96" t="str">
        <f>"07.02.24"</f>
        <v>07.02.24</v>
      </c>
    </row>
    <row r="1627" spans="1:11" ht="11.25" customHeight="1" outlineLevel="1">
      <c r="A1627" s="89" t="n">
        <v>22419</v>
      </c>
      <c r="B1627" s="114" t="s">
        <v>1201</v>
      </c>
      <c r="C1627" s="89" t="s">
        <v>2665</v>
      </c>
      <c r="D1627" s="89" t="s">
        <v>15</v>
      </c>
      <c r="E1627" s="89" t="s">
        <v>2666</v>
      </c>
      <c r="F1627" s="102" t="n">
        <v>449</v>
      </c>
      <c r="G1627" s="102" t="n">
        <v>597</v>
      </c>
      <c r="H1627" s="103" t="s">
        <v>48</v>
      </c>
      <c r="I1627" s="103">
        <f>IFERROR(VLOOKUP(A1627,#REF!,15,0),0)+IFERROR(VLOOKUP(A1627,#REF!,25,0),0)+IFERROR(VLOOKUP(A1627,#REF!,10,0),0)+IFERROR(VLOOKUP(A1627,#REF!,14,0),0)+IFERROR(VLOOKUP(A1627,#REF!,11,0),0)+IFERROR(VLOOKUP(A1627,#REF!,10,0),0)+IFERROR(VLOOKUP(A1627,#REF!,10,0),0)+IFERROR(VLOOKUP(A1627,#REF!,9,0),0)+IFERROR(VLOOKUP(A1627,#REF!,9,0),0)+IFERROR(VLOOKUP(A1627,#REF!,9,0),0)+IFERROR(VLOOKUP(A1627,#REF!,9,0),0)</f>
        <v>0</v>
      </c>
      <c r="J1627" s="104">
        <f>IFERROR(VLOOKUP(A1627,#REF!,16,0),0)+IFERROR(VLOOKUP(A1627,#REF!,26,0),0)+IFERROR(VLOOKUP(A1627,#REF!,11,0),0)+IFERROR(VLOOKUP(A1627,#REF!,23,0),0)+IFERROR(VLOOKUP(A1627,#REF!,11,0),0)+IFERROR(VLOOKUP(A1627,#REF!,11,0),0)+IFERROR(VLOOKUP(A1627,#REF!,11,0),0)</f>
        <v>0</v>
      </c>
      <c r="K1627" s="96" t="str">
        <f>"07.02.24"</f>
        <v>07.02.24</v>
      </c>
    </row>
    <row r="1628" spans="1:11" ht="11.25" customHeight="1" outlineLevel="1">
      <c r="A1628" s="89" t="n">
        <v>26584</v>
      </c>
      <c r="B1628" s="114" t="s">
        <v>1201</v>
      </c>
      <c r="C1628" s="89" t="s">
        <v>2667</v>
      </c>
      <c r="D1628" s="89" t="s">
        <v>15</v>
      </c>
      <c r="E1628" s="89" t="s">
        <v>2668</v>
      </c>
      <c r="F1628" s="102" t="n">
        <v>197</v>
      </c>
      <c r="G1628" s="102" t="n">
        <v>263</v>
      </c>
      <c r="H1628" s="103" t="s">
        <v>48</v>
      </c>
      <c r="I1628" s="103">
        <f>IFERROR(VLOOKUP(A1628,#REF!,15,0),0)+IFERROR(VLOOKUP(A1628,#REF!,25,0),0)+IFERROR(VLOOKUP(A1628,#REF!,10,0),0)+IFERROR(VLOOKUP(A1628,#REF!,14,0),0)+IFERROR(VLOOKUP(A1628,#REF!,11,0),0)+IFERROR(VLOOKUP(A1628,#REF!,10,0),0)+IFERROR(VLOOKUP(A1628,#REF!,10,0),0)+IFERROR(VLOOKUP(A1628,#REF!,9,0),0)+IFERROR(VLOOKUP(A1628,#REF!,9,0),0)+IFERROR(VLOOKUP(A1628,#REF!,9,0),0)+IFERROR(VLOOKUP(A1628,#REF!,9,0),0)</f>
        <v>0</v>
      </c>
      <c r="J1628" s="104">
        <f>IFERROR(VLOOKUP(A1628,#REF!,16,0),0)+IFERROR(VLOOKUP(A1628,#REF!,26,0),0)+IFERROR(VLOOKUP(A1628,#REF!,11,0),0)+IFERROR(VLOOKUP(A1628,#REF!,23,0),0)+IFERROR(VLOOKUP(A1628,#REF!,11,0),0)+IFERROR(VLOOKUP(A1628,#REF!,11,0),0)+IFERROR(VLOOKUP(A1628,#REF!,11,0),0)</f>
        <v>0</v>
      </c>
      <c r="K1628" s="96" t="str">
        <f>"07.02.24"</f>
        <v>07.02.24</v>
      </c>
    </row>
    <row r="1629" spans="1:11" ht="11.25" customHeight="1" outlineLevel="1">
      <c r="A1629" s="89" t="n">
        <v>26585</v>
      </c>
      <c r="B1629" s="114" t="s">
        <v>1201</v>
      </c>
      <c r="C1629" s="89" t="s">
        <v>2669</v>
      </c>
      <c r="D1629" s="89" t="s">
        <v>15</v>
      </c>
      <c r="E1629" s="89" t="s">
        <v>2670</v>
      </c>
      <c r="F1629" s="102" t="n">
        <v>433</v>
      </c>
      <c r="G1629" s="102" t="n">
        <v>574</v>
      </c>
      <c r="H1629" s="103" t="s">
        <v>48</v>
      </c>
      <c r="I1629" s="103">
        <f>IFERROR(VLOOKUP(A1629,#REF!,15,0),0)+IFERROR(VLOOKUP(A1629,#REF!,25,0),0)+IFERROR(VLOOKUP(A1629,#REF!,10,0),0)+IFERROR(VLOOKUP(A1629,#REF!,14,0),0)+IFERROR(VLOOKUP(A1629,#REF!,11,0),0)+IFERROR(VLOOKUP(A1629,#REF!,10,0),0)+IFERROR(VLOOKUP(A1629,#REF!,10,0),0)+IFERROR(VLOOKUP(A1629,#REF!,9,0),0)+IFERROR(VLOOKUP(A1629,#REF!,9,0),0)+IFERROR(VLOOKUP(A1629,#REF!,9,0),0)+IFERROR(VLOOKUP(A1629,#REF!,9,0),0)</f>
        <v>0</v>
      </c>
      <c r="J1629" s="104">
        <f>IFERROR(VLOOKUP(A1629,#REF!,16,0),0)+IFERROR(VLOOKUP(A1629,#REF!,26,0),0)+IFERROR(VLOOKUP(A1629,#REF!,11,0),0)+IFERROR(VLOOKUP(A1629,#REF!,23,0),0)+IFERROR(VLOOKUP(A1629,#REF!,11,0),0)+IFERROR(VLOOKUP(A1629,#REF!,11,0),0)+IFERROR(VLOOKUP(A1629,#REF!,11,0),0)</f>
        <v>0</v>
      </c>
      <c r="K1629" s="96" t="str">
        <f>"07.02.24"</f>
        <v>07.02.24</v>
      </c>
    </row>
    <row r="1630" spans="1:11" ht="11.25" customHeight="1" outlineLevel="1">
      <c r="A1630" s="89" t="n">
        <v>26586</v>
      </c>
      <c r="B1630" s="114" t="s">
        <v>1201</v>
      </c>
      <c r="C1630" s="89" t="s">
        <v>2671</v>
      </c>
      <c r="D1630" s="89" t="s">
        <v>15</v>
      </c>
      <c r="E1630" s="89" t="s">
        <v>2672</v>
      </c>
      <c r="F1630" s="102" t="n">
        <v>252</v>
      </c>
      <c r="G1630" s="102" t="n">
        <v>334</v>
      </c>
      <c r="H1630" s="103" t="s">
        <v>48</v>
      </c>
      <c r="I1630" s="103">
        <f>IFERROR(VLOOKUP(A1630,#REF!,15,0),0)+IFERROR(VLOOKUP(A1630,#REF!,25,0),0)+IFERROR(VLOOKUP(A1630,#REF!,10,0),0)+IFERROR(VLOOKUP(A1630,#REF!,14,0),0)+IFERROR(VLOOKUP(A1630,#REF!,11,0),0)+IFERROR(VLOOKUP(A1630,#REF!,10,0),0)+IFERROR(VLOOKUP(A1630,#REF!,10,0),0)+IFERROR(VLOOKUP(A1630,#REF!,9,0),0)+IFERROR(VLOOKUP(A1630,#REF!,9,0),0)+IFERROR(VLOOKUP(A1630,#REF!,9,0),0)+IFERROR(VLOOKUP(A1630,#REF!,9,0),0)</f>
        <v>0</v>
      </c>
      <c r="J1630" s="104">
        <f>IFERROR(VLOOKUP(A1630,#REF!,16,0),0)+IFERROR(VLOOKUP(A1630,#REF!,26,0),0)+IFERROR(VLOOKUP(A1630,#REF!,11,0),0)+IFERROR(VLOOKUP(A1630,#REF!,23,0),0)+IFERROR(VLOOKUP(A1630,#REF!,11,0),0)+IFERROR(VLOOKUP(A1630,#REF!,11,0),0)+IFERROR(VLOOKUP(A1630,#REF!,11,0),0)</f>
        <v>0</v>
      </c>
      <c r="K1630" s="96" t="str">
        <f>"07.02.24"</f>
        <v>07.02.24</v>
      </c>
    </row>
    <row r="1631" spans="1:11" ht="11.25" customHeight="1" outlineLevel="1">
      <c r="A1631" s="89" t="n">
        <v>26587</v>
      </c>
      <c r="B1631" s="114" t="s">
        <v>1201</v>
      </c>
      <c r="C1631" s="89" t="s">
        <v>2673</v>
      </c>
      <c r="D1631" s="89" t="s">
        <v>15</v>
      </c>
      <c r="E1631" s="89" t="s">
        <v>2674</v>
      </c>
      <c r="F1631" s="102" t="n">
        <v>355</v>
      </c>
      <c r="G1631" s="102" t="n">
        <v>473</v>
      </c>
      <c r="H1631" s="103" t="s">
        <v>48</v>
      </c>
      <c r="I1631" s="103">
        <f>IFERROR(VLOOKUP(A1631,#REF!,15,0),0)+IFERROR(VLOOKUP(A1631,#REF!,25,0),0)+IFERROR(VLOOKUP(A1631,#REF!,10,0),0)+IFERROR(VLOOKUP(A1631,#REF!,14,0),0)+IFERROR(VLOOKUP(A1631,#REF!,11,0),0)+IFERROR(VLOOKUP(A1631,#REF!,10,0),0)+IFERROR(VLOOKUP(A1631,#REF!,10,0),0)+IFERROR(VLOOKUP(A1631,#REF!,9,0),0)+IFERROR(VLOOKUP(A1631,#REF!,9,0),0)+IFERROR(VLOOKUP(A1631,#REF!,9,0),0)+IFERROR(VLOOKUP(A1631,#REF!,9,0),0)</f>
        <v>0</v>
      </c>
      <c r="J1631" s="104">
        <f>IFERROR(VLOOKUP(A1631,#REF!,16,0),0)+IFERROR(VLOOKUP(A1631,#REF!,26,0),0)+IFERROR(VLOOKUP(A1631,#REF!,11,0),0)+IFERROR(VLOOKUP(A1631,#REF!,23,0),0)+IFERROR(VLOOKUP(A1631,#REF!,11,0),0)+IFERROR(VLOOKUP(A1631,#REF!,11,0),0)+IFERROR(VLOOKUP(A1631,#REF!,11,0),0)</f>
        <v>0</v>
      </c>
      <c r="K1631" s="96" t="str">
        <f>"07.02.24"</f>
        <v>07.02.24</v>
      </c>
    </row>
    <row r="1632" spans="1:11" ht="11.25" customHeight="1" outlineLevel="1">
      <c r="A1632" s="89" t="n">
        <v>26588</v>
      </c>
      <c r="B1632" s="114" t="s">
        <v>1201</v>
      </c>
      <c r="C1632" s="89" t="s">
        <v>2675</v>
      </c>
      <c r="D1632" s="89" t="s">
        <v>15</v>
      </c>
      <c r="E1632" s="89" t="s">
        <v>2676</v>
      </c>
      <c r="F1632" s="102" t="n">
        <v>455</v>
      </c>
      <c r="G1632" s="102" t="n">
        <v>606</v>
      </c>
      <c r="H1632" s="103" t="s">
        <v>48</v>
      </c>
      <c r="I1632" s="103">
        <f>IFERROR(VLOOKUP(A1632,#REF!,15,0),0)+IFERROR(VLOOKUP(A1632,#REF!,25,0),0)+IFERROR(VLOOKUP(A1632,#REF!,10,0),0)+IFERROR(VLOOKUP(A1632,#REF!,14,0),0)+IFERROR(VLOOKUP(A1632,#REF!,11,0),0)+IFERROR(VLOOKUP(A1632,#REF!,10,0),0)+IFERROR(VLOOKUP(A1632,#REF!,10,0),0)+IFERROR(VLOOKUP(A1632,#REF!,9,0),0)+IFERROR(VLOOKUP(A1632,#REF!,9,0),0)+IFERROR(VLOOKUP(A1632,#REF!,9,0),0)+IFERROR(VLOOKUP(A1632,#REF!,9,0),0)</f>
        <v>0</v>
      </c>
      <c r="J1632" s="104">
        <f>IFERROR(VLOOKUP(A1632,#REF!,16,0),0)+IFERROR(VLOOKUP(A1632,#REF!,26,0),0)+IFERROR(VLOOKUP(A1632,#REF!,11,0),0)+IFERROR(VLOOKUP(A1632,#REF!,23,0),0)+IFERROR(VLOOKUP(A1632,#REF!,11,0),0)+IFERROR(VLOOKUP(A1632,#REF!,11,0),0)+IFERROR(VLOOKUP(A1632,#REF!,11,0),0)</f>
        <v>0</v>
      </c>
      <c r="K1632" s="96" t="str">
        <f>"07.02.24"</f>
        <v>07.02.24</v>
      </c>
    </row>
    <row r="1633" spans="1:11" ht="11.25" customHeight="1" outlineLevel="1">
      <c r="A1633" s="89" t="n">
        <v>26589</v>
      </c>
      <c r="B1633" s="114" t="s">
        <v>1201</v>
      </c>
      <c r="C1633" s="89" t="s">
        <v>2677</v>
      </c>
      <c r="D1633" s="89" t="s">
        <v>15</v>
      </c>
      <c r="E1633" s="89" t="s">
        <v>2678</v>
      </c>
      <c r="F1633" s="102" t="n">
        <v>670</v>
      </c>
      <c r="G1633" s="102" t="n">
        <v>890</v>
      </c>
      <c r="H1633" s="103" t="s">
        <v>48</v>
      </c>
      <c r="I1633" s="103">
        <f>IFERROR(VLOOKUP(A1633,#REF!,15,0),0)+IFERROR(VLOOKUP(A1633,#REF!,25,0),0)+IFERROR(VLOOKUP(A1633,#REF!,10,0),0)+IFERROR(VLOOKUP(A1633,#REF!,14,0),0)+IFERROR(VLOOKUP(A1633,#REF!,11,0),0)+IFERROR(VLOOKUP(A1633,#REF!,10,0),0)+IFERROR(VLOOKUP(A1633,#REF!,10,0),0)+IFERROR(VLOOKUP(A1633,#REF!,9,0),0)+IFERROR(VLOOKUP(A1633,#REF!,9,0),0)+IFERROR(VLOOKUP(A1633,#REF!,9,0),0)+IFERROR(VLOOKUP(A1633,#REF!,9,0),0)</f>
        <v>0</v>
      </c>
      <c r="J1633" s="104">
        <f>IFERROR(VLOOKUP(A1633,#REF!,16,0),0)+IFERROR(VLOOKUP(A1633,#REF!,26,0),0)+IFERROR(VLOOKUP(A1633,#REF!,11,0),0)+IFERROR(VLOOKUP(A1633,#REF!,23,0),0)+IFERROR(VLOOKUP(A1633,#REF!,11,0),0)+IFERROR(VLOOKUP(A1633,#REF!,11,0),0)+IFERROR(VLOOKUP(A1633,#REF!,11,0),0)</f>
        <v>0</v>
      </c>
      <c r="K1633" s="96" t="str">
        <f>"07.02.24"</f>
        <v>07.02.24</v>
      </c>
    </row>
    <row r="1634" spans="1:11" ht="11.25" customHeight="1" outlineLevel="1">
      <c r="A1634" s="89" t="n">
        <v>26590</v>
      </c>
      <c r="B1634" s="114" t="s">
        <v>1201</v>
      </c>
      <c r="C1634" s="89" t="s">
        <v>2679</v>
      </c>
      <c r="D1634" s="89" t="s">
        <v>15</v>
      </c>
      <c r="E1634" s="89" t="s">
        <v>2680</v>
      </c>
      <c r="F1634" s="102" t="n">
        <v>788</v>
      </c>
      <c r="G1634" s="102" t="n">
        <v>1046</v>
      </c>
      <c r="H1634" s="103" t="s">
        <v>48</v>
      </c>
      <c r="I1634" s="103">
        <f>IFERROR(VLOOKUP(A1634,#REF!,15,0),0)+IFERROR(VLOOKUP(A1634,#REF!,25,0),0)+IFERROR(VLOOKUP(A1634,#REF!,10,0),0)+IFERROR(VLOOKUP(A1634,#REF!,14,0),0)+IFERROR(VLOOKUP(A1634,#REF!,11,0),0)+IFERROR(VLOOKUP(A1634,#REF!,10,0),0)+IFERROR(VLOOKUP(A1634,#REF!,10,0),0)+IFERROR(VLOOKUP(A1634,#REF!,9,0),0)+IFERROR(VLOOKUP(A1634,#REF!,9,0),0)+IFERROR(VLOOKUP(A1634,#REF!,9,0),0)+IFERROR(VLOOKUP(A1634,#REF!,9,0),0)</f>
        <v>0</v>
      </c>
      <c r="J1634" s="104">
        <f>IFERROR(VLOOKUP(A1634,#REF!,16,0),0)+IFERROR(VLOOKUP(A1634,#REF!,26,0),0)+IFERROR(VLOOKUP(A1634,#REF!,11,0),0)+IFERROR(VLOOKUP(A1634,#REF!,23,0),0)+IFERROR(VLOOKUP(A1634,#REF!,11,0),0)+IFERROR(VLOOKUP(A1634,#REF!,11,0),0)+IFERROR(VLOOKUP(A1634,#REF!,11,0),0)</f>
        <v>0</v>
      </c>
      <c r="K1634" s="96" t="str">
        <f>"07.02.24"</f>
        <v>07.02.24</v>
      </c>
    </row>
    <row r="1635" spans="1:11" ht="11.25" customHeight="1" outlineLevel="1">
      <c r="A1635" s="89" t="n">
        <v>26591</v>
      </c>
      <c r="B1635" s="114" t="s">
        <v>1201</v>
      </c>
      <c r="C1635" s="89" t="s">
        <v>2681</v>
      </c>
      <c r="D1635" s="89" t="s">
        <v>15</v>
      </c>
      <c r="E1635" s="89" t="s">
        <v>2682</v>
      </c>
      <c r="F1635" s="102" t="n">
        <v>1004</v>
      </c>
      <c r="G1635" s="102" t="n">
        <v>1333</v>
      </c>
      <c r="H1635" s="103" t="s">
        <v>48</v>
      </c>
      <c r="I1635" s="103">
        <f>IFERROR(VLOOKUP(A1635,#REF!,15,0),0)+IFERROR(VLOOKUP(A1635,#REF!,25,0),0)+IFERROR(VLOOKUP(A1635,#REF!,10,0),0)+IFERROR(VLOOKUP(A1635,#REF!,14,0),0)+IFERROR(VLOOKUP(A1635,#REF!,11,0),0)+IFERROR(VLOOKUP(A1635,#REF!,10,0),0)+IFERROR(VLOOKUP(A1635,#REF!,10,0),0)+IFERROR(VLOOKUP(A1635,#REF!,9,0),0)+IFERROR(VLOOKUP(A1635,#REF!,9,0),0)+IFERROR(VLOOKUP(A1635,#REF!,9,0),0)+IFERROR(VLOOKUP(A1635,#REF!,9,0),0)</f>
        <v>0</v>
      </c>
      <c r="J1635" s="104">
        <f>IFERROR(VLOOKUP(A1635,#REF!,16,0),0)+IFERROR(VLOOKUP(A1635,#REF!,26,0),0)+IFERROR(VLOOKUP(A1635,#REF!,11,0),0)+IFERROR(VLOOKUP(A1635,#REF!,23,0),0)+IFERROR(VLOOKUP(A1635,#REF!,11,0),0)+IFERROR(VLOOKUP(A1635,#REF!,11,0),0)+IFERROR(VLOOKUP(A1635,#REF!,11,0),0)</f>
        <v>0</v>
      </c>
      <c r="K1635" s="96" t="str">
        <f>"07.02.24"</f>
        <v>07.02.24</v>
      </c>
    </row>
    <row r="1636" spans="1:11" ht="11.25" customHeight="1" outlineLevel="1">
      <c r="A1636" s="89" t="n">
        <v>26592</v>
      </c>
      <c r="B1636" s="114" t="s">
        <v>1201</v>
      </c>
      <c r="C1636" s="89" t="s">
        <v>2683</v>
      </c>
      <c r="D1636" s="89" t="s">
        <v>15</v>
      </c>
      <c r="E1636" s="89" t="s">
        <v>2684</v>
      </c>
      <c r="F1636" s="102" t="n">
        <v>114</v>
      </c>
      <c r="G1636" s="102" t="n">
        <v>150</v>
      </c>
      <c r="H1636" s="103" t="s">
        <v>48</v>
      </c>
      <c r="I1636" s="103">
        <f>IFERROR(VLOOKUP(A1636,#REF!,15,0),0)+IFERROR(VLOOKUP(A1636,#REF!,25,0),0)+IFERROR(VLOOKUP(A1636,#REF!,10,0),0)+IFERROR(VLOOKUP(A1636,#REF!,14,0),0)+IFERROR(VLOOKUP(A1636,#REF!,11,0),0)+IFERROR(VLOOKUP(A1636,#REF!,10,0),0)+IFERROR(VLOOKUP(A1636,#REF!,10,0),0)+IFERROR(VLOOKUP(A1636,#REF!,9,0),0)+IFERROR(VLOOKUP(A1636,#REF!,9,0),0)+IFERROR(VLOOKUP(A1636,#REF!,9,0),0)+IFERROR(VLOOKUP(A1636,#REF!,9,0),0)</f>
        <v>0</v>
      </c>
      <c r="J1636" s="104">
        <f>IFERROR(VLOOKUP(A1636,#REF!,16,0),0)+IFERROR(VLOOKUP(A1636,#REF!,26,0),0)+IFERROR(VLOOKUP(A1636,#REF!,11,0),0)+IFERROR(VLOOKUP(A1636,#REF!,23,0),0)+IFERROR(VLOOKUP(A1636,#REF!,11,0),0)+IFERROR(VLOOKUP(A1636,#REF!,11,0),0)+IFERROR(VLOOKUP(A1636,#REF!,11,0),0)</f>
        <v>0</v>
      </c>
      <c r="K1636" s="96" t="str">
        <f>"07.02.24"</f>
        <v>07.02.24</v>
      </c>
    </row>
    <row r="1637" spans="1:11" ht="11.25" customHeight="1" outlineLevel="1">
      <c r="A1637" s="89" t="n">
        <v>26593</v>
      </c>
      <c r="B1637" s="114" t="s">
        <v>1201</v>
      </c>
      <c r="C1637" s="89" t="s">
        <v>2685</v>
      </c>
      <c r="D1637" s="89" t="s">
        <v>15</v>
      </c>
      <c r="E1637" s="89" t="s">
        <v>2686</v>
      </c>
      <c r="F1637" s="102" t="n">
        <v>67</v>
      </c>
      <c r="G1637" s="102" t="n">
        <v>88</v>
      </c>
      <c r="H1637" s="103" t="s">
        <v>48</v>
      </c>
      <c r="I1637" s="103">
        <f>IFERROR(VLOOKUP(A1637,#REF!,15,0),0)+IFERROR(VLOOKUP(A1637,#REF!,25,0),0)+IFERROR(VLOOKUP(A1637,#REF!,10,0),0)+IFERROR(VLOOKUP(A1637,#REF!,14,0),0)+IFERROR(VLOOKUP(A1637,#REF!,11,0),0)+IFERROR(VLOOKUP(A1637,#REF!,10,0),0)+IFERROR(VLOOKUP(A1637,#REF!,10,0),0)+IFERROR(VLOOKUP(A1637,#REF!,9,0),0)+IFERROR(VLOOKUP(A1637,#REF!,9,0),0)+IFERROR(VLOOKUP(A1637,#REF!,9,0),0)+IFERROR(VLOOKUP(A1637,#REF!,9,0),0)</f>
        <v>0</v>
      </c>
      <c r="J1637" s="104">
        <f>IFERROR(VLOOKUP(A1637,#REF!,16,0),0)+IFERROR(VLOOKUP(A1637,#REF!,26,0),0)+IFERROR(VLOOKUP(A1637,#REF!,11,0),0)+IFERROR(VLOOKUP(A1637,#REF!,23,0),0)+IFERROR(VLOOKUP(A1637,#REF!,11,0),0)+IFERROR(VLOOKUP(A1637,#REF!,11,0),0)+IFERROR(VLOOKUP(A1637,#REF!,11,0),0)</f>
        <v>0</v>
      </c>
      <c r="K1637" s="96" t="str">
        <f>"07.02.24"</f>
        <v>07.02.24</v>
      </c>
    </row>
    <row r="1638" spans="1:11" ht="11.25" customHeight="1" outlineLevel="1">
      <c r="A1638" s="89" t="n">
        <v>27581</v>
      </c>
      <c r="B1638" s="114" t="s">
        <v>1201</v>
      </c>
      <c r="C1638" s="89" t="s">
        <v>2687</v>
      </c>
      <c r="D1638" s="89" t="s">
        <v>15</v>
      </c>
      <c r="E1638" s="89" t="s">
        <v>2688</v>
      </c>
      <c r="F1638" s="102" t="n">
        <v>134</v>
      </c>
      <c r="G1638" s="102" t="n">
        <v>177</v>
      </c>
      <c r="H1638" s="103" t="s">
        <v>48</v>
      </c>
      <c r="I1638" s="103">
        <f>IFERROR(VLOOKUP(A1638,#REF!,15,0),0)+IFERROR(VLOOKUP(A1638,#REF!,25,0),0)+IFERROR(VLOOKUP(A1638,#REF!,10,0),0)+IFERROR(VLOOKUP(A1638,#REF!,14,0),0)+IFERROR(VLOOKUP(A1638,#REF!,11,0),0)+IFERROR(VLOOKUP(A1638,#REF!,10,0),0)+IFERROR(VLOOKUP(A1638,#REF!,10,0),0)+IFERROR(VLOOKUP(A1638,#REF!,9,0),0)+IFERROR(VLOOKUP(A1638,#REF!,9,0),0)+IFERROR(VLOOKUP(A1638,#REF!,9,0),0)+IFERROR(VLOOKUP(A1638,#REF!,9,0),0)</f>
        <v>0</v>
      </c>
      <c r="J1638" s="104">
        <f>IFERROR(VLOOKUP(A1638,#REF!,16,0),0)+IFERROR(VLOOKUP(A1638,#REF!,26,0),0)+IFERROR(VLOOKUP(A1638,#REF!,11,0),0)+IFERROR(VLOOKUP(A1638,#REF!,23,0),0)+IFERROR(VLOOKUP(A1638,#REF!,11,0),0)+IFERROR(VLOOKUP(A1638,#REF!,11,0),0)+IFERROR(VLOOKUP(A1638,#REF!,11,0),0)</f>
        <v>0</v>
      </c>
      <c r="K1638" s="96" t="str">
        <f>"07.02.24"</f>
        <v>07.02.24</v>
      </c>
    </row>
    <row r="1639" spans="1:11" ht="11.25" customHeight="1" outlineLevel="1">
      <c r="A1639" s="89" t="n">
        <v>34720</v>
      </c>
      <c r="B1639" s="114" t="s">
        <v>1201</v>
      </c>
      <c r="C1639" s="89" t="s">
        <v>2689</v>
      </c>
      <c r="D1639" s="89" t="s">
        <v>15</v>
      </c>
      <c r="E1639" s="89" t="s">
        <v>2690</v>
      </c>
      <c r="F1639" s="102" t="n">
        <v>308</v>
      </c>
      <c r="G1639" s="102" t="n">
        <v>412</v>
      </c>
      <c r="H1639" s="103" t="s">
        <v>17</v>
      </c>
      <c r="I1639" s="103">
        <f>IFERROR(VLOOKUP(A1639,#REF!,15,0),0)+IFERROR(VLOOKUP(A1639,#REF!,25,0),0)+IFERROR(VLOOKUP(A1639,#REF!,10,0),0)+IFERROR(VLOOKUP(A1639,#REF!,14,0),0)+IFERROR(VLOOKUP(A1639,#REF!,11,0),0)+IFERROR(VLOOKUP(A1639,#REF!,10,0),0)+IFERROR(VLOOKUP(A1639,#REF!,10,0),0)+IFERROR(VLOOKUP(A1639,#REF!,9,0),0)+IFERROR(VLOOKUP(A1639,#REF!,9,0),0)+IFERROR(VLOOKUP(A1639,#REF!,9,0),0)+IFERROR(VLOOKUP(A1639,#REF!,9,0),0)</f>
        <v>0</v>
      </c>
      <c r="J1639" s="104">
        <f>IFERROR(VLOOKUP(A1639,#REF!,16,0),0)+IFERROR(VLOOKUP(A1639,#REF!,26,0),0)+IFERROR(VLOOKUP(A1639,#REF!,11,0),0)+IFERROR(VLOOKUP(A1639,#REF!,23,0),0)+IFERROR(VLOOKUP(A1639,#REF!,11,0),0)+IFERROR(VLOOKUP(A1639,#REF!,11,0),0)+IFERROR(VLOOKUP(A1639,#REF!,11,0),0)</f>
        <v>0</v>
      </c>
      <c r="K1639" s="96" t="str">
        <f>"07.02.24"</f>
        <v>07.02.24</v>
      </c>
    </row>
    <row r="1640" spans="1:11" ht="11.25" customHeight="1" outlineLevel="1">
      <c r="A1640" s="89" t="n">
        <v>34721</v>
      </c>
      <c r="B1640" s="114" t="s">
        <v>1201</v>
      </c>
      <c r="C1640" s="89" t="s">
        <v>2691</v>
      </c>
      <c r="D1640" s="89" t="s">
        <v>15</v>
      </c>
      <c r="E1640" s="89" t="s">
        <v>2692</v>
      </c>
      <c r="F1640" s="102" t="n">
        <v>368</v>
      </c>
      <c r="G1640" s="102" t="n">
        <v>492</v>
      </c>
      <c r="H1640" s="103" t="s">
        <v>48</v>
      </c>
      <c r="I1640" s="103">
        <f>IFERROR(VLOOKUP(A1640,#REF!,15,0),0)+IFERROR(VLOOKUP(A1640,#REF!,25,0),0)+IFERROR(VLOOKUP(A1640,#REF!,10,0),0)+IFERROR(VLOOKUP(A1640,#REF!,14,0),0)+IFERROR(VLOOKUP(A1640,#REF!,11,0),0)+IFERROR(VLOOKUP(A1640,#REF!,10,0),0)+IFERROR(VLOOKUP(A1640,#REF!,10,0),0)+IFERROR(VLOOKUP(A1640,#REF!,9,0),0)+IFERROR(VLOOKUP(A1640,#REF!,9,0),0)+IFERROR(VLOOKUP(A1640,#REF!,9,0),0)+IFERROR(VLOOKUP(A1640,#REF!,9,0),0)</f>
        <v>0</v>
      </c>
      <c r="J1640" s="104">
        <f>IFERROR(VLOOKUP(A1640,#REF!,16,0),0)+IFERROR(VLOOKUP(A1640,#REF!,26,0),0)+IFERROR(VLOOKUP(A1640,#REF!,11,0),0)+IFERROR(VLOOKUP(A1640,#REF!,23,0),0)+IFERROR(VLOOKUP(A1640,#REF!,11,0),0)+IFERROR(VLOOKUP(A1640,#REF!,11,0),0)+IFERROR(VLOOKUP(A1640,#REF!,11,0),0)</f>
        <v>0</v>
      </c>
      <c r="K1640" s="96" t="str">
        <f>"07.02.24"</f>
        <v>07.02.24</v>
      </c>
    </row>
    <row r="1641" spans="1:11" ht="11.25" customHeight="1" outlineLevel="1">
      <c r="A1641" s="89" t="n">
        <v>34722</v>
      </c>
      <c r="B1641" s="114" t="s">
        <v>1201</v>
      </c>
      <c r="C1641" s="89" t="s">
        <v>2693</v>
      </c>
      <c r="D1641" s="89" t="s">
        <v>15</v>
      </c>
      <c r="E1641" s="89" t="s">
        <v>2694</v>
      </c>
      <c r="F1641" s="102" t="n">
        <v>681</v>
      </c>
      <c r="G1641" s="102" t="n">
        <v>903</v>
      </c>
      <c r="H1641" s="103" t="s">
        <v>48</v>
      </c>
      <c r="I1641" s="103">
        <f>IFERROR(VLOOKUP(A1641,#REF!,15,0),0)+IFERROR(VLOOKUP(A1641,#REF!,25,0),0)+IFERROR(VLOOKUP(A1641,#REF!,10,0),0)+IFERROR(VLOOKUP(A1641,#REF!,14,0),0)+IFERROR(VLOOKUP(A1641,#REF!,11,0),0)+IFERROR(VLOOKUP(A1641,#REF!,10,0),0)+IFERROR(VLOOKUP(A1641,#REF!,10,0),0)+IFERROR(VLOOKUP(A1641,#REF!,9,0),0)+IFERROR(VLOOKUP(A1641,#REF!,9,0),0)+IFERROR(VLOOKUP(A1641,#REF!,9,0),0)+IFERROR(VLOOKUP(A1641,#REF!,9,0),0)</f>
        <v>0</v>
      </c>
      <c r="J1641" s="104">
        <f>IFERROR(VLOOKUP(A1641,#REF!,16,0),0)+IFERROR(VLOOKUP(A1641,#REF!,26,0),0)+IFERROR(VLOOKUP(A1641,#REF!,11,0),0)+IFERROR(VLOOKUP(A1641,#REF!,23,0),0)+IFERROR(VLOOKUP(A1641,#REF!,11,0),0)+IFERROR(VLOOKUP(A1641,#REF!,11,0),0)+IFERROR(VLOOKUP(A1641,#REF!,11,0),0)</f>
        <v>0</v>
      </c>
      <c r="K1641" s="96" t="str">
        <f>"07.02.24"</f>
        <v>07.02.24</v>
      </c>
    </row>
    <row r="1642" spans="1:11" ht="11.25" customHeight="1" outlineLevel="1">
      <c r="A1642" s="89" t="n">
        <v>34723</v>
      </c>
      <c r="B1642" s="114" t="s">
        <v>1201</v>
      </c>
      <c r="C1642" s="89" t="s">
        <v>2695</v>
      </c>
      <c r="D1642" s="89" t="s">
        <v>15</v>
      </c>
      <c r="E1642" s="89" t="s">
        <v>2696</v>
      </c>
      <c r="F1642" s="102" t="n">
        <v>936</v>
      </c>
      <c r="G1642" s="102" t="n">
        <v>1244</v>
      </c>
      <c r="H1642" s="103" t="s">
        <v>48</v>
      </c>
      <c r="I1642" s="103">
        <f>IFERROR(VLOOKUP(A1642,#REF!,15,0),0)+IFERROR(VLOOKUP(A1642,#REF!,25,0),0)+IFERROR(VLOOKUP(A1642,#REF!,10,0),0)+IFERROR(VLOOKUP(A1642,#REF!,14,0),0)+IFERROR(VLOOKUP(A1642,#REF!,11,0),0)+IFERROR(VLOOKUP(A1642,#REF!,10,0),0)+IFERROR(VLOOKUP(A1642,#REF!,10,0),0)+IFERROR(VLOOKUP(A1642,#REF!,9,0),0)+IFERROR(VLOOKUP(A1642,#REF!,9,0),0)+IFERROR(VLOOKUP(A1642,#REF!,9,0),0)+IFERROR(VLOOKUP(A1642,#REF!,9,0),0)</f>
        <v>0</v>
      </c>
      <c r="J1642" s="104">
        <f>IFERROR(VLOOKUP(A1642,#REF!,16,0),0)+IFERROR(VLOOKUP(A1642,#REF!,26,0),0)+IFERROR(VLOOKUP(A1642,#REF!,11,0),0)+IFERROR(VLOOKUP(A1642,#REF!,23,0),0)+IFERROR(VLOOKUP(A1642,#REF!,11,0),0)+IFERROR(VLOOKUP(A1642,#REF!,11,0),0)+IFERROR(VLOOKUP(A1642,#REF!,11,0),0)</f>
        <v>0</v>
      </c>
      <c r="K1642" s="96" t="str">
        <f>"07.02.24"</f>
        <v>07.02.24</v>
      </c>
    </row>
    <row r="1643" spans="1:11" ht="11.25" customHeight="1" outlineLevel="1">
      <c r="A1643" s="89" t="n">
        <v>34724</v>
      </c>
      <c r="B1643" s="114" t="s">
        <v>1201</v>
      </c>
      <c r="C1643" s="89" t="s">
        <v>2697</v>
      </c>
      <c r="D1643" s="89" t="s">
        <v>15</v>
      </c>
      <c r="E1643" s="89" t="s">
        <v>2698</v>
      </c>
      <c r="F1643" s="102" t="n">
        <v>446</v>
      </c>
      <c r="G1643" s="102" t="n">
        <v>592</v>
      </c>
      <c r="H1643" s="103" t="s">
        <v>48</v>
      </c>
      <c r="I1643" s="103">
        <f>IFERROR(VLOOKUP(A1643,#REF!,15,0),0)+IFERROR(VLOOKUP(A1643,#REF!,25,0),0)+IFERROR(VLOOKUP(A1643,#REF!,10,0),0)+IFERROR(VLOOKUP(A1643,#REF!,14,0),0)+IFERROR(VLOOKUP(A1643,#REF!,11,0),0)+IFERROR(VLOOKUP(A1643,#REF!,10,0),0)+IFERROR(VLOOKUP(A1643,#REF!,10,0),0)+IFERROR(VLOOKUP(A1643,#REF!,9,0),0)+IFERROR(VLOOKUP(A1643,#REF!,9,0),0)+IFERROR(VLOOKUP(A1643,#REF!,9,0),0)+IFERROR(VLOOKUP(A1643,#REF!,9,0),0)</f>
        <v>0</v>
      </c>
      <c r="J1643" s="104">
        <f>IFERROR(VLOOKUP(A1643,#REF!,16,0),0)+IFERROR(VLOOKUP(A1643,#REF!,26,0),0)+IFERROR(VLOOKUP(A1643,#REF!,11,0),0)+IFERROR(VLOOKUP(A1643,#REF!,23,0),0)+IFERROR(VLOOKUP(A1643,#REF!,11,0),0)+IFERROR(VLOOKUP(A1643,#REF!,11,0),0)+IFERROR(VLOOKUP(A1643,#REF!,11,0),0)</f>
        <v>0</v>
      </c>
      <c r="K1643" s="96" t="str">
        <f>"07.02.24"</f>
        <v>07.02.24</v>
      </c>
    </row>
    <row r="1644" spans="1:11" ht="11.25" customHeight="1" outlineLevel="1">
      <c r="A1644" s="89" t="n">
        <v>34725</v>
      </c>
      <c r="B1644" s="114" t="s">
        <v>1201</v>
      </c>
      <c r="C1644" s="89" t="s">
        <v>2699</v>
      </c>
      <c r="D1644" s="89" t="s">
        <v>15</v>
      </c>
      <c r="E1644" s="89" t="s">
        <v>2700</v>
      </c>
      <c r="F1644" s="102" t="n">
        <v>500</v>
      </c>
      <c r="G1644" s="102" t="n">
        <v>663</v>
      </c>
      <c r="H1644" s="103" t="s">
        <v>48</v>
      </c>
      <c r="I1644" s="103">
        <f>IFERROR(VLOOKUP(A1644,#REF!,15,0),0)+IFERROR(VLOOKUP(A1644,#REF!,25,0),0)+IFERROR(VLOOKUP(A1644,#REF!,10,0),0)+IFERROR(VLOOKUP(A1644,#REF!,14,0),0)+IFERROR(VLOOKUP(A1644,#REF!,11,0),0)+IFERROR(VLOOKUP(A1644,#REF!,10,0),0)+IFERROR(VLOOKUP(A1644,#REF!,10,0),0)+IFERROR(VLOOKUP(A1644,#REF!,9,0),0)+IFERROR(VLOOKUP(A1644,#REF!,9,0),0)+IFERROR(VLOOKUP(A1644,#REF!,9,0),0)+IFERROR(VLOOKUP(A1644,#REF!,9,0),0)</f>
        <v>0</v>
      </c>
      <c r="J1644" s="104">
        <f>IFERROR(VLOOKUP(A1644,#REF!,16,0),0)+IFERROR(VLOOKUP(A1644,#REF!,26,0),0)+IFERROR(VLOOKUP(A1644,#REF!,11,0),0)+IFERROR(VLOOKUP(A1644,#REF!,23,0),0)+IFERROR(VLOOKUP(A1644,#REF!,11,0),0)+IFERROR(VLOOKUP(A1644,#REF!,11,0),0)+IFERROR(VLOOKUP(A1644,#REF!,11,0),0)</f>
        <v>0</v>
      </c>
      <c r="K1644" s="96" t="str">
        <f>"07.02.24"</f>
        <v>07.02.24</v>
      </c>
    </row>
    <row r="1645" spans="1:11" ht="11.25" customHeight="1" outlineLevel="1">
      <c r="A1645" s="89" t="n">
        <v>34726</v>
      </c>
      <c r="B1645" s="114" t="s">
        <v>1201</v>
      </c>
      <c r="C1645" s="89" t="s">
        <v>2701</v>
      </c>
      <c r="D1645" s="89" t="s">
        <v>15</v>
      </c>
      <c r="E1645" s="89" t="s">
        <v>2702</v>
      </c>
      <c r="F1645" s="102" t="n">
        <v>748</v>
      </c>
      <c r="G1645" s="102" t="n">
        <v>996</v>
      </c>
      <c r="H1645" s="103" t="s">
        <v>48</v>
      </c>
      <c r="I1645" s="103">
        <f>IFERROR(VLOOKUP(A1645,#REF!,15,0),0)+IFERROR(VLOOKUP(A1645,#REF!,25,0),0)+IFERROR(VLOOKUP(A1645,#REF!,10,0),0)+IFERROR(VLOOKUP(A1645,#REF!,14,0),0)+IFERROR(VLOOKUP(A1645,#REF!,11,0),0)+IFERROR(VLOOKUP(A1645,#REF!,10,0),0)+IFERROR(VLOOKUP(A1645,#REF!,10,0),0)+IFERROR(VLOOKUP(A1645,#REF!,9,0),0)+IFERROR(VLOOKUP(A1645,#REF!,9,0),0)+IFERROR(VLOOKUP(A1645,#REF!,9,0),0)+IFERROR(VLOOKUP(A1645,#REF!,9,0),0)</f>
        <v>0</v>
      </c>
      <c r="J1645" s="104">
        <f>IFERROR(VLOOKUP(A1645,#REF!,16,0),0)+IFERROR(VLOOKUP(A1645,#REF!,26,0),0)+IFERROR(VLOOKUP(A1645,#REF!,11,0),0)+IFERROR(VLOOKUP(A1645,#REF!,23,0),0)+IFERROR(VLOOKUP(A1645,#REF!,11,0),0)+IFERROR(VLOOKUP(A1645,#REF!,11,0),0)+IFERROR(VLOOKUP(A1645,#REF!,11,0),0)</f>
        <v>0</v>
      </c>
      <c r="K1645" s="96" t="str">
        <f>"07.02.24"</f>
        <v>07.02.24</v>
      </c>
    </row>
    <row r="1646" spans="1:11" ht="11.25" customHeight="1" outlineLevel="1">
      <c r="A1646" s="89" t="n">
        <v>34727</v>
      </c>
      <c r="B1646" s="114" t="s">
        <v>1201</v>
      </c>
      <c r="C1646" s="89" t="s">
        <v>2703</v>
      </c>
      <c r="D1646" s="89" t="s">
        <v>15</v>
      </c>
      <c r="E1646" s="89" t="s">
        <v>2704</v>
      </c>
      <c r="F1646" s="102" t="n">
        <v>1050</v>
      </c>
      <c r="G1646" s="102" t="n">
        <v>1395</v>
      </c>
      <c r="H1646" s="103" t="s">
        <v>48</v>
      </c>
      <c r="I1646" s="103">
        <f>IFERROR(VLOOKUP(A1646,#REF!,15,0),0)+IFERROR(VLOOKUP(A1646,#REF!,25,0),0)+IFERROR(VLOOKUP(A1646,#REF!,10,0),0)+IFERROR(VLOOKUP(A1646,#REF!,14,0),0)+IFERROR(VLOOKUP(A1646,#REF!,11,0),0)+IFERROR(VLOOKUP(A1646,#REF!,10,0),0)+IFERROR(VLOOKUP(A1646,#REF!,10,0),0)+IFERROR(VLOOKUP(A1646,#REF!,9,0),0)+IFERROR(VLOOKUP(A1646,#REF!,9,0),0)+IFERROR(VLOOKUP(A1646,#REF!,9,0),0)+IFERROR(VLOOKUP(A1646,#REF!,9,0),0)</f>
        <v>0</v>
      </c>
      <c r="J1646" s="104">
        <f>IFERROR(VLOOKUP(A1646,#REF!,16,0),0)+IFERROR(VLOOKUP(A1646,#REF!,26,0),0)+IFERROR(VLOOKUP(A1646,#REF!,11,0),0)+IFERROR(VLOOKUP(A1646,#REF!,23,0),0)+IFERROR(VLOOKUP(A1646,#REF!,11,0),0)+IFERROR(VLOOKUP(A1646,#REF!,11,0),0)+IFERROR(VLOOKUP(A1646,#REF!,11,0),0)</f>
        <v>0</v>
      </c>
      <c r="K1646" s="96" t="str">
        <f>"07.02.24"</f>
        <v>07.02.24</v>
      </c>
    </row>
    <row r="1647" spans="1:11" ht="11.25" customHeight="1" outlineLevel="1">
      <c r="A1647" s="89" t="n">
        <v>34728</v>
      </c>
      <c r="B1647" s="114" t="s">
        <v>1201</v>
      </c>
      <c r="C1647" s="89" t="s">
        <v>2705</v>
      </c>
      <c r="D1647" s="89" t="s">
        <v>15</v>
      </c>
      <c r="E1647" s="89" t="s">
        <v>2706</v>
      </c>
      <c r="F1647" s="102" t="n">
        <v>881</v>
      </c>
      <c r="G1647" s="102" t="n">
        <v>1171</v>
      </c>
      <c r="H1647" s="103" t="s">
        <v>48</v>
      </c>
      <c r="I1647" s="103">
        <f>IFERROR(VLOOKUP(A1647,#REF!,15,0),0)+IFERROR(VLOOKUP(A1647,#REF!,25,0),0)+IFERROR(VLOOKUP(A1647,#REF!,10,0),0)+IFERROR(VLOOKUP(A1647,#REF!,14,0),0)+IFERROR(VLOOKUP(A1647,#REF!,11,0),0)+IFERROR(VLOOKUP(A1647,#REF!,10,0),0)+IFERROR(VLOOKUP(A1647,#REF!,10,0),0)+IFERROR(VLOOKUP(A1647,#REF!,9,0),0)+IFERROR(VLOOKUP(A1647,#REF!,9,0),0)+IFERROR(VLOOKUP(A1647,#REF!,9,0),0)+IFERROR(VLOOKUP(A1647,#REF!,9,0),0)</f>
        <v>0</v>
      </c>
      <c r="J1647" s="104">
        <f>IFERROR(VLOOKUP(A1647,#REF!,16,0),0)+IFERROR(VLOOKUP(A1647,#REF!,26,0),0)+IFERROR(VLOOKUP(A1647,#REF!,11,0),0)+IFERROR(VLOOKUP(A1647,#REF!,23,0),0)+IFERROR(VLOOKUP(A1647,#REF!,11,0),0)+IFERROR(VLOOKUP(A1647,#REF!,11,0),0)+IFERROR(VLOOKUP(A1647,#REF!,11,0),0)</f>
        <v>0</v>
      </c>
      <c r="K1647" s="96" t="str">
        <f>"07.02.24"</f>
        <v>07.02.24</v>
      </c>
    </row>
    <row r="1648" spans="1:11" ht="11.25" customHeight="1" outlineLevel="1">
      <c r="A1648" s="89" t="n">
        <v>34729</v>
      </c>
      <c r="B1648" s="114" t="s">
        <v>1201</v>
      </c>
      <c r="C1648" s="89" t="s">
        <v>2707</v>
      </c>
      <c r="D1648" s="89" t="s">
        <v>15</v>
      </c>
      <c r="E1648" s="89" t="s">
        <v>2708</v>
      </c>
      <c r="F1648" s="102" t="n">
        <v>1474</v>
      </c>
      <c r="G1648" s="102" t="n">
        <v>1958</v>
      </c>
      <c r="H1648" s="103" t="s">
        <v>48</v>
      </c>
      <c r="I1648" s="103">
        <f>IFERROR(VLOOKUP(A1648,#REF!,15,0),0)+IFERROR(VLOOKUP(A1648,#REF!,25,0),0)+IFERROR(VLOOKUP(A1648,#REF!,10,0),0)+IFERROR(VLOOKUP(A1648,#REF!,14,0),0)+IFERROR(VLOOKUP(A1648,#REF!,11,0),0)+IFERROR(VLOOKUP(A1648,#REF!,10,0),0)+IFERROR(VLOOKUP(A1648,#REF!,10,0),0)+IFERROR(VLOOKUP(A1648,#REF!,9,0),0)+IFERROR(VLOOKUP(A1648,#REF!,9,0),0)+IFERROR(VLOOKUP(A1648,#REF!,9,0),0)+IFERROR(VLOOKUP(A1648,#REF!,9,0),0)</f>
        <v>0</v>
      </c>
      <c r="J1648" s="104">
        <f>IFERROR(VLOOKUP(A1648,#REF!,16,0),0)+IFERROR(VLOOKUP(A1648,#REF!,26,0),0)+IFERROR(VLOOKUP(A1648,#REF!,11,0),0)+IFERROR(VLOOKUP(A1648,#REF!,23,0),0)+IFERROR(VLOOKUP(A1648,#REF!,11,0),0)+IFERROR(VLOOKUP(A1648,#REF!,11,0),0)+IFERROR(VLOOKUP(A1648,#REF!,11,0),0)</f>
        <v>0</v>
      </c>
      <c r="K1648" s="96" t="str">
        <f>"07.02.24"</f>
        <v>07.02.24</v>
      </c>
    </row>
    <row r="1649" spans="1:11" ht="11.25" customHeight="1" outlineLevel="1">
      <c r="A1649" s="89" t="n">
        <v>34730</v>
      </c>
      <c r="B1649" s="114" t="s">
        <v>1201</v>
      </c>
      <c r="C1649" s="89" t="s">
        <v>2709</v>
      </c>
      <c r="D1649" s="89" t="s">
        <v>15</v>
      </c>
      <c r="E1649" s="89" t="s">
        <v>2710</v>
      </c>
      <c r="F1649" s="102" t="n">
        <v>2012</v>
      </c>
      <c r="G1649" s="102" t="n">
        <v>2673</v>
      </c>
      <c r="H1649" s="103" t="s">
        <v>48</v>
      </c>
      <c r="I1649" s="103">
        <f>IFERROR(VLOOKUP(A1649,#REF!,15,0),0)+IFERROR(VLOOKUP(A1649,#REF!,25,0),0)+IFERROR(VLOOKUP(A1649,#REF!,10,0),0)+IFERROR(VLOOKUP(A1649,#REF!,14,0),0)+IFERROR(VLOOKUP(A1649,#REF!,11,0),0)+IFERROR(VLOOKUP(A1649,#REF!,10,0),0)+IFERROR(VLOOKUP(A1649,#REF!,10,0),0)+IFERROR(VLOOKUP(A1649,#REF!,9,0),0)+IFERROR(VLOOKUP(A1649,#REF!,9,0),0)+IFERROR(VLOOKUP(A1649,#REF!,9,0),0)+IFERROR(VLOOKUP(A1649,#REF!,9,0),0)</f>
        <v>0</v>
      </c>
      <c r="J1649" s="104">
        <f>IFERROR(VLOOKUP(A1649,#REF!,16,0),0)+IFERROR(VLOOKUP(A1649,#REF!,26,0),0)+IFERROR(VLOOKUP(A1649,#REF!,11,0),0)+IFERROR(VLOOKUP(A1649,#REF!,23,0),0)+IFERROR(VLOOKUP(A1649,#REF!,11,0),0)+IFERROR(VLOOKUP(A1649,#REF!,11,0),0)+IFERROR(VLOOKUP(A1649,#REF!,11,0),0)</f>
        <v>0</v>
      </c>
      <c r="K1649" s="96" t="str">
        <f>"07.02.24"</f>
        <v>07.02.24</v>
      </c>
    </row>
    <row r="1650" spans="1:11" ht="11.25" customHeight="1" outlineLevel="1">
      <c r="A1650" s="89" t="n">
        <v>34731</v>
      </c>
      <c r="B1650" s="114" t="s">
        <v>1201</v>
      </c>
      <c r="C1650" s="89" t="s">
        <v>2711</v>
      </c>
      <c r="D1650" s="89" t="s">
        <v>15</v>
      </c>
      <c r="E1650" s="89" t="s">
        <v>2712</v>
      </c>
      <c r="F1650" s="102" t="n">
        <v>621</v>
      </c>
      <c r="G1650" s="102" t="n">
        <v>826</v>
      </c>
      <c r="H1650" s="103" t="s">
        <v>48</v>
      </c>
      <c r="I1650" s="103">
        <f>IFERROR(VLOOKUP(A1650,#REF!,15,0),0)+IFERROR(VLOOKUP(A1650,#REF!,25,0),0)+IFERROR(VLOOKUP(A1650,#REF!,10,0),0)+IFERROR(VLOOKUP(A1650,#REF!,14,0),0)+IFERROR(VLOOKUP(A1650,#REF!,11,0),0)+IFERROR(VLOOKUP(A1650,#REF!,10,0),0)+IFERROR(VLOOKUP(A1650,#REF!,10,0),0)+IFERROR(VLOOKUP(A1650,#REF!,9,0),0)+IFERROR(VLOOKUP(A1650,#REF!,9,0),0)+IFERROR(VLOOKUP(A1650,#REF!,9,0),0)+IFERROR(VLOOKUP(A1650,#REF!,9,0),0)</f>
        <v>0</v>
      </c>
      <c r="J1650" s="104">
        <f>IFERROR(VLOOKUP(A1650,#REF!,16,0),0)+IFERROR(VLOOKUP(A1650,#REF!,26,0),0)+IFERROR(VLOOKUP(A1650,#REF!,11,0),0)+IFERROR(VLOOKUP(A1650,#REF!,23,0),0)+IFERROR(VLOOKUP(A1650,#REF!,11,0),0)+IFERROR(VLOOKUP(A1650,#REF!,11,0),0)+IFERROR(VLOOKUP(A1650,#REF!,11,0),0)</f>
        <v>0</v>
      </c>
      <c r="K1650" s="96" t="str">
        <f>"07.02.24"</f>
        <v>07.02.24</v>
      </c>
    </row>
    <row r="1651" spans="1:11" ht="11.25" customHeight="1" outlineLevel="1">
      <c r="A1651" s="89" t="n">
        <v>34732</v>
      </c>
      <c r="B1651" s="114" t="s">
        <v>1201</v>
      </c>
      <c r="C1651" s="89" t="s">
        <v>2713</v>
      </c>
      <c r="D1651" s="89" t="s">
        <v>15</v>
      </c>
      <c r="E1651" s="89" t="s">
        <v>2714</v>
      </c>
      <c r="F1651" s="102" t="n">
        <v>776</v>
      </c>
      <c r="G1651" s="102" t="n">
        <v>1035</v>
      </c>
      <c r="H1651" s="103" t="s">
        <v>48</v>
      </c>
      <c r="I1651" s="103">
        <f>IFERROR(VLOOKUP(A1651,#REF!,15,0),0)+IFERROR(VLOOKUP(A1651,#REF!,25,0),0)+IFERROR(VLOOKUP(A1651,#REF!,10,0),0)+IFERROR(VLOOKUP(A1651,#REF!,14,0),0)+IFERROR(VLOOKUP(A1651,#REF!,11,0),0)+IFERROR(VLOOKUP(A1651,#REF!,10,0),0)+IFERROR(VLOOKUP(A1651,#REF!,10,0),0)+IFERROR(VLOOKUP(A1651,#REF!,9,0),0)+IFERROR(VLOOKUP(A1651,#REF!,9,0),0)+IFERROR(VLOOKUP(A1651,#REF!,9,0),0)+IFERROR(VLOOKUP(A1651,#REF!,9,0),0)</f>
        <v>0</v>
      </c>
      <c r="J1651" s="104">
        <f>IFERROR(VLOOKUP(A1651,#REF!,16,0),0)+IFERROR(VLOOKUP(A1651,#REF!,26,0),0)+IFERROR(VLOOKUP(A1651,#REF!,11,0),0)+IFERROR(VLOOKUP(A1651,#REF!,23,0),0)+IFERROR(VLOOKUP(A1651,#REF!,11,0),0)+IFERROR(VLOOKUP(A1651,#REF!,11,0),0)+IFERROR(VLOOKUP(A1651,#REF!,11,0),0)</f>
        <v>0</v>
      </c>
      <c r="K1651" s="96" t="str">
        <f>"07.02.24"</f>
        <v>07.02.24</v>
      </c>
    </row>
    <row r="1652" spans="1:11" ht="11.25" customHeight="1" outlineLevel="1">
      <c r="A1652" s="89" t="n">
        <v>34733</v>
      </c>
      <c r="B1652" s="114" t="s">
        <v>1201</v>
      </c>
      <c r="C1652" s="89" t="s">
        <v>2715</v>
      </c>
      <c r="D1652" s="89" t="s">
        <v>15</v>
      </c>
      <c r="E1652" s="89" t="s">
        <v>2716</v>
      </c>
      <c r="F1652" s="102" t="n">
        <v>1088</v>
      </c>
      <c r="G1652" s="102" t="n">
        <v>1444</v>
      </c>
      <c r="H1652" s="103" t="s">
        <v>17</v>
      </c>
      <c r="I1652" s="103">
        <f>IFERROR(VLOOKUP(A1652,#REF!,15,0),0)+IFERROR(VLOOKUP(A1652,#REF!,25,0),0)+IFERROR(VLOOKUP(A1652,#REF!,10,0),0)+IFERROR(VLOOKUP(A1652,#REF!,14,0),0)+IFERROR(VLOOKUP(A1652,#REF!,11,0),0)+IFERROR(VLOOKUP(A1652,#REF!,10,0),0)+IFERROR(VLOOKUP(A1652,#REF!,10,0),0)+IFERROR(VLOOKUP(A1652,#REF!,9,0),0)+IFERROR(VLOOKUP(A1652,#REF!,9,0),0)+IFERROR(VLOOKUP(A1652,#REF!,9,0),0)+IFERROR(VLOOKUP(A1652,#REF!,9,0),0)</f>
        <v>0</v>
      </c>
      <c r="J1652" s="104">
        <f>IFERROR(VLOOKUP(A1652,#REF!,16,0),0)+IFERROR(VLOOKUP(A1652,#REF!,26,0),0)+IFERROR(VLOOKUP(A1652,#REF!,11,0),0)+IFERROR(VLOOKUP(A1652,#REF!,23,0),0)+IFERROR(VLOOKUP(A1652,#REF!,11,0),0)+IFERROR(VLOOKUP(A1652,#REF!,11,0),0)+IFERROR(VLOOKUP(A1652,#REF!,11,0),0)</f>
        <v>0</v>
      </c>
      <c r="K1652" s="96" t="str">
        <f>"07.02.24"</f>
        <v>07.02.24</v>
      </c>
    </row>
    <row r="1653" spans="1:11" ht="11.25" customHeight="1" outlineLevel="1">
      <c r="A1653" s="89" t="n">
        <v>34734</v>
      </c>
      <c r="B1653" s="114" t="s">
        <v>1201</v>
      </c>
      <c r="C1653" s="89" t="s">
        <v>2717</v>
      </c>
      <c r="D1653" s="89" t="s">
        <v>15</v>
      </c>
      <c r="E1653" s="89" t="s">
        <v>2718</v>
      </c>
      <c r="F1653" s="102" t="n">
        <v>1256</v>
      </c>
      <c r="G1653" s="102" t="n">
        <v>1669</v>
      </c>
      <c r="H1653" s="103" t="s">
        <v>48</v>
      </c>
      <c r="I1653" s="103">
        <f>IFERROR(VLOOKUP(A1653,#REF!,15,0),0)+IFERROR(VLOOKUP(A1653,#REF!,25,0),0)+IFERROR(VLOOKUP(A1653,#REF!,10,0),0)+IFERROR(VLOOKUP(A1653,#REF!,14,0),0)+IFERROR(VLOOKUP(A1653,#REF!,11,0),0)+IFERROR(VLOOKUP(A1653,#REF!,10,0),0)+IFERROR(VLOOKUP(A1653,#REF!,10,0),0)+IFERROR(VLOOKUP(A1653,#REF!,9,0),0)+IFERROR(VLOOKUP(A1653,#REF!,9,0),0)+IFERROR(VLOOKUP(A1653,#REF!,9,0),0)+IFERROR(VLOOKUP(A1653,#REF!,9,0),0)</f>
        <v>0</v>
      </c>
      <c r="J1653" s="104">
        <f>IFERROR(VLOOKUP(A1653,#REF!,16,0),0)+IFERROR(VLOOKUP(A1653,#REF!,26,0),0)+IFERROR(VLOOKUP(A1653,#REF!,11,0),0)+IFERROR(VLOOKUP(A1653,#REF!,23,0),0)+IFERROR(VLOOKUP(A1653,#REF!,11,0),0)+IFERROR(VLOOKUP(A1653,#REF!,11,0),0)+IFERROR(VLOOKUP(A1653,#REF!,11,0),0)</f>
        <v>0</v>
      </c>
      <c r="K1653" s="96" t="str">
        <f>"07.02.24"</f>
        <v>07.02.24</v>
      </c>
    </row>
    <row r="1654" spans="1:11" ht="11.25" customHeight="1" outlineLevel="1">
      <c r="A1654" s="89" t="n">
        <v>34735</v>
      </c>
      <c r="B1654" s="114" t="s">
        <v>1201</v>
      </c>
      <c r="C1654" s="89" t="s">
        <v>2719</v>
      </c>
      <c r="D1654" s="89" t="s">
        <v>15</v>
      </c>
      <c r="E1654" s="89" t="s">
        <v>2720</v>
      </c>
      <c r="F1654" s="102" t="n">
        <v>1547</v>
      </c>
      <c r="G1654" s="102" t="n">
        <v>2056</v>
      </c>
      <c r="H1654" s="103" t="s">
        <v>48</v>
      </c>
      <c r="I1654" s="103">
        <f>IFERROR(VLOOKUP(A1654,#REF!,15,0),0)+IFERROR(VLOOKUP(A1654,#REF!,25,0),0)+IFERROR(VLOOKUP(A1654,#REF!,10,0),0)+IFERROR(VLOOKUP(A1654,#REF!,14,0),0)+IFERROR(VLOOKUP(A1654,#REF!,11,0),0)+IFERROR(VLOOKUP(A1654,#REF!,10,0),0)+IFERROR(VLOOKUP(A1654,#REF!,10,0),0)+IFERROR(VLOOKUP(A1654,#REF!,9,0),0)+IFERROR(VLOOKUP(A1654,#REF!,9,0),0)+IFERROR(VLOOKUP(A1654,#REF!,9,0),0)+IFERROR(VLOOKUP(A1654,#REF!,9,0),0)</f>
        <v>0</v>
      </c>
      <c r="J1654" s="104">
        <f>IFERROR(VLOOKUP(A1654,#REF!,16,0),0)+IFERROR(VLOOKUP(A1654,#REF!,26,0),0)+IFERROR(VLOOKUP(A1654,#REF!,11,0),0)+IFERROR(VLOOKUP(A1654,#REF!,23,0),0)+IFERROR(VLOOKUP(A1654,#REF!,11,0),0)+IFERROR(VLOOKUP(A1654,#REF!,11,0),0)+IFERROR(VLOOKUP(A1654,#REF!,11,0),0)</f>
        <v>0</v>
      </c>
      <c r="K1654" s="96" t="str">
        <f>"07.02.24"</f>
        <v>07.02.24</v>
      </c>
    </row>
    <row r="1655" spans="1:11" ht="11.25" customHeight="1" outlineLevel="1">
      <c r="A1655" s="89" t="n">
        <v>2067360</v>
      </c>
      <c r="B1655" s="114" t="s">
        <v>1201</v>
      </c>
      <c r="C1655" s="89" t="s">
        <v>2721</v>
      </c>
      <c r="D1655" s="89" t="s">
        <v>15</v>
      </c>
      <c r="E1655" s="89" t="s">
        <v>2722</v>
      </c>
      <c r="F1655" s="102" t="n">
        <v>962</v>
      </c>
      <c r="G1655" s="102" t="n">
        <v>1278</v>
      </c>
      <c r="H1655" s="103" t="s">
        <v>48</v>
      </c>
      <c r="I1655" s="103">
        <f>IFERROR(VLOOKUP(A1655,#REF!,15,0),0)+IFERROR(VLOOKUP(A1655,#REF!,25,0),0)+IFERROR(VLOOKUP(A1655,#REF!,10,0),0)+IFERROR(VLOOKUP(A1655,#REF!,14,0),0)+IFERROR(VLOOKUP(A1655,#REF!,11,0),0)+IFERROR(VLOOKUP(A1655,#REF!,10,0),0)+IFERROR(VLOOKUP(A1655,#REF!,10,0),0)+IFERROR(VLOOKUP(A1655,#REF!,9,0),0)+IFERROR(VLOOKUP(A1655,#REF!,9,0),0)+IFERROR(VLOOKUP(A1655,#REF!,9,0),0)+IFERROR(VLOOKUP(A1655,#REF!,9,0),0)</f>
        <v>0</v>
      </c>
      <c r="J1655" s="104">
        <f>IFERROR(VLOOKUP(A1655,#REF!,16,0),0)+IFERROR(VLOOKUP(A1655,#REF!,26,0),0)+IFERROR(VLOOKUP(A1655,#REF!,11,0),0)+IFERROR(VLOOKUP(A1655,#REF!,23,0),0)+IFERROR(VLOOKUP(A1655,#REF!,11,0),0)+IFERROR(VLOOKUP(A1655,#REF!,11,0),0)+IFERROR(VLOOKUP(A1655,#REF!,11,0),0)</f>
        <v>0</v>
      </c>
      <c r="K1655" s="96" t="str">
        <f>"07.02.24"</f>
        <v>07.02.24</v>
      </c>
    </row>
    <row r="1656" spans="1:11" ht="11.25" customHeight="1" outlineLevel="1">
      <c r="A1656" s="89" t="n">
        <v>2067420</v>
      </c>
      <c r="B1656" s="114" t="s">
        <v>1201</v>
      </c>
      <c r="C1656" s="89" t="s">
        <v>2723</v>
      </c>
      <c r="D1656" s="89" t="s">
        <v>15</v>
      </c>
      <c r="E1656" s="89" t="s">
        <v>2724</v>
      </c>
      <c r="F1656" s="102" t="n">
        <v>562</v>
      </c>
      <c r="G1656" s="102" t="n">
        <v>747</v>
      </c>
      <c r="H1656" s="103" t="s">
        <v>48</v>
      </c>
      <c r="I1656" s="103">
        <f>IFERROR(VLOOKUP(A1656,#REF!,15,0),0)+IFERROR(VLOOKUP(A1656,#REF!,25,0),0)+IFERROR(VLOOKUP(A1656,#REF!,10,0),0)+IFERROR(VLOOKUP(A1656,#REF!,14,0),0)+IFERROR(VLOOKUP(A1656,#REF!,11,0),0)+IFERROR(VLOOKUP(A1656,#REF!,10,0),0)+IFERROR(VLOOKUP(A1656,#REF!,10,0),0)+IFERROR(VLOOKUP(A1656,#REF!,9,0),0)+IFERROR(VLOOKUP(A1656,#REF!,9,0),0)+IFERROR(VLOOKUP(A1656,#REF!,9,0),0)+IFERROR(VLOOKUP(A1656,#REF!,9,0),0)</f>
        <v>0</v>
      </c>
      <c r="J1656" s="104">
        <f>IFERROR(VLOOKUP(A1656,#REF!,16,0),0)+IFERROR(VLOOKUP(A1656,#REF!,26,0),0)+IFERROR(VLOOKUP(A1656,#REF!,11,0),0)+IFERROR(VLOOKUP(A1656,#REF!,23,0),0)+IFERROR(VLOOKUP(A1656,#REF!,11,0),0)+IFERROR(VLOOKUP(A1656,#REF!,11,0),0)+IFERROR(VLOOKUP(A1656,#REF!,11,0),0)</f>
        <v>0</v>
      </c>
      <c r="K1656" s="96" t="str">
        <f>"07.02.24"</f>
        <v>07.02.24</v>
      </c>
    </row>
    <row r="1657" spans="1:11" ht="11.25" customHeight="1" outlineLevel="1">
      <c r="A1657" s="89" t="n">
        <v>681310</v>
      </c>
      <c r="B1657" s="114" t="s">
        <v>1201</v>
      </c>
      <c r="C1657" s="89" t="s">
        <v>2725</v>
      </c>
      <c r="D1657" s="89" t="s">
        <v>15</v>
      </c>
      <c r="E1657" s="89"/>
      <c r="F1657" s="102" t="n">
        <v>132</v>
      </c>
      <c r="G1657" s="102" t="n">
        <v>174</v>
      </c>
      <c r="H1657" s="103" t="s">
        <v>17</v>
      </c>
      <c r="I1657" s="103">
        <f>IFERROR(VLOOKUP(A1657,#REF!,15,0),0)+IFERROR(VLOOKUP(A1657,#REF!,25,0),0)+IFERROR(VLOOKUP(A1657,#REF!,10,0),0)+IFERROR(VLOOKUP(A1657,#REF!,14,0),0)+IFERROR(VLOOKUP(A1657,#REF!,11,0),0)+IFERROR(VLOOKUP(A1657,#REF!,10,0),0)+IFERROR(VLOOKUP(A1657,#REF!,10,0),0)+IFERROR(VLOOKUP(A1657,#REF!,9,0),0)+IFERROR(VLOOKUP(A1657,#REF!,9,0),0)+IFERROR(VLOOKUP(A1657,#REF!,9,0),0)+IFERROR(VLOOKUP(A1657,#REF!,9,0),0)</f>
        <v>0</v>
      </c>
      <c r="J1657" s="104">
        <f>IFERROR(VLOOKUP(A1657,#REF!,16,0),0)+IFERROR(VLOOKUP(A1657,#REF!,26,0),0)+IFERROR(VLOOKUP(A1657,#REF!,11,0),0)+IFERROR(VLOOKUP(A1657,#REF!,23,0),0)+IFERROR(VLOOKUP(A1657,#REF!,11,0),0)+IFERROR(VLOOKUP(A1657,#REF!,11,0),0)+IFERROR(VLOOKUP(A1657,#REF!,11,0),0)</f>
        <v>0</v>
      </c>
      <c r="K1657" s="96" t="str">
        <f>"07.02.24"</f>
        <v>07.02.24</v>
      </c>
    </row>
    <row r="1658" spans="1:11" ht="11.25" customHeight="1" outlineLevel="1">
      <c r="A1658" s="89" t="n">
        <v>28633</v>
      </c>
      <c r="B1658" s="114" t="s">
        <v>1201</v>
      </c>
      <c r="C1658" s="89" t="s">
        <v>2726</v>
      </c>
      <c r="D1658" s="89" t="s">
        <v>15</v>
      </c>
      <c r="E1658" s="89"/>
      <c r="F1658" s="102" t="n">
        <v>142</v>
      </c>
      <c r="G1658" s="102" t="n">
        <v>184</v>
      </c>
      <c r="H1658" s="103" t="s">
        <v>17</v>
      </c>
      <c r="I1658" s="103">
        <f>IFERROR(VLOOKUP(A1658,#REF!,15,0),0)+IFERROR(VLOOKUP(A1658,#REF!,25,0),0)+IFERROR(VLOOKUP(A1658,#REF!,10,0),0)+IFERROR(VLOOKUP(A1658,#REF!,14,0),0)+IFERROR(VLOOKUP(A1658,#REF!,11,0),0)+IFERROR(VLOOKUP(A1658,#REF!,10,0),0)+IFERROR(VLOOKUP(A1658,#REF!,10,0),0)+IFERROR(VLOOKUP(A1658,#REF!,9,0),0)+IFERROR(VLOOKUP(A1658,#REF!,9,0),0)+IFERROR(VLOOKUP(A1658,#REF!,9,0),0)+IFERROR(VLOOKUP(A1658,#REF!,9,0),0)</f>
        <v>0</v>
      </c>
      <c r="J1658" s="104">
        <f>IFERROR(VLOOKUP(A1658,#REF!,16,0),0)+IFERROR(VLOOKUP(A1658,#REF!,26,0),0)+IFERROR(VLOOKUP(A1658,#REF!,11,0),0)+IFERROR(VLOOKUP(A1658,#REF!,23,0),0)+IFERROR(VLOOKUP(A1658,#REF!,11,0),0)+IFERROR(VLOOKUP(A1658,#REF!,11,0),0)+IFERROR(VLOOKUP(A1658,#REF!,11,0),0)</f>
        <v>0</v>
      </c>
      <c r="K1658" s="96" t="str">
        <f>"07.02.24"</f>
        <v>07.02.24</v>
      </c>
    </row>
    <row r="1659" spans="1:11" ht="11.25" customHeight="1" outlineLevel="1">
      <c r="A1659" s="89" t="n">
        <v>28634</v>
      </c>
      <c r="B1659" s="114" t="s">
        <v>1201</v>
      </c>
      <c r="C1659" s="89" t="s">
        <v>2727</v>
      </c>
      <c r="D1659" s="89" t="s">
        <v>15</v>
      </c>
      <c r="E1659" s="89"/>
      <c r="F1659" s="102" t="n">
        <v>146</v>
      </c>
      <c r="G1659" s="102" t="n">
        <v>196</v>
      </c>
      <c r="H1659" s="103" t="s">
        <v>17</v>
      </c>
      <c r="I1659" s="103">
        <f>IFERROR(VLOOKUP(A1659,#REF!,15,0),0)+IFERROR(VLOOKUP(A1659,#REF!,25,0),0)+IFERROR(VLOOKUP(A1659,#REF!,10,0),0)+IFERROR(VLOOKUP(A1659,#REF!,14,0),0)+IFERROR(VLOOKUP(A1659,#REF!,11,0),0)+IFERROR(VLOOKUP(A1659,#REF!,10,0),0)+IFERROR(VLOOKUP(A1659,#REF!,10,0),0)+IFERROR(VLOOKUP(A1659,#REF!,9,0),0)+IFERROR(VLOOKUP(A1659,#REF!,9,0),0)+IFERROR(VLOOKUP(A1659,#REF!,9,0),0)+IFERROR(VLOOKUP(A1659,#REF!,9,0),0)</f>
        <v>0</v>
      </c>
      <c r="J1659" s="104">
        <f>IFERROR(VLOOKUP(A1659,#REF!,16,0),0)+IFERROR(VLOOKUP(A1659,#REF!,26,0),0)+IFERROR(VLOOKUP(A1659,#REF!,11,0),0)+IFERROR(VLOOKUP(A1659,#REF!,23,0),0)+IFERROR(VLOOKUP(A1659,#REF!,11,0),0)+IFERROR(VLOOKUP(A1659,#REF!,11,0),0)+IFERROR(VLOOKUP(A1659,#REF!,11,0),0)</f>
        <v>0</v>
      </c>
      <c r="K1659" s="96" t="str">
        <f>"07.02.24"</f>
        <v>07.02.24</v>
      </c>
    </row>
    <row r="1660" spans="1:11" ht="11.25" customHeight="1">
      <c r="A1660" s="88" t="s">
        <v>2728</v>
      </c>
      <c r="B1660" s="115"/>
      <c r="C1660" s="88"/>
      <c r="D1660" s="88"/>
      <c r="E1660" s="88"/>
      <c r="F1660" s="105"/>
      <c r="G1660" s="105"/>
      <c r="H1660" s="106"/>
      <c r="I1660" s="106"/>
      <c r="J1660" s="107"/>
      <c r="K1660" s="96" t="str">
        <f>"07.02.24"</f>
        <v>07.02.24</v>
      </c>
    </row>
    <row r="1661" spans="1:11" ht="11.25" customHeight="1" outlineLevel="1">
      <c r="A1661" s="89" t="s">
        <v>2729</v>
      </c>
      <c r="B1661" s="114" t="s">
        <v>1201</v>
      </c>
      <c r="C1661" s="89" t="s">
        <v>2730</v>
      </c>
      <c r="D1661" s="89" t="s">
        <v>15</v>
      </c>
      <c r="E1661" s="89"/>
      <c r="F1661" s="102" t="n">
        <v>165</v>
      </c>
      <c r="G1661" s="102" t="n">
        <v>230</v>
      </c>
      <c r="H1661" s="103" t="s">
        <v>17</v>
      </c>
      <c r="I1661" s="103">
        <f>IFERROR(VLOOKUP(A1661,#REF!,15,0),0)+IFERROR(VLOOKUP(A1661,#REF!,25,0),0)+IFERROR(VLOOKUP(A1661,#REF!,10,0),0)+IFERROR(VLOOKUP(A1661,#REF!,14,0),0)+IFERROR(VLOOKUP(A1661,#REF!,11,0),0)+IFERROR(VLOOKUP(A1661,#REF!,10,0),0)+IFERROR(VLOOKUP(A1661,#REF!,10,0),0)+IFERROR(VLOOKUP(A1661,#REF!,9,0),0)+IFERROR(VLOOKUP(A1661,#REF!,9,0),0)+IFERROR(VLOOKUP(A1661,#REF!,9,0),0)+IFERROR(VLOOKUP(A1661,#REF!,9,0),0)</f>
        <v>0</v>
      </c>
      <c r="J1661" s="104">
        <f>IFERROR(VLOOKUP(A1661,#REF!,16,0),0)+IFERROR(VLOOKUP(A1661,#REF!,26,0),0)+IFERROR(VLOOKUP(A1661,#REF!,11,0),0)+IFERROR(VLOOKUP(A1661,#REF!,23,0),0)+IFERROR(VLOOKUP(A1661,#REF!,11,0),0)+IFERROR(VLOOKUP(A1661,#REF!,11,0),0)+IFERROR(VLOOKUP(A1661,#REF!,11,0),0)</f>
        <v>0</v>
      </c>
      <c r="K1661" s="96" t="str">
        <f>"07.02.24"</f>
        <v>07.02.24</v>
      </c>
    </row>
    <row r="1662" spans="1:11" ht="11.25" customHeight="1" outlineLevel="1">
      <c r="A1662" s="89" t="s">
        <v>2731</v>
      </c>
      <c r="B1662" s="114" t="s">
        <v>1201</v>
      </c>
      <c r="C1662" s="89" t="s">
        <v>2732</v>
      </c>
      <c r="D1662" s="89" t="s">
        <v>15</v>
      </c>
      <c r="E1662" s="89"/>
      <c r="F1662" s="102" t="n">
        <v>191</v>
      </c>
      <c r="G1662" s="102" t="n">
        <v>268</v>
      </c>
      <c r="H1662" s="103" t="s">
        <v>17</v>
      </c>
      <c r="I1662" s="103">
        <f>IFERROR(VLOOKUP(A1662,#REF!,15,0),0)+IFERROR(VLOOKUP(A1662,#REF!,25,0),0)+IFERROR(VLOOKUP(A1662,#REF!,10,0),0)+IFERROR(VLOOKUP(A1662,#REF!,14,0),0)+IFERROR(VLOOKUP(A1662,#REF!,11,0),0)+IFERROR(VLOOKUP(A1662,#REF!,10,0),0)+IFERROR(VLOOKUP(A1662,#REF!,10,0),0)+IFERROR(VLOOKUP(A1662,#REF!,9,0),0)+IFERROR(VLOOKUP(A1662,#REF!,9,0),0)+IFERROR(VLOOKUP(A1662,#REF!,9,0),0)+IFERROR(VLOOKUP(A1662,#REF!,9,0),0)</f>
        <v>0</v>
      </c>
      <c r="J1662" s="104">
        <f>IFERROR(VLOOKUP(A1662,#REF!,16,0),0)+IFERROR(VLOOKUP(A1662,#REF!,26,0),0)+IFERROR(VLOOKUP(A1662,#REF!,11,0),0)+IFERROR(VLOOKUP(A1662,#REF!,23,0),0)+IFERROR(VLOOKUP(A1662,#REF!,11,0),0)+IFERROR(VLOOKUP(A1662,#REF!,11,0),0)+IFERROR(VLOOKUP(A1662,#REF!,11,0),0)</f>
        <v>0</v>
      </c>
      <c r="K1662" s="96" t="str">
        <f>"07.02.24"</f>
        <v>07.02.24</v>
      </c>
    </row>
    <row r="1663" spans="1:11" ht="11.25" customHeight="1" outlineLevel="1">
      <c r="A1663" s="89" t="s">
        <v>2733</v>
      </c>
      <c r="B1663" s="114" t="s">
        <v>1201</v>
      </c>
      <c r="C1663" s="89" t="s">
        <v>2734</v>
      </c>
      <c r="D1663" s="89" t="s">
        <v>15</v>
      </c>
      <c r="E1663" s="89"/>
      <c r="F1663" s="102" t="n">
        <v>223</v>
      </c>
      <c r="G1663" s="102" t="n">
        <v>312</v>
      </c>
      <c r="H1663" s="103" t="s">
        <v>17</v>
      </c>
      <c r="I1663" s="103">
        <f>IFERROR(VLOOKUP(A1663,#REF!,15,0),0)+IFERROR(VLOOKUP(A1663,#REF!,25,0),0)+IFERROR(VLOOKUP(A1663,#REF!,10,0),0)+IFERROR(VLOOKUP(A1663,#REF!,14,0),0)+IFERROR(VLOOKUP(A1663,#REF!,11,0),0)+IFERROR(VLOOKUP(A1663,#REF!,10,0),0)+IFERROR(VLOOKUP(A1663,#REF!,10,0),0)+IFERROR(VLOOKUP(A1663,#REF!,9,0),0)+IFERROR(VLOOKUP(A1663,#REF!,9,0),0)+IFERROR(VLOOKUP(A1663,#REF!,9,0),0)+IFERROR(VLOOKUP(A1663,#REF!,9,0),0)</f>
        <v>0</v>
      </c>
      <c r="J1663" s="104">
        <f>IFERROR(VLOOKUP(A1663,#REF!,16,0),0)+IFERROR(VLOOKUP(A1663,#REF!,26,0),0)+IFERROR(VLOOKUP(A1663,#REF!,11,0),0)+IFERROR(VLOOKUP(A1663,#REF!,23,0),0)+IFERROR(VLOOKUP(A1663,#REF!,11,0),0)+IFERROR(VLOOKUP(A1663,#REF!,11,0),0)+IFERROR(VLOOKUP(A1663,#REF!,11,0),0)</f>
        <v>0</v>
      </c>
      <c r="K1663" s="96" t="str">
        <f>"07.02.24"</f>
        <v>07.02.24</v>
      </c>
    </row>
    <row r="1664" spans="1:11" ht="11.25" customHeight="1" outlineLevel="1">
      <c r="A1664" s="89" t="s">
        <v>2735</v>
      </c>
      <c r="B1664" s="114" t="s">
        <v>1201</v>
      </c>
      <c r="C1664" s="89" t="s">
        <v>2736</v>
      </c>
      <c r="D1664" s="89" t="s">
        <v>15</v>
      </c>
      <c r="E1664" s="89"/>
      <c r="F1664" s="102" t="n">
        <v>615</v>
      </c>
      <c r="G1664" s="102" t="n">
        <v>861</v>
      </c>
      <c r="H1664" s="103" t="s">
        <v>48</v>
      </c>
      <c r="I1664" s="103">
        <f>IFERROR(VLOOKUP(A1664,#REF!,15,0),0)+IFERROR(VLOOKUP(A1664,#REF!,25,0),0)+IFERROR(VLOOKUP(A1664,#REF!,10,0),0)+IFERROR(VLOOKUP(A1664,#REF!,14,0),0)+IFERROR(VLOOKUP(A1664,#REF!,11,0),0)+IFERROR(VLOOKUP(A1664,#REF!,10,0),0)+IFERROR(VLOOKUP(A1664,#REF!,10,0),0)+IFERROR(VLOOKUP(A1664,#REF!,9,0),0)+IFERROR(VLOOKUP(A1664,#REF!,9,0),0)+IFERROR(VLOOKUP(A1664,#REF!,9,0),0)+IFERROR(VLOOKUP(A1664,#REF!,9,0),0)</f>
        <v>0</v>
      </c>
      <c r="J1664" s="104">
        <f>IFERROR(VLOOKUP(A1664,#REF!,16,0),0)+IFERROR(VLOOKUP(A1664,#REF!,26,0),0)+IFERROR(VLOOKUP(A1664,#REF!,11,0),0)+IFERROR(VLOOKUP(A1664,#REF!,23,0),0)+IFERROR(VLOOKUP(A1664,#REF!,11,0),0)+IFERROR(VLOOKUP(A1664,#REF!,11,0),0)+IFERROR(VLOOKUP(A1664,#REF!,11,0),0)</f>
        <v>0</v>
      </c>
      <c r="K1664" s="96" t="str">
        <f>"07.02.24"</f>
        <v>07.02.24</v>
      </c>
    </row>
    <row r="1665" spans="1:11" ht="11.25" customHeight="1" outlineLevel="1">
      <c r="A1665" s="89" t="s">
        <v>2737</v>
      </c>
      <c r="B1665" s="114" t="s">
        <v>1201</v>
      </c>
      <c r="C1665" s="89" t="s">
        <v>2738</v>
      </c>
      <c r="D1665" s="89" t="s">
        <v>15</v>
      </c>
      <c r="E1665" s="89"/>
      <c r="F1665" s="102" t="n">
        <v>674</v>
      </c>
      <c r="G1665" s="102" t="n">
        <v>943</v>
      </c>
      <c r="H1665" s="103" t="s">
        <v>48</v>
      </c>
      <c r="I1665" s="103">
        <f>IFERROR(VLOOKUP(A1665,#REF!,15,0),0)+IFERROR(VLOOKUP(A1665,#REF!,25,0),0)+IFERROR(VLOOKUP(A1665,#REF!,10,0),0)+IFERROR(VLOOKUP(A1665,#REF!,14,0),0)+IFERROR(VLOOKUP(A1665,#REF!,11,0),0)+IFERROR(VLOOKUP(A1665,#REF!,10,0),0)+IFERROR(VLOOKUP(A1665,#REF!,10,0),0)+IFERROR(VLOOKUP(A1665,#REF!,9,0),0)+IFERROR(VLOOKUP(A1665,#REF!,9,0),0)+IFERROR(VLOOKUP(A1665,#REF!,9,0),0)+IFERROR(VLOOKUP(A1665,#REF!,9,0),0)</f>
        <v>0</v>
      </c>
      <c r="J1665" s="104">
        <f>IFERROR(VLOOKUP(A1665,#REF!,16,0),0)+IFERROR(VLOOKUP(A1665,#REF!,26,0),0)+IFERROR(VLOOKUP(A1665,#REF!,11,0),0)+IFERROR(VLOOKUP(A1665,#REF!,23,0),0)+IFERROR(VLOOKUP(A1665,#REF!,11,0),0)+IFERROR(VLOOKUP(A1665,#REF!,11,0),0)+IFERROR(VLOOKUP(A1665,#REF!,11,0),0)</f>
        <v>0</v>
      </c>
      <c r="K1665" s="96" t="str">
        <f>"07.02.24"</f>
        <v>07.02.24</v>
      </c>
    </row>
    <row r="1666" spans="1:11" ht="11.25" customHeight="1" outlineLevel="1">
      <c r="A1666" s="89" t="s">
        <v>2739</v>
      </c>
      <c r="B1666" s="114" t="s">
        <v>1201</v>
      </c>
      <c r="C1666" s="89" t="s">
        <v>2740</v>
      </c>
      <c r="D1666" s="89" t="s">
        <v>15</v>
      </c>
      <c r="E1666" s="89"/>
      <c r="F1666" s="102" t="n">
        <v>732</v>
      </c>
      <c r="G1666" s="102" t="n">
        <v>1025</v>
      </c>
      <c r="H1666" s="103" t="s">
        <v>48</v>
      </c>
      <c r="I1666" s="103">
        <f>IFERROR(VLOOKUP(A1666,#REF!,15,0),0)+IFERROR(VLOOKUP(A1666,#REF!,25,0),0)+IFERROR(VLOOKUP(A1666,#REF!,10,0),0)+IFERROR(VLOOKUP(A1666,#REF!,14,0),0)+IFERROR(VLOOKUP(A1666,#REF!,11,0),0)+IFERROR(VLOOKUP(A1666,#REF!,10,0),0)+IFERROR(VLOOKUP(A1666,#REF!,10,0),0)+IFERROR(VLOOKUP(A1666,#REF!,9,0),0)+IFERROR(VLOOKUP(A1666,#REF!,9,0),0)+IFERROR(VLOOKUP(A1666,#REF!,9,0),0)+IFERROR(VLOOKUP(A1666,#REF!,9,0),0)</f>
        <v>0</v>
      </c>
      <c r="J1666" s="104">
        <f>IFERROR(VLOOKUP(A1666,#REF!,16,0),0)+IFERROR(VLOOKUP(A1666,#REF!,26,0),0)+IFERROR(VLOOKUP(A1666,#REF!,11,0),0)+IFERROR(VLOOKUP(A1666,#REF!,23,0),0)+IFERROR(VLOOKUP(A1666,#REF!,11,0),0)+IFERROR(VLOOKUP(A1666,#REF!,11,0),0)+IFERROR(VLOOKUP(A1666,#REF!,11,0),0)</f>
        <v>0</v>
      </c>
      <c r="K1666" s="96" t="str">
        <f>"07.02.24"</f>
        <v>07.02.24</v>
      </c>
    </row>
    <row r="1667" spans="1:11" ht="11.25" customHeight="1" outlineLevel="1">
      <c r="A1667" s="89" t="s">
        <v>2741</v>
      </c>
      <c r="B1667" s="114" t="s">
        <v>1201</v>
      </c>
      <c r="C1667" s="89" t="s">
        <v>2742</v>
      </c>
      <c r="D1667" s="89" t="s">
        <v>15</v>
      </c>
      <c r="E1667" s="89"/>
      <c r="F1667" s="102" t="n">
        <v>615</v>
      </c>
      <c r="G1667" s="102" t="n">
        <v>861</v>
      </c>
      <c r="H1667" s="103" t="s">
        <v>48</v>
      </c>
      <c r="I1667" s="103">
        <f>IFERROR(VLOOKUP(A1667,#REF!,15,0),0)+IFERROR(VLOOKUP(A1667,#REF!,25,0),0)+IFERROR(VLOOKUP(A1667,#REF!,10,0),0)+IFERROR(VLOOKUP(A1667,#REF!,14,0),0)+IFERROR(VLOOKUP(A1667,#REF!,11,0),0)+IFERROR(VLOOKUP(A1667,#REF!,10,0),0)+IFERROR(VLOOKUP(A1667,#REF!,10,0),0)+IFERROR(VLOOKUP(A1667,#REF!,9,0),0)+IFERROR(VLOOKUP(A1667,#REF!,9,0),0)+IFERROR(VLOOKUP(A1667,#REF!,9,0),0)+IFERROR(VLOOKUP(A1667,#REF!,9,0),0)</f>
        <v>0</v>
      </c>
      <c r="J1667" s="104">
        <f>IFERROR(VLOOKUP(A1667,#REF!,16,0),0)+IFERROR(VLOOKUP(A1667,#REF!,26,0),0)+IFERROR(VLOOKUP(A1667,#REF!,11,0),0)+IFERROR(VLOOKUP(A1667,#REF!,23,0),0)+IFERROR(VLOOKUP(A1667,#REF!,11,0),0)+IFERROR(VLOOKUP(A1667,#REF!,11,0),0)+IFERROR(VLOOKUP(A1667,#REF!,11,0),0)</f>
        <v>0</v>
      </c>
      <c r="K1667" s="96" t="str">
        <f>"07.02.24"</f>
        <v>07.02.24</v>
      </c>
    </row>
    <row r="1668" spans="1:11" ht="11.25" customHeight="1" outlineLevel="1">
      <c r="A1668" s="89" t="s">
        <v>2743</v>
      </c>
      <c r="B1668" s="114" t="s">
        <v>1201</v>
      </c>
      <c r="C1668" s="89" t="s">
        <v>2744</v>
      </c>
      <c r="D1668" s="89" t="s">
        <v>15</v>
      </c>
      <c r="E1668" s="89"/>
      <c r="F1668" s="102" t="n">
        <v>674</v>
      </c>
      <c r="G1668" s="102" t="n">
        <v>943</v>
      </c>
      <c r="H1668" s="103" t="s">
        <v>48</v>
      </c>
      <c r="I1668" s="103">
        <f>IFERROR(VLOOKUP(A1668,#REF!,15,0),0)+IFERROR(VLOOKUP(A1668,#REF!,25,0),0)+IFERROR(VLOOKUP(A1668,#REF!,10,0),0)+IFERROR(VLOOKUP(A1668,#REF!,14,0),0)+IFERROR(VLOOKUP(A1668,#REF!,11,0),0)+IFERROR(VLOOKUP(A1668,#REF!,10,0),0)+IFERROR(VLOOKUP(A1668,#REF!,10,0),0)+IFERROR(VLOOKUP(A1668,#REF!,9,0),0)+IFERROR(VLOOKUP(A1668,#REF!,9,0),0)+IFERROR(VLOOKUP(A1668,#REF!,9,0),0)+IFERROR(VLOOKUP(A1668,#REF!,9,0),0)</f>
        <v>0</v>
      </c>
      <c r="J1668" s="104">
        <f>IFERROR(VLOOKUP(A1668,#REF!,16,0),0)+IFERROR(VLOOKUP(A1668,#REF!,26,0),0)+IFERROR(VLOOKUP(A1668,#REF!,11,0),0)+IFERROR(VLOOKUP(A1668,#REF!,23,0),0)+IFERROR(VLOOKUP(A1668,#REF!,11,0),0)+IFERROR(VLOOKUP(A1668,#REF!,11,0),0)+IFERROR(VLOOKUP(A1668,#REF!,11,0),0)</f>
        <v>0</v>
      </c>
      <c r="K1668" s="96" t="str">
        <f>"07.02.24"</f>
        <v>07.02.24</v>
      </c>
    </row>
    <row r="1669" spans="1:11" ht="11.25" customHeight="1" outlineLevel="1">
      <c r="A1669" s="89" t="s">
        <v>2745</v>
      </c>
      <c r="B1669" s="114" t="s">
        <v>1201</v>
      </c>
      <c r="C1669" s="89" t="s">
        <v>2746</v>
      </c>
      <c r="D1669" s="89" t="s">
        <v>15</v>
      </c>
      <c r="E1669" s="89"/>
      <c r="F1669" s="102" t="n">
        <v>732</v>
      </c>
      <c r="G1669" s="102" t="n">
        <v>1025</v>
      </c>
      <c r="H1669" s="103" t="s">
        <v>48</v>
      </c>
      <c r="I1669" s="103">
        <f>IFERROR(VLOOKUP(A1669,#REF!,15,0),0)+IFERROR(VLOOKUP(A1669,#REF!,25,0),0)+IFERROR(VLOOKUP(A1669,#REF!,10,0),0)+IFERROR(VLOOKUP(A1669,#REF!,14,0),0)+IFERROR(VLOOKUP(A1669,#REF!,11,0),0)+IFERROR(VLOOKUP(A1669,#REF!,10,0),0)+IFERROR(VLOOKUP(A1669,#REF!,10,0),0)+IFERROR(VLOOKUP(A1669,#REF!,9,0),0)+IFERROR(VLOOKUP(A1669,#REF!,9,0),0)+IFERROR(VLOOKUP(A1669,#REF!,9,0),0)+IFERROR(VLOOKUP(A1669,#REF!,9,0),0)</f>
        <v>0</v>
      </c>
      <c r="J1669" s="104">
        <f>IFERROR(VLOOKUP(A1669,#REF!,16,0),0)+IFERROR(VLOOKUP(A1669,#REF!,26,0),0)+IFERROR(VLOOKUP(A1669,#REF!,11,0),0)+IFERROR(VLOOKUP(A1669,#REF!,23,0),0)+IFERROR(VLOOKUP(A1669,#REF!,11,0),0)+IFERROR(VLOOKUP(A1669,#REF!,11,0),0)+IFERROR(VLOOKUP(A1669,#REF!,11,0),0)</f>
        <v>0</v>
      </c>
      <c r="K1669" s="96" t="str">
        <f>"07.02.24"</f>
        <v>07.02.24</v>
      </c>
    </row>
    <row r="1670" spans="1:11" ht="11.25" customHeight="1" outlineLevel="1">
      <c r="A1670" s="89" t="s">
        <v>2747</v>
      </c>
      <c r="B1670" s="114" t="s">
        <v>1201</v>
      </c>
      <c r="C1670" s="89" t="s">
        <v>2748</v>
      </c>
      <c r="D1670" s="89" t="s">
        <v>15</v>
      </c>
      <c r="E1670" s="89"/>
      <c r="F1670" s="102" t="n">
        <v>156</v>
      </c>
      <c r="G1670" s="102" t="n">
        <v>219</v>
      </c>
      <c r="H1670" s="103" t="s">
        <v>17</v>
      </c>
      <c r="I1670" s="103">
        <f>IFERROR(VLOOKUP(A1670,#REF!,15,0),0)+IFERROR(VLOOKUP(A1670,#REF!,25,0),0)+IFERROR(VLOOKUP(A1670,#REF!,10,0),0)+IFERROR(VLOOKUP(A1670,#REF!,14,0),0)+IFERROR(VLOOKUP(A1670,#REF!,11,0),0)+IFERROR(VLOOKUP(A1670,#REF!,10,0),0)+IFERROR(VLOOKUP(A1670,#REF!,10,0),0)+IFERROR(VLOOKUP(A1670,#REF!,9,0),0)+IFERROR(VLOOKUP(A1670,#REF!,9,0),0)+IFERROR(VLOOKUP(A1670,#REF!,9,0),0)+IFERROR(VLOOKUP(A1670,#REF!,9,0),0)</f>
        <v>0</v>
      </c>
      <c r="J1670" s="104">
        <f>IFERROR(VLOOKUP(A1670,#REF!,16,0),0)+IFERROR(VLOOKUP(A1670,#REF!,26,0),0)+IFERROR(VLOOKUP(A1670,#REF!,11,0),0)+IFERROR(VLOOKUP(A1670,#REF!,23,0),0)+IFERROR(VLOOKUP(A1670,#REF!,11,0),0)+IFERROR(VLOOKUP(A1670,#REF!,11,0),0)+IFERROR(VLOOKUP(A1670,#REF!,11,0),0)</f>
        <v>0</v>
      </c>
      <c r="K1670" s="96" t="str">
        <f>"07.02.24"</f>
        <v>07.02.24</v>
      </c>
    </row>
    <row r="1671" spans="1:11" ht="11.25" customHeight="1" outlineLevel="1">
      <c r="A1671" s="89" t="s">
        <v>2749</v>
      </c>
      <c r="B1671" s="114" t="s">
        <v>1201</v>
      </c>
      <c r="C1671" s="89" t="s">
        <v>2750</v>
      </c>
      <c r="D1671" s="89" t="s">
        <v>15</v>
      </c>
      <c r="E1671" s="89"/>
      <c r="F1671" s="102" t="n">
        <v>176</v>
      </c>
      <c r="G1671" s="102" t="n">
        <v>247</v>
      </c>
      <c r="H1671" s="103" t="s">
        <v>17</v>
      </c>
      <c r="I1671" s="103">
        <f>IFERROR(VLOOKUP(A1671,#REF!,15,0),0)+IFERROR(VLOOKUP(A1671,#REF!,25,0),0)+IFERROR(VLOOKUP(A1671,#REF!,10,0),0)+IFERROR(VLOOKUP(A1671,#REF!,14,0),0)+IFERROR(VLOOKUP(A1671,#REF!,11,0),0)+IFERROR(VLOOKUP(A1671,#REF!,10,0),0)+IFERROR(VLOOKUP(A1671,#REF!,10,0),0)+IFERROR(VLOOKUP(A1671,#REF!,9,0),0)+IFERROR(VLOOKUP(A1671,#REF!,9,0),0)+IFERROR(VLOOKUP(A1671,#REF!,9,0),0)+IFERROR(VLOOKUP(A1671,#REF!,9,0),0)</f>
        <v>0</v>
      </c>
      <c r="J1671" s="104">
        <f>IFERROR(VLOOKUP(A1671,#REF!,16,0),0)+IFERROR(VLOOKUP(A1671,#REF!,26,0),0)+IFERROR(VLOOKUP(A1671,#REF!,11,0),0)+IFERROR(VLOOKUP(A1671,#REF!,23,0),0)+IFERROR(VLOOKUP(A1671,#REF!,11,0),0)+IFERROR(VLOOKUP(A1671,#REF!,11,0),0)+IFERROR(VLOOKUP(A1671,#REF!,11,0),0)</f>
        <v>0</v>
      </c>
      <c r="K1671" s="96" t="str">
        <f>"07.02.24"</f>
        <v>07.02.24</v>
      </c>
    </row>
    <row r="1672" spans="1:11" ht="11.25" customHeight="1" outlineLevel="1">
      <c r="A1672" s="89" t="s">
        <v>2751</v>
      </c>
      <c r="B1672" s="114" t="s">
        <v>1201</v>
      </c>
      <c r="C1672" s="89" t="s">
        <v>2752</v>
      </c>
      <c r="D1672" s="89" t="s">
        <v>15</v>
      </c>
      <c r="E1672" s="89"/>
      <c r="F1672" s="102" t="n">
        <v>215</v>
      </c>
      <c r="G1672" s="102" t="n">
        <v>301</v>
      </c>
      <c r="H1672" s="103" t="s">
        <v>17</v>
      </c>
      <c r="I1672" s="103">
        <f>IFERROR(VLOOKUP(A1672,#REF!,15,0),0)+IFERROR(VLOOKUP(A1672,#REF!,25,0),0)+IFERROR(VLOOKUP(A1672,#REF!,10,0),0)+IFERROR(VLOOKUP(A1672,#REF!,14,0),0)+IFERROR(VLOOKUP(A1672,#REF!,11,0),0)+IFERROR(VLOOKUP(A1672,#REF!,10,0),0)+IFERROR(VLOOKUP(A1672,#REF!,10,0),0)+IFERROR(VLOOKUP(A1672,#REF!,9,0),0)+IFERROR(VLOOKUP(A1672,#REF!,9,0),0)+IFERROR(VLOOKUP(A1672,#REF!,9,0),0)+IFERROR(VLOOKUP(A1672,#REF!,9,0),0)</f>
        <v>0</v>
      </c>
      <c r="J1672" s="104">
        <f>IFERROR(VLOOKUP(A1672,#REF!,16,0),0)+IFERROR(VLOOKUP(A1672,#REF!,26,0),0)+IFERROR(VLOOKUP(A1672,#REF!,11,0),0)+IFERROR(VLOOKUP(A1672,#REF!,23,0),0)+IFERROR(VLOOKUP(A1672,#REF!,11,0),0)+IFERROR(VLOOKUP(A1672,#REF!,11,0),0)+IFERROR(VLOOKUP(A1672,#REF!,11,0),0)</f>
        <v>0</v>
      </c>
      <c r="K1672" s="96" t="str">
        <f>"07.02.24"</f>
        <v>07.02.24</v>
      </c>
    </row>
    <row r="1673" spans="1:11" ht="11.25" customHeight="1" outlineLevel="1">
      <c r="A1673" s="89" t="s">
        <v>2753</v>
      </c>
      <c r="B1673" s="114" t="s">
        <v>1201</v>
      </c>
      <c r="C1673" s="89" t="s">
        <v>2754</v>
      </c>
      <c r="D1673" s="89" t="s">
        <v>15</v>
      </c>
      <c r="E1673" s="89"/>
      <c r="F1673" s="102" t="n">
        <v>235</v>
      </c>
      <c r="G1673" s="102" t="n">
        <v>329</v>
      </c>
      <c r="H1673" s="103" t="s">
        <v>17</v>
      </c>
      <c r="I1673" s="103">
        <f>IFERROR(VLOOKUP(A1673,#REF!,15,0),0)+IFERROR(VLOOKUP(A1673,#REF!,25,0),0)+IFERROR(VLOOKUP(A1673,#REF!,10,0),0)+IFERROR(VLOOKUP(A1673,#REF!,14,0),0)+IFERROR(VLOOKUP(A1673,#REF!,11,0),0)+IFERROR(VLOOKUP(A1673,#REF!,10,0),0)+IFERROR(VLOOKUP(A1673,#REF!,10,0),0)+IFERROR(VLOOKUP(A1673,#REF!,9,0),0)+IFERROR(VLOOKUP(A1673,#REF!,9,0),0)+IFERROR(VLOOKUP(A1673,#REF!,9,0),0)+IFERROR(VLOOKUP(A1673,#REF!,9,0),0)</f>
        <v>0</v>
      </c>
      <c r="J1673" s="104">
        <f>IFERROR(VLOOKUP(A1673,#REF!,16,0),0)+IFERROR(VLOOKUP(A1673,#REF!,26,0),0)+IFERROR(VLOOKUP(A1673,#REF!,11,0),0)+IFERROR(VLOOKUP(A1673,#REF!,23,0),0)+IFERROR(VLOOKUP(A1673,#REF!,11,0),0)+IFERROR(VLOOKUP(A1673,#REF!,11,0),0)+IFERROR(VLOOKUP(A1673,#REF!,11,0),0)</f>
        <v>0</v>
      </c>
      <c r="K1673" s="96" t="str">
        <f>"07.02.24"</f>
        <v>07.02.24</v>
      </c>
    </row>
    <row r="1674" spans="1:11" ht="11.25" customHeight="1" outlineLevel="1">
      <c r="A1674" s="89" t="s">
        <v>2755</v>
      </c>
      <c r="B1674" s="114" t="s">
        <v>1201</v>
      </c>
      <c r="C1674" s="89" t="s">
        <v>2756</v>
      </c>
      <c r="D1674" s="89" t="s">
        <v>15</v>
      </c>
      <c r="E1674" s="89"/>
      <c r="F1674" s="102" t="n">
        <v>474</v>
      </c>
      <c r="G1674" s="102" t="n">
        <v>701</v>
      </c>
      <c r="H1674" s="103" t="s">
        <v>17</v>
      </c>
      <c r="I1674" s="103">
        <f>IFERROR(VLOOKUP(A1674,#REF!,15,0),0)+IFERROR(VLOOKUP(A1674,#REF!,25,0),0)+IFERROR(VLOOKUP(A1674,#REF!,10,0),0)+IFERROR(VLOOKUP(A1674,#REF!,14,0),0)+IFERROR(VLOOKUP(A1674,#REF!,11,0),0)+IFERROR(VLOOKUP(A1674,#REF!,10,0),0)+IFERROR(VLOOKUP(A1674,#REF!,10,0),0)+IFERROR(VLOOKUP(A1674,#REF!,9,0),0)+IFERROR(VLOOKUP(A1674,#REF!,9,0),0)+IFERROR(VLOOKUP(A1674,#REF!,9,0),0)+IFERROR(VLOOKUP(A1674,#REF!,9,0),0)</f>
        <v>0</v>
      </c>
      <c r="J1674" s="104">
        <f>IFERROR(VLOOKUP(A1674,#REF!,16,0),0)+IFERROR(VLOOKUP(A1674,#REF!,26,0),0)+IFERROR(VLOOKUP(A1674,#REF!,11,0),0)+IFERROR(VLOOKUP(A1674,#REF!,23,0),0)+IFERROR(VLOOKUP(A1674,#REF!,11,0),0)+IFERROR(VLOOKUP(A1674,#REF!,11,0),0)+IFERROR(VLOOKUP(A1674,#REF!,11,0),0)</f>
        <v>0</v>
      </c>
      <c r="K1674" s="96" t="str">
        <f>"07.02.24"</f>
        <v>07.02.24</v>
      </c>
    </row>
    <row r="1675" spans="1:11" ht="11.25" customHeight="1" outlineLevel="1">
      <c r="A1675" s="89" t="s">
        <v>2757</v>
      </c>
      <c r="B1675" s="114" t="s">
        <v>1201</v>
      </c>
      <c r="C1675" s="89" t="s">
        <v>2758</v>
      </c>
      <c r="D1675" s="89" t="s">
        <v>15</v>
      </c>
      <c r="E1675" s="89"/>
      <c r="F1675" s="102" t="n">
        <v>1895</v>
      </c>
      <c r="G1675" s="102" t="n">
        <v>2646</v>
      </c>
      <c r="H1675" s="103" t="s">
        <v>17</v>
      </c>
      <c r="I1675" s="103">
        <f>IFERROR(VLOOKUP(A1675,#REF!,15,0),0)+IFERROR(VLOOKUP(A1675,#REF!,25,0),0)+IFERROR(VLOOKUP(A1675,#REF!,10,0),0)+IFERROR(VLOOKUP(A1675,#REF!,14,0),0)+IFERROR(VLOOKUP(A1675,#REF!,11,0),0)+IFERROR(VLOOKUP(A1675,#REF!,10,0),0)+IFERROR(VLOOKUP(A1675,#REF!,10,0),0)+IFERROR(VLOOKUP(A1675,#REF!,9,0),0)+IFERROR(VLOOKUP(A1675,#REF!,9,0),0)+IFERROR(VLOOKUP(A1675,#REF!,9,0),0)+IFERROR(VLOOKUP(A1675,#REF!,9,0),0)</f>
        <v>0</v>
      </c>
      <c r="J1675" s="104">
        <f>IFERROR(VLOOKUP(A1675,#REF!,16,0),0)+IFERROR(VLOOKUP(A1675,#REF!,26,0),0)+IFERROR(VLOOKUP(A1675,#REF!,11,0),0)+IFERROR(VLOOKUP(A1675,#REF!,23,0),0)+IFERROR(VLOOKUP(A1675,#REF!,11,0),0)+IFERROR(VLOOKUP(A1675,#REF!,11,0),0)+IFERROR(VLOOKUP(A1675,#REF!,11,0),0)</f>
        <v>0</v>
      </c>
      <c r="K1675" s="96" t="str">
        <f>"07.02.24"</f>
        <v>07.02.24</v>
      </c>
    </row>
    <row r="1676" spans="1:11" ht="11.25" customHeight="1">
      <c r="A1676" s="97" t="s">
        <v>2759</v>
      </c>
      <c r="B1676" s="98"/>
      <c r="C1676" s="98"/>
      <c r="D1676" s="98"/>
      <c r="E1676" s="98"/>
      <c r="F1676" s="99"/>
      <c r="G1676" s="99"/>
      <c r="H1676" s="100"/>
      <c r="I1676" s="100"/>
      <c r="J1676" s="108"/>
      <c r="K1676" s="96" t="str">
        <f>"07.02.24"</f>
        <v>07.02.24</v>
      </c>
    </row>
    <row r="1677" spans="1:11" ht="11.25" customHeight="1" outlineLevel="1">
      <c r="A1677" s="88" t="s">
        <v>2760</v>
      </c>
      <c r="B1677" s="115"/>
      <c r="C1677" s="88"/>
      <c r="D1677" s="88"/>
      <c r="E1677" s="88"/>
      <c r="F1677" s="105"/>
      <c r="G1677" s="105"/>
      <c r="H1677" s="106"/>
      <c r="I1677" s="106"/>
      <c r="J1677" s="107"/>
      <c r="K1677" s="96" t="str">
        <f>"07.02.24"</f>
        <v>07.02.24</v>
      </c>
    </row>
    <row r="1678" spans="1:11" ht="11.25" customHeight="1" outlineLevel="1">
      <c r="A1678" s="89" t="n">
        <v>4110680</v>
      </c>
      <c r="B1678" s="114" t="s">
        <v>2759</v>
      </c>
      <c r="C1678" s="89" t="s">
        <v>2761</v>
      </c>
      <c r="D1678" s="89" t="s">
        <v>15</v>
      </c>
      <c r="E1678" s="89" t="s">
        <v>2762</v>
      </c>
      <c r="F1678" s="102" t="n">
        <v>4635</v>
      </c>
      <c r="G1678" s="102" t="n">
        <v>4998</v>
      </c>
      <c r="H1678" s="103" t="s">
        <v>17</v>
      </c>
      <c r="I1678" s="103">
        <f>IFERROR(VLOOKUP(A1678,#REF!,15,0),0)+IFERROR(VLOOKUP(A1678,#REF!,25,0),0)+IFERROR(VLOOKUP(A1678,#REF!,10,0),0)+IFERROR(VLOOKUP(A1678,#REF!,14,0),0)+IFERROR(VLOOKUP(A1678,#REF!,10,0),0)+IFERROR(VLOOKUP(A1678,#REF!,10,0),0)+IFERROR(VLOOKUP(A1678,#REF!,10,0),0)+IFERROR(VLOOKUP(A1678,#REF!,9,0),0)+IFERROR(VLOOKUP(A1678,#REF!,9,0),0)+IFERROR(VLOOKUP(A1678,#REF!,9,0),0)+IFERROR(VLOOKUP(A1678,#REF!,9,0),0)</f>
        <v>0</v>
      </c>
      <c r="J1678" s="104">
        <f>IFERROR(VLOOKUP(A1678,#REF!,16,0),0)+IFERROR(VLOOKUP(A1678,#REF!,26,0),0)+IFERROR(VLOOKUP(A1678,#REF!,11,0),0)+IFERROR(VLOOKUP(A1678,#REF!,23,0),0)+IFERROR(VLOOKUP(A1678,#REF!,11,0),0)+IFERROR(VLOOKUP(A1678,#REF!,11,0),0)+IFERROR(VLOOKUP(A1678,#REF!,11,0),0)</f>
        <v>0</v>
      </c>
      <c r="K1678" s="96" t="str">
        <f>"07.02.24"</f>
        <v>07.02.24</v>
      </c>
    </row>
    <row r="1679" spans="1:11" ht="11.25" customHeight="1" outlineLevel="1">
      <c r="A1679" s="89" t="n">
        <v>4110800</v>
      </c>
      <c r="B1679" s="114" t="s">
        <v>2759</v>
      </c>
      <c r="C1679" s="89" t="s">
        <v>2763</v>
      </c>
      <c r="D1679" s="89" t="s">
        <v>15</v>
      </c>
      <c r="E1679" s="89" t="s">
        <v>2764</v>
      </c>
      <c r="F1679" s="102" t="n">
        <v>5386</v>
      </c>
      <c r="G1679" s="102" t="n">
        <v>5807</v>
      </c>
      <c r="H1679" s="103" t="s">
        <v>17</v>
      </c>
      <c r="I1679" s="103">
        <f>IFERROR(VLOOKUP(A1679,#REF!,15,0),0)+IFERROR(VLOOKUP(A1679,#REF!,25,0),0)+IFERROR(VLOOKUP(A1679,#REF!,10,0),0)+IFERROR(VLOOKUP(A1679,#REF!,14,0),0)+IFERROR(VLOOKUP(A1679,#REF!,10,0),0)+IFERROR(VLOOKUP(A1679,#REF!,10,0),0)+IFERROR(VLOOKUP(A1679,#REF!,10,0),0)+IFERROR(VLOOKUP(A1679,#REF!,9,0),0)+IFERROR(VLOOKUP(A1679,#REF!,9,0),0)+IFERROR(VLOOKUP(A1679,#REF!,9,0),0)+IFERROR(VLOOKUP(A1679,#REF!,9,0),0)</f>
        <v>0</v>
      </c>
      <c r="J1679" s="104">
        <f>IFERROR(VLOOKUP(A1679,#REF!,16,0),0)+IFERROR(VLOOKUP(A1679,#REF!,26,0),0)+IFERROR(VLOOKUP(A1679,#REF!,11,0),0)+IFERROR(VLOOKUP(A1679,#REF!,23,0),0)+IFERROR(VLOOKUP(A1679,#REF!,11,0),0)+IFERROR(VLOOKUP(A1679,#REF!,11,0),0)+IFERROR(VLOOKUP(A1679,#REF!,11,0),0)</f>
        <v>0</v>
      </c>
      <c r="K1679" s="96" t="str">
        <f>"07.02.24"</f>
        <v>07.02.24</v>
      </c>
    </row>
    <row r="1680" spans="1:11" ht="11.25" customHeight="1" outlineLevel="1">
      <c r="A1680" s="89" t="n">
        <v>8142220</v>
      </c>
      <c r="B1680" s="114" t="s">
        <v>2759</v>
      </c>
      <c r="C1680" s="89" t="s">
        <v>2765</v>
      </c>
      <c r="D1680" s="89"/>
      <c r="E1680" s="89"/>
      <c r="F1680" s="102" t="n">
        <v>7625</v>
      </c>
      <c r="G1680" s="102" t="n">
        <v>8221</v>
      </c>
      <c r="H1680" s="103" t="s">
        <v>17</v>
      </c>
      <c r="I1680" s="103">
        <f>IFERROR(VLOOKUP(A1680,#REF!,15,0),0)+IFERROR(VLOOKUP(A1680,#REF!,25,0),0)+IFERROR(VLOOKUP(A1680,#REF!,10,0),0)+IFERROR(VLOOKUP(A1680,#REF!,14,0),0)+IFERROR(VLOOKUP(A1680,#REF!,10,0),0)+IFERROR(VLOOKUP(A1680,#REF!,10,0),0)+IFERROR(VLOOKUP(A1680,#REF!,10,0),0)+IFERROR(VLOOKUP(A1680,#REF!,9,0),0)+IFERROR(VLOOKUP(A1680,#REF!,9,0),0)+IFERROR(VLOOKUP(A1680,#REF!,9,0),0)+IFERROR(VLOOKUP(A1680,#REF!,9,0),0)</f>
        <v>0</v>
      </c>
      <c r="J1680" s="104">
        <f>IFERROR(VLOOKUP(A1680,#REF!,16,0),0)+IFERROR(VLOOKUP(A1680,#REF!,26,0),0)+IFERROR(VLOOKUP(A1680,#REF!,11,0),0)+IFERROR(VLOOKUP(A1680,#REF!,23,0),0)+IFERROR(VLOOKUP(A1680,#REF!,11,0),0)+IFERROR(VLOOKUP(A1680,#REF!,11,0),0)+IFERROR(VLOOKUP(A1680,#REF!,11,0),0)</f>
        <v>0</v>
      </c>
      <c r="K1680" s="96" t="str">
        <f>"07.02.24"</f>
        <v>07.02.24</v>
      </c>
    </row>
    <row r="1681" spans="1:11" ht="11.25" customHeight="1" outlineLevel="1">
      <c r="A1681" s="89" t="n">
        <v>4110940</v>
      </c>
      <c r="B1681" s="114" t="s">
        <v>2759</v>
      </c>
      <c r="C1681" s="89" t="s">
        <v>2766</v>
      </c>
      <c r="D1681" s="89" t="s">
        <v>15</v>
      </c>
      <c r="E1681" s="89" t="s">
        <v>2767</v>
      </c>
      <c r="F1681" s="102" t="n">
        <v>9509</v>
      </c>
      <c r="G1681" s="102" t="n">
        <v>10252</v>
      </c>
      <c r="H1681" s="103" t="s">
        <v>17</v>
      </c>
      <c r="I1681" s="103">
        <f>IFERROR(VLOOKUP(A1681,#REF!,15,0),0)+IFERROR(VLOOKUP(A1681,#REF!,25,0),0)+IFERROR(VLOOKUP(A1681,#REF!,10,0),0)+IFERROR(VLOOKUP(A1681,#REF!,14,0),0)+IFERROR(VLOOKUP(A1681,#REF!,10,0),0)+IFERROR(VLOOKUP(A1681,#REF!,10,0),0)+IFERROR(VLOOKUP(A1681,#REF!,10,0),0)+IFERROR(VLOOKUP(A1681,#REF!,9,0),0)+IFERROR(VLOOKUP(A1681,#REF!,9,0),0)+IFERROR(VLOOKUP(A1681,#REF!,9,0),0)+IFERROR(VLOOKUP(A1681,#REF!,9,0),0)</f>
        <v>0</v>
      </c>
      <c r="J1681" s="104">
        <f>IFERROR(VLOOKUP(A1681,#REF!,16,0),0)+IFERROR(VLOOKUP(A1681,#REF!,26,0),0)+IFERROR(VLOOKUP(A1681,#REF!,11,0),0)+IFERROR(VLOOKUP(A1681,#REF!,23,0),0)+IFERROR(VLOOKUP(A1681,#REF!,11,0),0)+IFERROR(VLOOKUP(A1681,#REF!,11,0),0)+IFERROR(VLOOKUP(A1681,#REF!,11,0),0)</f>
        <v>0</v>
      </c>
      <c r="K1681" s="96" t="str">
        <f>"07.02.24"</f>
        <v>07.02.24</v>
      </c>
    </row>
    <row r="1682" spans="1:11" ht="11.25" customHeight="1" outlineLevel="1">
      <c r="A1682" s="89" t="n">
        <v>4110990</v>
      </c>
      <c r="B1682" s="114" t="s">
        <v>2759</v>
      </c>
      <c r="C1682" s="89" t="s">
        <v>2768</v>
      </c>
      <c r="D1682" s="89" t="s">
        <v>15</v>
      </c>
      <c r="E1682" s="89" t="s">
        <v>2769</v>
      </c>
      <c r="F1682" s="102" t="n">
        <v>10752</v>
      </c>
      <c r="G1682" s="102" t="n">
        <v>11703</v>
      </c>
      <c r="H1682" s="103" t="s">
        <v>17</v>
      </c>
      <c r="I1682" s="103">
        <f>IFERROR(VLOOKUP(A1682,#REF!,15,0),0)+IFERROR(VLOOKUP(A1682,#REF!,25,0),0)+IFERROR(VLOOKUP(A1682,#REF!,10,0),0)+IFERROR(VLOOKUP(A1682,#REF!,14,0),0)+IFERROR(VLOOKUP(A1682,#REF!,10,0),0)+IFERROR(VLOOKUP(A1682,#REF!,10,0),0)+IFERROR(VLOOKUP(A1682,#REF!,10,0),0)+IFERROR(VLOOKUP(A1682,#REF!,9,0),0)+IFERROR(VLOOKUP(A1682,#REF!,9,0),0)+IFERROR(VLOOKUP(A1682,#REF!,9,0),0)+IFERROR(VLOOKUP(A1682,#REF!,9,0),0)</f>
        <v>0</v>
      </c>
      <c r="J1682" s="104">
        <f>IFERROR(VLOOKUP(A1682,#REF!,16,0),0)+IFERROR(VLOOKUP(A1682,#REF!,26,0),0)+IFERROR(VLOOKUP(A1682,#REF!,11,0),0)+IFERROR(VLOOKUP(A1682,#REF!,23,0),0)+IFERROR(VLOOKUP(A1682,#REF!,11,0),0)+IFERROR(VLOOKUP(A1682,#REF!,11,0),0)+IFERROR(VLOOKUP(A1682,#REF!,11,0),0)</f>
        <v>0</v>
      </c>
      <c r="K1682" s="96" t="str">
        <f>"07.02.24"</f>
        <v>07.02.24</v>
      </c>
    </row>
    <row r="1683" spans="1:11" ht="11.25" customHeight="1" outlineLevel="1">
      <c r="A1683" s="88" t="s">
        <v>2770</v>
      </c>
      <c r="B1683" s="115"/>
      <c r="C1683" s="88"/>
      <c r="D1683" s="88"/>
      <c r="E1683" s="88"/>
      <c r="F1683" s="105"/>
      <c r="G1683" s="105"/>
      <c r="H1683" s="106"/>
      <c r="I1683" s="106"/>
      <c r="J1683" s="107"/>
      <c r="K1683" s="96" t="str">
        <f>"07.02.24"</f>
        <v>07.02.24</v>
      </c>
    </row>
    <row r="1684" spans="1:11" ht="11.25" customHeight="1" outlineLevel="1">
      <c r="A1684" s="89" t="n">
        <v>4111070</v>
      </c>
      <c r="B1684" s="114" t="s">
        <v>2759</v>
      </c>
      <c r="C1684" s="89" t="s">
        <v>2771</v>
      </c>
      <c r="D1684" s="89" t="s">
        <v>15</v>
      </c>
      <c r="E1684" s="89" t="s">
        <v>2772</v>
      </c>
      <c r="F1684" s="102" t="n">
        <v>43928</v>
      </c>
      <c r="G1684" s="102" t="n">
        <v>47362</v>
      </c>
      <c r="H1684" s="103" t="s">
        <v>17</v>
      </c>
      <c r="I1684" s="103">
        <f>IFERROR(VLOOKUP(A1684,#REF!,15,0),0)+IFERROR(VLOOKUP(A1684,#REF!,25,0),0)+IFERROR(VLOOKUP(A1684,#REF!,10,0),0)+IFERROR(VLOOKUP(A1684,#REF!,14,0),0)+IFERROR(VLOOKUP(A1684,#REF!,10,0),0)+IFERROR(VLOOKUP(A1684,#REF!,10,0),0)+IFERROR(VLOOKUP(A1684,#REF!,10,0),0)+IFERROR(VLOOKUP(A1684,#REF!,9,0),0)+IFERROR(VLOOKUP(A1684,#REF!,9,0),0)+IFERROR(VLOOKUP(A1684,#REF!,9,0),0)+IFERROR(VLOOKUP(A1684,#REF!,9,0),0)</f>
        <v>0</v>
      </c>
      <c r="J1684" s="104">
        <f>IFERROR(VLOOKUP(A1684,#REF!,16,0),0)+IFERROR(VLOOKUP(A1684,#REF!,26,0),0)+IFERROR(VLOOKUP(A1684,#REF!,11,0),0)+IFERROR(VLOOKUP(A1684,#REF!,23,0),0)+IFERROR(VLOOKUP(A1684,#REF!,11,0),0)+IFERROR(VLOOKUP(A1684,#REF!,11,0),0)+IFERROR(VLOOKUP(A1684,#REF!,11,0),0)</f>
        <v>0</v>
      </c>
      <c r="K1684" s="96" t="str">
        <f>"07.02.24"</f>
        <v>07.02.24</v>
      </c>
    </row>
    <row r="1685" spans="1:11" ht="11.25" customHeight="1" outlineLevel="1">
      <c r="A1685" s="89" t="n">
        <v>8095490</v>
      </c>
      <c r="B1685" s="114" t="s">
        <v>2759</v>
      </c>
      <c r="C1685" s="89" t="s">
        <v>2773</v>
      </c>
      <c r="D1685" s="89" t="s">
        <v>15</v>
      </c>
      <c r="E1685" s="89" t="s">
        <v>2774</v>
      </c>
      <c r="F1685" s="102" t="n">
        <v>79495</v>
      </c>
      <c r="G1685" s="102" t="n">
        <v>85709</v>
      </c>
      <c r="H1685" s="103" t="s">
        <v>17</v>
      </c>
      <c r="I1685" s="103">
        <f>IFERROR(VLOOKUP(A1685,#REF!,15,0),0)+IFERROR(VLOOKUP(A1685,#REF!,25,0),0)+IFERROR(VLOOKUP(A1685,#REF!,10,0),0)+IFERROR(VLOOKUP(A1685,#REF!,14,0),0)+IFERROR(VLOOKUP(A1685,#REF!,10,0),0)+IFERROR(VLOOKUP(A1685,#REF!,10,0),0)+IFERROR(VLOOKUP(A1685,#REF!,10,0),0)+IFERROR(VLOOKUP(A1685,#REF!,9,0),0)+IFERROR(VLOOKUP(A1685,#REF!,9,0),0)+IFERROR(VLOOKUP(A1685,#REF!,9,0),0)+IFERROR(VLOOKUP(A1685,#REF!,9,0),0)</f>
        <v>0</v>
      </c>
      <c r="J1685" s="104">
        <f>IFERROR(VLOOKUP(A1685,#REF!,16,0),0)+IFERROR(VLOOKUP(A1685,#REF!,26,0),0)+IFERROR(VLOOKUP(A1685,#REF!,11,0),0)+IFERROR(VLOOKUP(A1685,#REF!,23,0),0)+IFERROR(VLOOKUP(A1685,#REF!,11,0),0)+IFERROR(VLOOKUP(A1685,#REF!,11,0),0)+IFERROR(VLOOKUP(A1685,#REF!,11,0),0)</f>
        <v>0</v>
      </c>
      <c r="K1685" s="96" t="str">
        <f>"07.02.24"</f>
        <v>07.02.24</v>
      </c>
    </row>
    <row r="1686" spans="1:11" ht="11.25" customHeight="1" outlineLevel="1">
      <c r="A1686" s="88" t="s">
        <v>2775</v>
      </c>
      <c r="B1686" s="115"/>
      <c r="C1686" s="88"/>
      <c r="D1686" s="88"/>
      <c r="E1686" s="88"/>
      <c r="F1686" s="105"/>
      <c r="G1686" s="105"/>
      <c r="H1686" s="106"/>
      <c r="I1686" s="106"/>
      <c r="J1686" s="107"/>
      <c r="K1686" s="96" t="str">
        <f>"07.02.24"</f>
        <v>07.02.24</v>
      </c>
    </row>
    <row r="1687" spans="1:11" ht="11.25" customHeight="1" outlineLevel="1">
      <c r="A1687" s="89" t="n">
        <v>8093540</v>
      </c>
      <c r="B1687" s="114" t="s">
        <v>2759</v>
      </c>
      <c r="C1687" s="89" t="s">
        <v>2776</v>
      </c>
      <c r="D1687" s="89" t="s">
        <v>15</v>
      </c>
      <c r="E1687" s="89" t="s">
        <v>2777</v>
      </c>
      <c r="F1687" s="102" t="n">
        <v>14322</v>
      </c>
      <c r="G1687" s="102" t="n">
        <v>15441</v>
      </c>
      <c r="H1687" s="103" t="s">
        <v>17</v>
      </c>
      <c r="I1687" s="103">
        <f>IFERROR(VLOOKUP(A1687,#REF!,15,0),0)+IFERROR(VLOOKUP(A1687,#REF!,25,0),0)+IFERROR(VLOOKUP(A1687,#REF!,10,0),0)+IFERROR(VLOOKUP(A1687,#REF!,14,0),0)+IFERROR(VLOOKUP(A1687,#REF!,10,0),0)+IFERROR(VLOOKUP(A1687,#REF!,10,0),0)+IFERROR(VLOOKUP(A1687,#REF!,10,0),0)+IFERROR(VLOOKUP(A1687,#REF!,9,0),0)+IFERROR(VLOOKUP(A1687,#REF!,9,0),0)+IFERROR(VLOOKUP(A1687,#REF!,9,0),0)+IFERROR(VLOOKUP(A1687,#REF!,9,0),0)</f>
        <v>0</v>
      </c>
      <c r="J1687" s="104">
        <f>IFERROR(VLOOKUP(A1687,#REF!,16,0),0)+IFERROR(VLOOKUP(A1687,#REF!,26,0),0)+IFERROR(VLOOKUP(A1687,#REF!,11,0),0)+IFERROR(VLOOKUP(A1687,#REF!,23,0),0)+IFERROR(VLOOKUP(A1687,#REF!,11,0),0)+IFERROR(VLOOKUP(A1687,#REF!,11,0),0)+IFERROR(VLOOKUP(A1687,#REF!,11,0),0)</f>
        <v>0</v>
      </c>
      <c r="K1687" s="96" t="str">
        <f>"07.02.24"</f>
        <v>07.02.24</v>
      </c>
    </row>
    <row r="1688" spans="1:11" ht="11.25" customHeight="1" outlineLevel="1">
      <c r="A1688" s="89" t="n">
        <v>4111680</v>
      </c>
      <c r="B1688" s="114" t="s">
        <v>2759</v>
      </c>
      <c r="C1688" s="89" t="s">
        <v>2778</v>
      </c>
      <c r="D1688" s="89" t="s">
        <v>15</v>
      </c>
      <c r="E1688" s="89" t="s">
        <v>2779</v>
      </c>
      <c r="F1688" s="102" t="n">
        <v>14488</v>
      </c>
      <c r="G1688" s="102" t="n">
        <v>15620</v>
      </c>
      <c r="H1688" s="103" t="s">
        <v>17</v>
      </c>
      <c r="I1688" s="103">
        <f>IFERROR(VLOOKUP(A1688,#REF!,15,0),0)+IFERROR(VLOOKUP(A1688,#REF!,25,0),0)+IFERROR(VLOOKUP(A1688,#REF!,10,0),0)+IFERROR(VLOOKUP(A1688,#REF!,14,0),0)+IFERROR(VLOOKUP(A1688,#REF!,10,0),0)+IFERROR(VLOOKUP(A1688,#REF!,10,0),0)+IFERROR(VLOOKUP(A1688,#REF!,10,0),0)+IFERROR(VLOOKUP(A1688,#REF!,9,0),0)+IFERROR(VLOOKUP(A1688,#REF!,9,0),0)+IFERROR(VLOOKUP(A1688,#REF!,9,0),0)+IFERROR(VLOOKUP(A1688,#REF!,9,0),0)</f>
        <v>0</v>
      </c>
      <c r="J1688" s="104">
        <f>IFERROR(VLOOKUP(A1688,#REF!,16,0),0)+IFERROR(VLOOKUP(A1688,#REF!,26,0),0)+IFERROR(VLOOKUP(A1688,#REF!,11,0),0)+IFERROR(VLOOKUP(A1688,#REF!,23,0),0)+IFERROR(VLOOKUP(A1688,#REF!,11,0),0)+IFERROR(VLOOKUP(A1688,#REF!,11,0),0)+IFERROR(VLOOKUP(A1688,#REF!,11,0),0)</f>
        <v>0</v>
      </c>
      <c r="K1688" s="96" t="str">
        <f>"07.02.24"</f>
        <v>07.02.24</v>
      </c>
    </row>
    <row r="1689" spans="1:11" ht="11.25" customHeight="1" outlineLevel="1">
      <c r="A1689" s="89" t="n">
        <v>8093560</v>
      </c>
      <c r="B1689" s="114" t="s">
        <v>2759</v>
      </c>
      <c r="C1689" s="89" t="s">
        <v>2780</v>
      </c>
      <c r="D1689" s="89" t="s">
        <v>15</v>
      </c>
      <c r="E1689" s="89" t="s">
        <v>2781</v>
      </c>
      <c r="F1689" s="102" t="n">
        <v>15520</v>
      </c>
      <c r="G1689" s="102" t="n">
        <v>16733</v>
      </c>
      <c r="H1689" s="103" t="s">
        <v>17</v>
      </c>
      <c r="I1689" s="103">
        <f>IFERROR(VLOOKUP(A1689,#REF!,15,0),0)+IFERROR(VLOOKUP(A1689,#REF!,25,0),0)+IFERROR(VLOOKUP(A1689,#REF!,10,0),0)+IFERROR(VLOOKUP(A1689,#REF!,14,0),0)+IFERROR(VLOOKUP(A1689,#REF!,10,0),0)+IFERROR(VLOOKUP(A1689,#REF!,10,0),0)+IFERROR(VLOOKUP(A1689,#REF!,10,0),0)+IFERROR(VLOOKUP(A1689,#REF!,9,0),0)+IFERROR(VLOOKUP(A1689,#REF!,9,0),0)+IFERROR(VLOOKUP(A1689,#REF!,9,0),0)+IFERROR(VLOOKUP(A1689,#REF!,9,0),0)</f>
        <v>0</v>
      </c>
      <c r="J1689" s="104">
        <f>IFERROR(VLOOKUP(A1689,#REF!,16,0),0)+IFERROR(VLOOKUP(A1689,#REF!,26,0),0)+IFERROR(VLOOKUP(A1689,#REF!,11,0),0)+IFERROR(VLOOKUP(A1689,#REF!,23,0),0)+IFERROR(VLOOKUP(A1689,#REF!,11,0),0)+IFERROR(VLOOKUP(A1689,#REF!,11,0),0)+IFERROR(VLOOKUP(A1689,#REF!,11,0),0)</f>
        <v>0</v>
      </c>
      <c r="K1689" s="96" t="str">
        <f>"07.02.24"</f>
        <v>07.02.24</v>
      </c>
    </row>
    <row r="1690" spans="1:11" ht="11.25" customHeight="1" outlineLevel="1">
      <c r="A1690" s="89" t="n">
        <v>8093590</v>
      </c>
      <c r="B1690" s="114" t="s">
        <v>2759</v>
      </c>
      <c r="C1690" s="89" t="s">
        <v>2782</v>
      </c>
      <c r="D1690" s="89" t="s">
        <v>15</v>
      </c>
      <c r="E1690" s="89" t="s">
        <v>2783</v>
      </c>
      <c r="F1690" s="102" t="n">
        <v>22102</v>
      </c>
      <c r="G1690" s="102" t="n">
        <v>23830</v>
      </c>
      <c r="H1690" s="103" t="s">
        <v>17</v>
      </c>
      <c r="I1690" s="103">
        <f>IFERROR(VLOOKUP(A1690,#REF!,15,0),0)+IFERROR(VLOOKUP(A1690,#REF!,25,0),0)+IFERROR(VLOOKUP(A1690,#REF!,10,0),0)+IFERROR(VLOOKUP(A1690,#REF!,14,0),0)+IFERROR(VLOOKUP(A1690,#REF!,10,0),0)+IFERROR(VLOOKUP(A1690,#REF!,10,0),0)+IFERROR(VLOOKUP(A1690,#REF!,10,0),0)+IFERROR(VLOOKUP(A1690,#REF!,9,0),0)+IFERROR(VLOOKUP(A1690,#REF!,9,0),0)+IFERROR(VLOOKUP(A1690,#REF!,9,0),0)+IFERROR(VLOOKUP(A1690,#REF!,9,0),0)</f>
        <v>0</v>
      </c>
      <c r="J1690" s="104">
        <f>IFERROR(VLOOKUP(A1690,#REF!,16,0),0)+IFERROR(VLOOKUP(A1690,#REF!,26,0),0)+IFERROR(VLOOKUP(A1690,#REF!,11,0),0)+IFERROR(VLOOKUP(A1690,#REF!,23,0),0)+IFERROR(VLOOKUP(A1690,#REF!,11,0),0)+IFERROR(VLOOKUP(A1690,#REF!,11,0),0)+IFERROR(VLOOKUP(A1690,#REF!,11,0),0)</f>
        <v>0</v>
      </c>
      <c r="K1690" s="96" t="str">
        <f>"07.02.24"</f>
        <v>07.02.24</v>
      </c>
    </row>
    <row r="1691" spans="1:11" ht="11.25" customHeight="1" outlineLevel="1">
      <c r="A1691" s="89" t="n">
        <v>8095590</v>
      </c>
      <c r="B1691" s="114" t="s">
        <v>2759</v>
      </c>
      <c r="C1691" s="89" t="s">
        <v>2784</v>
      </c>
      <c r="D1691" s="89" t="s">
        <v>15</v>
      </c>
      <c r="E1691" s="89" t="s">
        <v>2783</v>
      </c>
      <c r="F1691" s="102" t="n">
        <v>23140</v>
      </c>
      <c r="G1691" s="102" t="n">
        <v>24949</v>
      </c>
      <c r="H1691" s="103" t="s">
        <v>17</v>
      </c>
      <c r="I1691" s="103">
        <f>IFERROR(VLOOKUP(A1691,#REF!,15,0),0)+IFERROR(VLOOKUP(A1691,#REF!,25,0),0)+IFERROR(VLOOKUP(A1691,#REF!,10,0),0)+IFERROR(VLOOKUP(A1691,#REF!,14,0),0)+IFERROR(VLOOKUP(A1691,#REF!,10,0),0)+IFERROR(VLOOKUP(A1691,#REF!,10,0),0)+IFERROR(VLOOKUP(A1691,#REF!,10,0),0)+IFERROR(VLOOKUP(A1691,#REF!,9,0),0)+IFERROR(VLOOKUP(A1691,#REF!,9,0),0)+IFERROR(VLOOKUP(A1691,#REF!,9,0),0)+IFERROR(VLOOKUP(A1691,#REF!,9,0),0)</f>
        <v>0</v>
      </c>
      <c r="J1691" s="104">
        <f>IFERROR(VLOOKUP(A1691,#REF!,16,0),0)+IFERROR(VLOOKUP(A1691,#REF!,26,0),0)+IFERROR(VLOOKUP(A1691,#REF!,11,0),0)+IFERROR(VLOOKUP(A1691,#REF!,23,0),0)+IFERROR(VLOOKUP(A1691,#REF!,11,0),0)+IFERROR(VLOOKUP(A1691,#REF!,11,0),0)+IFERROR(VLOOKUP(A1691,#REF!,11,0),0)</f>
        <v>0</v>
      </c>
      <c r="K1691" s="96" t="str">
        <f>"07.02.24"</f>
        <v>07.02.24</v>
      </c>
    </row>
    <row r="1692" spans="1:11" ht="11.25" customHeight="1" outlineLevel="1">
      <c r="A1692" s="89" t="n">
        <v>8093620</v>
      </c>
      <c r="B1692" s="114" t="s">
        <v>2759</v>
      </c>
      <c r="C1692" s="89" t="s">
        <v>2785</v>
      </c>
      <c r="D1692" s="89" t="s">
        <v>15</v>
      </c>
      <c r="E1692" s="89" t="s">
        <v>2786</v>
      </c>
      <c r="F1692" s="102" t="n">
        <v>39642</v>
      </c>
      <c r="G1692" s="102" t="n">
        <v>42741</v>
      </c>
      <c r="H1692" s="103" t="s">
        <v>17</v>
      </c>
      <c r="I1692" s="103">
        <f>IFERROR(VLOOKUP(A1692,#REF!,15,0),0)+IFERROR(VLOOKUP(A1692,#REF!,25,0),0)+IFERROR(VLOOKUP(A1692,#REF!,10,0),0)+IFERROR(VLOOKUP(A1692,#REF!,14,0),0)+IFERROR(VLOOKUP(A1692,#REF!,10,0),0)+IFERROR(VLOOKUP(A1692,#REF!,10,0),0)+IFERROR(VLOOKUP(A1692,#REF!,10,0),0)+IFERROR(VLOOKUP(A1692,#REF!,9,0),0)+IFERROR(VLOOKUP(A1692,#REF!,9,0),0)+IFERROR(VLOOKUP(A1692,#REF!,9,0),0)+IFERROR(VLOOKUP(A1692,#REF!,9,0),0)</f>
        <v>0</v>
      </c>
      <c r="J1692" s="104">
        <f>IFERROR(VLOOKUP(A1692,#REF!,16,0),0)+IFERROR(VLOOKUP(A1692,#REF!,26,0),0)+IFERROR(VLOOKUP(A1692,#REF!,11,0),0)+IFERROR(VLOOKUP(A1692,#REF!,23,0),0)+IFERROR(VLOOKUP(A1692,#REF!,11,0),0)+IFERROR(VLOOKUP(A1692,#REF!,11,0),0)+IFERROR(VLOOKUP(A1692,#REF!,11,0),0)</f>
        <v>0</v>
      </c>
      <c r="K1692" s="96" t="str">
        <f>"07.02.24"</f>
        <v>07.02.24</v>
      </c>
    </row>
    <row r="1693" spans="1:11" ht="11.25" customHeight="1" outlineLevel="1">
      <c r="A1693" s="89" t="n">
        <v>8095610</v>
      </c>
      <c r="B1693" s="114" t="s">
        <v>2759</v>
      </c>
      <c r="C1693" s="89" t="s">
        <v>2787</v>
      </c>
      <c r="D1693" s="89" t="s">
        <v>15</v>
      </c>
      <c r="E1693" s="89" t="s">
        <v>2786</v>
      </c>
      <c r="F1693" s="102" t="n">
        <v>40666</v>
      </c>
      <c r="G1693" s="102" t="n">
        <v>43845</v>
      </c>
      <c r="H1693" s="103" t="s">
        <v>17</v>
      </c>
      <c r="I1693" s="103">
        <f>IFERROR(VLOOKUP(A1693,#REF!,15,0),0)+IFERROR(VLOOKUP(A1693,#REF!,25,0),0)+IFERROR(VLOOKUP(A1693,#REF!,10,0),0)+IFERROR(VLOOKUP(A1693,#REF!,14,0),0)+IFERROR(VLOOKUP(A1693,#REF!,10,0),0)+IFERROR(VLOOKUP(A1693,#REF!,10,0),0)+IFERROR(VLOOKUP(A1693,#REF!,10,0),0)+IFERROR(VLOOKUP(A1693,#REF!,9,0),0)+IFERROR(VLOOKUP(A1693,#REF!,9,0),0)+IFERROR(VLOOKUP(A1693,#REF!,9,0),0)+IFERROR(VLOOKUP(A1693,#REF!,9,0),0)</f>
        <v>0</v>
      </c>
      <c r="J1693" s="104">
        <f>IFERROR(VLOOKUP(A1693,#REF!,16,0),0)+IFERROR(VLOOKUP(A1693,#REF!,26,0),0)+IFERROR(VLOOKUP(A1693,#REF!,11,0),0)+IFERROR(VLOOKUP(A1693,#REF!,23,0),0)+IFERROR(VLOOKUP(A1693,#REF!,11,0),0)+IFERROR(VLOOKUP(A1693,#REF!,11,0),0)+IFERROR(VLOOKUP(A1693,#REF!,11,0),0)</f>
        <v>0</v>
      </c>
      <c r="K1693" s="96" t="str">
        <f>"07.02.24"</f>
        <v>07.02.24</v>
      </c>
    </row>
    <row r="1694" spans="1:11" ht="11.25" customHeight="1" outlineLevel="1">
      <c r="A1694" s="89" t="n">
        <v>4111880</v>
      </c>
      <c r="B1694" s="114" t="s">
        <v>2759</v>
      </c>
      <c r="C1694" s="89" t="s">
        <v>2788</v>
      </c>
      <c r="D1694" s="89" t="s">
        <v>15</v>
      </c>
      <c r="E1694" s="89" t="s">
        <v>2789</v>
      </c>
      <c r="F1694" s="102" t="n">
        <v>63760</v>
      </c>
      <c r="G1694" s="102" t="n">
        <v>68743</v>
      </c>
      <c r="H1694" s="103" t="s">
        <v>17</v>
      </c>
      <c r="I1694" s="103">
        <f>IFERROR(VLOOKUP(A1694,#REF!,15,0),0)+IFERROR(VLOOKUP(A1694,#REF!,25,0),0)+IFERROR(VLOOKUP(A1694,#REF!,10,0),0)+IFERROR(VLOOKUP(A1694,#REF!,14,0),0)+IFERROR(VLOOKUP(A1694,#REF!,10,0),0)+IFERROR(VLOOKUP(A1694,#REF!,10,0),0)+IFERROR(VLOOKUP(A1694,#REF!,10,0),0)+IFERROR(VLOOKUP(A1694,#REF!,9,0),0)+IFERROR(VLOOKUP(A1694,#REF!,9,0),0)+IFERROR(VLOOKUP(A1694,#REF!,9,0),0)+IFERROR(VLOOKUP(A1694,#REF!,9,0),0)</f>
        <v>0</v>
      </c>
      <c r="J1694" s="104">
        <f>IFERROR(VLOOKUP(A1694,#REF!,16,0),0)+IFERROR(VLOOKUP(A1694,#REF!,26,0),0)+IFERROR(VLOOKUP(A1694,#REF!,11,0),0)+IFERROR(VLOOKUP(A1694,#REF!,23,0),0)+IFERROR(VLOOKUP(A1694,#REF!,11,0),0)+IFERROR(VLOOKUP(A1694,#REF!,11,0),0)+IFERROR(VLOOKUP(A1694,#REF!,11,0),0)</f>
        <v>0</v>
      </c>
      <c r="K1694" s="96" t="str">
        <f>"07.02.24"</f>
        <v>07.02.24</v>
      </c>
    </row>
    <row r="1695" spans="1:11" ht="11.25" customHeight="1" outlineLevel="1">
      <c r="A1695" s="89" t="n">
        <v>8095870</v>
      </c>
      <c r="B1695" s="114" t="s">
        <v>2759</v>
      </c>
      <c r="C1695" s="89" t="s">
        <v>2790</v>
      </c>
      <c r="D1695" s="89" t="s">
        <v>15</v>
      </c>
      <c r="E1695" s="89" t="s">
        <v>2791</v>
      </c>
      <c r="F1695" s="102" t="n">
        <v>64848</v>
      </c>
      <c r="G1695" s="102" t="n">
        <v>69917</v>
      </c>
      <c r="H1695" s="103" t="s">
        <v>17</v>
      </c>
      <c r="I1695" s="103">
        <f>IFERROR(VLOOKUP(A1695,#REF!,15,0),0)+IFERROR(VLOOKUP(A1695,#REF!,25,0),0)+IFERROR(VLOOKUP(A1695,#REF!,10,0),0)+IFERROR(VLOOKUP(A1695,#REF!,14,0),0)+IFERROR(VLOOKUP(A1695,#REF!,10,0),0)+IFERROR(VLOOKUP(A1695,#REF!,10,0),0)+IFERROR(VLOOKUP(A1695,#REF!,10,0),0)+IFERROR(VLOOKUP(A1695,#REF!,9,0),0)+IFERROR(VLOOKUP(A1695,#REF!,9,0),0)+IFERROR(VLOOKUP(A1695,#REF!,9,0),0)+IFERROR(VLOOKUP(A1695,#REF!,9,0),0)</f>
        <v>0</v>
      </c>
      <c r="J1695" s="104">
        <f>IFERROR(VLOOKUP(A1695,#REF!,16,0),0)+IFERROR(VLOOKUP(A1695,#REF!,26,0),0)+IFERROR(VLOOKUP(A1695,#REF!,11,0),0)+IFERROR(VLOOKUP(A1695,#REF!,23,0),0)+IFERROR(VLOOKUP(A1695,#REF!,11,0),0)+IFERROR(VLOOKUP(A1695,#REF!,11,0),0)+IFERROR(VLOOKUP(A1695,#REF!,11,0),0)</f>
        <v>0</v>
      </c>
      <c r="K1695" s="96" t="str">
        <f>"07.02.24"</f>
        <v>07.02.24</v>
      </c>
    </row>
    <row r="1696" spans="1:11" ht="11.25" customHeight="1" outlineLevel="1">
      <c r="A1696" s="88" t="s">
        <v>2792</v>
      </c>
      <c r="B1696" s="115"/>
      <c r="C1696" s="88"/>
      <c r="D1696" s="88"/>
      <c r="E1696" s="88"/>
      <c r="F1696" s="105"/>
      <c r="G1696" s="105"/>
      <c r="H1696" s="106"/>
      <c r="I1696" s="106"/>
      <c r="J1696" s="107"/>
      <c r="K1696" s="96" t="str">
        <f>"07.02.24"</f>
        <v>07.02.24</v>
      </c>
    </row>
    <row r="1697" spans="1:11" ht="11.25" customHeight="1" outlineLevel="1">
      <c r="A1697" s="89" t="n">
        <v>4111760</v>
      </c>
      <c r="B1697" s="114" t="s">
        <v>2759</v>
      </c>
      <c r="C1697" s="89" t="s">
        <v>2793</v>
      </c>
      <c r="D1697" s="89" t="s">
        <v>15</v>
      </c>
      <c r="E1697" s="89" t="s">
        <v>2794</v>
      </c>
      <c r="F1697" s="102" t="n">
        <v>12817</v>
      </c>
      <c r="G1697" s="102" t="n">
        <v>13819</v>
      </c>
      <c r="H1697" s="103" t="s">
        <v>17</v>
      </c>
      <c r="I1697" s="103">
        <f>IFERROR(VLOOKUP(A1697,#REF!,15,0),0)+IFERROR(VLOOKUP(A1697,#REF!,25,0),0)+IFERROR(VLOOKUP(A1697,#REF!,10,0),0)+IFERROR(VLOOKUP(A1697,#REF!,14,0),0)+IFERROR(VLOOKUP(A1697,#REF!,10,0),0)+IFERROR(VLOOKUP(A1697,#REF!,10,0),0)+IFERROR(VLOOKUP(A1697,#REF!,10,0),0)+IFERROR(VLOOKUP(A1697,#REF!,9,0),0)+IFERROR(VLOOKUP(A1697,#REF!,9,0),0)+IFERROR(VLOOKUP(A1697,#REF!,9,0),0)+IFERROR(VLOOKUP(A1697,#REF!,9,0),0)</f>
        <v>0</v>
      </c>
      <c r="J1697" s="104">
        <f>IFERROR(VLOOKUP(A1697,#REF!,16,0),0)+IFERROR(VLOOKUP(A1697,#REF!,26,0),0)+IFERROR(VLOOKUP(A1697,#REF!,11,0),0)+IFERROR(VLOOKUP(A1697,#REF!,23,0),0)+IFERROR(VLOOKUP(A1697,#REF!,11,0),0)+IFERROR(VLOOKUP(A1697,#REF!,11,0),0)+IFERROR(VLOOKUP(A1697,#REF!,11,0),0)</f>
        <v>0</v>
      </c>
      <c r="K1697" s="96" t="str">
        <f>"07.02.24"</f>
        <v>07.02.24</v>
      </c>
    </row>
    <row r="1698" spans="1:11" ht="11.25" customHeight="1" outlineLevel="1">
      <c r="A1698" s="89" t="n">
        <v>4111810</v>
      </c>
      <c r="B1698" s="114" t="s">
        <v>2759</v>
      </c>
      <c r="C1698" s="89" t="s">
        <v>2795</v>
      </c>
      <c r="D1698" s="89" t="s">
        <v>15</v>
      </c>
      <c r="E1698" s="89" t="s">
        <v>2796</v>
      </c>
      <c r="F1698" s="102" t="n">
        <v>13390</v>
      </c>
      <c r="G1698" s="102" t="n">
        <v>14436</v>
      </c>
      <c r="H1698" s="103" t="s">
        <v>17</v>
      </c>
      <c r="I1698" s="103">
        <f>IFERROR(VLOOKUP(A1698,#REF!,15,0),0)+IFERROR(VLOOKUP(A1698,#REF!,25,0),0)+IFERROR(VLOOKUP(A1698,#REF!,10,0),0)+IFERROR(VLOOKUP(A1698,#REF!,14,0),0)+IFERROR(VLOOKUP(A1698,#REF!,10,0),0)+IFERROR(VLOOKUP(A1698,#REF!,10,0),0)+IFERROR(VLOOKUP(A1698,#REF!,10,0),0)+IFERROR(VLOOKUP(A1698,#REF!,9,0),0)+IFERROR(VLOOKUP(A1698,#REF!,9,0),0)+IFERROR(VLOOKUP(A1698,#REF!,9,0),0)+IFERROR(VLOOKUP(A1698,#REF!,9,0),0)</f>
        <v>0</v>
      </c>
      <c r="J1698" s="104">
        <f>IFERROR(VLOOKUP(A1698,#REF!,16,0),0)+IFERROR(VLOOKUP(A1698,#REF!,26,0),0)+IFERROR(VLOOKUP(A1698,#REF!,11,0),0)+IFERROR(VLOOKUP(A1698,#REF!,23,0),0)+IFERROR(VLOOKUP(A1698,#REF!,11,0),0)+IFERROR(VLOOKUP(A1698,#REF!,11,0),0)+IFERROR(VLOOKUP(A1698,#REF!,11,0),0)</f>
        <v>0</v>
      </c>
      <c r="K1698" s="96" t="str">
        <f>"07.02.24"</f>
        <v>07.02.24</v>
      </c>
    </row>
    <row r="1699" spans="1:11" ht="11.25" customHeight="1" outlineLevel="1">
      <c r="A1699" s="88" t="s">
        <v>2797</v>
      </c>
      <c r="B1699" s="115"/>
      <c r="C1699" s="88"/>
      <c r="D1699" s="88"/>
      <c r="E1699" s="88"/>
      <c r="F1699" s="105"/>
      <c r="G1699" s="105"/>
      <c r="H1699" s="106"/>
      <c r="I1699" s="106"/>
      <c r="J1699" s="107"/>
      <c r="K1699" s="96" t="str">
        <f>"07.02.24"</f>
        <v>07.02.24</v>
      </c>
    </row>
    <row r="1700" spans="1:11" ht="11.25" customHeight="1" outlineLevel="1">
      <c r="A1700" s="89" t="n">
        <v>4111210</v>
      </c>
      <c r="B1700" s="114" t="s">
        <v>2759</v>
      </c>
      <c r="C1700" s="89" t="s">
        <v>2798</v>
      </c>
      <c r="D1700" s="89" t="s">
        <v>15</v>
      </c>
      <c r="E1700" s="89" t="s">
        <v>2799</v>
      </c>
      <c r="F1700" s="102" t="n">
        <v>30936</v>
      </c>
      <c r="G1700" s="102" t="n">
        <v>33355</v>
      </c>
      <c r="H1700" s="103" t="s">
        <v>48</v>
      </c>
      <c r="I1700" s="103">
        <f>IFERROR(VLOOKUP(A1700,#REF!,15,0),0)+IFERROR(VLOOKUP(A1700,#REF!,25,0),0)+IFERROR(VLOOKUP(A1700,#REF!,10,0),0)+IFERROR(VLOOKUP(A1700,#REF!,14,0),0)+IFERROR(VLOOKUP(A1700,#REF!,10,0),0)+IFERROR(VLOOKUP(A1700,#REF!,10,0),0)+IFERROR(VLOOKUP(A1700,#REF!,10,0),0)+IFERROR(VLOOKUP(A1700,#REF!,9,0),0)+IFERROR(VLOOKUP(A1700,#REF!,9,0),0)+IFERROR(VLOOKUP(A1700,#REF!,9,0),0)+IFERROR(VLOOKUP(A1700,#REF!,9,0),0)</f>
        <v>0</v>
      </c>
      <c r="J1700" s="104">
        <f>IFERROR(VLOOKUP(A1700,#REF!,16,0),0)+IFERROR(VLOOKUP(A1700,#REF!,26,0),0)+IFERROR(VLOOKUP(A1700,#REF!,11,0),0)+IFERROR(VLOOKUP(A1700,#REF!,23,0),0)+IFERROR(VLOOKUP(A1700,#REF!,11,0),0)+IFERROR(VLOOKUP(A1700,#REF!,11,0),0)+IFERROR(VLOOKUP(A1700,#REF!,11,0),0)</f>
        <v>0</v>
      </c>
      <c r="K1700" s="96" t="str">
        <f>"07.02.24"</f>
        <v>07.02.24</v>
      </c>
    </row>
    <row r="1701" spans="1:11" ht="11.25" customHeight="1" outlineLevel="1">
      <c r="A1701" s="89" t="n">
        <v>8095650</v>
      </c>
      <c r="B1701" s="114" t="s">
        <v>2759</v>
      </c>
      <c r="C1701" s="89" t="s">
        <v>2800</v>
      </c>
      <c r="D1701" s="89" t="s">
        <v>15</v>
      </c>
      <c r="E1701" s="89" t="s">
        <v>2801</v>
      </c>
      <c r="F1701" s="102" t="n">
        <v>32219</v>
      </c>
      <c r="G1701" s="102" t="n">
        <v>34737</v>
      </c>
      <c r="H1701" s="103" t="s">
        <v>17</v>
      </c>
      <c r="I1701" s="103">
        <f>IFERROR(VLOOKUP(A1701,#REF!,15,0),0)+IFERROR(VLOOKUP(A1701,#REF!,25,0),0)+IFERROR(VLOOKUP(A1701,#REF!,10,0),0)+IFERROR(VLOOKUP(A1701,#REF!,14,0),0)+IFERROR(VLOOKUP(A1701,#REF!,10,0),0)+IFERROR(VLOOKUP(A1701,#REF!,10,0),0)+IFERROR(VLOOKUP(A1701,#REF!,10,0),0)+IFERROR(VLOOKUP(A1701,#REF!,9,0),0)+IFERROR(VLOOKUP(A1701,#REF!,9,0),0)+IFERROR(VLOOKUP(A1701,#REF!,9,0),0)+IFERROR(VLOOKUP(A1701,#REF!,9,0),0)</f>
        <v>0</v>
      </c>
      <c r="J1701" s="104">
        <f>IFERROR(VLOOKUP(A1701,#REF!,16,0),0)+IFERROR(VLOOKUP(A1701,#REF!,26,0),0)+IFERROR(VLOOKUP(A1701,#REF!,11,0),0)+IFERROR(VLOOKUP(A1701,#REF!,23,0),0)+IFERROR(VLOOKUP(A1701,#REF!,11,0),0)+IFERROR(VLOOKUP(A1701,#REF!,11,0),0)+IFERROR(VLOOKUP(A1701,#REF!,11,0),0)</f>
        <v>0</v>
      </c>
      <c r="K1701" s="96" t="str">
        <f>"07.02.24"</f>
        <v>07.02.24</v>
      </c>
    </row>
    <row r="1702" spans="1:11" ht="11.25" customHeight="1" outlineLevel="1">
      <c r="A1702" s="89" t="n">
        <v>4111270</v>
      </c>
      <c r="B1702" s="114" t="s">
        <v>2759</v>
      </c>
      <c r="C1702" s="89" t="s">
        <v>2802</v>
      </c>
      <c r="D1702" s="89" t="s">
        <v>15</v>
      </c>
      <c r="E1702" s="89" t="s">
        <v>2803</v>
      </c>
      <c r="F1702" s="102" t="n">
        <v>48884</v>
      </c>
      <c r="G1702" s="102" t="n">
        <v>52705</v>
      </c>
      <c r="H1702" s="103" t="s">
        <v>17</v>
      </c>
      <c r="I1702" s="103">
        <f>IFERROR(VLOOKUP(A1702,#REF!,15,0),0)+IFERROR(VLOOKUP(A1702,#REF!,25,0),0)+IFERROR(VLOOKUP(A1702,#REF!,10,0),0)+IFERROR(VLOOKUP(A1702,#REF!,14,0),0)+IFERROR(VLOOKUP(A1702,#REF!,10,0),0)+IFERROR(VLOOKUP(A1702,#REF!,10,0),0)+IFERROR(VLOOKUP(A1702,#REF!,10,0),0)+IFERROR(VLOOKUP(A1702,#REF!,9,0),0)+IFERROR(VLOOKUP(A1702,#REF!,9,0),0)+IFERROR(VLOOKUP(A1702,#REF!,9,0),0)+IFERROR(VLOOKUP(A1702,#REF!,9,0),0)</f>
        <v>0</v>
      </c>
      <c r="J1702" s="104">
        <f>IFERROR(VLOOKUP(A1702,#REF!,16,0),0)+IFERROR(VLOOKUP(A1702,#REF!,26,0),0)+IFERROR(VLOOKUP(A1702,#REF!,11,0),0)+IFERROR(VLOOKUP(A1702,#REF!,23,0),0)+IFERROR(VLOOKUP(A1702,#REF!,11,0),0)+IFERROR(VLOOKUP(A1702,#REF!,11,0),0)+IFERROR(VLOOKUP(A1702,#REF!,11,0),0)</f>
        <v>0</v>
      </c>
      <c r="K1702" s="96" t="str">
        <f>"07.02.24"</f>
        <v>07.02.24</v>
      </c>
    </row>
    <row r="1703" spans="1:11" ht="11.25" customHeight="1" outlineLevel="1">
      <c r="A1703" s="89" t="n">
        <v>8095680</v>
      </c>
      <c r="B1703" s="114" t="s">
        <v>2759</v>
      </c>
      <c r="C1703" s="89" t="s">
        <v>2804</v>
      </c>
      <c r="D1703" s="89" t="s">
        <v>15</v>
      </c>
      <c r="E1703" s="89" t="s">
        <v>2805</v>
      </c>
      <c r="F1703" s="102" t="n">
        <v>49596</v>
      </c>
      <c r="G1703" s="102" t="n">
        <v>53473</v>
      </c>
      <c r="H1703" s="103" t="s">
        <v>17</v>
      </c>
      <c r="I1703" s="103">
        <f>IFERROR(VLOOKUP(A1703,#REF!,15,0),0)+IFERROR(VLOOKUP(A1703,#REF!,25,0),0)+IFERROR(VLOOKUP(A1703,#REF!,10,0),0)+IFERROR(VLOOKUP(A1703,#REF!,14,0),0)+IFERROR(VLOOKUP(A1703,#REF!,10,0),0)+IFERROR(VLOOKUP(A1703,#REF!,10,0),0)+IFERROR(VLOOKUP(A1703,#REF!,10,0),0)+IFERROR(VLOOKUP(A1703,#REF!,9,0),0)+IFERROR(VLOOKUP(A1703,#REF!,9,0),0)+IFERROR(VLOOKUP(A1703,#REF!,9,0),0)+IFERROR(VLOOKUP(A1703,#REF!,9,0),0)</f>
        <v>0</v>
      </c>
      <c r="J1703" s="104">
        <f>IFERROR(VLOOKUP(A1703,#REF!,16,0),0)+IFERROR(VLOOKUP(A1703,#REF!,26,0),0)+IFERROR(VLOOKUP(A1703,#REF!,11,0),0)+IFERROR(VLOOKUP(A1703,#REF!,23,0),0)+IFERROR(VLOOKUP(A1703,#REF!,11,0),0)+IFERROR(VLOOKUP(A1703,#REF!,11,0),0)+IFERROR(VLOOKUP(A1703,#REF!,11,0),0)</f>
        <v>0</v>
      </c>
      <c r="K1703" s="96" t="str">
        <f>"07.02.24"</f>
        <v>07.02.24</v>
      </c>
    </row>
    <row r="1704" spans="1:11" ht="11.25" customHeight="1" outlineLevel="1">
      <c r="A1704" s="89" t="n">
        <v>4111330</v>
      </c>
      <c r="B1704" s="114" t="s">
        <v>2759</v>
      </c>
      <c r="C1704" s="89" t="s">
        <v>2806</v>
      </c>
      <c r="D1704" s="89" t="s">
        <v>15</v>
      </c>
      <c r="E1704" s="89" t="s">
        <v>2807</v>
      </c>
      <c r="F1704" s="102" t="n">
        <v>72743</v>
      </c>
      <c r="G1704" s="102" t="n">
        <v>78429</v>
      </c>
      <c r="H1704" s="103" t="s">
        <v>17</v>
      </c>
      <c r="I1704" s="103">
        <f>IFERROR(VLOOKUP(A1704,#REF!,15,0),0)+IFERROR(VLOOKUP(A1704,#REF!,25,0),0)+IFERROR(VLOOKUP(A1704,#REF!,10,0),0)+IFERROR(VLOOKUP(A1704,#REF!,14,0),0)+IFERROR(VLOOKUP(A1704,#REF!,10,0),0)+IFERROR(VLOOKUP(A1704,#REF!,10,0),0)+IFERROR(VLOOKUP(A1704,#REF!,10,0),0)+IFERROR(VLOOKUP(A1704,#REF!,9,0),0)+IFERROR(VLOOKUP(A1704,#REF!,9,0),0)+IFERROR(VLOOKUP(A1704,#REF!,9,0),0)+IFERROR(VLOOKUP(A1704,#REF!,9,0),0)</f>
        <v>0</v>
      </c>
      <c r="J1704" s="104">
        <f>IFERROR(VLOOKUP(A1704,#REF!,16,0),0)+IFERROR(VLOOKUP(A1704,#REF!,26,0),0)+IFERROR(VLOOKUP(A1704,#REF!,11,0),0)+IFERROR(VLOOKUP(A1704,#REF!,23,0),0)+IFERROR(VLOOKUP(A1704,#REF!,11,0),0)+IFERROR(VLOOKUP(A1704,#REF!,11,0),0)+IFERROR(VLOOKUP(A1704,#REF!,11,0),0)</f>
        <v>0</v>
      </c>
      <c r="K1704" s="96" t="str">
        <f>"07.02.24"</f>
        <v>07.02.24</v>
      </c>
    </row>
    <row r="1705" spans="1:11" ht="11.25" customHeight="1" outlineLevel="1">
      <c r="A1705" s="89" t="n">
        <v>8095700</v>
      </c>
      <c r="B1705" s="114" t="s">
        <v>2759</v>
      </c>
      <c r="C1705" s="89" t="s">
        <v>2808</v>
      </c>
      <c r="D1705" s="89" t="s">
        <v>15</v>
      </c>
      <c r="E1705" s="89" t="s">
        <v>2809</v>
      </c>
      <c r="F1705" s="102" t="n">
        <v>74037</v>
      </c>
      <c r="G1705" s="102" t="n">
        <v>79824</v>
      </c>
      <c r="H1705" s="103" t="s">
        <v>17</v>
      </c>
      <c r="I1705" s="103">
        <f>IFERROR(VLOOKUP(A1705,#REF!,15,0),0)+IFERROR(VLOOKUP(A1705,#REF!,25,0),0)+IFERROR(VLOOKUP(A1705,#REF!,10,0),0)+IFERROR(VLOOKUP(A1705,#REF!,14,0),0)+IFERROR(VLOOKUP(A1705,#REF!,10,0),0)+IFERROR(VLOOKUP(A1705,#REF!,10,0),0)+IFERROR(VLOOKUP(A1705,#REF!,10,0),0)+IFERROR(VLOOKUP(A1705,#REF!,9,0),0)+IFERROR(VLOOKUP(A1705,#REF!,9,0),0)+IFERROR(VLOOKUP(A1705,#REF!,9,0),0)+IFERROR(VLOOKUP(A1705,#REF!,9,0),0)</f>
        <v>0</v>
      </c>
      <c r="J1705" s="104">
        <f>IFERROR(VLOOKUP(A1705,#REF!,16,0),0)+IFERROR(VLOOKUP(A1705,#REF!,26,0),0)+IFERROR(VLOOKUP(A1705,#REF!,11,0),0)+IFERROR(VLOOKUP(A1705,#REF!,23,0),0)+IFERROR(VLOOKUP(A1705,#REF!,11,0),0)+IFERROR(VLOOKUP(A1705,#REF!,11,0),0)+IFERROR(VLOOKUP(A1705,#REF!,11,0),0)</f>
        <v>0</v>
      </c>
      <c r="K1705" s="96" t="str">
        <f>"07.02.24"</f>
        <v>07.02.24</v>
      </c>
    </row>
    <row r="1706" spans="1:11" ht="11.25" customHeight="1" outlineLevel="1">
      <c r="A1706" s="90" t="s">
        <v>2810</v>
      </c>
      <c r="B1706" s="91"/>
      <c r="C1706" s="88"/>
      <c r="D1706" s="88"/>
      <c r="E1706" s="88"/>
      <c r="F1706" s="105"/>
      <c r="G1706" s="105"/>
      <c r="H1706" s="106"/>
      <c r="I1706" s="106"/>
      <c r="J1706" s="107"/>
      <c r="K1706" s="96" t="str">
        <f>"07.02.24"</f>
        <v>07.02.24</v>
      </c>
    </row>
    <row r="1707" spans="1:11" ht="11.25" customHeight="1" outlineLevel="1">
      <c r="A1707" s="89" t="n">
        <v>8105560</v>
      </c>
      <c r="B1707" s="114" t="s">
        <v>2759</v>
      </c>
      <c r="C1707" s="89" t="s">
        <v>2811</v>
      </c>
      <c r="D1707" s="89" t="s">
        <v>15</v>
      </c>
      <c r="E1707" s="89"/>
      <c r="F1707" s="102" t="n">
        <v>2958</v>
      </c>
      <c r="G1707" s="102" t="n">
        <v>3189</v>
      </c>
      <c r="H1707" s="103" t="s">
        <v>17</v>
      </c>
      <c r="I1707" s="103">
        <f>IFERROR(VLOOKUP(A1707,#REF!,15,0),0)+IFERROR(VLOOKUP(A1707,#REF!,25,0),0)+IFERROR(VLOOKUP(A1707,#REF!,10,0),0)+IFERROR(VLOOKUP(A1707,#REF!,14,0),0)+IFERROR(VLOOKUP(A1707,#REF!,10,0),0)+IFERROR(VLOOKUP(A1707,#REF!,10,0),0)+IFERROR(VLOOKUP(A1707,#REF!,10,0),0)+IFERROR(VLOOKUP(A1707,#REF!,9,0),0)+IFERROR(VLOOKUP(A1707,#REF!,9,0),0)+IFERROR(VLOOKUP(A1707,#REF!,9,0),0)+IFERROR(VLOOKUP(A1707,#REF!,9,0),0)</f>
        <v>0</v>
      </c>
      <c r="J1707" s="104">
        <f>IFERROR(VLOOKUP(A1707,#REF!,16,0),0)+IFERROR(VLOOKUP(A1707,#REF!,26,0),0)+IFERROR(VLOOKUP(A1707,#REF!,11,0),0)+IFERROR(VLOOKUP(A1707,#REF!,23,0),0)+IFERROR(VLOOKUP(A1707,#REF!,11,0),0)+IFERROR(VLOOKUP(A1707,#REF!,11,0),0)+IFERROR(VLOOKUP(A1707,#REF!,11,0),0)</f>
        <v>0</v>
      </c>
      <c r="K1707" s="96" t="str">
        <f>"07.02.24"</f>
        <v>07.02.24</v>
      </c>
    </row>
    <row r="1708" spans="1:11" ht="11.25" customHeight="1" outlineLevel="1">
      <c r="A1708" s="89" t="n">
        <v>4110060</v>
      </c>
      <c r="B1708" s="114" t="s">
        <v>2759</v>
      </c>
      <c r="C1708" s="89" t="s">
        <v>2812</v>
      </c>
      <c r="D1708" s="89" t="s">
        <v>15</v>
      </c>
      <c r="E1708" s="89"/>
      <c r="F1708" s="102" t="n">
        <v>3076</v>
      </c>
      <c r="G1708" s="102" t="n">
        <v>3317</v>
      </c>
      <c r="H1708" s="103" t="s">
        <v>17</v>
      </c>
      <c r="I1708" s="103">
        <f>IFERROR(VLOOKUP(A1708,#REF!,15,0),0)+IFERROR(VLOOKUP(A1708,#REF!,25,0),0)+IFERROR(VLOOKUP(A1708,#REF!,10,0),0)+IFERROR(VLOOKUP(A1708,#REF!,14,0),0)+IFERROR(VLOOKUP(A1708,#REF!,10,0),0)+IFERROR(VLOOKUP(A1708,#REF!,10,0),0)+IFERROR(VLOOKUP(A1708,#REF!,10,0),0)+IFERROR(VLOOKUP(A1708,#REF!,9,0),0)+IFERROR(VLOOKUP(A1708,#REF!,9,0),0)+IFERROR(VLOOKUP(A1708,#REF!,9,0),0)+IFERROR(VLOOKUP(A1708,#REF!,9,0),0)</f>
        <v>0</v>
      </c>
      <c r="J1708" s="104">
        <f>IFERROR(VLOOKUP(A1708,#REF!,16,0),0)+IFERROR(VLOOKUP(A1708,#REF!,26,0),0)+IFERROR(VLOOKUP(A1708,#REF!,11,0),0)+IFERROR(VLOOKUP(A1708,#REF!,23,0),0)+IFERROR(VLOOKUP(A1708,#REF!,11,0),0)+IFERROR(VLOOKUP(A1708,#REF!,11,0),0)+IFERROR(VLOOKUP(A1708,#REF!,11,0),0)</f>
        <v>0</v>
      </c>
      <c r="K1708" s="96" t="str">
        <f>"07.02.24"</f>
        <v>07.02.24</v>
      </c>
    </row>
    <row r="1709" spans="1:11" ht="11.25" customHeight="1" outlineLevel="1">
      <c r="A1709" s="89" t="n">
        <v>8145010</v>
      </c>
      <c r="B1709" s="114" t="s">
        <v>2759</v>
      </c>
      <c r="C1709" s="89" t="s">
        <v>2813</v>
      </c>
      <c r="D1709" s="89" t="s">
        <v>15</v>
      </c>
      <c r="E1709" s="89"/>
      <c r="F1709" s="102" t="n">
        <v>3615</v>
      </c>
      <c r="G1709" s="102" t="n">
        <v>3897</v>
      </c>
      <c r="H1709" s="103" t="s">
        <v>17</v>
      </c>
      <c r="I1709" s="103">
        <f>IFERROR(VLOOKUP(A1709,#REF!,15,0),0)+IFERROR(VLOOKUP(A1709,#REF!,25,0),0)+IFERROR(VLOOKUP(A1709,#REF!,10,0),0)+IFERROR(VLOOKUP(A1709,#REF!,14,0),0)+IFERROR(VLOOKUP(A1709,#REF!,10,0),0)+IFERROR(VLOOKUP(A1709,#REF!,10,0),0)+IFERROR(VLOOKUP(A1709,#REF!,10,0),0)+IFERROR(VLOOKUP(A1709,#REF!,9,0),0)+IFERROR(VLOOKUP(A1709,#REF!,9,0),0)+IFERROR(VLOOKUP(A1709,#REF!,9,0),0)+IFERROR(VLOOKUP(A1709,#REF!,9,0),0)</f>
        <v>0</v>
      </c>
      <c r="J1709" s="104">
        <f>IFERROR(VLOOKUP(A1709,#REF!,16,0),0)+IFERROR(VLOOKUP(A1709,#REF!,26,0),0)+IFERROR(VLOOKUP(A1709,#REF!,11,0),0)+IFERROR(VLOOKUP(A1709,#REF!,23,0),0)+IFERROR(VLOOKUP(A1709,#REF!,11,0),0)+IFERROR(VLOOKUP(A1709,#REF!,11,0),0)+IFERROR(VLOOKUP(A1709,#REF!,11,0),0)</f>
        <v>0</v>
      </c>
      <c r="K1709" s="96" t="str">
        <f>"07.02.24"</f>
        <v>07.02.24</v>
      </c>
    </row>
    <row r="1710" spans="1:11" ht="11.25" customHeight="1" outlineLevel="1">
      <c r="A1710" s="89" t="n">
        <v>8145060</v>
      </c>
      <c r="B1710" s="114" t="s">
        <v>2759</v>
      </c>
      <c r="C1710" s="89" t="s">
        <v>2814</v>
      </c>
      <c r="D1710" s="89" t="s">
        <v>15</v>
      </c>
      <c r="E1710" s="89"/>
      <c r="F1710" s="102" t="n">
        <v>10043</v>
      </c>
      <c r="G1710" s="102" t="n">
        <v>10828</v>
      </c>
      <c r="H1710" s="103" t="s">
        <v>17</v>
      </c>
      <c r="I1710" s="103">
        <f>IFERROR(VLOOKUP(A1710,#REF!,15,0),0)+IFERROR(VLOOKUP(A1710,#REF!,25,0),0)+IFERROR(VLOOKUP(A1710,#REF!,10,0),0)+IFERROR(VLOOKUP(A1710,#REF!,14,0),0)+IFERROR(VLOOKUP(A1710,#REF!,10,0),0)+IFERROR(VLOOKUP(A1710,#REF!,10,0),0)+IFERROR(VLOOKUP(A1710,#REF!,10,0),0)+IFERROR(VLOOKUP(A1710,#REF!,9,0),0)+IFERROR(VLOOKUP(A1710,#REF!,9,0),0)+IFERROR(VLOOKUP(A1710,#REF!,9,0),0)+IFERROR(VLOOKUP(A1710,#REF!,9,0),0)</f>
        <v>0</v>
      </c>
      <c r="J1710" s="104">
        <f>IFERROR(VLOOKUP(A1710,#REF!,16,0),0)+IFERROR(VLOOKUP(A1710,#REF!,26,0),0)+IFERROR(VLOOKUP(A1710,#REF!,11,0),0)+IFERROR(VLOOKUP(A1710,#REF!,23,0),0)+IFERROR(VLOOKUP(A1710,#REF!,11,0),0)+IFERROR(VLOOKUP(A1710,#REF!,11,0),0)+IFERROR(VLOOKUP(A1710,#REF!,11,0),0)</f>
        <v>0</v>
      </c>
      <c r="K1710" s="96" t="str">
        <f>"07.02.24"</f>
        <v>07.02.24</v>
      </c>
    </row>
    <row r="1711" spans="1:11" ht="11.25" customHeight="1" outlineLevel="1">
      <c r="A1711" s="89" t="n">
        <v>8145070</v>
      </c>
      <c r="B1711" s="114" t="s">
        <v>2759</v>
      </c>
      <c r="C1711" s="89" t="s">
        <v>2815</v>
      </c>
      <c r="D1711" s="89" t="s">
        <v>15</v>
      </c>
      <c r="E1711" s="89"/>
      <c r="F1711" s="102" t="n">
        <v>10771</v>
      </c>
      <c r="G1711" s="102" t="n">
        <v>11613</v>
      </c>
      <c r="H1711" s="103" t="s">
        <v>17</v>
      </c>
      <c r="I1711" s="103">
        <f>IFERROR(VLOOKUP(A1711,#REF!,15,0),0)+IFERROR(VLOOKUP(A1711,#REF!,25,0),0)+IFERROR(VLOOKUP(A1711,#REF!,10,0),0)+IFERROR(VLOOKUP(A1711,#REF!,14,0),0)+IFERROR(VLOOKUP(A1711,#REF!,10,0),0)+IFERROR(VLOOKUP(A1711,#REF!,10,0),0)+IFERROR(VLOOKUP(A1711,#REF!,10,0),0)+IFERROR(VLOOKUP(A1711,#REF!,9,0),0)+IFERROR(VLOOKUP(A1711,#REF!,9,0),0)+IFERROR(VLOOKUP(A1711,#REF!,9,0),0)+IFERROR(VLOOKUP(A1711,#REF!,9,0),0)</f>
        <v>0</v>
      </c>
      <c r="J1711" s="104">
        <f>IFERROR(VLOOKUP(A1711,#REF!,16,0),0)+IFERROR(VLOOKUP(A1711,#REF!,26,0),0)+IFERROR(VLOOKUP(A1711,#REF!,11,0),0)+IFERROR(VLOOKUP(A1711,#REF!,23,0),0)+IFERROR(VLOOKUP(A1711,#REF!,11,0),0)+IFERROR(VLOOKUP(A1711,#REF!,11,0),0)+IFERROR(VLOOKUP(A1711,#REF!,11,0),0)</f>
        <v>0</v>
      </c>
      <c r="K1711" s="96" t="str">
        <f>"07.02.24"</f>
        <v>07.02.24</v>
      </c>
    </row>
    <row r="1712" spans="1:11" ht="11.25" customHeight="1" outlineLevel="1">
      <c r="A1712" s="90" t="s">
        <v>2816</v>
      </c>
      <c r="B1712" s="91"/>
      <c r="C1712" s="91"/>
      <c r="D1712" s="91"/>
      <c r="E1712" s="91"/>
      <c r="F1712" s="91"/>
      <c r="G1712" s="91"/>
      <c r="H1712" s="91"/>
      <c r="I1712" s="91"/>
      <c r="J1712" s="91"/>
      <c r="K1712" s="96" t="str">
        <f>"07.02.24"</f>
        <v>07.02.24</v>
      </c>
    </row>
    <row r="1713" spans="1:11" ht="11.25" customHeight="1" outlineLevel="1">
      <c r="A1713" s="89" t="n">
        <v>8145080</v>
      </c>
      <c r="B1713" s="114" t="s">
        <v>2759</v>
      </c>
      <c r="C1713" s="89" t="s">
        <v>2817</v>
      </c>
      <c r="D1713" s="89" t="s">
        <v>15</v>
      </c>
      <c r="E1713" s="89"/>
      <c r="F1713" s="102" t="n">
        <v>3098</v>
      </c>
      <c r="G1713" s="102" t="n">
        <v>3340</v>
      </c>
      <c r="H1713" s="103" t="s">
        <v>17</v>
      </c>
      <c r="I1713" s="103">
        <f>IFERROR(VLOOKUP(A1713,#REF!,15,0),0)+IFERROR(VLOOKUP(A1713,#REF!,25,0),0)+IFERROR(VLOOKUP(A1713,#REF!,10,0),0)+IFERROR(VLOOKUP(A1713,#REF!,14,0),0)+IFERROR(VLOOKUP(A1713,#REF!,10,0),0)+IFERROR(VLOOKUP(A1713,#REF!,10,0),0)+IFERROR(VLOOKUP(A1713,#REF!,10,0),0)+IFERROR(VLOOKUP(A1713,#REF!,9,0),0)+IFERROR(VLOOKUP(A1713,#REF!,9,0),0)+IFERROR(VLOOKUP(A1713,#REF!,9,0),0)+IFERROR(VLOOKUP(A1713,#REF!,9,0),0)</f>
        <v>0</v>
      </c>
      <c r="J1713" s="104">
        <f>IFERROR(VLOOKUP(A1713,#REF!,16,0),0)+IFERROR(VLOOKUP(A1713,#REF!,26,0),0)+IFERROR(VLOOKUP(A1713,#REF!,11,0),0)+IFERROR(VLOOKUP(A1713,#REF!,23,0),0)+IFERROR(VLOOKUP(A1713,#REF!,11,0),0)+IFERROR(VLOOKUP(A1713,#REF!,11,0),0)+IFERROR(VLOOKUP(A1713,#REF!,11,0),0)</f>
        <v>0</v>
      </c>
      <c r="K1713" s="96" t="str">
        <f>"07.02.24"</f>
        <v>07.02.24</v>
      </c>
    </row>
    <row r="1714" spans="1:11" ht="11.25" customHeight="1" outlineLevel="1">
      <c r="A1714" s="89" t="n">
        <v>4110280</v>
      </c>
      <c r="B1714" s="114" t="s">
        <v>2759</v>
      </c>
      <c r="C1714" s="89" t="s">
        <v>2818</v>
      </c>
      <c r="D1714" s="89" t="s">
        <v>15</v>
      </c>
      <c r="E1714" s="89"/>
      <c r="F1714" s="102" t="n">
        <v>3208</v>
      </c>
      <c r="G1714" s="102" t="n">
        <v>3459</v>
      </c>
      <c r="H1714" s="103" t="s">
        <v>17</v>
      </c>
      <c r="I1714" s="103">
        <f>IFERROR(VLOOKUP(A1714,#REF!,15,0),0)+IFERROR(VLOOKUP(A1714,#REF!,25,0),0)+IFERROR(VLOOKUP(A1714,#REF!,10,0),0)+IFERROR(VLOOKUP(A1714,#REF!,14,0),0)+IFERROR(VLOOKUP(A1714,#REF!,10,0),0)+IFERROR(VLOOKUP(A1714,#REF!,10,0),0)+IFERROR(VLOOKUP(A1714,#REF!,10,0),0)+IFERROR(VLOOKUP(A1714,#REF!,9,0),0)+IFERROR(VLOOKUP(A1714,#REF!,9,0),0)+IFERROR(VLOOKUP(A1714,#REF!,9,0),0)+IFERROR(VLOOKUP(A1714,#REF!,9,0),0)</f>
        <v>0</v>
      </c>
      <c r="J1714" s="104">
        <f>IFERROR(VLOOKUP(A1714,#REF!,16,0),0)+IFERROR(VLOOKUP(A1714,#REF!,26,0),0)+IFERROR(VLOOKUP(A1714,#REF!,11,0),0)+IFERROR(VLOOKUP(A1714,#REF!,23,0),0)+IFERROR(VLOOKUP(A1714,#REF!,11,0),0)+IFERROR(VLOOKUP(A1714,#REF!,11,0),0)+IFERROR(VLOOKUP(A1714,#REF!,11,0),0)</f>
        <v>0</v>
      </c>
      <c r="K1714" s="96" t="str">
        <f>"07.02.24"</f>
        <v>07.02.24</v>
      </c>
    </row>
    <row r="1715" spans="1:11" ht="11.25" customHeight="1" outlineLevel="1">
      <c r="A1715" s="89" t="n">
        <v>8145020</v>
      </c>
      <c r="B1715" s="114" t="s">
        <v>2759</v>
      </c>
      <c r="C1715" s="89" t="s">
        <v>2819</v>
      </c>
      <c r="D1715" s="89" t="s">
        <v>15</v>
      </c>
      <c r="E1715" s="89"/>
      <c r="F1715" s="102" t="n">
        <v>3785</v>
      </c>
      <c r="G1715" s="102" t="n">
        <v>4081</v>
      </c>
      <c r="H1715" s="103" t="s">
        <v>17</v>
      </c>
      <c r="I1715" s="103">
        <f>IFERROR(VLOOKUP(A1715,#REF!,15,0),0)+IFERROR(VLOOKUP(A1715,#REF!,25,0),0)+IFERROR(VLOOKUP(A1715,#REF!,10,0),0)+IFERROR(VLOOKUP(A1715,#REF!,14,0),0)+IFERROR(VLOOKUP(A1715,#REF!,10,0),0)+IFERROR(VLOOKUP(A1715,#REF!,10,0),0)+IFERROR(VLOOKUP(A1715,#REF!,10,0),0)+IFERROR(VLOOKUP(A1715,#REF!,9,0),0)+IFERROR(VLOOKUP(A1715,#REF!,9,0),0)+IFERROR(VLOOKUP(A1715,#REF!,9,0),0)+IFERROR(VLOOKUP(A1715,#REF!,9,0),0)</f>
        <v>0</v>
      </c>
      <c r="J1715" s="104">
        <f>IFERROR(VLOOKUP(A1715,#REF!,16,0),0)+IFERROR(VLOOKUP(A1715,#REF!,26,0),0)+IFERROR(VLOOKUP(A1715,#REF!,11,0),0)+IFERROR(VLOOKUP(A1715,#REF!,23,0),0)+IFERROR(VLOOKUP(A1715,#REF!,11,0),0)+IFERROR(VLOOKUP(A1715,#REF!,11,0),0)+IFERROR(VLOOKUP(A1715,#REF!,11,0),0)</f>
        <v>0</v>
      </c>
      <c r="K1715" s="96" t="str">
        <f>"07.02.24"</f>
        <v>07.02.24</v>
      </c>
    </row>
    <row r="1716" spans="1:11" ht="11.25" customHeight="1" outlineLevel="1">
      <c r="A1716" s="89" t="n">
        <v>4110490</v>
      </c>
      <c r="B1716" s="114" t="s">
        <v>2759</v>
      </c>
      <c r="C1716" s="89" t="s">
        <v>2820</v>
      </c>
      <c r="D1716" s="89" t="s">
        <v>15</v>
      </c>
      <c r="E1716" s="89"/>
      <c r="F1716" s="102" t="n">
        <v>5409</v>
      </c>
      <c r="G1716" s="102" t="n">
        <v>5832</v>
      </c>
      <c r="H1716" s="103" t="s">
        <v>17</v>
      </c>
      <c r="I1716" s="103">
        <f>IFERROR(VLOOKUP(A1716,#REF!,15,0),0)+IFERROR(VLOOKUP(A1716,#REF!,25,0),0)+IFERROR(VLOOKUP(A1716,#REF!,10,0),0)+IFERROR(VLOOKUP(A1716,#REF!,14,0),0)+IFERROR(VLOOKUP(A1716,#REF!,10,0),0)+IFERROR(VLOOKUP(A1716,#REF!,10,0),0)+IFERROR(VLOOKUP(A1716,#REF!,10,0),0)+IFERROR(VLOOKUP(A1716,#REF!,9,0),0)+IFERROR(VLOOKUP(A1716,#REF!,9,0),0)+IFERROR(VLOOKUP(A1716,#REF!,9,0),0)+IFERROR(VLOOKUP(A1716,#REF!,9,0),0)</f>
        <v>0</v>
      </c>
      <c r="J1716" s="104">
        <f>IFERROR(VLOOKUP(A1716,#REF!,16,0),0)+IFERROR(VLOOKUP(A1716,#REF!,26,0),0)+IFERROR(VLOOKUP(A1716,#REF!,11,0),0)+IFERROR(VLOOKUP(A1716,#REF!,23,0),0)+IFERROR(VLOOKUP(A1716,#REF!,11,0),0)+IFERROR(VLOOKUP(A1716,#REF!,11,0),0)+IFERROR(VLOOKUP(A1716,#REF!,11,0),0)</f>
        <v>0</v>
      </c>
      <c r="K1716" s="96" t="str">
        <f>"07.02.24"</f>
        <v>07.02.24</v>
      </c>
    </row>
    <row r="1717" spans="1:11" ht="11.25" customHeight="1" outlineLevel="1">
      <c r="A1717" s="89" t="n">
        <v>4110540</v>
      </c>
      <c r="B1717" s="114" t="s">
        <v>2759</v>
      </c>
      <c r="C1717" s="89" t="s">
        <v>2821</v>
      </c>
      <c r="D1717" s="89" t="s">
        <v>15</v>
      </c>
      <c r="E1717" s="89"/>
      <c r="F1717" s="102" t="n">
        <v>6607</v>
      </c>
      <c r="G1717" s="102" t="n">
        <v>7123</v>
      </c>
      <c r="H1717" s="103" t="s">
        <v>17</v>
      </c>
      <c r="I1717" s="103">
        <f>IFERROR(VLOOKUP(A1717,#REF!,15,0),0)+IFERROR(VLOOKUP(A1717,#REF!,25,0),0)+IFERROR(VLOOKUP(A1717,#REF!,10,0),0)+IFERROR(VLOOKUP(A1717,#REF!,14,0),0)+IFERROR(VLOOKUP(A1717,#REF!,10,0),0)+IFERROR(VLOOKUP(A1717,#REF!,10,0),0)+IFERROR(VLOOKUP(A1717,#REF!,10,0),0)+IFERROR(VLOOKUP(A1717,#REF!,9,0),0)+IFERROR(VLOOKUP(A1717,#REF!,9,0),0)+IFERROR(VLOOKUP(A1717,#REF!,9,0),0)+IFERROR(VLOOKUP(A1717,#REF!,9,0),0)</f>
        <v>0</v>
      </c>
      <c r="J1717" s="104">
        <f>IFERROR(VLOOKUP(A1717,#REF!,16,0),0)+IFERROR(VLOOKUP(A1717,#REF!,26,0),0)+IFERROR(VLOOKUP(A1717,#REF!,11,0),0)+IFERROR(VLOOKUP(A1717,#REF!,23,0),0)+IFERROR(VLOOKUP(A1717,#REF!,11,0),0)+IFERROR(VLOOKUP(A1717,#REF!,11,0),0)+IFERROR(VLOOKUP(A1717,#REF!,11,0),0)</f>
        <v>0</v>
      </c>
      <c r="K1717" s="96" t="str">
        <f>"07.02.24"</f>
        <v>07.02.24</v>
      </c>
    </row>
    <row r="1718" spans="1:11" ht="11.25" customHeight="1" outlineLevel="1">
      <c r="A1718" s="89" t="n">
        <v>4110770</v>
      </c>
      <c r="B1718" s="114" t="s">
        <v>2759</v>
      </c>
      <c r="C1718" s="89" t="s">
        <v>2822</v>
      </c>
      <c r="D1718" s="89" t="s">
        <v>15</v>
      </c>
      <c r="E1718" s="89"/>
      <c r="F1718" s="102" t="n">
        <v>10170</v>
      </c>
      <c r="G1718" s="102" t="n">
        <v>10965</v>
      </c>
      <c r="H1718" s="103" t="s">
        <v>17</v>
      </c>
      <c r="I1718" s="103">
        <f>IFERROR(VLOOKUP(A1718,#REF!,15,0),0)+IFERROR(VLOOKUP(A1718,#REF!,25,0),0)+IFERROR(VLOOKUP(A1718,#REF!,10,0),0)+IFERROR(VLOOKUP(A1718,#REF!,14,0),0)+IFERROR(VLOOKUP(A1718,#REF!,10,0),0)+IFERROR(VLOOKUP(A1718,#REF!,10,0),0)+IFERROR(VLOOKUP(A1718,#REF!,10,0),0)+IFERROR(VLOOKUP(A1718,#REF!,9,0),0)+IFERROR(VLOOKUP(A1718,#REF!,9,0),0)+IFERROR(VLOOKUP(A1718,#REF!,9,0),0)+IFERROR(VLOOKUP(A1718,#REF!,9,0),0)</f>
        <v>0</v>
      </c>
      <c r="J1718" s="104">
        <f>IFERROR(VLOOKUP(A1718,#REF!,16,0),0)+IFERROR(VLOOKUP(A1718,#REF!,26,0),0)+IFERROR(VLOOKUP(A1718,#REF!,11,0),0)+IFERROR(VLOOKUP(A1718,#REF!,23,0),0)+IFERROR(VLOOKUP(A1718,#REF!,11,0),0)+IFERROR(VLOOKUP(A1718,#REF!,11,0),0)+IFERROR(VLOOKUP(A1718,#REF!,11,0),0)</f>
        <v>0</v>
      </c>
      <c r="K1718" s="96" t="str">
        <f>"07.02.24"</f>
        <v>07.02.24</v>
      </c>
    </row>
    <row r="1719" spans="1:11" ht="11.25" customHeight="1" outlineLevel="1">
      <c r="A1719" s="89" t="n">
        <v>4110820</v>
      </c>
      <c r="B1719" s="114" t="s">
        <v>2759</v>
      </c>
      <c r="C1719" s="89" t="s">
        <v>2823</v>
      </c>
      <c r="D1719" s="89" t="s">
        <v>15</v>
      </c>
      <c r="E1719" s="89"/>
      <c r="F1719" s="102" t="n">
        <v>11125</v>
      </c>
      <c r="G1719" s="102" t="n">
        <v>11994</v>
      </c>
      <c r="H1719" s="103" t="s">
        <v>17</v>
      </c>
      <c r="I1719" s="103">
        <f>IFERROR(VLOOKUP(A1719,#REF!,15,0),0)+IFERROR(VLOOKUP(A1719,#REF!,25,0),0)+IFERROR(VLOOKUP(A1719,#REF!,10,0),0)+IFERROR(VLOOKUP(A1719,#REF!,14,0),0)+IFERROR(VLOOKUP(A1719,#REF!,10,0),0)+IFERROR(VLOOKUP(A1719,#REF!,10,0),0)+IFERROR(VLOOKUP(A1719,#REF!,10,0),0)+IFERROR(VLOOKUP(A1719,#REF!,9,0),0)+IFERROR(VLOOKUP(A1719,#REF!,9,0),0)+IFERROR(VLOOKUP(A1719,#REF!,9,0),0)+IFERROR(VLOOKUP(A1719,#REF!,9,0),0)</f>
        <v>0</v>
      </c>
      <c r="J1719" s="104">
        <f>IFERROR(VLOOKUP(A1719,#REF!,16,0),0)+IFERROR(VLOOKUP(A1719,#REF!,26,0),0)+IFERROR(VLOOKUP(A1719,#REF!,11,0),0)+IFERROR(VLOOKUP(A1719,#REF!,23,0),0)+IFERROR(VLOOKUP(A1719,#REF!,11,0),0)+IFERROR(VLOOKUP(A1719,#REF!,11,0),0)+IFERROR(VLOOKUP(A1719,#REF!,11,0),0)</f>
        <v>0</v>
      </c>
      <c r="K1719" s="96" t="str">
        <f>"07.02.24"</f>
        <v>07.02.24</v>
      </c>
    </row>
    <row r="1720" spans="1:11" ht="11.25" customHeight="1" outlineLevel="1">
      <c r="A1720" s="90" t="s">
        <v>2824</v>
      </c>
      <c r="B1720" s="91"/>
      <c r="C1720" s="91"/>
      <c r="D1720" s="91"/>
      <c r="E1720" s="91"/>
      <c r="F1720" s="91"/>
      <c r="G1720" s="91"/>
      <c r="H1720" s="91"/>
      <c r="I1720" s="91"/>
      <c r="J1720" s="91"/>
      <c r="K1720" s="96" t="str">
        <f>"07.02.24"</f>
        <v>07.02.24</v>
      </c>
    </row>
    <row r="1721" spans="1:11" ht="11.25" customHeight="1" outlineLevel="1">
      <c r="A1721" s="89" t="n">
        <v>8145090</v>
      </c>
      <c r="B1721" s="114" t="s">
        <v>2759</v>
      </c>
      <c r="C1721" s="89" t="s">
        <v>2825</v>
      </c>
      <c r="D1721" s="89" t="s">
        <v>15</v>
      </c>
      <c r="E1721" s="89"/>
      <c r="F1721" s="102" t="n">
        <v>22263</v>
      </c>
      <c r="G1721" s="102" t="n">
        <v>24004</v>
      </c>
      <c r="H1721" s="103" t="s">
        <v>17</v>
      </c>
      <c r="I1721" s="103">
        <f>IFERROR(VLOOKUP(A1721,#REF!,15,0),0)+IFERROR(VLOOKUP(A1721,#REF!,25,0),0)+IFERROR(VLOOKUP(A1721,#REF!,10,0),0)+IFERROR(VLOOKUP(A1721,#REF!,14,0),0)+IFERROR(VLOOKUP(A1721,#REF!,10,0),0)+IFERROR(VLOOKUP(A1721,#REF!,10,0),0)+IFERROR(VLOOKUP(A1721,#REF!,10,0),0)+IFERROR(VLOOKUP(A1721,#REF!,9,0),0)+IFERROR(VLOOKUP(A1721,#REF!,9,0),0)+IFERROR(VLOOKUP(A1721,#REF!,9,0),0)+IFERROR(VLOOKUP(A1721,#REF!,9,0),0)</f>
        <v>0</v>
      </c>
      <c r="J1721" s="104">
        <f>IFERROR(VLOOKUP(A1721,#REF!,16,0),0)+IFERROR(VLOOKUP(A1721,#REF!,26,0),0)+IFERROR(VLOOKUP(A1721,#REF!,11,0),0)+IFERROR(VLOOKUP(A1721,#REF!,23,0),0)+IFERROR(VLOOKUP(A1721,#REF!,11,0),0)+IFERROR(VLOOKUP(A1721,#REF!,11,0),0)+IFERROR(VLOOKUP(A1721,#REF!,11,0),0)</f>
        <v>0</v>
      </c>
      <c r="K1721" s="96" t="str">
        <f>"07.02.24"</f>
        <v>07.02.24</v>
      </c>
    </row>
    <row r="1722" spans="1:11" ht="11.25" customHeight="1" outlineLevel="1">
      <c r="A1722" s="90" t="s">
        <v>2826</v>
      </c>
      <c r="B1722" s="91"/>
      <c r="C1722" s="91"/>
      <c r="D1722" s="91"/>
      <c r="E1722" s="91"/>
      <c r="F1722" s="91"/>
      <c r="G1722" s="91"/>
      <c r="H1722" s="91"/>
      <c r="I1722" s="91"/>
      <c r="J1722" s="91"/>
      <c r="K1722" s="96" t="str">
        <f>"07.02.24"</f>
        <v>07.02.24</v>
      </c>
    </row>
    <row r="1723" spans="1:11" ht="11.25" customHeight="1" outlineLevel="1">
      <c r="A1723" s="89" t="n">
        <v>81450100</v>
      </c>
      <c r="B1723" s="114" t="s">
        <v>2759</v>
      </c>
      <c r="C1723" s="89" t="s">
        <v>2827</v>
      </c>
      <c r="D1723" s="89" t="s">
        <v>15</v>
      </c>
      <c r="E1723" s="89"/>
      <c r="F1723" s="102" t="n">
        <v>2114</v>
      </c>
      <c r="G1723" s="102" t="n">
        <v>2279</v>
      </c>
      <c r="H1723" s="103" t="s">
        <v>17</v>
      </c>
      <c r="I1723" s="103">
        <f>IFERROR(VLOOKUP(A1723,#REF!,15,0),0)+IFERROR(VLOOKUP(A1723,#REF!,25,0),0)+IFERROR(VLOOKUP(A1723,#REF!,10,0),0)+IFERROR(VLOOKUP(A1723,#REF!,14,0),0)+IFERROR(VLOOKUP(A1723,#REF!,10,0),0)+IFERROR(VLOOKUP(A1723,#REF!,10,0),0)+IFERROR(VLOOKUP(A1723,#REF!,10,0),0)+IFERROR(VLOOKUP(A1723,#REF!,9,0),0)+IFERROR(VLOOKUP(A1723,#REF!,9,0),0)+IFERROR(VLOOKUP(A1723,#REF!,9,0),0)+IFERROR(VLOOKUP(A1723,#REF!,9,0),0)</f>
        <v>0</v>
      </c>
      <c r="J1723" s="104">
        <f>IFERROR(VLOOKUP(A1723,#REF!,16,0),0)+IFERROR(VLOOKUP(A1723,#REF!,26,0),0)+IFERROR(VLOOKUP(A1723,#REF!,11,0),0)+IFERROR(VLOOKUP(A1723,#REF!,23,0),0)+IFERROR(VLOOKUP(A1723,#REF!,11,0),0)+IFERROR(VLOOKUP(A1723,#REF!,11,0),0)+IFERROR(VLOOKUP(A1723,#REF!,11,0),0)</f>
        <v>0</v>
      </c>
      <c r="K1723" s="96" t="str">
        <f>"07.02.24"</f>
        <v>07.02.24</v>
      </c>
    </row>
    <row r="1724" spans="1:11" ht="11.25" customHeight="1" outlineLevel="1">
      <c r="A1724" s="89" t="n">
        <v>81450110</v>
      </c>
      <c r="B1724" s="114" t="s">
        <v>2759</v>
      </c>
      <c r="C1724" s="89" t="s">
        <v>2828</v>
      </c>
      <c r="D1724" s="89" t="s">
        <v>15</v>
      </c>
      <c r="E1724" s="89"/>
      <c r="F1724" s="102" t="n">
        <v>3102</v>
      </c>
      <c r="G1724" s="102" t="n">
        <v>3344</v>
      </c>
      <c r="H1724" s="103" t="s">
        <v>17</v>
      </c>
      <c r="I1724" s="103">
        <f>IFERROR(VLOOKUP(A1724,#REF!,15,0),0)+IFERROR(VLOOKUP(A1724,#REF!,25,0),0)+IFERROR(VLOOKUP(A1724,#REF!,10,0),0)+IFERROR(VLOOKUP(A1724,#REF!,14,0),0)+IFERROR(VLOOKUP(A1724,#REF!,10,0),0)+IFERROR(VLOOKUP(A1724,#REF!,10,0),0)+IFERROR(VLOOKUP(A1724,#REF!,10,0),0)+IFERROR(VLOOKUP(A1724,#REF!,9,0),0)+IFERROR(VLOOKUP(A1724,#REF!,9,0),0)+IFERROR(VLOOKUP(A1724,#REF!,9,0),0)+IFERROR(VLOOKUP(A1724,#REF!,9,0),0)</f>
        <v>0</v>
      </c>
      <c r="J1724" s="104">
        <f>IFERROR(VLOOKUP(A1724,#REF!,16,0),0)+IFERROR(VLOOKUP(A1724,#REF!,26,0),0)+IFERROR(VLOOKUP(A1724,#REF!,11,0),0)+IFERROR(VLOOKUP(A1724,#REF!,23,0),0)+IFERROR(VLOOKUP(A1724,#REF!,11,0),0)+IFERROR(VLOOKUP(A1724,#REF!,11,0),0)+IFERROR(VLOOKUP(A1724,#REF!,11,0),0)</f>
        <v>0</v>
      </c>
      <c r="K1724" s="96" t="str">
        <f>"07.02.24"</f>
        <v>07.02.24</v>
      </c>
    </row>
    <row r="1725" spans="1:11" ht="11.25" customHeight="1" outlineLevel="1">
      <c r="A1725" s="89" t="n">
        <v>81450120</v>
      </c>
      <c r="B1725" s="114" t="s">
        <v>2759</v>
      </c>
      <c r="C1725" s="89" t="s">
        <v>2829</v>
      </c>
      <c r="D1725" s="89" t="s">
        <v>15</v>
      </c>
      <c r="E1725" s="89"/>
      <c r="F1725" s="102" t="n">
        <v>3357</v>
      </c>
      <c r="G1725" s="102" t="n">
        <v>3619</v>
      </c>
      <c r="H1725" s="103" t="s">
        <v>17</v>
      </c>
      <c r="I1725" s="103">
        <f>IFERROR(VLOOKUP(A1725,#REF!,15,0),0)+IFERROR(VLOOKUP(A1725,#REF!,25,0),0)+IFERROR(VLOOKUP(A1725,#REF!,10,0),0)+IFERROR(VLOOKUP(A1725,#REF!,14,0),0)+IFERROR(VLOOKUP(A1725,#REF!,10,0),0)+IFERROR(VLOOKUP(A1725,#REF!,10,0),0)+IFERROR(VLOOKUP(A1725,#REF!,10,0),0)+IFERROR(VLOOKUP(A1725,#REF!,9,0),0)+IFERROR(VLOOKUP(A1725,#REF!,9,0),0)+IFERROR(VLOOKUP(A1725,#REF!,9,0),0)+IFERROR(VLOOKUP(A1725,#REF!,9,0),0)</f>
        <v>0</v>
      </c>
      <c r="J1725" s="104">
        <f>IFERROR(VLOOKUP(A1725,#REF!,16,0),0)+IFERROR(VLOOKUP(A1725,#REF!,26,0),0)+IFERROR(VLOOKUP(A1725,#REF!,11,0),0)+IFERROR(VLOOKUP(A1725,#REF!,23,0),0)+IFERROR(VLOOKUP(A1725,#REF!,11,0),0)+IFERROR(VLOOKUP(A1725,#REF!,11,0),0)+IFERROR(VLOOKUP(A1725,#REF!,11,0),0)</f>
        <v>0</v>
      </c>
      <c r="K1725" s="96" t="str">
        <f>"07.02.24"</f>
        <v>07.02.24</v>
      </c>
    </row>
    <row r="1726" spans="1:11" ht="11.25" customHeight="1" outlineLevel="1">
      <c r="A1726" s="89" t="n">
        <v>81450130</v>
      </c>
      <c r="B1726" s="114" t="s">
        <v>2759</v>
      </c>
      <c r="C1726" s="89" t="s">
        <v>2830</v>
      </c>
      <c r="D1726" s="89" t="s">
        <v>15</v>
      </c>
      <c r="E1726" s="89"/>
      <c r="F1726" s="102" t="n">
        <v>5198</v>
      </c>
      <c r="G1726" s="102" t="n">
        <v>5604</v>
      </c>
      <c r="H1726" s="103" t="s">
        <v>17</v>
      </c>
      <c r="I1726" s="103">
        <f>IFERROR(VLOOKUP(A1726,#REF!,15,0),0)+IFERROR(VLOOKUP(A1726,#REF!,25,0),0)+IFERROR(VLOOKUP(A1726,#REF!,10,0),0)+IFERROR(VLOOKUP(A1726,#REF!,14,0),0)+IFERROR(VLOOKUP(A1726,#REF!,10,0),0)+IFERROR(VLOOKUP(A1726,#REF!,10,0),0)+IFERROR(VLOOKUP(A1726,#REF!,10,0),0)+IFERROR(VLOOKUP(A1726,#REF!,9,0),0)+IFERROR(VLOOKUP(A1726,#REF!,9,0),0)+IFERROR(VLOOKUP(A1726,#REF!,9,0),0)+IFERROR(VLOOKUP(A1726,#REF!,9,0),0)</f>
        <v>0</v>
      </c>
      <c r="J1726" s="104">
        <f>IFERROR(VLOOKUP(A1726,#REF!,16,0),0)+IFERROR(VLOOKUP(A1726,#REF!,26,0),0)+IFERROR(VLOOKUP(A1726,#REF!,11,0),0)+IFERROR(VLOOKUP(A1726,#REF!,23,0),0)+IFERROR(VLOOKUP(A1726,#REF!,11,0),0)+IFERROR(VLOOKUP(A1726,#REF!,11,0),0)+IFERROR(VLOOKUP(A1726,#REF!,11,0),0)</f>
        <v>0</v>
      </c>
      <c r="K1726" s="96" t="str">
        <f>"07.02.24"</f>
        <v>07.02.24</v>
      </c>
    </row>
    <row r="1727" spans="1:11" ht="11.25" customHeight="1" outlineLevel="1">
      <c r="A1727" s="90" t="s">
        <v>2831</v>
      </c>
      <c r="B1727" s="91"/>
      <c r="C1727" s="91"/>
      <c r="D1727" s="91"/>
      <c r="E1727" s="91"/>
      <c r="F1727" s="91"/>
      <c r="G1727" s="91"/>
      <c r="H1727" s="91"/>
      <c r="I1727" s="91"/>
      <c r="J1727" s="91"/>
      <c r="K1727" s="96" t="str">
        <f>"07.02.24"</f>
        <v>07.02.24</v>
      </c>
    </row>
    <row r="1728" spans="1:11" ht="11.25" customHeight="1" outlineLevel="1">
      <c r="A1728" s="89" t="n">
        <v>81450160</v>
      </c>
      <c r="B1728" s="114" t="s">
        <v>2759</v>
      </c>
      <c r="C1728" s="89" t="s">
        <v>2832</v>
      </c>
      <c r="D1728" s="89" t="s">
        <v>15</v>
      </c>
      <c r="E1728" s="89"/>
      <c r="F1728" s="102" t="n">
        <v>4162</v>
      </c>
      <c r="G1728" s="102" t="n">
        <v>4488</v>
      </c>
      <c r="H1728" s="103" t="s">
        <v>17</v>
      </c>
      <c r="I1728" s="103">
        <f>IFERROR(VLOOKUP(A1728,#REF!,15,0),0)+IFERROR(VLOOKUP(A1728,#REF!,25,0),0)+IFERROR(VLOOKUP(A1728,#REF!,10,0),0)+IFERROR(VLOOKUP(A1728,#REF!,14,0),0)+IFERROR(VLOOKUP(A1728,#REF!,10,0),0)+IFERROR(VLOOKUP(A1728,#REF!,10,0),0)+IFERROR(VLOOKUP(A1728,#REF!,10,0),0)+IFERROR(VLOOKUP(A1728,#REF!,9,0),0)+IFERROR(VLOOKUP(A1728,#REF!,9,0),0)+IFERROR(VLOOKUP(A1728,#REF!,9,0),0)+IFERROR(VLOOKUP(A1728,#REF!,9,0),0)</f>
        <v>0</v>
      </c>
      <c r="J1728" s="104">
        <f>IFERROR(VLOOKUP(A1728,#REF!,16,0),0)+IFERROR(VLOOKUP(A1728,#REF!,26,0),0)+IFERROR(VLOOKUP(A1728,#REF!,11,0),0)+IFERROR(VLOOKUP(A1728,#REF!,23,0),0)+IFERROR(VLOOKUP(A1728,#REF!,11,0),0)+IFERROR(VLOOKUP(A1728,#REF!,11,0),0)+IFERROR(VLOOKUP(A1728,#REF!,11,0),0)</f>
        <v>0</v>
      </c>
      <c r="K1728" s="96" t="str">
        <f>"07.02.24"</f>
        <v>07.02.24</v>
      </c>
    </row>
    <row r="1729" spans="1:11" ht="11.25" customHeight="1" outlineLevel="1">
      <c r="A1729" s="89" t="n">
        <v>81450170</v>
      </c>
      <c r="B1729" s="114" t="s">
        <v>2759</v>
      </c>
      <c r="C1729" s="89" t="s">
        <v>2833</v>
      </c>
      <c r="D1729" s="89" t="s">
        <v>15</v>
      </c>
      <c r="E1729" s="89"/>
      <c r="F1729" s="102" t="n">
        <v>7546</v>
      </c>
      <c r="G1729" s="102" t="n">
        <v>8135</v>
      </c>
      <c r="H1729" s="103" t="s">
        <v>17</v>
      </c>
      <c r="I1729" s="103">
        <f>IFERROR(VLOOKUP(A1729,#REF!,15,0),0)+IFERROR(VLOOKUP(A1729,#REF!,25,0),0)+IFERROR(VLOOKUP(A1729,#REF!,10,0),0)+IFERROR(VLOOKUP(A1729,#REF!,14,0),0)+IFERROR(VLOOKUP(A1729,#REF!,10,0),0)+IFERROR(VLOOKUP(A1729,#REF!,10,0),0)+IFERROR(VLOOKUP(A1729,#REF!,10,0),0)+IFERROR(VLOOKUP(A1729,#REF!,9,0),0)+IFERROR(VLOOKUP(A1729,#REF!,9,0),0)+IFERROR(VLOOKUP(A1729,#REF!,9,0),0)+IFERROR(VLOOKUP(A1729,#REF!,9,0),0)</f>
        <v>0</v>
      </c>
      <c r="J1729" s="104">
        <f>IFERROR(VLOOKUP(A1729,#REF!,16,0),0)+IFERROR(VLOOKUP(A1729,#REF!,26,0),0)+IFERROR(VLOOKUP(A1729,#REF!,11,0),0)+IFERROR(VLOOKUP(A1729,#REF!,23,0),0)+IFERROR(VLOOKUP(A1729,#REF!,11,0),0)+IFERROR(VLOOKUP(A1729,#REF!,11,0),0)+IFERROR(VLOOKUP(A1729,#REF!,11,0),0)</f>
        <v>0</v>
      </c>
      <c r="K1729" s="96" t="str">
        <f>"07.02.24"</f>
        <v>07.02.24</v>
      </c>
    </row>
    <row r="1730" spans="1:11" ht="11.25" customHeight="1" outlineLevel="1">
      <c r="A1730" s="89" t="n">
        <v>81450180</v>
      </c>
      <c r="B1730" s="114" t="s">
        <v>2759</v>
      </c>
      <c r="C1730" s="89" t="s">
        <v>2834</v>
      </c>
      <c r="D1730" s="89" t="s">
        <v>15</v>
      </c>
      <c r="E1730" s="89"/>
      <c r="F1730" s="102" t="n">
        <v>9740</v>
      </c>
      <c r="G1730" s="102" t="n">
        <v>10501</v>
      </c>
      <c r="H1730" s="103" t="s">
        <v>17</v>
      </c>
      <c r="I1730" s="103">
        <f>IFERROR(VLOOKUP(A1730,#REF!,15,0),0)+IFERROR(VLOOKUP(A1730,#REF!,25,0),0)+IFERROR(VLOOKUP(A1730,#REF!,10,0),0)+IFERROR(VLOOKUP(A1730,#REF!,14,0),0)+IFERROR(VLOOKUP(A1730,#REF!,10,0),0)+IFERROR(VLOOKUP(A1730,#REF!,10,0),0)+IFERROR(VLOOKUP(A1730,#REF!,10,0),0)+IFERROR(VLOOKUP(A1730,#REF!,9,0),0)+IFERROR(VLOOKUP(A1730,#REF!,9,0),0)+IFERROR(VLOOKUP(A1730,#REF!,9,0),0)+IFERROR(VLOOKUP(A1730,#REF!,9,0),0)</f>
        <v>0</v>
      </c>
      <c r="J1730" s="104">
        <f>IFERROR(VLOOKUP(A1730,#REF!,16,0),0)+IFERROR(VLOOKUP(A1730,#REF!,26,0),0)+IFERROR(VLOOKUP(A1730,#REF!,11,0),0)+IFERROR(VLOOKUP(A1730,#REF!,23,0),0)+IFERROR(VLOOKUP(A1730,#REF!,11,0),0)+IFERROR(VLOOKUP(A1730,#REF!,11,0),0)+IFERROR(VLOOKUP(A1730,#REF!,11,0),0)</f>
        <v>0</v>
      </c>
      <c r="K1730" s="96" t="str">
        <f>"07.02.24"</f>
        <v>07.02.24</v>
      </c>
    </row>
    <row r="1731" spans="1:11" ht="11.25" customHeight="1">
      <c r="A1731" s="97" t="s">
        <v>2835</v>
      </c>
      <c r="B1731" s="98"/>
      <c r="C1731" s="98"/>
      <c r="D1731" s="98"/>
      <c r="E1731" s="98"/>
      <c r="F1731" s="99"/>
      <c r="G1731" s="99"/>
      <c r="H1731" s="100"/>
      <c r="I1731" s="100"/>
      <c r="J1731" s="108"/>
      <c r="K1731" s="96" t="str">
        <f>"07.02.24"</f>
        <v>07.02.24</v>
      </c>
    </row>
    <row r="1732" spans="1:11" ht="11.25" customHeight="1" outlineLevel="1">
      <c r="A1732" s="88" t="s">
        <v>2836</v>
      </c>
      <c r="B1732" s="115"/>
      <c r="C1732" s="88"/>
      <c r="D1732" s="88"/>
      <c r="E1732" s="88"/>
      <c r="F1732" s="105"/>
      <c r="G1732" s="105"/>
      <c r="H1732" s="106"/>
      <c r="I1732" s="106"/>
      <c r="J1732" s="107"/>
      <c r="K1732" s="96" t="str">
        <f>"07.02.24"</f>
        <v>07.02.24</v>
      </c>
    </row>
    <row r="1733" spans="1:11" ht="11.25" customHeight="1" outlineLevel="1">
      <c r="A1733" s="89" t="n">
        <v>8293</v>
      </c>
      <c r="B1733" s="114" t="s">
        <v>2835</v>
      </c>
      <c r="C1733" s="89" t="s">
        <v>2837</v>
      </c>
      <c r="D1733" s="89" t="s">
        <v>15</v>
      </c>
      <c r="E1733" s="89" t="s">
        <v>2838</v>
      </c>
      <c r="F1733" s="102" t="n">
        <v>14936</v>
      </c>
      <c r="G1733" s="102" t="n">
        <v>16775</v>
      </c>
      <c r="H1733" s="103" t="s">
        <v>17</v>
      </c>
      <c r="I1733" s="103">
        <f>IFERROR(VLOOKUP(A1733,#REF!,15,0),0)+IFERROR(VLOOKUP(A1733,#REF!,25,0),0)+IFERROR(VLOOKUP(A1733,#REF!,10,0),0)+IFERROR(VLOOKUP(A1733,#REF!,14,0),0)+IFERROR(VLOOKUP(A1733,#REF!,10,0),0)+IFERROR(VLOOKUP(A1733,#REF!,10,0),0)+IFERROR(VLOOKUP(A1733,#REF!,10,0),0)+IFERROR(VLOOKUP(A1733,#REF!,9,0),0)+IFERROR(VLOOKUP(A1733,#REF!,9,0),0)+IFERROR(VLOOKUP(A1733,#REF!,9,0),0)+IFERROR(VLOOKUP(A1733,#REF!,9,0),0)</f>
        <v>0</v>
      </c>
      <c r="J1733" s="104">
        <f>IFERROR(VLOOKUP(A1733,#REF!,16,0),0)+IFERROR(VLOOKUP(A1733,#REF!,26,0),0)+IFERROR(VLOOKUP(A1733,#REF!,11,0),0)+IFERROR(VLOOKUP(A1733,#REF!,23,0),0)+IFERROR(VLOOKUP(A1733,#REF!,11,0),0)+IFERROR(VLOOKUP(A1733,#REF!,11,0),0)+IFERROR(VLOOKUP(A1733,#REF!,11,0),0)</f>
        <v>0</v>
      </c>
      <c r="K1733" s="96" t="str">
        <f>"07.02.24"</f>
        <v>07.02.24</v>
      </c>
    </row>
    <row r="1734" spans="1:11" ht="11.25" customHeight="1" outlineLevel="1">
      <c r="A1734" s="89" t="n">
        <v>37036</v>
      </c>
      <c r="B1734" s="114" t="s">
        <v>2835</v>
      </c>
      <c r="C1734" s="89" t="s">
        <v>2839</v>
      </c>
      <c r="D1734" s="89" t="s">
        <v>15</v>
      </c>
      <c r="E1734" s="89" t="s">
        <v>2840</v>
      </c>
      <c r="F1734" s="102" t="n">
        <v>15615</v>
      </c>
      <c r="G1734" s="102" t="n">
        <v>17537</v>
      </c>
      <c r="H1734" s="103" t="s">
        <v>17</v>
      </c>
      <c r="I1734" s="103">
        <f>IFERROR(VLOOKUP(A1734,#REF!,15,0),0)+IFERROR(VLOOKUP(A1734,#REF!,25,0),0)+IFERROR(VLOOKUP(A1734,#REF!,10,0),0)+IFERROR(VLOOKUP(A1734,#REF!,14,0),0)+IFERROR(VLOOKUP(A1734,#REF!,10,0),0)+IFERROR(VLOOKUP(A1734,#REF!,10,0),0)+IFERROR(VLOOKUP(A1734,#REF!,10,0),0)+IFERROR(VLOOKUP(A1734,#REF!,9,0),0)+IFERROR(VLOOKUP(A1734,#REF!,9,0),0)+IFERROR(VLOOKUP(A1734,#REF!,9,0),0)+IFERROR(VLOOKUP(A1734,#REF!,9,0),0)</f>
        <v>0</v>
      </c>
      <c r="J1734" s="104">
        <f>IFERROR(VLOOKUP(A1734,#REF!,16,0),0)+IFERROR(VLOOKUP(A1734,#REF!,26,0),0)+IFERROR(VLOOKUP(A1734,#REF!,11,0),0)+IFERROR(VLOOKUP(A1734,#REF!,23,0),0)+IFERROR(VLOOKUP(A1734,#REF!,11,0),0)+IFERROR(VLOOKUP(A1734,#REF!,11,0),0)+IFERROR(VLOOKUP(A1734,#REF!,11,0),0)</f>
        <v>0</v>
      </c>
      <c r="K1734" s="96" t="str">
        <f>"07.02.24"</f>
        <v>07.02.24</v>
      </c>
    </row>
    <row r="1735" spans="1:11" ht="11.25" customHeight="1" outlineLevel="1">
      <c r="A1735" s="89" t="n">
        <v>7061990</v>
      </c>
      <c r="B1735" s="114" t="s">
        <v>2835</v>
      </c>
      <c r="C1735" s="89" t="s">
        <v>2841</v>
      </c>
      <c r="D1735" s="89" t="s">
        <v>15</v>
      </c>
      <c r="E1735" s="89"/>
      <c r="F1735" s="102" t="n">
        <v>24004</v>
      </c>
      <c r="G1735" s="102" t="n">
        <v>26959</v>
      </c>
      <c r="H1735" s="103" t="s">
        <v>17</v>
      </c>
      <c r="I1735" s="103">
        <f>IFERROR(VLOOKUP(A1735,#REF!,15,0),0)+IFERROR(VLOOKUP(A1735,#REF!,25,0),0)+IFERROR(VLOOKUP(A1735,#REF!,10,0),0)+IFERROR(VLOOKUP(A1735,#REF!,14,0),0)+IFERROR(VLOOKUP(A1735,#REF!,10,0),0)+IFERROR(VLOOKUP(A1735,#REF!,10,0),0)+IFERROR(VLOOKUP(A1735,#REF!,10,0),0)+IFERROR(VLOOKUP(A1735,#REF!,9,0),0)+IFERROR(VLOOKUP(A1735,#REF!,9,0),0)+IFERROR(VLOOKUP(A1735,#REF!,9,0),0)+IFERROR(VLOOKUP(A1735,#REF!,9,0),0)</f>
        <v>0</v>
      </c>
      <c r="J1735" s="104">
        <f>IFERROR(VLOOKUP(A1735,#REF!,16,0),0)+IFERROR(VLOOKUP(A1735,#REF!,26,0),0)+IFERROR(VLOOKUP(A1735,#REF!,11,0),0)+IFERROR(VLOOKUP(A1735,#REF!,23,0),0)+IFERROR(VLOOKUP(A1735,#REF!,11,0),0)+IFERROR(VLOOKUP(A1735,#REF!,11,0),0)+IFERROR(VLOOKUP(A1735,#REF!,11,0),0)</f>
        <v>0</v>
      </c>
      <c r="K1735" s="96" t="str">
        <f>"07.02.24"</f>
        <v>07.02.24</v>
      </c>
    </row>
    <row r="1736" spans="1:11" ht="11.25" customHeight="1" outlineLevel="1">
      <c r="A1736" s="89" t="s">
        <v>2842</v>
      </c>
      <c r="B1736" s="114" t="s">
        <v>2835</v>
      </c>
      <c r="C1736" s="89" t="s">
        <v>2843</v>
      </c>
      <c r="D1736" s="89" t="s">
        <v>15</v>
      </c>
      <c r="E1736" s="89"/>
      <c r="F1736" s="102" t="n">
        <v>12657</v>
      </c>
      <c r="G1736" s="102" t="n">
        <v>14215</v>
      </c>
      <c r="H1736" s="103" t="s">
        <v>17</v>
      </c>
      <c r="I1736" s="103">
        <f>IFERROR(VLOOKUP(A1736,#REF!,15,0),0)+IFERROR(VLOOKUP(A1736,#REF!,25,0),0)+IFERROR(VLOOKUP(A1736,#REF!,10,0),0)+IFERROR(VLOOKUP(A1736,#REF!,14,0),0)+IFERROR(VLOOKUP(A1736,#REF!,10,0),0)+IFERROR(VLOOKUP(A1736,#REF!,10,0),0)+IFERROR(VLOOKUP(A1736,#REF!,10,0),0)+IFERROR(VLOOKUP(A1736,#REF!,9,0),0)+IFERROR(VLOOKUP(A1736,#REF!,9,0),0)+IFERROR(VLOOKUP(A1736,#REF!,9,0),0)+IFERROR(VLOOKUP(A1736,#REF!,9,0),0)</f>
        <v>0</v>
      </c>
      <c r="J1736" s="104">
        <f>IFERROR(VLOOKUP(A1736,#REF!,16,0),0)+IFERROR(VLOOKUP(A1736,#REF!,26,0),0)+IFERROR(VLOOKUP(A1736,#REF!,11,0),0)+IFERROR(VLOOKUP(A1736,#REF!,23,0),0)+IFERROR(VLOOKUP(A1736,#REF!,11,0),0)+IFERROR(VLOOKUP(A1736,#REF!,11,0),0)+IFERROR(VLOOKUP(A1736,#REF!,11,0),0)</f>
        <v>0</v>
      </c>
      <c r="K1736" s="96" t="str">
        <f>"07.02.24"</f>
        <v>07.02.24</v>
      </c>
    </row>
    <row r="1737" spans="1:11" ht="11.25" customHeight="1" outlineLevel="1">
      <c r="A1737" s="89" t="s">
        <v>2844</v>
      </c>
      <c r="B1737" s="114" t="s">
        <v>2835</v>
      </c>
      <c r="C1737" s="89" t="s">
        <v>2845</v>
      </c>
      <c r="D1737" s="89" t="s">
        <v>15</v>
      </c>
      <c r="E1737" s="89"/>
      <c r="F1737" s="102" t="n">
        <v>14590</v>
      </c>
      <c r="G1737" s="102" t="n">
        <v>16385</v>
      </c>
      <c r="H1737" s="103" t="s">
        <v>17</v>
      </c>
      <c r="I1737" s="103">
        <f>IFERROR(VLOOKUP(A1737,#REF!,15,0),0)+IFERROR(VLOOKUP(A1737,#REF!,25,0),0)+IFERROR(VLOOKUP(A1737,#REF!,10,0),0)+IFERROR(VLOOKUP(A1737,#REF!,14,0),0)+IFERROR(VLOOKUP(A1737,#REF!,10,0),0)+IFERROR(VLOOKUP(A1737,#REF!,10,0),0)+IFERROR(VLOOKUP(A1737,#REF!,10,0),0)+IFERROR(VLOOKUP(A1737,#REF!,9,0),0)+IFERROR(VLOOKUP(A1737,#REF!,9,0),0)+IFERROR(VLOOKUP(A1737,#REF!,9,0),0)+IFERROR(VLOOKUP(A1737,#REF!,9,0),0)</f>
        <v>0</v>
      </c>
      <c r="J1737" s="104">
        <f>IFERROR(VLOOKUP(A1737,#REF!,16,0),0)+IFERROR(VLOOKUP(A1737,#REF!,26,0),0)+IFERROR(VLOOKUP(A1737,#REF!,11,0),0)+IFERROR(VLOOKUP(A1737,#REF!,23,0),0)+IFERROR(VLOOKUP(A1737,#REF!,11,0),0)+IFERROR(VLOOKUP(A1737,#REF!,11,0),0)+IFERROR(VLOOKUP(A1737,#REF!,11,0),0)</f>
        <v>0</v>
      </c>
      <c r="K1737" s="96" t="str">
        <f>"07.02.24"</f>
        <v>07.02.24</v>
      </c>
    </row>
    <row r="1738" spans="1:11" ht="11.25" customHeight="1" outlineLevel="1">
      <c r="A1738" s="89" t="s">
        <v>2846</v>
      </c>
      <c r="B1738" s="114" t="s">
        <v>2835</v>
      </c>
      <c r="C1738" s="89" t="s">
        <v>2847</v>
      </c>
      <c r="D1738" s="89" t="s">
        <v>15</v>
      </c>
      <c r="E1738" s="89"/>
      <c r="F1738" s="102" t="n">
        <v>14432</v>
      </c>
      <c r="G1738" s="102" t="n">
        <v>16209</v>
      </c>
      <c r="H1738" s="103" t="s">
        <v>17</v>
      </c>
      <c r="I1738" s="103">
        <f>IFERROR(VLOOKUP(A1738,#REF!,15,0),0)+IFERROR(VLOOKUP(A1738,#REF!,25,0),0)+IFERROR(VLOOKUP(A1738,#REF!,10,0),0)+IFERROR(VLOOKUP(A1738,#REF!,14,0),0)+IFERROR(VLOOKUP(A1738,#REF!,10,0),0)+IFERROR(VLOOKUP(A1738,#REF!,10,0),0)+IFERROR(VLOOKUP(A1738,#REF!,10,0),0)+IFERROR(VLOOKUP(A1738,#REF!,9,0),0)+IFERROR(VLOOKUP(A1738,#REF!,9,0),0)+IFERROR(VLOOKUP(A1738,#REF!,9,0),0)+IFERROR(VLOOKUP(A1738,#REF!,9,0),0)</f>
        <v>0</v>
      </c>
      <c r="J1738" s="104">
        <f>IFERROR(VLOOKUP(A1738,#REF!,16,0),0)+IFERROR(VLOOKUP(A1738,#REF!,26,0),0)+IFERROR(VLOOKUP(A1738,#REF!,11,0),0)+IFERROR(VLOOKUP(A1738,#REF!,23,0),0)+IFERROR(VLOOKUP(A1738,#REF!,11,0),0)+IFERROR(VLOOKUP(A1738,#REF!,11,0),0)+IFERROR(VLOOKUP(A1738,#REF!,11,0),0)</f>
        <v>0</v>
      </c>
      <c r="K1738" s="96" t="str">
        <f>"07.02.24"</f>
        <v>07.02.24</v>
      </c>
    </row>
    <row r="1739" spans="1:11" ht="11.25" customHeight="1" outlineLevel="1">
      <c r="A1739" s="89" t="s">
        <v>2848</v>
      </c>
      <c r="B1739" s="114" t="s">
        <v>2835</v>
      </c>
      <c r="C1739" s="89" t="s">
        <v>2849</v>
      </c>
      <c r="D1739" s="89" t="s">
        <v>15</v>
      </c>
      <c r="E1739" s="89"/>
      <c r="F1739" s="102" t="n">
        <v>15987</v>
      </c>
      <c r="G1739" s="102" t="n">
        <v>17955</v>
      </c>
      <c r="H1739" s="103" t="s">
        <v>17</v>
      </c>
      <c r="I1739" s="103">
        <f>IFERROR(VLOOKUP(A1739,#REF!,15,0),0)+IFERROR(VLOOKUP(A1739,#REF!,25,0),0)+IFERROR(VLOOKUP(A1739,#REF!,10,0),0)+IFERROR(VLOOKUP(A1739,#REF!,14,0),0)+IFERROR(VLOOKUP(A1739,#REF!,10,0),0)+IFERROR(VLOOKUP(A1739,#REF!,10,0),0)+IFERROR(VLOOKUP(A1739,#REF!,10,0),0)+IFERROR(VLOOKUP(A1739,#REF!,9,0),0)+IFERROR(VLOOKUP(A1739,#REF!,9,0),0)+IFERROR(VLOOKUP(A1739,#REF!,9,0),0)+IFERROR(VLOOKUP(A1739,#REF!,9,0),0)</f>
        <v>0</v>
      </c>
      <c r="J1739" s="104">
        <f>IFERROR(VLOOKUP(A1739,#REF!,16,0),0)+IFERROR(VLOOKUP(A1739,#REF!,26,0),0)+IFERROR(VLOOKUP(A1739,#REF!,11,0),0)+IFERROR(VLOOKUP(A1739,#REF!,23,0),0)+IFERROR(VLOOKUP(A1739,#REF!,11,0),0)+IFERROR(VLOOKUP(A1739,#REF!,11,0),0)+IFERROR(VLOOKUP(A1739,#REF!,11,0),0)</f>
        <v>0</v>
      </c>
      <c r="K1739" s="96" t="str">
        <f>"07.02.24"</f>
        <v>07.02.24</v>
      </c>
    </row>
    <row r="1740" spans="1:11" ht="11.25" customHeight="1" outlineLevel="1">
      <c r="A1740" s="89" t="n">
        <v>3936520</v>
      </c>
      <c r="B1740" s="114" t="s">
        <v>2835</v>
      </c>
      <c r="C1740" s="89" t="s">
        <v>2850</v>
      </c>
      <c r="D1740" s="89" t="s">
        <v>15</v>
      </c>
      <c r="E1740" s="89"/>
      <c r="F1740" s="102" t="n">
        <v>16428</v>
      </c>
      <c r="G1740" s="102" t="n">
        <v>18450</v>
      </c>
      <c r="H1740" s="103" t="s">
        <v>17</v>
      </c>
      <c r="I1740" s="103">
        <f>IFERROR(VLOOKUP(A1740,#REF!,15,0),0)+IFERROR(VLOOKUP(A1740,#REF!,25,0),0)+IFERROR(VLOOKUP(A1740,#REF!,10,0),0)+IFERROR(VLOOKUP(A1740,#REF!,14,0),0)+IFERROR(VLOOKUP(A1740,#REF!,10,0),0)+IFERROR(VLOOKUP(A1740,#REF!,10,0),0)+IFERROR(VLOOKUP(A1740,#REF!,10,0),0)+IFERROR(VLOOKUP(A1740,#REF!,9,0),0)+IFERROR(VLOOKUP(A1740,#REF!,9,0),0)+IFERROR(VLOOKUP(A1740,#REF!,9,0),0)+IFERROR(VLOOKUP(A1740,#REF!,9,0),0)</f>
        <v>0</v>
      </c>
      <c r="J1740" s="104">
        <f>IFERROR(VLOOKUP(A1740,#REF!,16,0),0)+IFERROR(VLOOKUP(A1740,#REF!,26,0),0)+IFERROR(VLOOKUP(A1740,#REF!,11,0),0)+IFERROR(VLOOKUP(A1740,#REF!,23,0),0)+IFERROR(VLOOKUP(A1740,#REF!,11,0),0)+IFERROR(VLOOKUP(A1740,#REF!,11,0),0)+IFERROR(VLOOKUP(A1740,#REF!,11,0),0)</f>
        <v>0</v>
      </c>
      <c r="K1740" s="96" t="str">
        <f>"07.02.24"</f>
        <v>07.02.24</v>
      </c>
    </row>
    <row r="1741" spans="1:11" ht="11.25" customHeight="1" outlineLevel="1">
      <c r="A1741" s="89" t="n">
        <v>3936660</v>
      </c>
      <c r="B1741" s="114" t="s">
        <v>2835</v>
      </c>
      <c r="C1741" s="89" t="s">
        <v>2851</v>
      </c>
      <c r="D1741" s="89" t="s">
        <v>15</v>
      </c>
      <c r="E1741" s="89"/>
      <c r="F1741" s="102" t="n">
        <v>17635</v>
      </c>
      <c r="G1741" s="102" t="n">
        <v>19806</v>
      </c>
      <c r="H1741" s="103" t="s">
        <v>17</v>
      </c>
      <c r="I1741" s="103">
        <f>IFERROR(VLOOKUP(A1741,#REF!,15,0),0)+IFERROR(VLOOKUP(A1741,#REF!,25,0),0)+IFERROR(VLOOKUP(A1741,#REF!,10,0),0)+IFERROR(VLOOKUP(A1741,#REF!,14,0),0)+IFERROR(VLOOKUP(A1741,#REF!,10,0),0)+IFERROR(VLOOKUP(A1741,#REF!,10,0),0)+IFERROR(VLOOKUP(A1741,#REF!,10,0),0)+IFERROR(VLOOKUP(A1741,#REF!,9,0),0)+IFERROR(VLOOKUP(A1741,#REF!,9,0),0)+IFERROR(VLOOKUP(A1741,#REF!,9,0),0)+IFERROR(VLOOKUP(A1741,#REF!,9,0),0)</f>
        <v>0</v>
      </c>
      <c r="J1741" s="104">
        <f>IFERROR(VLOOKUP(A1741,#REF!,16,0),0)+IFERROR(VLOOKUP(A1741,#REF!,26,0),0)+IFERROR(VLOOKUP(A1741,#REF!,11,0),0)+IFERROR(VLOOKUP(A1741,#REF!,23,0),0)+IFERROR(VLOOKUP(A1741,#REF!,11,0),0)+IFERROR(VLOOKUP(A1741,#REF!,11,0),0)+IFERROR(VLOOKUP(A1741,#REF!,11,0),0)</f>
        <v>0</v>
      </c>
      <c r="K1741" s="96" t="str">
        <f>"07.02.24"</f>
        <v>07.02.24</v>
      </c>
    </row>
    <row r="1742" spans="1:11" ht="11.25" customHeight="1" outlineLevel="1">
      <c r="A1742" s="89" t="s">
        <v>2852</v>
      </c>
      <c r="B1742" s="114" t="s">
        <v>2835</v>
      </c>
      <c r="C1742" s="89" t="s">
        <v>2853</v>
      </c>
      <c r="D1742" s="89" t="s">
        <v>15</v>
      </c>
      <c r="E1742" s="89"/>
      <c r="F1742" s="102" t="n">
        <v>17153</v>
      </c>
      <c r="G1742" s="102" t="n">
        <v>19264</v>
      </c>
      <c r="H1742" s="103" t="s">
        <v>17</v>
      </c>
      <c r="I1742" s="103">
        <f>IFERROR(VLOOKUP(A1742,#REF!,15,0),0)+IFERROR(VLOOKUP(A1742,#REF!,25,0),0)+IFERROR(VLOOKUP(A1742,#REF!,10,0),0)+IFERROR(VLOOKUP(A1742,#REF!,14,0),0)+IFERROR(VLOOKUP(A1742,#REF!,10,0),0)+IFERROR(VLOOKUP(A1742,#REF!,10,0),0)+IFERROR(VLOOKUP(A1742,#REF!,10,0),0)+IFERROR(VLOOKUP(A1742,#REF!,9,0),0)+IFERROR(VLOOKUP(A1742,#REF!,9,0),0)+IFERROR(VLOOKUP(A1742,#REF!,9,0),0)+IFERROR(VLOOKUP(A1742,#REF!,9,0),0)</f>
        <v>0</v>
      </c>
      <c r="J1742" s="104">
        <f>IFERROR(VLOOKUP(A1742,#REF!,16,0),0)+IFERROR(VLOOKUP(A1742,#REF!,26,0),0)+IFERROR(VLOOKUP(A1742,#REF!,11,0),0)+IFERROR(VLOOKUP(A1742,#REF!,23,0),0)+IFERROR(VLOOKUP(A1742,#REF!,11,0),0)+IFERROR(VLOOKUP(A1742,#REF!,11,0),0)+IFERROR(VLOOKUP(A1742,#REF!,11,0),0)</f>
        <v>0</v>
      </c>
      <c r="K1742" s="96" t="str">
        <f>"07.02.24"</f>
        <v>07.02.24</v>
      </c>
    </row>
    <row r="1743" spans="1:11" ht="11.25" customHeight="1" outlineLevel="1">
      <c r="A1743" s="89" t="s">
        <v>2854</v>
      </c>
      <c r="B1743" s="114" t="s">
        <v>2835</v>
      </c>
      <c r="C1743" s="89" t="s">
        <v>2855</v>
      </c>
      <c r="D1743" s="89" t="s">
        <v>15</v>
      </c>
      <c r="E1743" s="89"/>
      <c r="F1743" s="102" t="n">
        <v>19054</v>
      </c>
      <c r="G1743" s="102" t="n">
        <v>21399</v>
      </c>
      <c r="H1743" s="103" t="s">
        <v>17</v>
      </c>
      <c r="I1743" s="103">
        <f>IFERROR(VLOOKUP(A1743,#REF!,15,0),0)+IFERROR(VLOOKUP(A1743,#REF!,25,0),0)+IFERROR(VLOOKUP(A1743,#REF!,10,0),0)+IFERROR(VLOOKUP(A1743,#REF!,14,0),0)+IFERROR(VLOOKUP(A1743,#REF!,10,0),0)+IFERROR(VLOOKUP(A1743,#REF!,10,0),0)+IFERROR(VLOOKUP(A1743,#REF!,10,0),0)+IFERROR(VLOOKUP(A1743,#REF!,9,0),0)+IFERROR(VLOOKUP(A1743,#REF!,9,0),0)+IFERROR(VLOOKUP(A1743,#REF!,9,0),0)+IFERROR(VLOOKUP(A1743,#REF!,9,0),0)</f>
        <v>0</v>
      </c>
      <c r="J1743" s="104">
        <f>IFERROR(VLOOKUP(A1743,#REF!,16,0),0)+IFERROR(VLOOKUP(A1743,#REF!,26,0),0)+IFERROR(VLOOKUP(A1743,#REF!,11,0),0)+IFERROR(VLOOKUP(A1743,#REF!,23,0),0)+IFERROR(VLOOKUP(A1743,#REF!,11,0),0)+IFERROR(VLOOKUP(A1743,#REF!,11,0),0)+IFERROR(VLOOKUP(A1743,#REF!,11,0),0)</f>
        <v>0</v>
      </c>
      <c r="K1743" s="96" t="str">
        <f>"07.02.24"</f>
        <v>07.02.24</v>
      </c>
    </row>
    <row r="1744" spans="1:11" ht="11.25" customHeight="1" outlineLevel="1">
      <c r="A1744" s="89" t="s">
        <v>2856</v>
      </c>
      <c r="B1744" s="114" t="s">
        <v>2835</v>
      </c>
      <c r="C1744" s="89" t="s">
        <v>2857</v>
      </c>
      <c r="D1744" s="89" t="s">
        <v>15</v>
      </c>
      <c r="E1744" s="89"/>
      <c r="F1744" s="102" t="n">
        <v>15163</v>
      </c>
      <c r="G1744" s="102" t="n">
        <v>17029</v>
      </c>
      <c r="H1744" s="103" t="s">
        <v>17</v>
      </c>
      <c r="I1744" s="103">
        <f>IFERROR(VLOOKUP(A1744,#REF!,15,0),0)+IFERROR(VLOOKUP(A1744,#REF!,25,0),0)+IFERROR(VLOOKUP(A1744,#REF!,10,0),0)+IFERROR(VLOOKUP(A1744,#REF!,14,0),0)+IFERROR(VLOOKUP(A1744,#REF!,10,0),0)+IFERROR(VLOOKUP(A1744,#REF!,10,0),0)+IFERROR(VLOOKUP(A1744,#REF!,10,0),0)+IFERROR(VLOOKUP(A1744,#REF!,9,0),0)+IFERROR(VLOOKUP(A1744,#REF!,9,0),0)+IFERROR(VLOOKUP(A1744,#REF!,9,0),0)+IFERROR(VLOOKUP(A1744,#REF!,9,0),0)</f>
        <v>0</v>
      </c>
      <c r="J1744" s="104">
        <f>IFERROR(VLOOKUP(A1744,#REF!,16,0),0)+IFERROR(VLOOKUP(A1744,#REF!,26,0),0)+IFERROR(VLOOKUP(A1744,#REF!,11,0),0)+IFERROR(VLOOKUP(A1744,#REF!,23,0),0)+IFERROR(VLOOKUP(A1744,#REF!,11,0),0)+IFERROR(VLOOKUP(A1744,#REF!,11,0),0)+IFERROR(VLOOKUP(A1744,#REF!,11,0),0)</f>
        <v>0</v>
      </c>
      <c r="K1744" s="96" t="str">
        <f>"07.02.24"</f>
        <v>07.02.24</v>
      </c>
    </row>
    <row r="1745" spans="1:11" ht="11.25" customHeight="1" outlineLevel="1">
      <c r="A1745" s="89" t="s">
        <v>2858</v>
      </c>
      <c r="B1745" s="114" t="s">
        <v>2835</v>
      </c>
      <c r="C1745" s="89" t="s">
        <v>2859</v>
      </c>
      <c r="D1745" s="89" t="s">
        <v>15</v>
      </c>
      <c r="E1745" s="89"/>
      <c r="F1745" s="102" t="n">
        <v>16497</v>
      </c>
      <c r="G1745" s="102" t="n">
        <v>18528</v>
      </c>
      <c r="H1745" s="103" t="s">
        <v>17</v>
      </c>
      <c r="I1745" s="103">
        <f>IFERROR(VLOOKUP(A1745,#REF!,15,0),0)+IFERROR(VLOOKUP(A1745,#REF!,25,0),0)+IFERROR(VLOOKUP(A1745,#REF!,10,0),0)+IFERROR(VLOOKUP(A1745,#REF!,14,0),0)+IFERROR(VLOOKUP(A1745,#REF!,10,0),0)+IFERROR(VLOOKUP(A1745,#REF!,10,0),0)+IFERROR(VLOOKUP(A1745,#REF!,10,0),0)+IFERROR(VLOOKUP(A1745,#REF!,9,0),0)+IFERROR(VLOOKUP(A1745,#REF!,9,0),0)+IFERROR(VLOOKUP(A1745,#REF!,9,0),0)+IFERROR(VLOOKUP(A1745,#REF!,9,0),0)</f>
        <v>0</v>
      </c>
      <c r="J1745" s="104">
        <f>IFERROR(VLOOKUP(A1745,#REF!,16,0),0)+IFERROR(VLOOKUP(A1745,#REF!,26,0),0)+IFERROR(VLOOKUP(A1745,#REF!,11,0),0)+IFERROR(VLOOKUP(A1745,#REF!,23,0),0)+IFERROR(VLOOKUP(A1745,#REF!,11,0),0)+IFERROR(VLOOKUP(A1745,#REF!,11,0),0)+IFERROR(VLOOKUP(A1745,#REF!,11,0),0)</f>
        <v>0</v>
      </c>
      <c r="K1745" s="96" t="str">
        <f>"07.02.24"</f>
        <v>07.02.24</v>
      </c>
    </row>
    <row r="1746" spans="1:11" ht="11.25" customHeight="1" outlineLevel="1">
      <c r="A1746" s="89" t="s">
        <v>2860</v>
      </c>
      <c r="B1746" s="114" t="s">
        <v>2835</v>
      </c>
      <c r="C1746" s="89" t="s">
        <v>2861</v>
      </c>
      <c r="D1746" s="89" t="s">
        <v>15</v>
      </c>
      <c r="E1746" s="89"/>
      <c r="F1746" s="102" t="n">
        <v>17681</v>
      </c>
      <c r="G1746" s="102" t="n">
        <v>19857</v>
      </c>
      <c r="H1746" s="103" t="s">
        <v>17</v>
      </c>
      <c r="I1746" s="103">
        <f>IFERROR(VLOOKUP(A1746,#REF!,15,0),0)+IFERROR(VLOOKUP(A1746,#REF!,25,0),0)+IFERROR(VLOOKUP(A1746,#REF!,10,0),0)+IFERROR(VLOOKUP(A1746,#REF!,14,0),0)+IFERROR(VLOOKUP(A1746,#REF!,10,0),0)+IFERROR(VLOOKUP(A1746,#REF!,10,0),0)+IFERROR(VLOOKUP(A1746,#REF!,10,0),0)+IFERROR(VLOOKUP(A1746,#REF!,9,0),0)+IFERROR(VLOOKUP(A1746,#REF!,9,0),0)+IFERROR(VLOOKUP(A1746,#REF!,9,0),0)+IFERROR(VLOOKUP(A1746,#REF!,9,0),0)</f>
        <v>0</v>
      </c>
      <c r="J1746" s="104">
        <f>IFERROR(VLOOKUP(A1746,#REF!,16,0),0)+IFERROR(VLOOKUP(A1746,#REF!,26,0),0)+IFERROR(VLOOKUP(A1746,#REF!,11,0),0)+IFERROR(VLOOKUP(A1746,#REF!,23,0),0)+IFERROR(VLOOKUP(A1746,#REF!,11,0),0)+IFERROR(VLOOKUP(A1746,#REF!,11,0),0)+IFERROR(VLOOKUP(A1746,#REF!,11,0),0)</f>
        <v>0</v>
      </c>
      <c r="K1746" s="96" t="str">
        <f>"07.02.24"</f>
        <v>07.02.24</v>
      </c>
    </row>
    <row r="1747" spans="1:11" ht="11.25" customHeight="1" outlineLevel="1">
      <c r="A1747" s="89" t="s">
        <v>2862</v>
      </c>
      <c r="B1747" s="114" t="s">
        <v>2835</v>
      </c>
      <c r="C1747" s="89" t="s">
        <v>2863</v>
      </c>
      <c r="D1747" s="89" t="s">
        <v>15</v>
      </c>
      <c r="E1747" s="89"/>
      <c r="F1747" s="102" t="n">
        <v>19341</v>
      </c>
      <c r="G1747" s="102" t="n">
        <v>21722</v>
      </c>
      <c r="H1747" s="103" t="s">
        <v>48</v>
      </c>
      <c r="I1747" s="103">
        <f>IFERROR(VLOOKUP(A1747,#REF!,15,0),0)+IFERROR(VLOOKUP(A1747,#REF!,25,0),0)+IFERROR(VLOOKUP(A1747,#REF!,10,0),0)+IFERROR(VLOOKUP(A1747,#REF!,14,0),0)+IFERROR(VLOOKUP(A1747,#REF!,10,0),0)+IFERROR(VLOOKUP(A1747,#REF!,10,0),0)+IFERROR(VLOOKUP(A1747,#REF!,10,0),0)+IFERROR(VLOOKUP(A1747,#REF!,9,0),0)+IFERROR(VLOOKUP(A1747,#REF!,9,0),0)+IFERROR(VLOOKUP(A1747,#REF!,9,0),0)+IFERROR(VLOOKUP(A1747,#REF!,9,0),0)</f>
        <v>0</v>
      </c>
      <c r="J1747" s="104">
        <f>IFERROR(VLOOKUP(A1747,#REF!,16,0),0)+IFERROR(VLOOKUP(A1747,#REF!,26,0),0)+IFERROR(VLOOKUP(A1747,#REF!,11,0),0)+IFERROR(VLOOKUP(A1747,#REF!,23,0),0)+IFERROR(VLOOKUP(A1747,#REF!,11,0),0)+IFERROR(VLOOKUP(A1747,#REF!,11,0),0)+IFERROR(VLOOKUP(A1747,#REF!,11,0),0)</f>
        <v>0</v>
      </c>
      <c r="K1747" s="96" t="str">
        <f>"07.02.24"</f>
        <v>07.02.24</v>
      </c>
    </row>
    <row r="1748" spans="1:11" ht="11.25" customHeight="1" outlineLevel="1">
      <c r="A1748" s="88" t="s">
        <v>2864</v>
      </c>
      <c r="B1748" s="115"/>
      <c r="C1748" s="88"/>
      <c r="D1748" s="88"/>
      <c r="E1748" s="88"/>
      <c r="F1748" s="105"/>
      <c r="G1748" s="105"/>
      <c r="H1748" s="106"/>
      <c r="I1748" s="106"/>
      <c r="J1748" s="107"/>
      <c r="K1748" s="96" t="str">
        <f>"07.02.24"</f>
        <v>07.02.24</v>
      </c>
    </row>
    <row r="1749" spans="1:11" ht="11.25" customHeight="1" outlineLevel="1">
      <c r="A1749" s="89" t="s">
        <v>2865</v>
      </c>
      <c r="B1749" s="114" t="s">
        <v>2835</v>
      </c>
      <c r="C1749" s="89" t="s">
        <v>2866</v>
      </c>
      <c r="D1749" s="89" t="s">
        <v>15</v>
      </c>
      <c r="E1749" s="89"/>
      <c r="F1749" s="102" t="n">
        <v>3750</v>
      </c>
      <c r="G1749" s="102" t="n">
        <v>4143</v>
      </c>
      <c r="H1749" s="103" t="s">
        <v>17</v>
      </c>
      <c r="I1749" s="103">
        <f>IFERROR(VLOOKUP(A1749,#REF!,15,0),0)+IFERROR(VLOOKUP(A1749,#REF!,25,0),0)+IFERROR(VLOOKUP(A1749,#REF!,10,0),0)+IFERROR(VLOOKUP(A1749,#REF!,14,0),0)+IFERROR(VLOOKUP(A1749,#REF!,10,0),0)+IFERROR(VLOOKUP(A1749,#REF!,10,0),0)+IFERROR(VLOOKUP(A1749,#REF!,10,0),0)+IFERROR(VLOOKUP(A1749,#REF!,9,0),0)+IFERROR(VLOOKUP(A1749,#REF!,9,0),0)+IFERROR(VLOOKUP(A1749,#REF!,9,0),0)+IFERROR(VLOOKUP(A1749,#REF!,9,0),0)</f>
        <v>0</v>
      </c>
      <c r="J1749" s="104">
        <f>IFERROR(VLOOKUP(A1749,#REF!,16,0),0)+IFERROR(VLOOKUP(A1749,#REF!,26,0),0)+IFERROR(VLOOKUP(A1749,#REF!,11,0),0)+IFERROR(VLOOKUP(A1749,#REF!,23,0),0)+IFERROR(VLOOKUP(A1749,#REF!,11,0),0)+IFERROR(VLOOKUP(A1749,#REF!,11,0),0)+IFERROR(VLOOKUP(A1749,#REF!,11,0),0)</f>
        <v>0</v>
      </c>
      <c r="K1749" s="96" t="str">
        <f>"07.02.24"</f>
        <v>07.02.24</v>
      </c>
    </row>
    <row r="1750" spans="1:11" ht="11.25" customHeight="1" outlineLevel="1">
      <c r="A1750" s="89" t="n">
        <v>9229</v>
      </c>
      <c r="B1750" s="114" t="s">
        <v>2835</v>
      </c>
      <c r="C1750" s="89" t="s">
        <v>2867</v>
      </c>
      <c r="D1750" s="89" t="s">
        <v>15</v>
      </c>
      <c r="E1750" s="89"/>
      <c r="F1750" s="102" t="n">
        <v>5950</v>
      </c>
      <c r="G1750" s="102" t="n">
        <v>6985</v>
      </c>
      <c r="H1750" s="103" t="s">
        <v>17</v>
      </c>
      <c r="I1750" s="103">
        <f>IFERROR(VLOOKUP(A1750,#REF!,15,0),0)+IFERROR(VLOOKUP(A1750,#REF!,25,0),0)+IFERROR(VLOOKUP(A1750,#REF!,10,0),0)+IFERROR(VLOOKUP(A1750,#REF!,14,0),0)+IFERROR(VLOOKUP(A1750,#REF!,10,0),0)+IFERROR(VLOOKUP(A1750,#REF!,10,0),0)+IFERROR(VLOOKUP(A1750,#REF!,10,0),0)+IFERROR(VLOOKUP(A1750,#REF!,9,0),0)+IFERROR(VLOOKUP(A1750,#REF!,9,0),0)+IFERROR(VLOOKUP(A1750,#REF!,9,0),0)+IFERROR(VLOOKUP(A1750,#REF!,9,0),0)</f>
        <v>0</v>
      </c>
      <c r="J1750" s="104">
        <f>IFERROR(VLOOKUP(A1750,#REF!,16,0),0)+IFERROR(VLOOKUP(A1750,#REF!,26,0),0)+IFERROR(VLOOKUP(A1750,#REF!,11,0),0)+IFERROR(VLOOKUP(A1750,#REF!,23,0),0)+IFERROR(VLOOKUP(A1750,#REF!,11,0),0)+IFERROR(VLOOKUP(A1750,#REF!,11,0),0)+IFERROR(VLOOKUP(A1750,#REF!,11,0),0)</f>
        <v>0</v>
      </c>
      <c r="K1750" s="96" t="str">
        <f>"07.02.24"</f>
        <v>07.02.24</v>
      </c>
    </row>
    <row r="1751" spans="1:11" ht="11.25" customHeight="1" outlineLevel="1">
      <c r="A1751" s="126" t="s">
        <v>2868</v>
      </c>
      <c r="B1751" s="114" t="s">
        <v>2835</v>
      </c>
      <c r="C1751" s="89" t="s">
        <v>2869</v>
      </c>
      <c r="D1751" s="89" t="s">
        <v>15</v>
      </c>
      <c r="E1751" s="89"/>
      <c r="F1751" s="102" t="n">
        <v>2657</v>
      </c>
      <c r="G1751" s="102" t="n">
        <v>2984</v>
      </c>
      <c r="H1751" s="103" t="s">
        <v>17</v>
      </c>
      <c r="I1751" s="103">
        <f>IFERROR(VLOOKUP(A1751,#REF!,15,0),0)+IFERROR(VLOOKUP(A1751,#REF!,25,0),0)+IFERROR(VLOOKUP(A1751,#REF!,10,0),0)+IFERROR(VLOOKUP(A1751,#REF!,14,0),0)+IFERROR(VLOOKUP(A1751,#REF!,10,0),0)+IFERROR(VLOOKUP(A1751,#REF!,10,0),0)+IFERROR(VLOOKUP(A1751,#REF!,10,0),0)+IFERROR(VLOOKUP(A1751,#REF!,9,0),0)+IFERROR(VLOOKUP(A1751,#REF!,9,0),0)+IFERROR(VLOOKUP(A1751,#REF!,9,0),0)+IFERROR(VLOOKUP(A1751,#REF!,9,0),0)</f>
        <v>0</v>
      </c>
      <c r="J1751" s="104">
        <f>IFERROR(VLOOKUP(A1751,#REF!,16,0),0)+IFERROR(VLOOKUP(A1751,#REF!,26,0),0)+IFERROR(VLOOKUP(A1751,#REF!,11,0),0)+IFERROR(VLOOKUP(A1751,#REF!,23,0),0)+IFERROR(VLOOKUP(A1751,#REF!,11,0),0)+IFERROR(VLOOKUP(A1751,#REF!,11,0),0)+IFERROR(VLOOKUP(A1751,#REF!,11,0),0)</f>
        <v>0</v>
      </c>
      <c r="K1751" s="96" t="str">
        <f>"07.02.24"</f>
        <v>07.02.24</v>
      </c>
    </row>
    <row r="1752" spans="1:11" ht="11.25" customHeight="1" outlineLevel="1">
      <c r="A1752" s="97" t="s">
        <v>2870</v>
      </c>
      <c r="B1752" s="98"/>
      <c r="C1752" s="98"/>
      <c r="D1752" s="98"/>
      <c r="E1752" s="98"/>
      <c r="F1752" s="99"/>
      <c r="G1752" s="99"/>
      <c r="H1752" s="100"/>
      <c r="I1752" s="100"/>
      <c r="J1752" s="108"/>
      <c r="K1752" s="96" t="str">
        <f>"07.02.24"</f>
        <v>07.02.24</v>
      </c>
    </row>
    <row r="1753" spans="1:11" ht="11.25" customHeight="1" outlineLevel="1">
      <c r="A1753" s="88" t="s">
        <v>2836</v>
      </c>
      <c r="B1753" s="115"/>
      <c r="C1753" s="88"/>
      <c r="D1753" s="88"/>
      <c r="E1753" s="88"/>
      <c r="F1753" s="105"/>
      <c r="G1753" s="105"/>
      <c r="H1753" s="106"/>
      <c r="I1753" s="106"/>
      <c r="J1753" s="107"/>
      <c r="K1753" s="96" t="str">
        <f>"07.02.24"</f>
        <v>07.02.24</v>
      </c>
    </row>
    <row r="1754" spans="1:11" ht="11.25" customHeight="1" outlineLevel="1">
      <c r="A1754" s="109" t="s">
        <v>2871</v>
      </c>
      <c r="B1754" s="114" t="s">
        <v>2835</v>
      </c>
      <c r="C1754" s="89" t="s">
        <v>2872</v>
      </c>
      <c r="D1754" s="89" t="s">
        <v>15</v>
      </c>
      <c r="E1754" s="89"/>
      <c r="F1754" s="102" t="n">
        <v>18035</v>
      </c>
      <c r="G1754" s="102" t="n">
        <v>20255</v>
      </c>
      <c r="H1754" s="103" t="s">
        <v>17</v>
      </c>
      <c r="I1754" s="103">
        <f>IFERROR(VLOOKUP(A1754,#REF!,15,0),0)+IFERROR(VLOOKUP(A1754,#REF!,25,0),0)+IFERROR(VLOOKUP(A1754,#REF!,10,0),0)+IFERROR(VLOOKUP(A1754,#REF!,14,0),0)+IFERROR(VLOOKUP(A1754,#REF!,10,0),0)+IFERROR(VLOOKUP(A1754,#REF!,10,0),0)+IFERROR(VLOOKUP(A1754,#REF!,10,0),0)+IFERROR(VLOOKUP(A1754,#REF!,9,0),0)+IFERROR(VLOOKUP(A1754,#REF!,9,0),0)+IFERROR(VLOOKUP(A1754,#REF!,9,0),0)+IFERROR(VLOOKUP(A1754,#REF!,9,0),0)</f>
        <v>0</v>
      </c>
      <c r="J1754" s="104">
        <f>IFERROR(VLOOKUP(A1754,#REF!,16,0),0)+IFERROR(VLOOKUP(A1754,#REF!,26,0),0)+IFERROR(VLOOKUP(A1754,#REF!,11,0),0)+IFERROR(VLOOKUP(A1754,#REF!,23,0),0)+IFERROR(VLOOKUP(A1754,#REF!,11,0),0)+IFERROR(VLOOKUP(A1754,#REF!,11,0),0)+IFERROR(VLOOKUP(A1754,#REF!,11,0),0)</f>
        <v>0</v>
      </c>
      <c r="K1754" s="96" t="str">
        <f>"07.02.24"</f>
        <v>07.02.24</v>
      </c>
    </row>
    <row r="1755" spans="1:11" ht="11.25" customHeight="1" outlineLevel="1">
      <c r="A1755" s="109" t="s">
        <v>2873</v>
      </c>
      <c r="B1755" s="114" t="s">
        <v>2835</v>
      </c>
      <c r="C1755" s="89" t="s">
        <v>2874</v>
      </c>
      <c r="D1755" s="89" t="s">
        <v>15</v>
      </c>
      <c r="E1755" s="89"/>
      <c r="F1755" s="102" t="n">
        <v>18926</v>
      </c>
      <c r="G1755" s="102" t="n">
        <v>21256</v>
      </c>
      <c r="H1755" s="103" t="s">
        <v>17</v>
      </c>
      <c r="I1755" s="103">
        <f>IFERROR(VLOOKUP(A1755,#REF!,15,0),0)+IFERROR(VLOOKUP(A1755,#REF!,25,0),0)+IFERROR(VLOOKUP(A1755,#REF!,10,0),0)+IFERROR(VLOOKUP(A1755,#REF!,14,0),0)+IFERROR(VLOOKUP(A1755,#REF!,10,0),0)+IFERROR(VLOOKUP(A1755,#REF!,10,0),0)+IFERROR(VLOOKUP(A1755,#REF!,10,0),0)+IFERROR(VLOOKUP(A1755,#REF!,9,0),0)+IFERROR(VLOOKUP(A1755,#REF!,9,0),0)+IFERROR(VLOOKUP(A1755,#REF!,9,0),0)+IFERROR(VLOOKUP(A1755,#REF!,9,0),0)</f>
        <v>0</v>
      </c>
      <c r="J1755" s="104">
        <f>IFERROR(VLOOKUP(A1755,#REF!,16,0),0)+IFERROR(VLOOKUP(A1755,#REF!,26,0),0)+IFERROR(VLOOKUP(A1755,#REF!,11,0),0)+IFERROR(VLOOKUP(A1755,#REF!,23,0),0)+IFERROR(VLOOKUP(A1755,#REF!,11,0),0)+IFERROR(VLOOKUP(A1755,#REF!,11,0),0)+IFERROR(VLOOKUP(A1755,#REF!,11,0),0)</f>
        <v>0</v>
      </c>
      <c r="K1755" s="96" t="str">
        <f>"07.02.24"</f>
        <v>07.02.24</v>
      </c>
    </row>
    <row r="1756" spans="1:11" ht="11.25" customHeight="1" outlineLevel="1">
      <c r="A1756" s="109" t="s">
        <v>2875</v>
      </c>
      <c r="B1756" s="114" t="s">
        <v>2835</v>
      </c>
      <c r="C1756" s="89" t="s">
        <v>2876</v>
      </c>
      <c r="D1756" s="89" t="s">
        <v>15</v>
      </c>
      <c r="E1756" s="89"/>
      <c r="F1756" s="102" t="n">
        <v>20378</v>
      </c>
      <c r="G1756" s="102" t="n">
        <v>22887</v>
      </c>
      <c r="H1756" s="103" t="s">
        <v>17</v>
      </c>
      <c r="I1756" s="103">
        <f>IFERROR(VLOOKUP(A1756,#REF!,15,0),0)+IFERROR(VLOOKUP(A1756,#REF!,25,0),0)+IFERROR(VLOOKUP(A1756,#REF!,10,0),0)+IFERROR(VLOOKUP(A1756,#REF!,14,0),0)+IFERROR(VLOOKUP(A1756,#REF!,10,0),0)+IFERROR(VLOOKUP(A1756,#REF!,10,0),0)+IFERROR(VLOOKUP(A1756,#REF!,10,0),0)+IFERROR(VLOOKUP(A1756,#REF!,9,0),0)+IFERROR(VLOOKUP(A1756,#REF!,9,0),0)+IFERROR(VLOOKUP(A1756,#REF!,9,0),0)+IFERROR(VLOOKUP(A1756,#REF!,9,0),0)</f>
        <v>0</v>
      </c>
      <c r="J1756" s="104">
        <f>IFERROR(VLOOKUP(A1756,#REF!,16,0),0)+IFERROR(VLOOKUP(A1756,#REF!,26,0),0)+IFERROR(VLOOKUP(A1756,#REF!,11,0),0)+IFERROR(VLOOKUP(A1756,#REF!,23,0),0)+IFERROR(VLOOKUP(A1756,#REF!,11,0),0)+IFERROR(VLOOKUP(A1756,#REF!,11,0),0)+IFERROR(VLOOKUP(A1756,#REF!,11,0),0)</f>
        <v>0</v>
      </c>
      <c r="K1756" s="96" t="str">
        <f>"07.02.24"</f>
        <v>07.02.24</v>
      </c>
    </row>
    <row r="1757" spans="1:11" ht="11.25" customHeight="1" outlineLevel="1">
      <c r="A1757" s="109" t="s">
        <v>2877</v>
      </c>
      <c r="B1757" s="114" t="s">
        <v>2835</v>
      </c>
      <c r="C1757" s="89" t="s">
        <v>2878</v>
      </c>
      <c r="D1757" s="89" t="s">
        <v>15</v>
      </c>
      <c r="E1757" s="89"/>
      <c r="F1757" s="102" t="n">
        <v>21214</v>
      </c>
      <c r="G1757" s="102" t="n">
        <v>23825</v>
      </c>
      <c r="H1757" s="103" t="s">
        <v>17</v>
      </c>
      <c r="I1757" s="103">
        <f>IFERROR(VLOOKUP(A1757,#REF!,15,0),0)+IFERROR(VLOOKUP(A1757,#REF!,25,0),0)+IFERROR(VLOOKUP(A1757,#REF!,10,0),0)+IFERROR(VLOOKUP(A1757,#REF!,14,0),0)+IFERROR(VLOOKUP(A1757,#REF!,10,0),0)+IFERROR(VLOOKUP(A1757,#REF!,10,0),0)+IFERROR(VLOOKUP(A1757,#REF!,10,0),0)+IFERROR(VLOOKUP(A1757,#REF!,9,0),0)+IFERROR(VLOOKUP(A1757,#REF!,9,0),0)+IFERROR(VLOOKUP(A1757,#REF!,9,0),0)+IFERROR(VLOOKUP(A1757,#REF!,9,0),0)</f>
        <v>0</v>
      </c>
      <c r="J1757" s="104">
        <f>IFERROR(VLOOKUP(A1757,#REF!,16,0),0)+IFERROR(VLOOKUP(A1757,#REF!,26,0),0)+IFERROR(VLOOKUP(A1757,#REF!,11,0),0)+IFERROR(VLOOKUP(A1757,#REF!,23,0),0)+IFERROR(VLOOKUP(A1757,#REF!,11,0),0)+IFERROR(VLOOKUP(A1757,#REF!,11,0),0)+IFERROR(VLOOKUP(A1757,#REF!,11,0),0)</f>
        <v>0</v>
      </c>
      <c r="K1757" s="96" t="str">
        <f>"07.02.24"</f>
        <v>07.02.24</v>
      </c>
    </row>
    <row r="1758" spans="1:11" ht="11.25" customHeight="1" outlineLevel="1">
      <c r="A1758" s="109" t="s">
        <v>2879</v>
      </c>
      <c r="B1758" s="114" t="s">
        <v>2835</v>
      </c>
      <c r="C1758" s="89" t="s">
        <v>2880</v>
      </c>
      <c r="D1758" s="89" t="s">
        <v>15</v>
      </c>
      <c r="E1758" s="89"/>
      <c r="F1758" s="102" t="n">
        <v>18557</v>
      </c>
      <c r="G1758" s="102" t="n">
        <v>20841</v>
      </c>
      <c r="H1758" s="103" t="s">
        <v>17</v>
      </c>
      <c r="I1758" s="103">
        <f>IFERROR(VLOOKUP(A1758,#REF!,15,0),0)+IFERROR(VLOOKUP(A1758,#REF!,25,0),0)+IFERROR(VLOOKUP(A1758,#REF!,10,0),0)+IFERROR(VLOOKUP(A1758,#REF!,14,0),0)+IFERROR(VLOOKUP(A1758,#REF!,10,0),0)+IFERROR(VLOOKUP(A1758,#REF!,10,0),0)+IFERROR(VLOOKUP(A1758,#REF!,10,0),0)+IFERROR(VLOOKUP(A1758,#REF!,9,0),0)+IFERROR(VLOOKUP(A1758,#REF!,9,0),0)+IFERROR(VLOOKUP(A1758,#REF!,9,0),0)+IFERROR(VLOOKUP(A1758,#REF!,9,0),0)</f>
        <v>0</v>
      </c>
      <c r="J1758" s="104">
        <f>IFERROR(VLOOKUP(A1758,#REF!,16,0),0)+IFERROR(VLOOKUP(A1758,#REF!,26,0),0)+IFERROR(VLOOKUP(A1758,#REF!,11,0),0)+IFERROR(VLOOKUP(A1758,#REF!,23,0),0)+IFERROR(VLOOKUP(A1758,#REF!,11,0),0)+IFERROR(VLOOKUP(A1758,#REF!,11,0),0)+IFERROR(VLOOKUP(A1758,#REF!,11,0),0)</f>
        <v>0</v>
      </c>
      <c r="K1758" s="96" t="str">
        <f>"07.02.24"</f>
        <v>07.02.24</v>
      </c>
    </row>
    <row r="1759" spans="1:11" ht="11.25" customHeight="1" outlineLevel="1">
      <c r="A1759" s="109" t="s">
        <v>2881</v>
      </c>
      <c r="B1759" s="114" t="s">
        <v>2835</v>
      </c>
      <c r="C1759" s="89" t="s">
        <v>2882</v>
      </c>
      <c r="D1759" s="89" t="s">
        <v>15</v>
      </c>
      <c r="E1759" s="89"/>
      <c r="F1759" s="102" t="n">
        <v>20896</v>
      </c>
      <c r="G1759" s="102" t="n">
        <v>23468</v>
      </c>
      <c r="H1759" s="103" t="s">
        <v>17</v>
      </c>
      <c r="I1759" s="103">
        <f>IFERROR(VLOOKUP(A1759,#REF!,15,0),0)+IFERROR(VLOOKUP(A1759,#REF!,25,0),0)+IFERROR(VLOOKUP(A1759,#REF!,10,0),0)+IFERROR(VLOOKUP(A1759,#REF!,14,0),0)+IFERROR(VLOOKUP(A1759,#REF!,10,0),0)+IFERROR(VLOOKUP(A1759,#REF!,10,0),0)+IFERROR(VLOOKUP(A1759,#REF!,10,0),0)+IFERROR(VLOOKUP(A1759,#REF!,9,0),0)+IFERROR(VLOOKUP(A1759,#REF!,9,0),0)+IFERROR(VLOOKUP(A1759,#REF!,9,0),0)+IFERROR(VLOOKUP(A1759,#REF!,9,0),0)</f>
        <v>0</v>
      </c>
      <c r="J1759" s="104">
        <f>IFERROR(VLOOKUP(A1759,#REF!,16,0),0)+IFERROR(VLOOKUP(A1759,#REF!,26,0),0)+IFERROR(VLOOKUP(A1759,#REF!,11,0),0)+IFERROR(VLOOKUP(A1759,#REF!,23,0),0)+IFERROR(VLOOKUP(A1759,#REF!,11,0),0)+IFERROR(VLOOKUP(A1759,#REF!,11,0),0)+IFERROR(VLOOKUP(A1759,#REF!,11,0),0)</f>
        <v>0</v>
      </c>
      <c r="K1759" s="96" t="str">
        <f>"07.02.24"</f>
        <v>07.02.24</v>
      </c>
    </row>
    <row r="1760" spans="1:1" ht="11.25" customHeight="1"/>
  </sheetData>
  <autoFilter ref="A13:J1759"/>
  <mergeCells count="7">
    <mergeCell ref="A10:A11"/>
    <mergeCell ref="C10:C11"/>
    <mergeCell ref="D10:D11"/>
    <mergeCell ref="E10:E11"/>
    <mergeCell ref="F10:F11"/>
    <mergeCell ref="G10:G11"/>
    <mergeCell ref="J10:J11"/>
  </mergeCells>
  <printOptions>
    <extLst>
      <ext uri="smNativeData">
        <pm:pageFlags xmlns:pm="smNativeData" id="170730262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07302626" l="56" r="56" t="56" b="56" borderId="0" fillId="0" vertical="0"/>
        <pm:footer xmlns:pm="smNativeData" id="1707302626" l="56" r="56" t="56" b="56" borderId="0" fillId="0" vertical="2"/>
        <pm:paperBin xmlns:pm="smNativeData" id="1707302626" Id="0" type="0" value="0"/>
        <pm:paperBin xmlns:pm="smNativeData" id="1707302626" Id="1" type="0" value="0"/>
      </ext>
    </extLst>
  </headerFooter>
  <drawing r:id="rId1"/>
  <extLst>
    <ext uri="smNativeData">
      <pm:sheetPrefs xmlns:pm="smNativeData" day="170730262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Мокроусова Дарья Владимировна</dc:creator>
  <cp:keywords/>
  <dc:description/>
  <cp:lastModifiedBy>111</cp:lastModifiedBy>
  <cp:revision>0</cp:revision>
  <dcterms:created xsi:type="dcterms:W3CDTF">2015-01-22T14:27:13Z</dcterms:created>
  <dcterms:modified xsi:type="dcterms:W3CDTF">2024-02-07T10:43:46Z</dcterms:modified>
</cp:coreProperties>
</file>