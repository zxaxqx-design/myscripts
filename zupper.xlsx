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<sst xmlns="http://schemas.openxmlformats.org/spreadsheetml/2006/main" uniqueCount="231">
  <si>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ID товара</t>
  </si>
  <si>
    <t>Артикул</t>
  </si>
  <si>
    <t>Название</t>
  </si>
  <si>
    <t>URL поставщика</t>
  </si>
  <si>
    <t>Статус наличия</t>
  </si>
  <si>
    <t>Код ответа</t>
  </si>
  <si>
    <t>WELPING WP200C 63-200 мм Стыковой сварочный аппарат</t>
  </si>
  <si>
    <t>https://zupper.ru/products/stykovoj-svarochnyj-apparat-wp200c</t>
  </si>
  <si>
    <t>Есть в наличии</t>
  </si>
  <si>
    <t>WELPING WP250С 63-250 мм Стыковой сварочный аппарат</t>
  </si>
  <si>
    <t>https://zupper.ru/products/stykovoj-svarochnyj-apparat-wp250s</t>
  </si>
  <si>
    <t>WELPING WP160С 40-160 мм Стыковой сварочный аппарат</t>
  </si>
  <si>
    <t>https://zupper.ru/products/stykovoj-svarochnyj-apparat-wp160c</t>
  </si>
  <si>
    <t>WELPING WP160A 40-160 мм Стыковой сварочный аппарат гидравлический</t>
  </si>
  <si>
    <t>https://zupper.ru/products/stykovoj-svarochnyj-apparat-wp160a</t>
  </si>
  <si>
    <t>WELPING WP200A 63-200 мм Стыковой сварочный аппарат гидравлический</t>
  </si>
  <si>
    <t>https://zupper.ru/products/stykovoj-svarochnyj-apparat-wp200a</t>
  </si>
  <si>
    <t>WELPING WP315A 90-315 мм Стыковой сварочный аппарат гидравлический</t>
  </si>
  <si>
    <t>https://zupper.ru/products/stykovoj-svarochnyj-apparat-wp315a</t>
  </si>
  <si>
    <t>WELPING WP400A 180-400 мм Стыковой сварочный аппарат гидравлический</t>
  </si>
  <si>
    <t>https://zupper.ru/products/stykovoj-svarochnyj-apparat-wp400a</t>
  </si>
  <si>
    <t>WELPING WP450A 180-450 мм Стыковой сварочный аппарат гидравлический</t>
  </si>
  <si>
    <t>https://zupper.ru/products/stykovoj-svarochnyj-apparat-wp450a</t>
  </si>
  <si>
    <t>WELPING WP500A 180-500 мм Стыковой сварочный аппарат гидравлический</t>
  </si>
  <si>
    <t>https://zupper.ru/products/stykovoj-svarochnyj-apparat-wp500a</t>
  </si>
  <si>
    <t>WELPING WP250A 63-250 мм Стыковой сварочный аппарат гидравлический</t>
  </si>
  <si>
    <t>https://zupper.ru/products/stykovoj-svarochnyj-apparat-wp250a</t>
  </si>
  <si>
    <t>WELPING WP800A 450-800 мм Стыковой сварочный аппарат гидравлический</t>
  </si>
  <si>
    <t>https://zupper.ru/products/stykovoj-svarochnyj-apparat-wp800a</t>
  </si>
  <si>
    <t>WELPING WP1000A 630-1000 мм Стыковой сварочный аппарат гидравлический</t>
  </si>
  <si>
    <t>https://zupper.ru/products/stykovoj-svarochnyj-apparat-wp1000a</t>
  </si>
  <si>
    <t>WELPING WP1200A 630-1200 мм Стыковой сварочный аппарат гидравлический</t>
  </si>
  <si>
    <t>https://zupper.ru/products/stykovoj-svarochnyj-apparat-wp1200a</t>
  </si>
  <si>
    <t>WELPING WP630A 315-630 мм Стыковой сварочный аппарат гидравлический</t>
  </si>
  <si>
    <t>https://zupper.ru/products/stykovoj-svarochnyj-apparat-wp630a</t>
  </si>
  <si>
    <t>WELPING WP355A 220В 90-355 мм Стыковой сварочный аппарат гидравлический</t>
  </si>
  <si>
    <t>https://zupper.ru/products/stykovoj-svarochnyj-apparat-wp355a</t>
  </si>
  <si>
    <t>минимальный остаток</t>
  </si>
  <si>
    <t>WELPING WP355A 380В 90-355 мм Стыковой сварочный аппарат гидравлический</t>
  </si>
  <si>
    <t>WELPING WP1400A 1000-1400 мм Стыковой сварочный аппарат гидравлический</t>
  </si>
  <si>
    <t>https://zupper.ru/products/stykovoj-svarochnyj-apparat-wp1400a</t>
  </si>
  <si>
    <t>WELPING WP1600AH 1200-1600 мм Стыковой сварочный аппарат гидравлический</t>
  </si>
  <si>
    <t>https://zupper.ru/products/stykovoj-svarochnyj-apparat-wp1600a</t>
  </si>
  <si>
    <t>WELPING WP 315Q 90-315 мм Стыковой сварочный аппарат гидравлический с блоком протоколирования</t>
  </si>
  <si>
    <t>https://zupper.ru/products/stykovoj-svarochnyj-poluavtomat-wp-315q</t>
  </si>
  <si>
    <t>WELPING WP250Q 63-250 мм Стыковой сварочный аппарат (CNC) гидравлический с блоком протоколирования</t>
  </si>
  <si>
    <t>https://zupper.ru/products/stykovoj-svarochnyj-avtomat-wp-250q</t>
  </si>
  <si>
    <t>WELPING WP200Q 63-200 мм Стыковой сварочный аппарат (CNC) гидравлический с блоком протоколирования</t>
  </si>
  <si>
    <t>https://zupper.ru/products/stykovoj-svarochnyj-avtomat-wp-200q</t>
  </si>
  <si>
    <t>WELPING WP315Q 90-315 мм Стыковой сварочный аппарат (CNC) гидравлический с блоком протоколирования</t>
  </si>
  <si>
    <t>https://zupper.ru/products/stykovoj-svarochnyj-avtomat-wp-315q</t>
  </si>
  <si>
    <t>WELPING WP35K Аппарат электромуфтовой сварки</t>
  </si>
  <si>
    <t>https://zupper.ru/products/apparat-elektromuftovoj-svarki-wp35k</t>
  </si>
  <si>
    <t>WELPING WP35K Электромуфтовый сварочный аппарат с принтером</t>
  </si>
  <si>
    <t>WELDY BOOSTER EX2 2,2 кг/ч Ручной сварочный экструдер</t>
  </si>
  <si>
    <t>https://zupper.ru/products/ruchnoj-svarochnyj-ekstruder-weldy-booster-ex2</t>
  </si>
  <si>
    <t>WELDY BOOSTER EX3 3,4 кг/ч Ручной сварочный экструдер</t>
  </si>
  <si>
    <t>https://zupper.ru/products/ruchnoj-svarochnyj-ekstruder-weldy-booster-ex3</t>
  </si>
  <si>
    <t>WELDY ROOF 40 Сварочный автомат для полимерных кровельных покрытий</t>
  </si>
  <si>
    <t>https://zupper.ru/products/svarochnyj-avtomat-weldy-roof-40</t>
  </si>
  <si>
    <t>WELDY FOILER (Фойлер) Сварочный автомат горячего воздуха</t>
  </si>
  <si>
    <t>https://zupper.ru/products/svarochnyj-avtomat-goryachego-vozduha-weldy-foiler-fojler</t>
  </si>
  <si>
    <t>WELDY ROOFER RW3400 Сварочный аппарат для кровельных материалов (Руфер RW3400)</t>
  </si>
  <si>
    <t>https://zupper.ru/products/svarochnyj-avtomat-goryachego-vozduha-weldy-roofer-rw3400-rufer-rw3400</t>
  </si>
  <si>
    <t>WELDY FOILER ETL Сварочный автомат горячего воздуха</t>
  </si>
  <si>
    <t>https://zupper.ru/products/svarochnyj-avtomat-goryachego-vozduha-weldy-foiler-etl-fojler-etl</t>
  </si>
  <si>
    <t>WELDY ENERGY HT1600 Ручной аппарат горячего воздуха (внахлест)</t>
  </si>
  <si>
    <t>https://zupper.ru/products/ruchnoj-apparat-goryachego-vozduha-weldy-energy-ht1600</t>
  </si>
  <si>
    <t>WELDY ENERGY HT1600 Ручной аппарат горячего воздуха (встык)</t>
  </si>
  <si>
    <t>https://zupper.ru/products/ruchnoj-termofen-dlya-svarki-vstyk-energy-ht1600-d</t>
  </si>
  <si>
    <t>WELDY ENERGY HT1600 D Ручной термофен для сварки листового пластика (встык)</t>
  </si>
  <si>
    <t>https://zupper.ru/products/ruchnoj-termofen-dlya-svarki-listovogo-plastika-enerdgy-ht1600-d</t>
  </si>
  <si>
    <t>WELDY ENERGY HT1600 D Ручной термофен для сварки (внахлёст)</t>
  </si>
  <si>
    <t>https://zupper.ru/products/ruchnoj-termofen-dlya-svarki-vnahlest-enerdgy-ht1600-d</t>
  </si>
  <si>
    <t>WELPING WP800 Фланцевый зажим для крепления втулок</t>
  </si>
  <si>
    <t>https://zupper.ru/products/flantsevyj-zazhim-dlya-krepleniya-vtulok-wp800</t>
  </si>
  <si>
    <t>WELPING WP100K Аппарат электромуфтовой сварки</t>
  </si>
  <si>
    <t>https://zupper.ru/products/apparat-elektromuftovoj-svarki-wp100k</t>
  </si>
  <si>
    <t>HONGLI SQ100F (1/2"-4") Резьбонарезной станок</t>
  </si>
  <si>
    <t>https://zupper.ru/products/stanok-rezbonareznoj-sq100f-do-4</t>
  </si>
  <si>
    <t>HONGLI H22S (20"-22") Труборез ручной роторный</t>
  </si>
  <si>
    <t>https://zupper.ru/products/truborez-ruchnoj-rotornyj-h22s-20-22</t>
  </si>
  <si>
    <t>HONGLI YG12D 1"-12" Гидравлический желобонакатчик</t>
  </si>
  <si>
    <t>https://zupper.ru/products/zhelobonakatchik-gidravlicheskij-yg12d-1-12</t>
  </si>
  <si>
    <t>HONGLI QG12C (2.1/2"-12") Электрогидравлический труборез</t>
  </si>
  <si>
    <t>https://zupper.ru/products/truborez-gidravlicheskij-do-12</t>
  </si>
  <si>
    <t>HONGLI G12D 1"-12" Гидравлический желобонакатчик</t>
  </si>
  <si>
    <t>https://zupper.ru/products/zhelobonakatchik-gidravlicheskij-g12d-1-12</t>
  </si>
  <si>
    <t>HONGLI SQ50D (1/4"-2") Резьбонарезной станок</t>
  </si>
  <si>
    <t>https://zupper.ru/products/stanok-rezbonareznoj-sq50d</t>
  </si>
  <si>
    <t>HONGLI YG12A+SQ50D 2"-12" Гидравлический желобонакатчик</t>
  </si>
  <si>
    <t>https://zupper.ru/products/stanok-dlya-nakatki-zhelobkov-do-12</t>
  </si>
  <si>
    <t>HONGLI SQ80C1 до 3" Резьбонарезной станок</t>
  </si>
  <si>
    <t>https://zupper.ru/products/rezbonareznoj-stanok-mod-sq80c1-do-3</t>
  </si>
  <si>
    <t>HONGLI H18S (16"-18") Труборез ручной роторный</t>
  </si>
  <si>
    <t>https://zupper.ru/products/truborez-ruchnoj-rotornyj-h18s-14-18</t>
  </si>
  <si>
    <t>HONGLI YG12E (2"-12") Гидравлический желобонакатчик</t>
  </si>
  <si>
    <t>https://zupper.ru/products/gidravlicheskij-zhelobonakatchik-modyg12s</t>
  </si>
  <si>
    <t>HONGLI G8 (1"-8") Гидравлический желобонакатчик</t>
  </si>
  <si>
    <t>https://zupper.ru/products/zhelobonakatchik-gidravlicheskij-g8-1-8</t>
  </si>
  <si>
    <t>HONGLI QG8C-А (2"-8") Электрогидравлический труборез</t>
  </si>
  <si>
    <t>https://zupper.ru/products/truborez-gidravlicheskij-do-8</t>
  </si>
  <si>
    <t>HONGLI ZK50A (1/2"-2") Резьбонарезной станок</t>
  </si>
  <si>
    <t>https://zupper.ru/products/rezbonareznoj-stanok-zk50a-12-2</t>
  </si>
  <si>
    <t>HONGLI H14S (10"-14") Труборез ручной роторный</t>
  </si>
  <si>
    <t>https://zupper.ru/products/truborez-ruchnoj-rotornyj-h14s-10-14</t>
  </si>
  <si>
    <t>HONGLI SQ50E (1/2"-2") Резьбонарезной станок</t>
  </si>
  <si>
    <t>https://zupper.ru/products/stanok-rezbonareznoj-hongli-sq50-e</t>
  </si>
  <si>
    <t>HONGLI YG6C-A (1.1/4"-6") Гидравлический желобонакатчик</t>
  </si>
  <si>
    <t>https://zupper.ru/products/zhelobonakatchik-gidravlicheskij-yg6c-a-114-6</t>
  </si>
  <si>
    <t>HONGLI A200 (1400Вт) Прочистная машина</t>
  </si>
  <si>
    <t>https://zupper.ru/products/prochistnaya-mashina-hongli-a-200</t>
  </si>
  <si>
    <t>HONGLI HHW-76B Роликовый трубогиб</t>
  </si>
  <si>
    <t>https://zupper.ru/products/rolikovyj-trubogib-hhw-76b</t>
  </si>
  <si>
    <t>HONGLI SQ50A (1/2"-2") Резьбонарезной станок</t>
  </si>
  <si>
    <t>https://zupper.ru/products/rezbonareznoj-stanok-sq50a-12-2</t>
  </si>
  <si>
    <t>HONGLI HL-2800GB Прочистная машина</t>
  </si>
  <si>
    <t>https://zupper.ru/products/apparat-vysokogo-davleniya-hl-2800gb-benzin</t>
  </si>
  <si>
    <t>HONGLI H10S (8"-12") Труборез ручной роторный</t>
  </si>
  <si>
    <t>https://zupper.ru/products/truborez-ruchnoj-rotornyj-h10s-8-12</t>
  </si>
  <si>
    <t>HONGLI A150 (750Вт) Прочистная машина</t>
  </si>
  <si>
    <t>https://zupper.ru/products/prochistnaya-mashina-a-150</t>
  </si>
  <si>
    <t>HONGLI JK150 (1.1/4"-12") Станок для вырезания отверстий в трубах</t>
  </si>
  <si>
    <t>https://zupper.ru/products/stanok-dlya-vyrezaniya-otverstij-jk150</t>
  </si>
  <si>
    <t>HONGLI JK114 (1/4"-8") Станок для вырезания отверстий в трубах</t>
  </si>
  <si>
    <t>https://zupper.ru/products/stanok-dlya-vyrezaniya-otverstij-jk114</t>
  </si>
  <si>
    <t>HONGLI HHW-2 Ручной гидравлический трубогиб</t>
  </si>
  <si>
    <t>https://zupper.ru/products/ruchnoj-gidravlicheskij-trubogib-hhw-2</t>
  </si>
  <si>
    <t>HONGLI AG100X (370Вт) Прочистная машина</t>
  </si>
  <si>
    <t>https://zupper.ru/products/prochistnaya-mashina-elektricheskaya-ag100x-370vt</t>
  </si>
  <si>
    <t>HONGLI АG100 (410Вт) Прочистная машина</t>
  </si>
  <si>
    <t>https://zupper.ru/products/prochistnaya-mashina-elektricheskaya-ag100-410-vt</t>
  </si>
  <si>
    <t>HONGLI HHW-4J Ручной гидравлический трубогиб</t>
  </si>
  <si>
    <t>https://zupper.ru/products/ruchnoj-trubogib-hhw-4j</t>
  </si>
  <si>
    <t>HONGLI A75 (300Вт) Прочистная машина</t>
  </si>
  <si>
    <t>https://zupper.ru/products/prochistnaya-mashina-elektricheskaya-a75-300vt</t>
  </si>
  <si>
    <t>HONGLI H8S (6"-8") Труборез ручной роторный с хомутной защелкой</t>
  </si>
  <si>
    <t>https://zupper.ru/products/truborez-dlya-stalnyh-trub-do-8</t>
  </si>
  <si>
    <t>HONGLI AT50 Прочистная машина</t>
  </si>
  <si>
    <t>https://zupper.ru/products/akkumulyatornaya-prochistnaya-mashina-at50</t>
  </si>
  <si>
    <t>HONGLI H4S (2"-4") Труборез ручной роторный с хомутной защелкой</t>
  </si>
  <si>
    <t>https://zupper.ru/products/truborez-s-homutnoj-zaschelkoj-h4s-4-6</t>
  </si>
  <si>
    <t>HONGLI DSY60A 60 Бар Опрессовщик электрический</t>
  </si>
  <si>
    <t>https://zupper.ru/products/opressovschik-elektricheskij-mod-dsy60a</t>
  </si>
  <si>
    <t>HONGLI H6S (4"-6") Труборез ручной роторный с хомутной защелкой</t>
  </si>
  <si>
    <t>https://zupper.ru/products/truborez-s-homutnoj-zaschelkoj-h6s-4-6</t>
  </si>
  <si>
    <t>HONGLI DSY60 60 Бар Опрессовщик электрический</t>
  </si>
  <si>
    <t>https://zupper.ru/products/opressovschik-elektricheskij-dsy60</t>
  </si>
  <si>
    <t>WOPSON SJ-C90 300 м Телеинспекция скважин и трубопроводов</t>
  </si>
  <si>
    <t>https://zupper.ru/products/teleinspektsiya-skvazhin-sj-c90</t>
  </si>
  <si>
    <t>WOPSON FH4 120 м Телеинспекция скважин и трубопроводов</t>
  </si>
  <si>
    <t>https://zupper.ru/products/teleinspektsiya-wopson-fh4-120-m</t>
  </si>
  <si>
    <t>WOPSON FH4 80 м Телеинспекция скважин и трубопроводов</t>
  </si>
  <si>
    <t>https://zupper.ru/products/teleinspektsiya-wopson-h4-cfh4-80-m</t>
  </si>
  <si>
    <t>WOPSON A4-C50BF 120 м Телеинспекция скважин и трубопроводов</t>
  </si>
  <si>
    <t>https://zupper.ru/products/teleinspektsiya-wopson-a4--c50bf-60-m</t>
  </si>
  <si>
    <t>WOPSON A3-C38 80 м Телеинспекция скважин и трубопроводов</t>
  </si>
  <si>
    <t>https://zupper.ru/products/teleinspektsiya-wopson-a3--c40l-80-m</t>
  </si>
  <si>
    <t>WOPSON H2-C23HL 50 м Телеинспекция скважин и трубопроводов</t>
  </si>
  <si>
    <t>https://zupper.ru/products/teleinspektsiya-wopson-h2-c23hl-50-m</t>
  </si>
  <si>
    <t>WOPSON H1-C23H 50 м Телеинспекция скважин и трубопроводов</t>
  </si>
  <si>
    <t>https://zupper.ru/products/teleinspektsiya-h1</t>
  </si>
  <si>
    <t>WOPSON A2-C23AB 50 м Телеинспекция скважин и трубопроводов</t>
  </si>
  <si>
    <t>https://zupper.ru/products/teleinspektsiya-wopson-a2-c28l</t>
  </si>
  <si>
    <t>WOPSON B1-C23 40 м Телеинспекция скважин и трубопроводов</t>
  </si>
  <si>
    <t>https://zupper.ru/products/teleinspektsiya-wopson-b1-c23-40-m</t>
  </si>
  <si>
    <t>WOPSON A2-C28L1 50 м Телеинспекция скважин и трубопроводов</t>
  </si>
  <si>
    <t>https://zupper.ru/products/teleinspektsiya-wopson-a2-c23l1-50-m</t>
  </si>
  <si>
    <t>WOPSON A1-C23 50 м Телеинспекция скважин и трубопроводов</t>
  </si>
  <si>
    <t>https://zupper.ru/products/teleinspektsiya-a1</t>
  </si>
  <si>
    <t>WOPSON B2-C232L 40 м Телеинспекция скважин и трубопроводов</t>
  </si>
  <si>
    <t>https://zupper.ru/products/teleinspektsiya-wopson-b2-c28l</t>
  </si>
  <si>
    <t>WOPSON WPS-L3-C23LG Телеинспекция скважин и трубопроводов</t>
  </si>
  <si>
    <t>https://zupper.ru/products/teleskopicheskaya-inspektsiya-wps-l3-c23lg</t>
  </si>
  <si>
    <t>WELPING WP315 Pro Стыковой сварочный аппарат</t>
  </si>
  <si>
    <t>https://zupper.ru/products/stykovoj-svarochnyj-apparat-wp315-pro</t>
  </si>
  <si>
    <t>WELPING WP40H 2,8 кг/ч Ручной сварочный экструдер</t>
  </si>
  <si>
    <t>https://zupper.ru/products/ruchnoj-svarochnyj-ekstruder-welping-wp40h_2</t>
  </si>
  <si>
    <t>WOPSON B5-C50PT 120 м Телеинспекция трубопроводов</t>
  </si>
  <si>
    <t>https://zupper.ru/products/teleinspektsiya-wopson-b5--c50pt-120-m</t>
  </si>
  <si>
    <t>WOPSON A2-C23AB Телеинспекция трубопроводов</t>
  </si>
  <si>
    <t>WOPSON R2 100 м Телеинспекция скважин</t>
  </si>
  <si>
    <t>https://zupper.ru/products/teleinspektsiya-skvazhin-wopson-r-2-100-metrov</t>
  </si>
  <si>
    <t>HONGLI AN200B (1500Вт) Прочистная машина</t>
  </si>
  <si>
    <t>https://zupper.ru/products/prochistnaya-mashina-an200b-1500vt</t>
  </si>
  <si>
    <t>HONGLI YG12A (2"-12") Гидравлический желобонакатчик (без привода)</t>
  </si>
  <si>
    <t>https://zupper.ru/products/ustrojstvo-nakatki-zhelobkov-mod-yg12a</t>
  </si>
  <si>
    <t>HONGLI H6S (4"-6") Труборез с хомутной защелкой</t>
  </si>
  <si>
    <t>HONGLI HHW-3 Гидравлический трубогиб</t>
  </si>
  <si>
    <t>https://zupper.ru/products/trubogib-gidravlicheskij-mod-hhw-2j</t>
  </si>
  <si>
    <t>HONGLI YG6D-A (2"-6") Гидравлический желобонакатчик</t>
  </si>
  <si>
    <t>https://zupper.ru/products/gidravlicheskij-zhelobonakatchik-modyg6c</t>
  </si>
  <si>
    <t>HONGLI GC03 (1.1/4 -6") Желобонакатчик ручной</t>
  </si>
  <si>
    <t>https://zupper.ru/products/zhelobonakatchik-ruchnoj-gc03-114--6</t>
  </si>
  <si>
    <t>HONGLI H4S (2"-4") Труборез с хомутной защелкой</t>
  </si>
  <si>
    <t>HONGLI H2S (1"-2 1/2") Труборез с хомутной защелкой</t>
  </si>
  <si>
    <t>https://zupper.ru/products/truborez-s-homutnoj-zaschelkoj-h2s-1-2-12</t>
  </si>
  <si>
    <t>HONGLI SQ30-2b (1/2-2) HSS Резьбонарезной электрический клупп</t>
  </si>
  <si>
    <t>https://zupper.ru/products/klupp-elektricheskij-mod-sq30-2b</t>
  </si>
  <si>
    <t>HONGLI SQ30-2с (1/2-2) HSS Резьбонарезной электрический клупп</t>
  </si>
  <si>
    <t>https://zupper.ru/products/rezbonareznoj-elektricheskij-klupp-sq30-2s-12-2-hss</t>
  </si>
  <si>
    <t>HONGLI SQ30 (1/2-1.1/4) TiN Резьбонарезной электрический клупп</t>
  </si>
  <si>
    <t>https://zupper.ru/products/klupp-elektricheskij-do-114-sq30-gold</t>
  </si>
  <si>
    <t>HONGLI SQ30 (1/2-1.1/4) HSS Резьбонарезной электрический клупп</t>
  </si>
  <si>
    <t>https://zupper.ru/products/klupp-elektricheskij-do-114-model-sq30-hss</t>
  </si>
  <si>
    <t>HONGLI SQ30 (1/2-1.1/4) Alloy Резьбонарезной электрический клупп</t>
  </si>
  <si>
    <t>https://zupper.ru/products/klupp-elektricheskij-do-114-sq30</t>
  </si>
  <si>
    <t>HONGLI SQ30A (1/2-1.1/4) HSS Резьбонарезной электрический клупп</t>
  </si>
  <si>
    <t>https://zupper.ru/products/rezbonareznoj-elektricheskij-klupp-sq30a-12-114-hss</t>
  </si>
  <si>
    <t>HONGLI HL-12R (1/2-2) Alloy Резьбонарезной электрический клупп</t>
  </si>
  <si>
    <t>https://zupper.ru/products/ruchnoj-rezbonareznoj-klupp-12-2</t>
  </si>
  <si>
    <t>HONGLI HHW-25S (3/8"-1") Ручной трубогиб</t>
  </si>
  <si>
    <t>https://zupper.ru/products/ruchnoj-trubogib-hhw-25s</t>
  </si>
  <si>
    <t>HONGLI HHW-22A Ручной трубогиб</t>
  </si>
  <si>
    <t>https://zupper.ru/products/ruchnoj-trubogib-hhw-22a</t>
  </si>
  <si>
    <t>HONGLI HHW-22 Ручной трубогиб</t>
  </si>
  <si>
    <t>https://zupper.ru/products/ruchnoj-trubogib-hhw-22</t>
  </si>
  <si>
    <t>HONGLI HHW-2D 220В Электрогидравлический трубогиб</t>
  </si>
  <si>
    <t>https://zupper.ru/products/elektricheskij-trubogib-hhw-2d</t>
  </si>
  <si>
    <t>HONGLI HSY30-5 (60 Бар) Опрессовщик ручной</t>
  </si>
  <si>
    <t>https://zupper.ru/products/opressovschik-ruchnoj-mod-hsy30-5</t>
  </si>
  <si>
    <t>HONGLI HHW-1A Ручной трубогиб до 1"</t>
  </si>
  <si>
    <t>https://zupper.ru/products/trubogib-do-1-mod-hhw-1a</t>
  </si>
  <si>
    <t>HONGLI Станок для метрической резьбы</t>
  </si>
  <si>
    <t>https://zupper.ru/products/stanok-dlya-metricheskoj-rezby-sq50-s1</t>
  </si>
  <si>
    <t>HONGLI HL-1800M Электрическая машина высокого давления</t>
  </si>
  <si>
    <t>https://zupper.ru/products/mashina-vysokogo-davleniya-hl-1800m-elektricheskaya</t>
  </si>
  <si>
    <t>HONGLI HL-1309M Электрический аппарат высокого давления</t>
  </si>
  <si>
    <t>https://zupper.ru/products/apparat-vysokogo-davleniya-hl-1309m-elektricheskaya</t>
  </si>
  <si>
    <t>HONGLI GR6 1.1/4"-6" Желобонакатчик ручной</t>
  </si>
  <si>
    <t>https://zupper.ru/products/ruchnoj-gruver-gr6-1-1-4-6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</si>
</sst>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5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6.1389" customWidth="true" style="3"/>
    <col min="2" max="2" width="16.1389" customWidth="true" style="3"/>
    <col min="3" max="3" width="43.1323" customWidth="true" style="0"/>
    <col min="4" max="4" width="70.1257" customWidth="true" style="3"/>
    <col min="5" max="5" width="26.8506" customWidth="true" style="0"/>
    <col min="6" max="6" width="26.8506" customWidth="true" style="0"/>
  </cols>
  <sheetData>
    <row r="1" spans="1:6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3">
        <v>336886</v>
      </c>
      <c r="B2" s="3" t="str">
        <f>"540200"</f>
        <v>540200</v>
      </c>
      <c r="C2" t="s">
        <v>6</v>
      </c>
      <c r="D2" s="3" t="s">
        <v>7</v>
      </c>
      <c r="E2" t="s">
        <v>8</v>
      </c>
      <c r="F2">
        <v>200</v>
      </c>
    </row>
    <row r="3" spans="1:6">
      <c r="A3" s="3">
        <v>336887</v>
      </c>
      <c r="B3" s="3" t="str">
        <f>"540250"</f>
        <v>540250</v>
      </c>
      <c r="C3" t="s">
        <v>9</v>
      </c>
      <c r="D3" s="3" t="s">
        <v>10</v>
      </c>
      <c r="E3" t="s">
        <v>8</v>
      </c>
      <c r="F3">
        <v>200</v>
      </c>
    </row>
    <row r="4" spans="1:6">
      <c r="A4" s="3">
        <v>336888</v>
      </c>
      <c r="B4" s="3" t="str">
        <f>"540160"</f>
        <v>540160</v>
      </c>
      <c r="C4" t="s">
        <v>11</v>
      </c>
      <c r="D4" s="3" t="s">
        <v>12</v>
      </c>
      <c r="E4" t="s">
        <v>8</v>
      </c>
      <c r="F4">
        <v>200</v>
      </c>
    </row>
    <row r="5" spans="1:6">
      <c r="A5" s="3">
        <v>336889</v>
      </c>
      <c r="B5" s="3" t="str">
        <f>"560160"</f>
        <v>560160</v>
      </c>
      <c r="C5" t="s">
        <v>13</v>
      </c>
      <c r="D5" s="3" t="s">
        <v>14</v>
      </c>
      <c r="E5" t="s">
        <v>8</v>
      </c>
      <c r="F5">
        <v>200</v>
      </c>
    </row>
    <row r="6" spans="1:6">
      <c r="A6" s="3">
        <v>336890</v>
      </c>
      <c r="B6" s="3" t="str">
        <f>"560200"</f>
        <v>560200</v>
      </c>
      <c r="C6" t="s">
        <v>15</v>
      </c>
      <c r="D6" s="3" t="s">
        <v>16</v>
      </c>
      <c r="E6" t="s">
        <v>8</v>
      </c>
      <c r="F6">
        <v>200</v>
      </c>
    </row>
    <row r="7" spans="1:6">
      <c r="A7" s="3">
        <v>336891</v>
      </c>
      <c r="B7" s="3" t="str">
        <f>"560315"</f>
        <v>560315</v>
      </c>
      <c r="C7" t="s">
        <v>17</v>
      </c>
      <c r="D7" s="3" t="s">
        <v>18</v>
      </c>
      <c r="E7" t="s">
        <v>8</v>
      </c>
      <c r="F7">
        <v>200</v>
      </c>
    </row>
    <row r="8" spans="1:6">
      <c r="A8" s="3">
        <v>336892</v>
      </c>
      <c r="B8" s="3" t="str">
        <f>"560400"</f>
        <v>560400</v>
      </c>
      <c r="C8" t="s">
        <v>19</v>
      </c>
      <c r="D8" s="3" t="s">
        <v>20</v>
      </c>
      <c r="E8" t="s">
        <v>8</v>
      </c>
      <c r="F8">
        <v>200</v>
      </c>
    </row>
    <row r="9" spans="1:6">
      <c r="A9" s="3">
        <v>336893</v>
      </c>
      <c r="B9" s="3" t="str">
        <f>"560450"</f>
        <v>560450</v>
      </c>
      <c r="C9" t="s">
        <v>21</v>
      </c>
      <c r="D9" s="3" t="s">
        <v>22</v>
      </c>
      <c r="E9" t="s">
        <v>8</v>
      </c>
      <c r="F9">
        <v>200</v>
      </c>
    </row>
    <row r="10" spans="1:6">
      <c r="A10" s="3">
        <v>336894</v>
      </c>
      <c r="B10" s="3" t="str">
        <f>"560500"</f>
        <v>560500</v>
      </c>
      <c r="C10" t="s">
        <v>23</v>
      </c>
      <c r="D10" s="3" t="s">
        <v>24</v>
      </c>
      <c r="E10" t="s">
        <v>8</v>
      </c>
      <c r="F10">
        <v>200</v>
      </c>
    </row>
    <row r="11" spans="1:6">
      <c r="A11" s="3">
        <v>336895</v>
      </c>
      <c r="B11" s="3" t="str">
        <f>"560250"</f>
        <v>560250</v>
      </c>
      <c r="C11" t="s">
        <v>25</v>
      </c>
      <c r="D11" s="3" t="s">
        <v>26</v>
      </c>
      <c r="E11" t="s">
        <v>8</v>
      </c>
      <c r="F11">
        <v>200</v>
      </c>
    </row>
    <row r="12" spans="1:6">
      <c r="A12" s="3">
        <v>336896</v>
      </c>
      <c r="B12" s="3" t="str">
        <f>"560800"</f>
        <v>560800</v>
      </c>
      <c r="C12" t="s">
        <v>27</v>
      </c>
      <c r="D12" s="3" t="s">
        <v>28</v>
      </c>
      <c r="E12" t="s">
        <v>8</v>
      </c>
      <c r="F12">
        <v>200</v>
      </c>
    </row>
    <row r="13" spans="1:6">
      <c r="A13" s="3">
        <v>336897</v>
      </c>
      <c r="B13" s="3" t="str">
        <f>"580100"</f>
        <v>580100</v>
      </c>
      <c r="C13" t="s">
        <v>29</v>
      </c>
      <c r="D13" s="3" t="s">
        <v>30</v>
      </c>
      <c r="E13" t="s">
        <v>8</v>
      </c>
      <c r="F13">
        <v>200</v>
      </c>
    </row>
    <row r="14" spans="1:6">
      <c r="A14" s="3">
        <v>336898</v>
      </c>
      <c r="B14" s="3" t="str">
        <f>"580120"</f>
        <v>580120</v>
      </c>
      <c r="C14" t="s">
        <v>31</v>
      </c>
      <c r="D14" s="3" t="s">
        <v>32</v>
      </c>
      <c r="E14" t="s">
        <v>8</v>
      </c>
      <c r="F14">
        <v>200</v>
      </c>
    </row>
    <row r="15" spans="1:6">
      <c r="A15" s="3">
        <v>336899</v>
      </c>
      <c r="B15" s="3" t="str">
        <f>"560630"</f>
        <v>560630</v>
      </c>
      <c r="C15" t="s">
        <v>33</v>
      </c>
      <c r="D15" s="3" t="s">
        <v>34</v>
      </c>
      <c r="E15" t="s">
        <v>8</v>
      </c>
      <c r="F15">
        <v>200</v>
      </c>
    </row>
    <row r="16" spans="1:6">
      <c r="A16" s="3">
        <v>336900</v>
      </c>
      <c r="B16" s="3" t="str">
        <f>"560035"</f>
        <v>560035</v>
      </c>
      <c r="C16" t="s">
        <v>35</v>
      </c>
      <c r="D16" s="3" t="s">
        <v>36</v>
      </c>
      <c r="E16" t="s">
        <v>37</v>
      </c>
      <c r="F16">
        <v>200</v>
      </c>
    </row>
    <row r="17" spans="1:6">
      <c r="A17" s="3">
        <v>336901</v>
      </c>
      <c r="B17" s="3" t="str">
        <f>"560035"</f>
        <v>560035</v>
      </c>
      <c r="C17" t="s">
        <v>38</v>
      </c>
      <c r="D17" s="3" t="s">
        <v>36</v>
      </c>
      <c r="E17" t="s">
        <v>37</v>
      </c>
      <c r="F17">
        <v>200</v>
      </c>
    </row>
    <row r="18" spans="1:6">
      <c r="A18" s="3">
        <v>336902</v>
      </c>
      <c r="B18" s="3" t="str">
        <f>"580140"</f>
        <v>580140</v>
      </c>
      <c r="C18" t="s">
        <v>39</v>
      </c>
      <c r="D18" s="3" t="s">
        <v>40</v>
      </c>
      <c r="E18" t="s">
        <v>8</v>
      </c>
      <c r="F18">
        <v>200</v>
      </c>
    </row>
    <row r="19" spans="1:6">
      <c r="A19" s="3">
        <v>336904</v>
      </c>
      <c r="B19" s="3" t="str">
        <f>"580160"</f>
        <v>580160</v>
      </c>
      <c r="C19" t="s">
        <v>41</v>
      </c>
      <c r="D19" s="3" t="s">
        <v>42</v>
      </c>
      <c r="E19" t="s">
        <v>8</v>
      </c>
      <c r="F19">
        <v>200</v>
      </c>
    </row>
    <row r="20" spans="1:6">
      <c r="A20" s="3">
        <v>336905</v>
      </c>
      <c r="B20" s="3" t="str">
        <f>"569315(S)"</f>
        <v>569315(S)</v>
      </c>
      <c r="C20" t="s">
        <v>43</v>
      </c>
      <c r="D20" s="3" t="s">
        <v>44</v>
      </c>
      <c r="E20" t="s">
        <v>8</v>
      </c>
      <c r="F20">
        <v>200</v>
      </c>
    </row>
    <row r="21" spans="1:6">
      <c r="A21" s="3">
        <v>336907</v>
      </c>
      <c r="B21" s="3" t="str">
        <f>"569250"</f>
        <v>569250</v>
      </c>
      <c r="C21" t="s">
        <v>45</v>
      </c>
      <c r="D21" s="3" t="s">
        <v>46</v>
      </c>
      <c r="E21" t="s">
        <v>8</v>
      </c>
      <c r="F21">
        <v>200</v>
      </c>
    </row>
    <row r="22" spans="1:6">
      <c r="A22" s="3">
        <v>336908</v>
      </c>
      <c r="B22" s="3" t="str">
        <f>"569200"</f>
        <v>569200</v>
      </c>
      <c r="C22" t="s">
        <v>47</v>
      </c>
      <c r="D22" s="3" t="s">
        <v>48</v>
      </c>
      <c r="E22" t="s">
        <v>8</v>
      </c>
      <c r="F22">
        <v>200</v>
      </c>
    </row>
    <row r="23" spans="1:6">
      <c r="A23" s="3">
        <v>336909</v>
      </c>
      <c r="B23" s="3" t="str">
        <f>"569315"</f>
        <v>569315</v>
      </c>
      <c r="C23" t="s">
        <v>49</v>
      </c>
      <c r="D23" s="3" t="s">
        <v>50</v>
      </c>
      <c r="E23" t="s">
        <v>8</v>
      </c>
      <c r="F23">
        <v>200</v>
      </c>
    </row>
    <row r="24" spans="1:6">
      <c r="A24" s="3">
        <v>336910</v>
      </c>
      <c r="B24" s="3" t="str">
        <f>"WP35K"</f>
        <v>WP35K</v>
      </c>
      <c r="C24" t="s">
        <v>51</v>
      </c>
      <c r="D24" s="3" t="s">
        <v>52</v>
      </c>
      <c r="E24" t="s">
        <v>8</v>
      </c>
      <c r="F24">
        <v>200</v>
      </c>
    </row>
    <row r="25" spans="1:6">
      <c r="A25" s="3">
        <v>336911</v>
      </c>
      <c r="B25" s="3" t="str">
        <f>"WP35K P"</f>
        <v>WP35K P</v>
      </c>
      <c r="C25" t="s">
        <v>53</v>
      </c>
      <c r="D25" s="3" t="s">
        <v>52</v>
      </c>
      <c r="E25" t="s">
        <v>8</v>
      </c>
      <c r="F25">
        <v>200</v>
      </c>
    </row>
    <row r="26" spans="1:6">
      <c r="A26" s="3">
        <v>336912</v>
      </c>
      <c r="B26" s="3" t="str">
        <f>"570082"</f>
        <v>570082</v>
      </c>
      <c r="C26" t="s">
        <v>54</v>
      </c>
      <c r="D26" s="3" t="s">
        <v>55</v>
      </c>
      <c r="E26" t="s">
        <v>8</v>
      </c>
      <c r="F26">
        <v>200</v>
      </c>
    </row>
    <row r="27" spans="1:6">
      <c r="A27" s="3">
        <v>336913</v>
      </c>
      <c r="B27" s="3" t="str">
        <f>"570083"</f>
        <v>570083</v>
      </c>
      <c r="C27" t="s">
        <v>56</v>
      </c>
      <c r="D27" s="3" t="s">
        <v>57</v>
      </c>
      <c r="E27" t="s">
        <v>8</v>
      </c>
      <c r="F27">
        <v>200</v>
      </c>
    </row>
    <row r="28" spans="1:6">
      <c r="A28" s="3">
        <v>336916</v>
      </c>
      <c r="B28" s="3" t="str">
        <f>"159.522"</f>
        <v>159.522</v>
      </c>
      <c r="C28" t="s">
        <v>58</v>
      </c>
      <c r="D28" s="3" t="s">
        <v>59</v>
      </c>
      <c r="E28" t="s">
        <v>8</v>
      </c>
      <c r="F28">
        <v>200</v>
      </c>
    </row>
    <row r="29" spans="1:6">
      <c r="A29" s="3">
        <v>336917</v>
      </c>
      <c r="B29" s="3" t="str">
        <f>"155.831"</f>
        <v>155.831</v>
      </c>
      <c r="C29" t="s">
        <v>60</v>
      </c>
      <c r="D29" s="3" t="s">
        <v>61</v>
      </c>
      <c r="E29" t="s">
        <v>37</v>
      </c>
      <c r="F29">
        <v>200</v>
      </c>
    </row>
    <row r="30" spans="1:6">
      <c r="A30" s="3">
        <v>336918</v>
      </c>
      <c r="B30" s="3" t="str">
        <f>"145.590"</f>
        <v>145.590</v>
      </c>
      <c r="C30" t="s">
        <v>62</v>
      </c>
      <c r="D30" s="3" t="s">
        <v>63</v>
      </c>
      <c r="E30" t="s">
        <v>37</v>
      </c>
      <c r="F30">
        <v>200</v>
      </c>
    </row>
    <row r="31" spans="1:6">
      <c r="A31" s="3">
        <v>336919</v>
      </c>
      <c r="B31" s="3" t="str">
        <f>"141.900"</f>
        <v>141.900</v>
      </c>
      <c r="C31" t="s">
        <v>64</v>
      </c>
      <c r="D31" s="3" t="s">
        <v>65</v>
      </c>
      <c r="E31" t="s">
        <v>37</v>
      </c>
      <c r="F31">
        <v>200</v>
      </c>
    </row>
    <row r="32" spans="1:6">
      <c r="A32" s="3">
        <v>336920</v>
      </c>
      <c r="B32" s="3" t="str">
        <f>"570087"</f>
        <v>570087</v>
      </c>
      <c r="C32" t="s">
        <v>66</v>
      </c>
      <c r="D32" s="3" t="s">
        <v>67</v>
      </c>
      <c r="E32" t="s">
        <v>8</v>
      </c>
      <c r="F32">
        <v>200</v>
      </c>
    </row>
    <row r="33" spans="1:6">
      <c r="A33" s="3">
        <v>336921</v>
      </c>
      <c r="B33" s="3" t="str">
        <f>"570086"</f>
        <v>570086</v>
      </c>
      <c r="C33" t="s">
        <v>68</v>
      </c>
      <c r="D33" s="3" t="s">
        <v>69</v>
      </c>
      <c r="E33" t="s">
        <v>8</v>
      </c>
      <c r="F33">
        <v>200</v>
      </c>
    </row>
    <row r="34" spans="1:6">
      <c r="A34" s="3">
        <v>336922</v>
      </c>
      <c r="B34" s="3" t="str">
        <f>"570084"</f>
        <v>570084</v>
      </c>
      <c r="C34" t="s">
        <v>70</v>
      </c>
      <c r="D34" s="3" t="s">
        <v>71</v>
      </c>
      <c r="E34" t="s">
        <v>8</v>
      </c>
      <c r="F34">
        <v>200</v>
      </c>
    </row>
    <row r="35" spans="1:6">
      <c r="A35" s="3">
        <v>336923</v>
      </c>
      <c r="B35" s="3" t="str">
        <f>"570081"</f>
        <v>570081</v>
      </c>
      <c r="C35" t="s">
        <v>72</v>
      </c>
      <c r="D35" s="3" t="s">
        <v>73</v>
      </c>
      <c r="E35" t="s">
        <v>8</v>
      </c>
      <c r="F35">
        <v>200</v>
      </c>
    </row>
    <row r="36" spans="1:6">
      <c r="A36" s="3">
        <v>339942</v>
      </c>
      <c r="B36" s="3" t="str">
        <f>"549800"</f>
        <v>549800</v>
      </c>
      <c r="C36" t="s">
        <v>74</v>
      </c>
      <c r="D36" s="3" t="s">
        <v>75</v>
      </c>
      <c r="E36" t="s">
        <v>8</v>
      </c>
      <c r="F36">
        <v>200</v>
      </c>
    </row>
    <row r="37" spans="1:6">
      <c r="A37" s="3">
        <v>339943</v>
      </c>
      <c r="B37" s="3" t="str">
        <f>"516100"</f>
        <v>516100</v>
      </c>
      <c r="C37" t="s">
        <v>76</v>
      </c>
      <c r="D37" s="3" t="s">
        <v>77</v>
      </c>
      <c r="E37" t="s">
        <v>8</v>
      </c>
      <c r="F37">
        <v>200</v>
      </c>
    </row>
    <row r="38" spans="1:6">
      <c r="A38" s="3">
        <v>339944</v>
      </c>
      <c r="B38" s="3" t="str">
        <f>"304302"</f>
        <v>304302</v>
      </c>
      <c r="C38" t="s">
        <v>78</v>
      </c>
      <c r="D38" s="3" t="s">
        <v>79</v>
      </c>
      <c r="E38" t="s">
        <v>8</v>
      </c>
      <c r="F38">
        <v>200</v>
      </c>
    </row>
    <row r="39" spans="1:6">
      <c r="A39" s="3">
        <v>339945</v>
      </c>
      <c r="B39" s="3" t="str">
        <f>"311208"</f>
        <v>311208</v>
      </c>
      <c r="C39" t="s">
        <v>80</v>
      </c>
      <c r="D39" s="3" t="s">
        <v>81</v>
      </c>
      <c r="E39" t="s">
        <v>8</v>
      </c>
      <c r="F39">
        <v>200</v>
      </c>
    </row>
    <row r="40" spans="1:6">
      <c r="A40" s="3">
        <v>339947</v>
      </c>
      <c r="B40" s="3" t="str">
        <f>"502306"</f>
        <v>502306</v>
      </c>
      <c r="C40" t="s">
        <v>82</v>
      </c>
      <c r="D40" s="3" t="s">
        <v>83</v>
      </c>
      <c r="E40" t="s">
        <v>8</v>
      </c>
      <c r="F40">
        <v>200</v>
      </c>
    </row>
    <row r="41" spans="1:6">
      <c r="A41" s="3">
        <v>339949</v>
      </c>
      <c r="B41" s="3" t="str">
        <f>"308204"</f>
        <v>308204</v>
      </c>
      <c r="C41" t="s">
        <v>84</v>
      </c>
      <c r="D41" s="3" t="s">
        <v>85</v>
      </c>
      <c r="E41" t="s">
        <v>8</v>
      </c>
      <c r="F41">
        <v>200</v>
      </c>
    </row>
    <row r="42" spans="1:6">
      <c r="A42" s="3">
        <v>339951</v>
      </c>
      <c r="B42" s="3" t="str">
        <f>"502307"</f>
        <v>502307</v>
      </c>
      <c r="C42" t="s">
        <v>86</v>
      </c>
      <c r="D42" s="3" t="s">
        <v>87</v>
      </c>
      <c r="E42" t="s">
        <v>8</v>
      </c>
      <c r="F42">
        <v>200</v>
      </c>
    </row>
    <row r="43" spans="1:6">
      <c r="A43" s="3">
        <v>339952</v>
      </c>
      <c r="B43" s="3" t="str">
        <f>"302301"</f>
        <v>302301</v>
      </c>
      <c r="C43" t="s">
        <v>88</v>
      </c>
      <c r="D43" s="3" t="s">
        <v>89</v>
      </c>
      <c r="E43" t="s">
        <v>8</v>
      </c>
      <c r="F43">
        <v>200</v>
      </c>
    </row>
    <row r="44" spans="1:6">
      <c r="A44" s="3">
        <v>339953</v>
      </c>
      <c r="B44" s="3" t="str">
        <f>"502303"</f>
        <v>502303</v>
      </c>
      <c r="C44" t="s">
        <v>90</v>
      </c>
      <c r="D44" s="3" t="s">
        <v>91</v>
      </c>
      <c r="E44" t="s">
        <v>8</v>
      </c>
      <c r="F44">
        <v>200</v>
      </c>
    </row>
    <row r="45" spans="1:6">
      <c r="A45" s="3">
        <v>339954</v>
      </c>
      <c r="B45" s="3" t="str">
        <f>"303302"</f>
        <v>303302</v>
      </c>
      <c r="C45" t="s">
        <v>92</v>
      </c>
      <c r="D45" s="3" t="s">
        <v>93</v>
      </c>
      <c r="E45" t="s">
        <v>8</v>
      </c>
      <c r="F45">
        <v>200</v>
      </c>
    </row>
    <row r="46" spans="1:6">
      <c r="A46" s="3">
        <v>339960</v>
      </c>
      <c r="B46" s="3" t="str">
        <f>"311206"</f>
        <v>311206</v>
      </c>
      <c r="C46" t="s">
        <v>94</v>
      </c>
      <c r="D46" s="3" t="s">
        <v>95</v>
      </c>
      <c r="E46" t="s">
        <v>8</v>
      </c>
      <c r="F46">
        <v>200</v>
      </c>
    </row>
    <row r="47" spans="1:6">
      <c r="A47" s="3">
        <v>339962</v>
      </c>
      <c r="B47" s="3" t="str">
        <f>"502206"</f>
        <v>502206</v>
      </c>
      <c r="C47" t="s">
        <v>96</v>
      </c>
      <c r="D47" s="3" t="s">
        <v>97</v>
      </c>
      <c r="E47" t="s">
        <v>8</v>
      </c>
      <c r="F47">
        <v>200</v>
      </c>
    </row>
    <row r="48" spans="1:6">
      <c r="A48" s="3">
        <v>339963</v>
      </c>
      <c r="B48" s="3" t="str">
        <f>"502308"</f>
        <v>502308</v>
      </c>
      <c r="C48" t="s">
        <v>98</v>
      </c>
      <c r="D48" s="3" t="s">
        <v>99</v>
      </c>
      <c r="E48" t="s">
        <v>8</v>
      </c>
      <c r="F48">
        <v>200</v>
      </c>
    </row>
    <row r="49" spans="1:6">
      <c r="A49" s="3">
        <v>339964</v>
      </c>
      <c r="B49" s="3" t="str">
        <f>"307202"</f>
        <v>307202</v>
      </c>
      <c r="C49" t="s">
        <v>100</v>
      </c>
      <c r="D49" s="3" t="s">
        <v>101</v>
      </c>
      <c r="E49" t="s">
        <v>8</v>
      </c>
      <c r="F49">
        <v>200</v>
      </c>
    </row>
    <row r="50" spans="1:6">
      <c r="A50" s="3">
        <v>339966</v>
      </c>
      <c r="B50" s="3" t="str">
        <f>"302102"</f>
        <v>302102</v>
      </c>
      <c r="C50" t="s">
        <v>102</v>
      </c>
      <c r="D50" s="3" t="s">
        <v>103</v>
      </c>
      <c r="E50" t="s">
        <v>8</v>
      </c>
      <c r="F50">
        <v>200</v>
      </c>
    </row>
    <row r="51" spans="1:6">
      <c r="A51" s="3">
        <v>339967</v>
      </c>
      <c r="B51" s="3" t="str">
        <f>"311204"</f>
        <v>311204</v>
      </c>
      <c r="C51" t="s">
        <v>104</v>
      </c>
      <c r="D51" s="3" t="s">
        <v>105</v>
      </c>
      <c r="E51" t="s">
        <v>8</v>
      </c>
      <c r="F51">
        <v>200</v>
      </c>
    </row>
    <row r="52" spans="1:6">
      <c r="A52" s="3">
        <v>339968</v>
      </c>
      <c r="B52" s="3" t="str">
        <f>"302311"</f>
        <v>302311</v>
      </c>
      <c r="C52" t="s">
        <v>106</v>
      </c>
      <c r="D52" s="3" t="s">
        <v>107</v>
      </c>
      <c r="E52" t="s">
        <v>8</v>
      </c>
      <c r="F52">
        <v>200</v>
      </c>
    </row>
    <row r="53" spans="1:6">
      <c r="A53" s="3">
        <v>339972</v>
      </c>
      <c r="B53" s="3" t="str">
        <f>"501201"</f>
        <v>501201</v>
      </c>
      <c r="C53" t="s">
        <v>108</v>
      </c>
      <c r="D53" s="3" t="s">
        <v>109</v>
      </c>
      <c r="E53" t="s">
        <v>8</v>
      </c>
      <c r="F53">
        <v>200</v>
      </c>
    </row>
    <row r="54" spans="1:6">
      <c r="A54" s="3">
        <v>339975</v>
      </c>
      <c r="B54" s="3" t="str">
        <f>"401523"</f>
        <v>401523</v>
      </c>
      <c r="C54" t="s">
        <v>110</v>
      </c>
      <c r="D54" s="3" t="s">
        <v>111</v>
      </c>
      <c r="E54" t="s">
        <v>8</v>
      </c>
      <c r="F54">
        <v>200</v>
      </c>
    </row>
    <row r="55" spans="1:6">
      <c r="A55" s="3">
        <v>339978</v>
      </c>
      <c r="B55" s="3" t="str">
        <f>"2551120"</f>
        <v>2551120</v>
      </c>
      <c r="C55" t="s">
        <v>112</v>
      </c>
      <c r="D55" s="3" t="s">
        <v>113</v>
      </c>
      <c r="E55" t="s">
        <v>8</v>
      </c>
      <c r="F55">
        <v>200</v>
      </c>
    </row>
    <row r="56" spans="1:6">
      <c r="A56" s="3">
        <v>339988</v>
      </c>
      <c r="B56" s="3" t="str">
        <f>"301144"</f>
        <v>301144</v>
      </c>
      <c r="C56" t="s">
        <v>114</v>
      </c>
      <c r="D56" s="3" t="s">
        <v>115</v>
      </c>
      <c r="E56" t="s">
        <v>8</v>
      </c>
      <c r="F56">
        <v>200</v>
      </c>
    </row>
    <row r="57" spans="1:6">
      <c r="A57" s="3">
        <v>339991</v>
      </c>
      <c r="B57" s="3" t="str">
        <f>"2031211"</f>
        <v>2031211</v>
      </c>
      <c r="C57" t="s">
        <v>116</v>
      </c>
      <c r="D57" s="3" t="s">
        <v>117</v>
      </c>
      <c r="E57" t="s">
        <v>8</v>
      </c>
      <c r="F57">
        <v>200</v>
      </c>
    </row>
    <row r="58" spans="1:6">
      <c r="A58" s="3">
        <v>339992</v>
      </c>
      <c r="B58" s="3" t="str">
        <f>"310802"</f>
        <v>310802</v>
      </c>
      <c r="C58" t="s">
        <v>118</v>
      </c>
      <c r="D58" s="3" t="s">
        <v>119</v>
      </c>
      <c r="E58">
        <v>0</v>
      </c>
      <c r="F58">
        <v>404</v>
      </c>
    </row>
    <row r="59" spans="1:6">
      <c r="A59" s="3">
        <v>340001</v>
      </c>
      <c r="B59" s="3" t="str">
        <f>"401504"</f>
        <v>401504</v>
      </c>
      <c r="C59" t="s">
        <v>120</v>
      </c>
      <c r="D59" s="3" t="s">
        <v>121</v>
      </c>
      <c r="E59" t="s">
        <v>8</v>
      </c>
      <c r="F59">
        <v>200</v>
      </c>
    </row>
    <row r="60" spans="1:6">
      <c r="A60" s="3">
        <v>340004</v>
      </c>
      <c r="B60" s="3" t="str">
        <f>"310202"</f>
        <v>310202</v>
      </c>
      <c r="C60" t="s">
        <v>122</v>
      </c>
      <c r="D60" s="3" t="s">
        <v>123</v>
      </c>
      <c r="E60" t="s">
        <v>8</v>
      </c>
      <c r="F60">
        <v>200</v>
      </c>
    </row>
    <row r="61" spans="1:6">
      <c r="A61" s="3">
        <v>340005</v>
      </c>
      <c r="B61" s="3" t="str">
        <f>"309201"</f>
        <v>309201</v>
      </c>
      <c r="C61" t="s">
        <v>124</v>
      </c>
      <c r="D61" s="3" t="s">
        <v>125</v>
      </c>
      <c r="E61" t="s">
        <v>8</v>
      </c>
      <c r="F61">
        <v>200</v>
      </c>
    </row>
    <row r="62" spans="1:6">
      <c r="A62" s="3">
        <v>340006</v>
      </c>
      <c r="B62" s="3" t="str">
        <f>"2511510"</f>
        <v>2511510</v>
      </c>
      <c r="C62" t="s">
        <v>126</v>
      </c>
      <c r="D62" s="3" t="s">
        <v>127</v>
      </c>
      <c r="E62" t="s">
        <v>8</v>
      </c>
      <c r="F62">
        <v>200</v>
      </c>
    </row>
    <row r="63" spans="1:6">
      <c r="A63" s="3">
        <v>340007</v>
      </c>
      <c r="B63" s="3" t="str">
        <f>"402502"</f>
        <v>402502</v>
      </c>
      <c r="C63" t="s">
        <v>128</v>
      </c>
      <c r="D63" s="3" t="s">
        <v>129</v>
      </c>
      <c r="E63" t="s">
        <v>8</v>
      </c>
      <c r="F63">
        <v>200</v>
      </c>
    </row>
    <row r="64" spans="1:6">
      <c r="A64" s="3">
        <v>340010</v>
      </c>
      <c r="B64" s="3" t="str">
        <f>"402501"</f>
        <v>402501</v>
      </c>
      <c r="C64" t="s">
        <v>130</v>
      </c>
      <c r="D64" s="3" t="s">
        <v>131</v>
      </c>
      <c r="E64" t="s">
        <v>8</v>
      </c>
      <c r="F64">
        <v>200</v>
      </c>
    </row>
    <row r="65" spans="1:6">
      <c r="A65" s="3">
        <v>340012</v>
      </c>
      <c r="B65" s="3" t="str">
        <f>"2521600"</f>
        <v>2521600</v>
      </c>
      <c r="C65" t="s">
        <v>132</v>
      </c>
      <c r="D65" s="3" t="s">
        <v>133</v>
      </c>
      <c r="E65" t="s">
        <v>8</v>
      </c>
      <c r="F65">
        <v>200</v>
      </c>
    </row>
    <row r="66" spans="1:6">
      <c r="A66" s="3">
        <v>340017</v>
      </c>
      <c r="B66" s="3" t="str">
        <f>"401502"</f>
        <v>401502</v>
      </c>
      <c r="C66" t="s">
        <v>134</v>
      </c>
      <c r="D66" s="3" t="s">
        <v>135</v>
      </c>
      <c r="E66" t="s">
        <v>8</v>
      </c>
      <c r="F66">
        <v>200</v>
      </c>
    </row>
    <row r="67" spans="1:6">
      <c r="A67" s="3">
        <v>340019</v>
      </c>
      <c r="B67" s="3" t="str">
        <f>"311203"</f>
        <v>311203</v>
      </c>
      <c r="C67" t="s">
        <v>136</v>
      </c>
      <c r="D67" s="3" t="s">
        <v>137</v>
      </c>
      <c r="E67" t="s">
        <v>8</v>
      </c>
      <c r="F67">
        <v>200</v>
      </c>
    </row>
    <row r="68" spans="1:6">
      <c r="A68" s="3">
        <v>340026</v>
      </c>
      <c r="B68" s="3" t="str">
        <f>"402505"</f>
        <v>402505</v>
      </c>
      <c r="C68" t="s">
        <v>138</v>
      </c>
      <c r="D68" s="3" t="s">
        <v>139</v>
      </c>
      <c r="E68" t="s">
        <v>37</v>
      </c>
      <c r="F68">
        <v>200</v>
      </c>
    </row>
    <row r="69" spans="1:6">
      <c r="A69" s="3">
        <v>340028</v>
      </c>
      <c r="B69" s="3" t="str">
        <f>" 311201"</f>
        <v> 311201</v>
      </c>
      <c r="C69" t="s">
        <v>140</v>
      </c>
      <c r="D69" s="3" t="s">
        <v>141</v>
      </c>
      <c r="E69" t="s">
        <v>8</v>
      </c>
      <c r="F69">
        <v>200</v>
      </c>
    </row>
    <row r="70" spans="1:6">
      <c r="A70" s="3">
        <v>340032</v>
      </c>
      <c r="B70" s="3" t="str">
        <f>"3041111"</f>
        <v>3041111</v>
      </c>
      <c r="C70" t="s">
        <v>142</v>
      </c>
      <c r="D70" s="3" t="s">
        <v>143</v>
      </c>
      <c r="E70" t="s">
        <v>8</v>
      </c>
      <c r="F70">
        <v>200</v>
      </c>
    </row>
    <row r="71" spans="1:6">
      <c r="A71" s="3">
        <v>340037</v>
      </c>
      <c r="B71" s="3" t="str">
        <f>"310302"</f>
        <v>310302</v>
      </c>
      <c r="C71" t="s">
        <v>144</v>
      </c>
      <c r="D71" s="3" t="s">
        <v>145</v>
      </c>
      <c r="E71" t="s">
        <v>8</v>
      </c>
      <c r="F71">
        <v>200</v>
      </c>
    </row>
    <row r="72" spans="1:6">
      <c r="A72" s="3">
        <v>340038</v>
      </c>
      <c r="B72" s="3" t="str">
        <f>"3041011"</f>
        <v>3041011</v>
      </c>
      <c r="C72" t="s">
        <v>146</v>
      </c>
      <c r="D72" s="3" t="s">
        <v>147</v>
      </c>
      <c r="E72" t="s">
        <v>8</v>
      </c>
      <c r="F72">
        <v>200</v>
      </c>
    </row>
    <row r="73" spans="1:6">
      <c r="A73" s="3">
        <v>340039</v>
      </c>
      <c r="B73" s="3" t="str">
        <f>"6.9390"</f>
        <v>6.9390</v>
      </c>
      <c r="C73" t="s">
        <v>148</v>
      </c>
      <c r="D73" s="3" t="s">
        <v>149</v>
      </c>
      <c r="E73" t="s">
        <v>8</v>
      </c>
      <c r="F73">
        <v>200</v>
      </c>
    </row>
    <row r="74" spans="1:6">
      <c r="A74" s="3">
        <v>340042</v>
      </c>
      <c r="B74" s="3" t="str">
        <f>"6.9224"</f>
        <v>6.9224</v>
      </c>
      <c r="C74" t="s">
        <v>150</v>
      </c>
      <c r="D74" s="3" t="s">
        <v>151</v>
      </c>
      <c r="E74" t="s">
        <v>8</v>
      </c>
      <c r="F74">
        <v>200</v>
      </c>
    </row>
    <row r="75" spans="1:6">
      <c r="A75" s="3">
        <v>340045</v>
      </c>
      <c r="B75" s="3" t="str">
        <f>"6.9221"</f>
        <v>6.9221</v>
      </c>
      <c r="C75" t="s">
        <v>152</v>
      </c>
      <c r="D75" s="3" t="s">
        <v>153</v>
      </c>
      <c r="E75" t="s">
        <v>8</v>
      </c>
      <c r="F75">
        <v>200</v>
      </c>
    </row>
    <row r="76" spans="1:6">
      <c r="A76" s="3">
        <v>340048</v>
      </c>
      <c r="B76" s="3" t="str">
        <f>"6.8353"</f>
        <v>6.8353</v>
      </c>
      <c r="C76" t="s">
        <v>154</v>
      </c>
      <c r="D76" s="3" t="s">
        <v>155</v>
      </c>
      <c r="E76" t="s">
        <v>8</v>
      </c>
      <c r="F76">
        <v>200</v>
      </c>
    </row>
    <row r="77" spans="1:6">
      <c r="A77" s="3">
        <v>340049</v>
      </c>
      <c r="B77" s="3" t="str">
        <f>"6.8352"</f>
        <v>6.8352</v>
      </c>
      <c r="C77" t="s">
        <v>156</v>
      </c>
      <c r="D77" s="3" t="s">
        <v>157</v>
      </c>
      <c r="E77" t="s">
        <v>8</v>
      </c>
      <c r="F77">
        <v>200</v>
      </c>
    </row>
    <row r="78" spans="1:6">
      <c r="A78" s="3">
        <v>340050</v>
      </c>
      <c r="B78" s="3" t="str">
        <f>"6.9219"</f>
        <v>6.9219</v>
      </c>
      <c r="C78" t="s">
        <v>158</v>
      </c>
      <c r="D78" s="3" t="s">
        <v>159</v>
      </c>
      <c r="E78" t="s">
        <v>8</v>
      </c>
      <c r="F78">
        <v>200</v>
      </c>
    </row>
    <row r="79" spans="1:6">
      <c r="A79" s="3">
        <v>340052</v>
      </c>
      <c r="B79" s="3" t="str">
        <f>"6.9220"</f>
        <v>6.9220</v>
      </c>
      <c r="C79" t="s">
        <v>160</v>
      </c>
      <c r="D79" s="3" t="s">
        <v>161</v>
      </c>
      <c r="E79" t="s">
        <v>8</v>
      </c>
      <c r="F79">
        <v>200</v>
      </c>
    </row>
    <row r="80" spans="1:6">
      <c r="A80" s="3">
        <v>340058</v>
      </c>
      <c r="B80" s="3" t="str">
        <f>"6.8356 "</f>
        <v>6.8356 </v>
      </c>
      <c r="C80" t="s">
        <v>162</v>
      </c>
      <c r="D80" s="3" t="s">
        <v>163</v>
      </c>
      <c r="E80" t="s">
        <v>8</v>
      </c>
      <c r="F80">
        <v>200</v>
      </c>
    </row>
    <row r="81" spans="1:6">
      <c r="A81" s="3">
        <v>340064</v>
      </c>
      <c r="B81" s="3" t="str">
        <f>"6.8354"</f>
        <v>6.8354</v>
      </c>
      <c r="C81" t="s">
        <v>164</v>
      </c>
      <c r="D81" s="3" t="s">
        <v>165</v>
      </c>
      <c r="E81" t="s">
        <v>8</v>
      </c>
      <c r="F81">
        <v>200</v>
      </c>
    </row>
    <row r="82" spans="1:6">
      <c r="A82" s="3">
        <v>340065</v>
      </c>
      <c r="B82" s="3" t="str">
        <f>"6.8351"</f>
        <v>6.8351</v>
      </c>
      <c r="C82" t="s">
        <v>166</v>
      </c>
      <c r="D82" s="3" t="s">
        <v>167</v>
      </c>
      <c r="E82" t="s">
        <v>8</v>
      </c>
      <c r="F82">
        <v>200</v>
      </c>
    </row>
    <row r="83" spans="1:6">
      <c r="A83" s="3">
        <v>340066</v>
      </c>
      <c r="B83" s="3" t="str">
        <f>"6.8350"</f>
        <v>6.8350</v>
      </c>
      <c r="C83" t="s">
        <v>168</v>
      </c>
      <c r="D83" s="3" t="s">
        <v>169</v>
      </c>
      <c r="E83" t="s">
        <v>8</v>
      </c>
      <c r="F83">
        <v>200</v>
      </c>
    </row>
    <row r="84" spans="1:6">
      <c r="A84" s="3">
        <v>340067</v>
      </c>
      <c r="B84" s="3" t="str">
        <f>"6.8355"</f>
        <v>6.8355</v>
      </c>
      <c r="C84" t="s">
        <v>170</v>
      </c>
      <c r="D84" s="3" t="s">
        <v>171</v>
      </c>
      <c r="E84" t="s">
        <v>8</v>
      </c>
      <c r="F84">
        <v>200</v>
      </c>
    </row>
    <row r="85" spans="1:6">
      <c r="A85" s="3">
        <v>340068</v>
      </c>
      <c r="B85" s="3" t="str">
        <f>"6.8203"</f>
        <v>6.8203</v>
      </c>
      <c r="C85" t="s">
        <v>172</v>
      </c>
      <c r="D85" s="3" t="s">
        <v>173</v>
      </c>
      <c r="E85" t="s">
        <v>8</v>
      </c>
      <c r="F85">
        <v>200</v>
      </c>
    </row>
    <row r="86" spans="1:6">
      <c r="A86" s="3">
        <v>342879</v>
      </c>
      <c r="B86" s="3" t="str">
        <f>"561315"</f>
        <v>561315</v>
      </c>
      <c r="C86" t="s">
        <v>174</v>
      </c>
      <c r="D86" s="3" t="s">
        <v>175</v>
      </c>
      <c r="E86" t="s">
        <v>8</v>
      </c>
      <c r="F86">
        <v>200</v>
      </c>
    </row>
    <row r="87" spans="1:6">
      <c r="A87" s="3">
        <v>342881</v>
      </c>
      <c r="B87" s="3" t="str">
        <f>"570040"</f>
        <v>570040</v>
      </c>
      <c r="C87" t="s">
        <v>176</v>
      </c>
      <c r="D87" s="3" t="s">
        <v>177</v>
      </c>
      <c r="E87" t="s">
        <v>8</v>
      </c>
      <c r="F87">
        <v>200</v>
      </c>
    </row>
    <row r="88" spans="1:6">
      <c r="A88" s="3">
        <v>342882</v>
      </c>
      <c r="B88" s="3" t="str">
        <f>"6.8462"</f>
        <v>6.8462</v>
      </c>
      <c r="C88" t="s">
        <v>178</v>
      </c>
      <c r="D88" s="3" t="s">
        <v>179</v>
      </c>
      <c r="E88" t="s">
        <v>8</v>
      </c>
      <c r="F88">
        <v>200</v>
      </c>
    </row>
    <row r="89" spans="1:6">
      <c r="A89" s="3">
        <v>342884</v>
      </c>
      <c r="B89" s="3" t="str">
        <f>"6.8356"</f>
        <v>6.8356</v>
      </c>
      <c r="C89" t="s">
        <v>180</v>
      </c>
      <c r="D89" s="3" t="s">
        <v>163</v>
      </c>
      <c r="E89" t="s">
        <v>8</v>
      </c>
      <c r="F89">
        <v>200</v>
      </c>
    </row>
    <row r="90" spans="1:6">
      <c r="A90" s="3">
        <v>342885</v>
      </c>
      <c r="B90" s="3" t="str">
        <f>"6.8323"</f>
        <v>6.8323</v>
      </c>
      <c r="C90" t="s">
        <v>181</v>
      </c>
      <c r="D90" s="3" t="s">
        <v>182</v>
      </c>
      <c r="E90" t="s">
        <v>8</v>
      </c>
      <c r="F90">
        <v>200</v>
      </c>
    </row>
    <row r="91" spans="1:6">
      <c r="A91" s="3">
        <v>342902</v>
      </c>
      <c r="B91" s="3" t="str">
        <f>"AN200B"</f>
        <v>AN200B</v>
      </c>
      <c r="C91" t="s">
        <v>183</v>
      </c>
      <c r="D91" s="3" t="s">
        <v>184</v>
      </c>
      <c r="E91" t="s">
        <v>37</v>
      </c>
      <c r="F91">
        <v>200</v>
      </c>
    </row>
    <row r="92" spans="1:6">
      <c r="A92" s="3">
        <v>342903</v>
      </c>
      <c r="B92" s="3" t="str">
        <f>"502302"</f>
        <v>502302</v>
      </c>
      <c r="C92" t="s">
        <v>185</v>
      </c>
      <c r="D92" s="3" t="s">
        <v>186</v>
      </c>
      <c r="E92" t="s">
        <v>8</v>
      </c>
      <c r="F92">
        <v>200</v>
      </c>
    </row>
    <row r="93" spans="1:6">
      <c r="A93" s="3">
        <v>342904</v>
      </c>
      <c r="B93" s="3" t="str">
        <f>"310302"</f>
        <v>310302</v>
      </c>
      <c r="C93" t="s">
        <v>187</v>
      </c>
      <c r="D93" s="3" t="s">
        <v>145</v>
      </c>
      <c r="E93" t="s">
        <v>8</v>
      </c>
      <c r="F93">
        <v>200</v>
      </c>
    </row>
    <row r="94" spans="1:6">
      <c r="A94" s="3">
        <v>342905</v>
      </c>
      <c r="B94" s="3" t="str">
        <f>"2511610"</f>
        <v>2511610</v>
      </c>
      <c r="C94" t="s">
        <v>188</v>
      </c>
      <c r="D94" s="3" t="s">
        <v>189</v>
      </c>
      <c r="E94" t="s">
        <v>8</v>
      </c>
      <c r="F94">
        <v>200</v>
      </c>
    </row>
    <row r="95" spans="1:6">
      <c r="A95" s="3">
        <v>342906</v>
      </c>
      <c r="B95" s="3" t="str">
        <f>"501204"</f>
        <v>501204</v>
      </c>
      <c r="C95" t="s">
        <v>190</v>
      </c>
      <c r="D95" s="3" t="s">
        <v>191</v>
      </c>
      <c r="E95" t="s">
        <v>37</v>
      </c>
      <c r="F95">
        <v>200</v>
      </c>
    </row>
    <row r="96" spans="1:6">
      <c r="A96" s="3">
        <v>342907</v>
      </c>
      <c r="B96" s="3" t="str">
        <f>"503207"</f>
        <v>503207</v>
      </c>
      <c r="C96" t="s">
        <v>192</v>
      </c>
      <c r="D96" s="3" t="s">
        <v>193</v>
      </c>
      <c r="E96" t="s">
        <v>8</v>
      </c>
      <c r="F96">
        <v>200</v>
      </c>
    </row>
    <row r="97" spans="1:6">
      <c r="A97" s="3">
        <v>342909</v>
      </c>
      <c r="B97" s="3" t="str">
        <f>"311201"</f>
        <v>311201</v>
      </c>
      <c r="C97" t="s">
        <v>194</v>
      </c>
      <c r="D97" s="3" t="s">
        <v>141</v>
      </c>
      <c r="E97" t="s">
        <v>8</v>
      </c>
      <c r="F97">
        <v>200</v>
      </c>
    </row>
    <row r="98" spans="1:6">
      <c r="A98" s="3">
        <v>342910</v>
      </c>
      <c r="B98" s="3" t="str">
        <f>"311205"</f>
        <v>311205</v>
      </c>
      <c r="C98" t="s">
        <v>195</v>
      </c>
      <c r="D98" s="3" t="s">
        <v>196</v>
      </c>
      <c r="E98" t="s">
        <v>8</v>
      </c>
      <c r="F98">
        <v>200</v>
      </c>
    </row>
    <row r="99" spans="1:6">
      <c r="A99" s="3">
        <v>342931</v>
      </c>
      <c r="B99" s="3" t="str">
        <f>"306201"</f>
        <v>306201</v>
      </c>
      <c r="C99" t="s">
        <v>197</v>
      </c>
      <c r="D99" s="3" t="s">
        <v>198</v>
      </c>
      <c r="E99" t="s">
        <v>8</v>
      </c>
      <c r="F99">
        <v>200</v>
      </c>
    </row>
    <row r="100" spans="1:6">
      <c r="A100" s="3">
        <v>342932</v>
      </c>
      <c r="B100" s="3" t="str">
        <f>"306306"</f>
        <v>306306</v>
      </c>
      <c r="C100" t="s">
        <v>199</v>
      </c>
      <c r="D100" s="3" t="s">
        <v>200</v>
      </c>
      <c r="E100" t="s">
        <v>8</v>
      </c>
      <c r="F100">
        <v>200</v>
      </c>
    </row>
    <row r="101" spans="1:6">
      <c r="A101" s="3">
        <v>342933</v>
      </c>
      <c r="B101" s="3" t="str">
        <f>"30029"</f>
        <v>30029</v>
      </c>
      <c r="C101" t="s">
        <v>201</v>
      </c>
      <c r="D101" s="3" t="s">
        <v>202</v>
      </c>
      <c r="E101" t="s">
        <v>8</v>
      </c>
      <c r="F101">
        <v>200</v>
      </c>
    </row>
    <row r="102" spans="1:6">
      <c r="A102" s="3">
        <v>342934</v>
      </c>
      <c r="B102" s="3" t="str">
        <f>"30020"</f>
        <v>30020</v>
      </c>
      <c r="C102" t="s">
        <v>203</v>
      </c>
      <c r="D102" s="3" t="s">
        <v>204</v>
      </c>
      <c r="E102" t="s">
        <v>8</v>
      </c>
      <c r="F102">
        <v>200</v>
      </c>
    </row>
    <row r="103" spans="1:6">
      <c r="A103" s="3">
        <v>342935</v>
      </c>
      <c r="B103" s="3" t="str">
        <f>"30021"</f>
        <v>30021</v>
      </c>
      <c r="C103" t="s">
        <v>205</v>
      </c>
      <c r="D103" s="3" t="s">
        <v>206</v>
      </c>
      <c r="E103" t="s">
        <v>8</v>
      </c>
      <c r="F103">
        <v>200</v>
      </c>
    </row>
    <row r="104" spans="1:6">
      <c r="A104" s="3">
        <v>342936</v>
      </c>
      <c r="B104" s="3" t="str">
        <f>"306210"</f>
        <v>306210</v>
      </c>
      <c r="C104" t="s">
        <v>207</v>
      </c>
      <c r="D104" s="3" t="s">
        <v>208</v>
      </c>
      <c r="E104" t="s">
        <v>8</v>
      </c>
      <c r="F104">
        <v>200</v>
      </c>
    </row>
    <row r="105" spans="1:6">
      <c r="A105" s="3">
        <v>342937</v>
      </c>
      <c r="B105" s="3" t="str">
        <f>"602210"</f>
        <v>602210</v>
      </c>
      <c r="C105" t="s">
        <v>209</v>
      </c>
      <c r="D105" s="3" t="s">
        <v>210</v>
      </c>
      <c r="E105" t="s">
        <v>8</v>
      </c>
      <c r="F105">
        <v>200</v>
      </c>
    </row>
    <row r="106" spans="1:6">
      <c r="A106" s="3">
        <v>342938</v>
      </c>
      <c r="B106" s="3" t="str">
        <f>"2511000"</f>
        <v>2511000</v>
      </c>
      <c r="C106" t="s">
        <v>211</v>
      </c>
      <c r="D106" s="3" t="s">
        <v>212</v>
      </c>
      <c r="E106" t="s">
        <v>8</v>
      </c>
      <c r="F106">
        <v>200</v>
      </c>
    </row>
    <row r="107" spans="1:6">
      <c r="A107" s="3">
        <v>342939</v>
      </c>
      <c r="B107" s="3" t="str">
        <f>"2511200"</f>
        <v>2511200</v>
      </c>
      <c r="C107" t="s">
        <v>213</v>
      </c>
      <c r="D107" s="3" t="s">
        <v>214</v>
      </c>
      <c r="E107" t="s">
        <v>8</v>
      </c>
      <c r="F107">
        <v>200</v>
      </c>
    </row>
    <row r="108" spans="1:6">
      <c r="A108" s="3">
        <v>342941</v>
      </c>
      <c r="B108" s="3" t="str">
        <f>"2511100"</f>
        <v>2511100</v>
      </c>
      <c r="C108" t="s">
        <v>215</v>
      </c>
      <c r="D108" s="3" t="s">
        <v>216</v>
      </c>
      <c r="E108" t="s">
        <v>8</v>
      </c>
      <c r="F108">
        <v>200</v>
      </c>
    </row>
    <row r="109" spans="1:6">
      <c r="A109" s="3">
        <v>342942</v>
      </c>
      <c r="B109" s="3" t="str">
        <f>"2531010"</f>
        <v>2531010</v>
      </c>
      <c r="C109" t="s">
        <v>217</v>
      </c>
      <c r="D109" s="3" t="s">
        <v>218</v>
      </c>
      <c r="E109" t="s">
        <v>8</v>
      </c>
      <c r="F109">
        <v>200</v>
      </c>
    </row>
    <row r="110" spans="1:6">
      <c r="A110" s="3">
        <v>342943</v>
      </c>
      <c r="B110" s="3" t="str">
        <f>"3011010"</f>
        <v>3011010</v>
      </c>
      <c r="C110" t="s">
        <v>219</v>
      </c>
      <c r="D110" s="3" t="s">
        <v>220</v>
      </c>
      <c r="E110" t="s">
        <v>8</v>
      </c>
      <c r="F110">
        <v>200</v>
      </c>
    </row>
    <row r="111" spans="1:6">
      <c r="A111" s="3">
        <v>342944</v>
      </c>
      <c r="B111" s="3" t="str">
        <f>"72200"</f>
        <v>72200</v>
      </c>
      <c r="C111" t="s">
        <v>221</v>
      </c>
      <c r="D111" s="3" t="s">
        <v>222</v>
      </c>
      <c r="E111" t="s">
        <v>8</v>
      </c>
      <c r="F111">
        <v>200</v>
      </c>
    </row>
    <row r="112" spans="1:6">
      <c r="A112" s="3">
        <v>342945</v>
      </c>
      <c r="B112" s="3" t="str">
        <f>"36011.1"</f>
        <v>36011.1</v>
      </c>
      <c r="C112" t="s">
        <v>223</v>
      </c>
      <c r="D112" s="3" t="s">
        <v>224</v>
      </c>
      <c r="E112" t="s">
        <v>8</v>
      </c>
      <c r="F112">
        <v>200</v>
      </c>
    </row>
    <row r="113" spans="1:6">
      <c r="A113" s="3">
        <v>342946</v>
      </c>
      <c r="B113" s="3" t="str">
        <f>"2043520"</f>
        <v>2043520</v>
      </c>
      <c r="C113" t="s">
        <v>225</v>
      </c>
      <c r="D113" s="3" t="s">
        <v>226</v>
      </c>
      <c r="E113" t="s">
        <v>8</v>
      </c>
      <c r="F113">
        <v>200</v>
      </c>
    </row>
    <row r="114" spans="1:6">
      <c r="A114" s="3">
        <v>342947</v>
      </c>
      <c r="B114" s="3" t="str">
        <f>"2043420"</f>
        <v>2043420</v>
      </c>
      <c r="C114" t="s">
        <v>227</v>
      </c>
      <c r="D114" s="3" t="s">
        <v>228</v>
      </c>
      <c r="E114" t="s">
        <v>8</v>
      </c>
      <c r="F114">
        <v>200</v>
      </c>
    </row>
    <row r="115" spans="1:6">
      <c r="A115" s="3">
        <v>347558</v>
      </c>
      <c r="B115" s="3" t="str">
        <f>"503209"</f>
        <v>503209</v>
      </c>
      <c r="C115" t="s">
        <v>229</v>
      </c>
      <c r="D115" s="3" t="s">
        <v>230</v>
      </c>
      <c r="E115" t="s">
        <v>8</v>
      </c>
      <c r="F115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2025-08-11T16:22:01+04:00</dcterms:created>
  <dcterms:modified xsi:type="dcterms:W3CDTF">2025-08-11T16:22:01+04:00</dcterms:modified>
  <dc:title>Untitled Spreadsheet</dc:title>
  <dc:description/>
  <dc:subject/>
  <cp:keywords/>
  <cp:category/>
</cp:coreProperties>
</file>