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true" localSheetId="0" name="_xlnm._FilterDatabase" vbProcedure="false">Лист1!$B$3:$S$3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<sst xmlns="http://schemas.openxmlformats.org/spreadsheetml/2006/main" count="8337" uniqueCount="4235">
  <si>
    <t xml:space="preserve">Скидка клиента, %</t>
  </si>
  <si>
    <t xml:space="preserve">Общий вес, кг</t>
  </si>
  <si>
    <t xml:space="preserve">www.redbo.ru    info@redbo.ru    8(800)500-777-3 </t>
  </si>
  <si>
    <t xml:space="preserve">Итого, сумма заказа</t>
  </si>
  <si>
    <t xml:space="preserve">Общий объем, м3</t>
  </si>
  <si>
    <t xml:space="preserve">109316, г. Москва, ВН.ТЕР.Г. МУНИЦИПАЛЬНЫЙ ОКРУГ ТЕКСТИЛЬЩИКИ, ПР-КТ ВОЛГОГРАДСКИЙ дом 43, К. 3 </t>
  </si>
  <si>
    <t xml:space="preserve">Фото </t>
  </si>
  <si>
    <t xml:space="preserve">Артикул</t>
  </si>
  <si>
    <t xml:space="preserve">Номенклатура (Характеристики в примечании )</t>
  </si>
  <si>
    <t xml:space="preserve">Описание</t>
  </si>
  <si>
    <t xml:space="preserve">Цена со 
скидкой </t>
  </si>
  <si>
    <t xml:space="preserve">Ваш заказ</t>
  </si>
  <si>
    <t xml:space="preserve">Кол-во. упак</t>
  </si>
  <si>
    <t xml:space="preserve">Сумма</t>
  </si>
  <si>
    <t xml:space="preserve">МРЦ</t>
  </si>
  <si>
    <t xml:space="preserve">Акция</t>
  </si>
  <si>
    <t xml:space="preserve">Остаток</t>
  </si>
  <si>
    <t xml:space="preserve">Бренд</t>
  </si>
  <si>
    <t xml:space="preserve">Cтатус 
товара</t>
  </si>
  <si>
    <t xml:space="preserve">Общий 
вес, кг</t>
  </si>
  <si>
    <t xml:space="preserve">Общий 
обьем, м3</t>
  </si>
  <si>
    <t xml:space="preserve">Вес, кг</t>
  </si>
  <si>
    <t xml:space="preserve">Обьем, м3</t>
  </si>
  <si>
    <t xml:space="preserve">Штрихкод </t>
  </si>
  <si>
    <t xml:space="preserve">Ссылка</t>
  </si>
  <si>
    <t xml:space="preserve">Электроинструмент</t>
  </si>
  <si>
    <t xml:space="preserve">Дрели без удара</t>
  </si>
  <si>
    <t xml:space="preserve">17374</t>
  </si>
  <si>
    <t xml:space="preserve">DCA AJZ07-10 Дрель электрическая (500Вт, 0-1750 об/мин,10мм)</t>
  </si>
  <si>
    <t xml:space="preserve">500 Вт, 0-1750 об/мин, макс. диаметр отверстия: сталь 10мм, древесина 25мм, рег-ка оборотов, реверс, мет.корпус редуктора</t>
  </si>
  <si>
    <t xml:space="preserve">DCA</t>
  </si>
  <si>
    <t xml:space="preserve">Распродажа</t>
  </si>
  <si>
    <t xml:space="preserve">17373</t>
  </si>
  <si>
    <t xml:space="preserve">DCA AJZ08-10 Дрель (шуруповерт) электрическая (250Вт., 10мм. БЗП патрон)</t>
  </si>
  <si>
    <t xml:space="preserve">250 Вт 0-850 об/мин   Макс. диаметр
отверстия Сталь 10 mm   Древесина 20 mm</t>
  </si>
  <si>
    <t xml:space="preserve">17371</t>
  </si>
  <si>
    <t xml:space="preserve">DCA AJZ09-10 Дрель электрическая (710Вт, 0-2800 об/мин, 10мм)</t>
  </si>
  <si>
    <t xml:space="preserve">710 Вт, 0-2800 об/мин, Макс. диаметр отверстия: сталь 10 мм, дерево 20 мм)</t>
  </si>
  <si>
    <t xml:space="preserve">17372</t>
  </si>
  <si>
    <t xml:space="preserve">DCA AJZ09-10K Дрель электрическая (710Вт.,0-2800 об/мин 10мм. БЗП патрон)</t>
  </si>
  <si>
    <t xml:space="preserve">710 Вт 0-2800 об/мин   Макс. диаметр
отверстия Сталь 10 mm   Древесина 20 mm</t>
  </si>
  <si>
    <t xml:space="preserve">14186</t>
  </si>
  <si>
    <t xml:space="preserve">Edon ED-8005 Дрель электрическая  (800Вт.,0-1200об/мин; 13мм., </t>
  </si>
  <si>
    <t xml:space="preserve">650Вт;0-1200об/мин; металл 13мм.рег-ка оборотов, реверс, мет.корпус редуктора, БЗП</t>
  </si>
  <si>
    <t xml:space="preserve">Edon</t>
  </si>
  <si>
    <t xml:space="preserve">6937888277986</t>
  </si>
  <si>
    <t xml:space="preserve">14187</t>
  </si>
  <si>
    <t xml:space="preserve">Edon ED-8006 Дрель электрическая (900Вт., 13мм., рег-ка оборотов, реверс, мет.корпус редуктора)</t>
  </si>
  <si>
    <t xml:space="preserve">950Вт; 0-1200об/мин; металл 13мм.ключевой</t>
  </si>
  <si>
    <t xml:space="preserve">6937888277993</t>
  </si>
  <si>
    <t xml:space="preserve">20153</t>
  </si>
  <si>
    <t xml:space="preserve">REDBO PGD-10/450 Дрель электрическая  (450Вт, 0-2800об/мин, 10мм)</t>
  </si>
  <si>
    <t xml:space="preserve">450Вт.0-2800об/мин;10мм, рег-ка оборотов, реверс, БЗП патрон</t>
  </si>
  <si>
    <t xml:space="preserve">REDBO</t>
  </si>
  <si>
    <t xml:space="preserve">6937888211850</t>
  </si>
  <si>
    <t xml:space="preserve">Дрели с ударом</t>
  </si>
  <si>
    <t xml:space="preserve">16518</t>
  </si>
  <si>
    <t xml:space="preserve">Edon DL-1136 Дрель электрическая ударная (1000 Вт, 0-2800 об/мин, 13мм)</t>
  </si>
  <si>
    <t xml:space="preserve">Патрон ключевой 1000 Вт   0-2800 об/мин   Максимальный диаметр патрона    13 мм</t>
  </si>
  <si>
    <t xml:space="preserve">6937888235269</t>
  </si>
  <si>
    <t xml:space="preserve">8445</t>
  </si>
  <si>
    <t xml:space="preserve">Edon DL-1137 Дрель электрическая ударная (1100Вт;0-3000об/мин; 48000уд/мин;патрон ключевой 1,5-13мм)</t>
  </si>
  <si>
    <t xml:space="preserve">1100Вт; 0-3000об/мин; 48000уд/мин; патрон ключевой 1,5-13мм; макс диаметр сверления 10/20/13мм, реверс, ударная, рег-ка оборотов</t>
  </si>
  <si>
    <t xml:space="preserve">6937888235245</t>
  </si>
  <si>
    <t xml:space="preserve">8459</t>
  </si>
  <si>
    <t xml:space="preserve">Edon DL-1138 Дрель электрическая ударная  (1100Вт;0-3000об/мин; 48000уд/мин;патрон ключ 1,5-13мм)</t>
  </si>
  <si>
    <t xml:space="preserve">1200Вт; 0-3000об/мин; 48000уд/мин; патрон ключевой 1,5-13мм; макс диаметр сверления 10/20/13мм, реверс, ударная, рег-ка оборотов</t>
  </si>
  <si>
    <t xml:space="preserve">6937888235252</t>
  </si>
  <si>
    <t xml:space="preserve">18915</t>
  </si>
  <si>
    <t xml:space="preserve">Edon DL-1153 Дрель электрическая ударная(1000Вт;0-2800об/мин;18/45/22мм)</t>
  </si>
  <si>
    <t xml:space="preserve">1000Вт; 0-2800об/мин;патрон ключевой; макс диаметр сверления 18/45/22мм, реверс, ударная, рег-ка оборотов</t>
  </si>
  <si>
    <t xml:space="preserve">6937888233418.</t>
  </si>
  <si>
    <t xml:space="preserve">18908</t>
  </si>
  <si>
    <t xml:space="preserve">Edon DL-1173 Дрель электрическая ударная ( (1300Вт;0-3000об/мин; 48000уд/мин;патрон ключ 1,5-13мм)</t>
  </si>
  <si>
    <t xml:space="preserve">1300Вт; 0-3000об/мин; 48000уд/мин; патрон ключевой 1,5-13мм; макс диаметр сверления 10/22/13мм, реверс, ударная, рег-ка оборотов</t>
  </si>
  <si>
    <t xml:space="preserve">6937888235276</t>
  </si>
  <si>
    <t xml:space="preserve">35489</t>
  </si>
  <si>
    <t xml:space="preserve">Edon DL-700 Дрель электрическая ударная (700Вт., 13мм., реверс, удар, рег-ка об.)</t>
  </si>
  <si>
    <t xml:space="preserve">700Вт;0-3000об/мин; 40000уд/мин;патрон ключ 1,5-13мм;10/20/13мм; реверс, регулировка оборотов</t>
  </si>
  <si>
    <t xml:space="preserve">6937888238703</t>
  </si>
  <si>
    <t xml:space="preserve">Шуруповерты сетевые</t>
  </si>
  <si>
    <t xml:space="preserve">19525</t>
  </si>
  <si>
    <t xml:space="preserve">Edon DS-350 Дрель-шуруповёрт электрическая (350Вт, 23Нм, 0-750 об/мин;10мм)</t>
  </si>
  <si>
    <t xml:space="preserve">350Вт;23Нм, 0-750 об/мин;10мм, реверс, рег-ка оборотов</t>
  </si>
  <si>
    <t xml:space="preserve">6937888223785</t>
  </si>
  <si>
    <t xml:space="preserve">19526</t>
  </si>
  <si>
    <t xml:space="preserve">Edon DS-450 Дрель-шуруповёрт электрическая (450Вт., реверс)</t>
  </si>
  <si>
    <t xml:space="preserve">450Вт;28Нм,750об/мин;10мм</t>
  </si>
  <si>
    <t xml:space="preserve">6937888223792</t>
  </si>
  <si>
    <t xml:space="preserve">19527</t>
  </si>
  <si>
    <t xml:space="preserve">Edon DS-550C Дрель-шуруповёрт электрическая (550Вт., реверс, 0-450/0-1800)</t>
  </si>
  <si>
    <t xml:space="preserve">400Вт;30Нм;0-450/0-1800об/мин;10мм;10/28 мм;20+1</t>
  </si>
  <si>
    <t xml:space="preserve">6937888225628</t>
  </si>
  <si>
    <t xml:space="preserve">Шлифовальные машины</t>
  </si>
  <si>
    <t xml:space="preserve">15296</t>
  </si>
  <si>
    <t xml:space="preserve">Edon AG-125/1000 Машина шлифовальная угловая (125мм., 1000Вт..)</t>
  </si>
  <si>
    <t xml:space="preserve">11000об/мин;125мм; М14</t>
  </si>
  <si>
    <t xml:space="preserve">6937888224553</t>
  </si>
  <si>
    <t xml:space="preserve">28225</t>
  </si>
  <si>
    <t xml:space="preserve">Edon AG-125/1000CER Машина шлифовальная угловая (125мм., 1000Вт., рег-ка, очки, перчатки, желт.)</t>
  </si>
  <si>
    <t xml:space="preserve">1000Вт;0-11000об/мин;125мм; М14</t>
  </si>
  <si>
    <t xml:space="preserve">6937888235092</t>
  </si>
  <si>
    <t xml:space="preserve">19906</t>
  </si>
  <si>
    <t xml:space="preserve">Edon AG-125/1000D Машина шлифовальная угловая (125мм., 1000Вт.)</t>
  </si>
  <si>
    <t xml:space="preserve">1000Вт;11000об/мин;125мм; М14</t>
  </si>
  <si>
    <t xml:space="preserve">6937888212048</t>
  </si>
  <si>
    <t xml:space="preserve">28424</t>
  </si>
  <si>
    <t xml:space="preserve">Edon AG-125/1100 Машина шлифовальная угловая (125мм., 1100Вт.)</t>
  </si>
  <si>
    <t xml:space="preserve">1100Вт;11000об/мин;125мм; М14</t>
  </si>
  <si>
    <t xml:space="preserve">6937888236693</t>
  </si>
  <si>
    <t xml:space="preserve">28229</t>
  </si>
  <si>
    <t xml:space="preserve">Edon AG-125/1200CER Машина шлифовальная угловая (125мм., 1200Вт., удлинённая рукоятка желт.)</t>
  </si>
  <si>
    <t xml:space="preserve">1200Вт;0-11000об/мин;125мм; М14</t>
  </si>
  <si>
    <t xml:space="preserve">6937888235221</t>
  </si>
  <si>
    <t xml:space="preserve">20665</t>
  </si>
  <si>
    <t xml:space="preserve">Edon AG-125/1200ER Машина шлифовальная угловая (125мм., 1000Вт., удлинённая рукоятка)</t>
  </si>
  <si>
    <t xml:space="preserve">6937888235214</t>
  </si>
  <si>
    <t xml:space="preserve">40042</t>
  </si>
  <si>
    <t xml:space="preserve">Edon AG-125/800A Машина шлифовальная угловая</t>
  </si>
  <si>
    <t xml:space="preserve">230-240В; 800Вт;125мм;11000об/мин; М14</t>
  </si>
  <si>
    <t xml:space="preserve">6937888247125</t>
  </si>
  <si>
    <t xml:space="preserve">28231</t>
  </si>
  <si>
    <t xml:space="preserve">Edon AG-125/800C Машина шлифовальная угловая (125мм., 800Вт., очки, желт.)</t>
  </si>
  <si>
    <t xml:space="preserve">800Вт;11000об/мин;125мм; М14</t>
  </si>
  <si>
    <t xml:space="preserve">6937888235191</t>
  </si>
  <si>
    <t xml:space="preserve">40043</t>
  </si>
  <si>
    <t xml:space="preserve">Edon AG-125/850A Машина шлифовальная угловая</t>
  </si>
  <si>
    <t xml:space="preserve">230-240В; 850Вт;125мм;12000об/мин; М14</t>
  </si>
  <si>
    <t xml:space="preserve">6937888247132</t>
  </si>
  <si>
    <t xml:space="preserve">15456</t>
  </si>
  <si>
    <t xml:space="preserve">Edon AG125/900 Машина шлифовальная угловая</t>
  </si>
  <si>
    <t xml:space="preserve">900 Вт   11000 об/мин   Посадка 22 мм   Диаметр диск 125 мм</t>
  </si>
  <si>
    <t xml:space="preserve">6937888259197</t>
  </si>
  <si>
    <t xml:space="preserve">28227</t>
  </si>
  <si>
    <t xml:space="preserve">Edon AG-125/900C Машина шлифовальная угловая (125мм., 900Вт., очки, перчатки, желт.)</t>
  </si>
  <si>
    <t xml:space="preserve">900Вт;11000об/мин;125мм; М14</t>
  </si>
  <si>
    <t xml:space="preserve">6937888235160</t>
  </si>
  <si>
    <t xml:space="preserve">27954</t>
  </si>
  <si>
    <t xml:space="preserve">Edon AG-125/900R Машина шлифовальная угловая (125мм., 900Вт., очки, перчатки)</t>
  </si>
  <si>
    <t xml:space="preserve">900Вт;3000-11000об/мин;125мм; М14</t>
  </si>
  <si>
    <t xml:space="preserve">6937888234415</t>
  </si>
  <si>
    <t xml:space="preserve">14190</t>
  </si>
  <si>
    <t xml:space="preserve">Edon AG-150/1500ER Машина шлифовальная угловая (150мм., 1500Вт., рег-ка оборотов, удлинённая рукоятк</t>
  </si>
  <si>
    <t xml:space="preserve">1500Вт.3000-11000об/мин.150мм.М14</t>
  </si>
  <si>
    <t xml:space="preserve">6937888227226</t>
  </si>
  <si>
    <t xml:space="preserve">17432</t>
  </si>
  <si>
    <t xml:space="preserve">Edon AG-180/1800ES Машина шлифовальная угловая  (180мм., 1800Вт., удлинённая рукоятка)</t>
  </si>
  <si>
    <t xml:space="preserve">1800Вт;8000об/мин;180мм; М14</t>
  </si>
  <si>
    <t xml:space="preserve">6937888200571</t>
  </si>
  <si>
    <t xml:space="preserve">20565</t>
  </si>
  <si>
    <t xml:space="preserve">Edon AG-230/2800EST Машина шлифовальная угловая (230мм., 2800Вт., пл. пуск, поворотная рукоятка)</t>
  </si>
  <si>
    <t xml:space="preserve">2800Вт;6500об/мин;230мм; М14</t>
  </si>
  <si>
    <t xml:space="preserve">Новинка</t>
  </si>
  <si>
    <t xml:space="preserve">6937888227257</t>
  </si>
  <si>
    <t xml:space="preserve">28226</t>
  </si>
  <si>
    <t xml:space="preserve">ETECH CAG-125/1000ER Машина шлифовальная угловая (125мм., 1000Вт., рег-ка оборотов, удлинённая рукоя</t>
  </si>
  <si>
    <t xml:space="preserve">220В/~50Гц; 1000Вт; 125мм; 0-11000об/мин; М14</t>
  </si>
  <si>
    <t xml:space="preserve">ETECH</t>
  </si>
  <si>
    <t xml:space="preserve">6937888235085</t>
  </si>
  <si>
    <t xml:space="preserve">28230</t>
  </si>
  <si>
    <t xml:space="preserve">ETECH CAG-125/1200ER Машина шлифовальная угловая (125мм., 1200Вт., рег-ка оборотов, удлинённая рукоя</t>
  </si>
  <si>
    <t xml:space="preserve">220В/~50Гц; 1200Вт; 125мм; 0-11000об/мин; М14</t>
  </si>
  <si>
    <t xml:space="preserve">6937888235238</t>
  </si>
  <si>
    <t xml:space="preserve">28228</t>
  </si>
  <si>
    <t xml:space="preserve">ETECH CAG-125/900 Машина шлифовальная угловая (125мм., 900Вт.)</t>
  </si>
  <si>
    <t xml:space="preserve">220В/~50Гц; 900Вт; 125мм; 11000об/мин; М14</t>
  </si>
  <si>
    <t xml:space="preserve">6937888235177</t>
  </si>
  <si>
    <t xml:space="preserve">20708</t>
  </si>
  <si>
    <t xml:space="preserve">REDBO EAG-125/1050R Машина шлифовальная угловая (125мм., 1050Вт., рег-ка оборотов, пылезащита)</t>
  </si>
  <si>
    <t xml:space="preserve">1050Вт;12000об/мин;125мм;22,2мм; М14.</t>
  </si>
  <si>
    <t xml:space="preserve">6937888215353</t>
  </si>
  <si>
    <t xml:space="preserve">20709</t>
  </si>
  <si>
    <t xml:space="preserve">REDBO EAG-125/1150ER Машина шлифовальная угловая (125мм., 1150Вт., рег-ка оборотов, удлинённая рукоя</t>
  </si>
  <si>
    <t xml:space="preserve">1150Вт;4500-11000об/мин;125мм;22,2мм; М14.удл. ручка</t>
  </si>
  <si>
    <t xml:space="preserve">6937888215377</t>
  </si>
  <si>
    <t xml:space="preserve">20710</t>
  </si>
  <si>
    <t xml:space="preserve">REDBO EAG-125/1350ER Машина шлифовальная угловая (125мм., 1350Вт., рег-ка оборотов, удлинённая рукоя</t>
  </si>
  <si>
    <t xml:space="preserve">1350Вт;4500-10000об/мин;125мм;22,2мм; М14.удл. ручка</t>
  </si>
  <si>
    <t xml:space="preserve">6937888215414</t>
  </si>
  <si>
    <t xml:space="preserve">20707</t>
  </si>
  <si>
    <t xml:space="preserve">REDBO EAG-125/1350R Машина шлифовальная угловая (125мм., 1350Вт., рег-ка оборотов, пылезащита)</t>
  </si>
  <si>
    <t xml:space="preserve">1350Вт;11000об/мин;125мм;22,2мм; М14.</t>
  </si>
  <si>
    <t xml:space="preserve">6937888215438</t>
  </si>
  <si>
    <t xml:space="preserve">20702</t>
  </si>
  <si>
    <t xml:space="preserve">REDBO EAG-125/900 Машина шлифовальная угловая (125мм., 900Вт., пылезащита)</t>
  </si>
  <si>
    <t xml:space="preserve">900Вт;11000об/мин;125мм;22,2мм; М14.</t>
  </si>
  <si>
    <t xml:space="preserve">6937888206931</t>
  </si>
  <si>
    <t xml:space="preserve">20705</t>
  </si>
  <si>
    <t xml:space="preserve">REDBO EAG-125/900D Машина шлифовальная угловая (125мм., 900Вт., пылезащита)</t>
  </si>
  <si>
    <t xml:space="preserve">6937888215193</t>
  </si>
  <si>
    <t xml:space="preserve">20706</t>
  </si>
  <si>
    <t xml:space="preserve">REDBO EAG-125/950D Машина шлифовальная угловая (125мм., 950Вт., пылезащита)</t>
  </si>
  <si>
    <t xml:space="preserve">950Вт;11000об/мин;125мм;22,2мм; М14.</t>
  </si>
  <si>
    <t xml:space="preserve">6937888215209</t>
  </si>
  <si>
    <t xml:space="preserve">20699</t>
  </si>
  <si>
    <t xml:space="preserve">REDBO EAG-150/1650ERS Машина шлифовальная угловая (150мм., 1650Вт., рег-ка оборотов, удлинённая руко</t>
  </si>
  <si>
    <t xml:space="preserve">1650Вт;0-8500об/мин;150мм;22,2мм; М14.</t>
  </si>
  <si>
    <t xml:space="preserve">6937888215445</t>
  </si>
  <si>
    <t xml:space="preserve">20700</t>
  </si>
  <si>
    <t xml:space="preserve">REDBO EAG-180/1850ERS Машина шлифовальная угловая (180мм., 1850Вт., рег-ка оборотов, удлинённая руко</t>
  </si>
  <si>
    <t xml:space="preserve">1850Вт;0-8500об/мин;180мм;22,2мм; М14.</t>
  </si>
  <si>
    <t xml:space="preserve">6937888215452</t>
  </si>
  <si>
    <t xml:space="preserve">20703</t>
  </si>
  <si>
    <t xml:space="preserve">REDBO EAG-230/2900ERS Машина шлифовальная угловая (230мм., 2900Вт., пл. пуск)</t>
  </si>
  <si>
    <t xml:space="preserve">2900Вт;6500об/мин;230мм;22,2мм; М14.</t>
  </si>
  <si>
    <t xml:space="preserve">6937888215476</t>
  </si>
  <si>
    <t xml:space="preserve">Гайковёрты</t>
  </si>
  <si>
    <t xml:space="preserve">15597</t>
  </si>
  <si>
    <t xml:space="preserve">Edon EW-900/350 Гайковёрт ударный электрический (900Вт., 350Н.м.)</t>
  </si>
  <si>
    <t xml:space="preserve">900Вт;350Нм;2300об/мин;1/2//12,7 дюйм/мм.</t>
  </si>
  <si>
    <t xml:space="preserve">6937888222535</t>
  </si>
  <si>
    <t xml:space="preserve">Лобзики</t>
  </si>
  <si>
    <t xml:space="preserve">17379</t>
  </si>
  <si>
    <t xml:space="preserve">DCA AMQ65K Лобзик электрический (600Вт., маятникый ход, рег-ка об., легосплавная платформа)</t>
  </si>
  <si>
    <t xml:space="preserve">600 Вт   500-3000 ходов/мин.  Максимальный угол реза 45°   Максимальная глубина
реза дерево 65 мм алюминий 20 мм  сталь 10 мм</t>
  </si>
  <si>
    <t xml:space="preserve">18910</t>
  </si>
  <si>
    <t xml:space="preserve">Edon JS-100/950RL Лобзик электрический.</t>
  </si>
  <si>
    <t xml:space="preserve">220В/~50Гц; 950Вт; 0-3000ход/мин; 100/8мм; +/-45°</t>
  </si>
  <si>
    <t xml:space="preserve">6937888210495</t>
  </si>
  <si>
    <t xml:space="preserve">14561</t>
  </si>
  <si>
    <t xml:space="preserve">Edon JS-65/550R Лобзик электрический (550Вт, 0-3000ход/мин;165/4мм;18мм,маят. ход, рег-ка об.)</t>
  </si>
  <si>
    <t xml:space="preserve">550Вт;0-3000ход/мин;165/4мм;18мм;+/-45°</t>
  </si>
  <si>
    <t xml:space="preserve">6937888223907</t>
  </si>
  <si>
    <t xml:space="preserve">18905</t>
  </si>
  <si>
    <t xml:space="preserve">Edon JS-85/750R Лобзик электрический (750Вт., бесключ. зажим, маятникый ход, рег-ка об.)</t>
  </si>
  <si>
    <t xml:space="preserve">750Вт;0-3000об./мин;85мм.</t>
  </si>
  <si>
    <t xml:space="preserve">6937888288944</t>
  </si>
  <si>
    <t xml:space="preserve">Электрические граверы</t>
  </si>
  <si>
    <t xml:space="preserve">18911</t>
  </si>
  <si>
    <t xml:space="preserve">Edon EG-160N Электрический гравер (160Вт., гибкий вал, набор насадок)</t>
  </si>
  <si>
    <t xml:space="preserve">160Вт,30000об/мин.цанга 1,6/2,3/3,2мм.рег.об/набор</t>
  </si>
  <si>
    <t xml:space="preserve">6937888224591</t>
  </si>
  <si>
    <t xml:space="preserve">40348</t>
  </si>
  <si>
    <t xml:space="preserve">Edon EG-160А Электрический гравер (160Вт; 10000-32000об/мин; 3,2мм)</t>
  </si>
  <si>
    <t xml:space="preserve">230В/~50Гц; 160Вт; 10000-32000об/мин; 3,2мм</t>
  </si>
  <si>
    <t xml:space="preserve">6937888249334</t>
  </si>
  <si>
    <t xml:space="preserve">40349</t>
  </si>
  <si>
    <t xml:space="preserve">Edon EG-170N Электрический гравер (170Вт; 10000-32000об/мин; 3,2мм)</t>
  </si>
  <si>
    <t xml:space="preserve">230В/~50Гц; 170Вт; 10000-32000об/мин; 3,2мм</t>
  </si>
  <si>
    <t xml:space="preserve">6937888249341</t>
  </si>
  <si>
    <t xml:space="preserve">40344</t>
  </si>
  <si>
    <t xml:space="preserve">REDBO EGE-160 Электрический гравер (160Вт; 10000-32000об/мин; 3,2мм)</t>
  </si>
  <si>
    <t xml:space="preserve">6937888249228</t>
  </si>
  <si>
    <t xml:space="preserve">40347</t>
  </si>
  <si>
    <t xml:space="preserve">REDBO EGE-180 Электрический гравер (180Вт; 10000-32000об/мин; 3,2мм)</t>
  </si>
  <si>
    <t xml:space="preserve">6937888249235</t>
  </si>
  <si>
    <t xml:space="preserve">Электрическик степлеры</t>
  </si>
  <si>
    <t xml:space="preserve">39973</t>
  </si>
  <si>
    <t xml:space="preserve">Edon ENS-2300 Электрический степлер/нейлер (2300Вт., Ga18/Ga20, 10-30мм./10-22мм., 1,05*1,25/1,2*0,6</t>
  </si>
  <si>
    <t xml:space="preserve">2300Вт; 35уд/мин; 10-30/10-22мм; 1,05х1,25/1,20х0,60мм; Ga18/Ga20; 100шт</t>
  </si>
  <si>
    <t xml:space="preserve">6937888246784</t>
  </si>
  <si>
    <t xml:space="preserve">Электрические краскораспылители</t>
  </si>
  <si>
    <t xml:space="preserve">19361</t>
  </si>
  <si>
    <t xml:space="preserve">Edon EPS-550 Электрический краскораспылитель (550Вт; 650мл/мин; 800мл; 2,5мм; 40DIN/се)</t>
  </si>
  <si>
    <t xml:space="preserve">230-240В/~50Гц; 550Вт; 32000об/мин; 650мл/мин; 800мл; 2,5мм; 40DIN/сек</t>
  </si>
  <si>
    <t xml:space="preserve">6937888210846</t>
  </si>
  <si>
    <t xml:space="preserve">19360</t>
  </si>
  <si>
    <t xml:space="preserve">Edon EPS-700 Электрический краскораспылитель (700Вт, 650мл/мин, 1.5мм, 130DIN/сек)</t>
  </si>
  <si>
    <t xml:space="preserve">230-240В/~50Гц; 700Вт; 32000об/мин; 650мл/мин; 800мл; 1,5мм; 130DIN/сек</t>
  </si>
  <si>
    <t xml:space="preserve">6937888210839</t>
  </si>
  <si>
    <t xml:space="preserve">Лазерные уровни</t>
  </si>
  <si>
    <t xml:space="preserve">37650</t>
  </si>
  <si>
    <t xml:space="preserve">Edon CLL 4D/40FW combo Построитель лазерных плоскостей (40м., 16 зеленых лучей, 1/4",подставка, трен</t>
  </si>
  <si>
    <t xml:space="preserve">40м; 16 лучей; зеленый цвет луча; 1,0мм/10м; 4с; 515Нм</t>
  </si>
  <si>
    <t xml:space="preserve">6937888243851</t>
  </si>
  <si>
    <t xml:space="preserve">29780</t>
  </si>
  <si>
    <t xml:space="preserve">Edon CLL 4D/40FW SET Построитель лазерных плоскостей  (40м., 16 синих лучей, 1/4", подставка, два ак</t>
  </si>
  <si>
    <t xml:space="preserve">40м; 16 лучей; синий цвет луча; 0,2мм/10м; 4с; 515Нм</t>
  </si>
  <si>
    <t xml:space="preserve">6937888239038</t>
  </si>
  <si>
    <t xml:space="preserve">29781</t>
  </si>
  <si>
    <t xml:space="preserve">Edon CLL 4D/40FWD Построитель лазерных плоскостей (40м., 16 синих лучей, 1/4", подставка, два акк., </t>
  </si>
  <si>
    <t xml:space="preserve">6937888239045</t>
  </si>
  <si>
    <t xml:space="preserve">29782</t>
  </si>
  <si>
    <t xml:space="preserve">Edon CLL Профи 4D/40FW Построитель лазерных плоскостей (40м., 16 синих лучей, 1/4", подставка, два а</t>
  </si>
  <si>
    <t xml:space="preserve">6937888239052</t>
  </si>
  <si>
    <t xml:space="preserve">37649</t>
  </si>
  <si>
    <t xml:space="preserve">REDBO LLC 4D/40FW combo Построитель лазерных плоскостей (40м., 16 зеленых лучей, 1/4",подставка, тре</t>
  </si>
  <si>
    <t xml:space="preserve">6937888243844</t>
  </si>
  <si>
    <t xml:space="preserve">29783</t>
  </si>
  <si>
    <t xml:space="preserve">REDBO LLC 4D/40FW SET Построитель лазерных плоскостей  (40м., 16 синих лучей, 1/4", подставка, два а</t>
  </si>
  <si>
    <t xml:space="preserve">6937888239076</t>
  </si>
  <si>
    <t xml:space="preserve">Пилы дисковые</t>
  </si>
  <si>
    <t xml:space="preserve">42303</t>
  </si>
  <si>
    <t xml:space="preserve">Edon CS-185/1400 Пила дисковая электрическая(1400Вт;185х20х2.4х24Т; 6000об/мин; 62мм; 48мм)</t>
  </si>
  <si>
    <t xml:space="preserve">1400Вт;185х20х2.4х24Т; 6000об/мин; глубина пропила 90град - 62мм; 45 град- 48мм, угол наклона реж. блока 0-45 град, параллел упор, диск</t>
  </si>
  <si>
    <t xml:space="preserve">6937888253546</t>
  </si>
  <si>
    <t xml:space="preserve">19518</t>
  </si>
  <si>
    <t xml:space="preserve">Edon CS-185/1650С Электрическая пила дисковая (185мм., 1650Вт., 60мм.)</t>
  </si>
  <si>
    <t xml:space="preserve">220В/~50Гц; 1650Вт; 185х20мм; 5500 об/мин; 65мм, 43мм, 0-45°</t>
  </si>
  <si>
    <t xml:space="preserve">6937888232442</t>
  </si>
  <si>
    <t xml:space="preserve">14567</t>
  </si>
  <si>
    <t xml:space="preserve">Edon CS-185-1650 Электрическая пила дисковая (185мм., 1650Вт., 61мм.)</t>
  </si>
  <si>
    <t xml:space="preserve">1650Вт;5500об/мин;185х20мм;65мм,43мм,0-45°</t>
  </si>
  <si>
    <t xml:space="preserve">6937888223556</t>
  </si>
  <si>
    <t xml:space="preserve">30294</t>
  </si>
  <si>
    <t xml:space="preserve">Edon CS-185-1700CL Электрическая пила дисковая (185мм., 1650Вт., 61мм., лазер)</t>
  </si>
  <si>
    <t xml:space="preserve">1700Вт;5500об/мин;185х20х2,4х27Т;61/46мм;0-45°</t>
  </si>
  <si>
    <t xml:space="preserve">6937888239311</t>
  </si>
  <si>
    <t xml:space="preserve">Рубанки</t>
  </si>
  <si>
    <t xml:space="preserve">14686</t>
  </si>
  <si>
    <t xml:space="preserve">Edon EDR1100-110 Рубанок электрический (1100Вт;16000об/мин;110мм;0-3мм)</t>
  </si>
  <si>
    <t xml:space="preserve">1100Вт;16000об/мин;110мм;0-3мм</t>
  </si>
  <si>
    <t xml:space="preserve">6937888204678</t>
  </si>
  <si>
    <t xml:space="preserve">8456</t>
  </si>
  <si>
    <t xml:space="preserve">Edon EDR750-82 Рубанок электрический (750Вт;16000об/мин;82мм)</t>
  </si>
  <si>
    <t xml:space="preserve">750Вт;16000об/мин;82мм.</t>
  </si>
  <si>
    <t xml:space="preserve">6937888204555</t>
  </si>
  <si>
    <t xml:space="preserve">Фрезеры</t>
  </si>
  <si>
    <t xml:space="preserve">21071</t>
  </si>
  <si>
    <t xml:space="preserve">Edon PR-12/1900 Фрезер электрический (1900Вт., 6мм.,8мм.,12мм., рег-ка оборотов)</t>
  </si>
  <si>
    <t xml:space="preserve">1900Вт.8000-23000об/мин.6/8/12мм цанга</t>
  </si>
  <si>
    <t xml:space="preserve">6937888219740</t>
  </si>
  <si>
    <t xml:space="preserve">17772</t>
  </si>
  <si>
    <t xml:space="preserve">Edon PR6/900 Фрезер электрический (900Вт., 6мм.)</t>
  </si>
  <si>
    <t xml:space="preserve">900Вт.30000об/мин.6мм.цанга.40мм.</t>
  </si>
  <si>
    <t xml:space="preserve">6937888206467</t>
  </si>
  <si>
    <t xml:space="preserve">21072</t>
  </si>
  <si>
    <t xml:space="preserve">Edon PR-8/1400 Фрезер электрический (1400Вт.16000-30000об/мин.6/8мм.цанга)</t>
  </si>
  <si>
    <t xml:space="preserve">1400Вт.16000-30000об/мин.6/8мм.цанга</t>
  </si>
  <si>
    <t xml:space="preserve">6937888219733</t>
  </si>
  <si>
    <t xml:space="preserve">Перфораторы</t>
  </si>
  <si>
    <t xml:space="preserve">22100</t>
  </si>
  <si>
    <t xml:space="preserve">Edon PROtech 1250RH Перфоратор электрический (1350Вт., 26мм., три режима, 4.5Дж., 3 бура, пика, доло</t>
  </si>
  <si>
    <t xml:space="preserve">6937888222306</t>
  </si>
  <si>
    <t xml:space="preserve">22108</t>
  </si>
  <si>
    <t xml:space="preserve">Edon PROtech 1400DFR Перфоратор электрический (1400Вт., 30мм., три режима, 3Дж., 3 бура, пика, долот</t>
  </si>
  <si>
    <t xml:space="preserve">6937888222221</t>
  </si>
  <si>
    <t xml:space="preserve">22103</t>
  </si>
  <si>
    <t xml:space="preserve">Edon PROtech 1400RH Перфоратор электрический (1400Вт., 30мм., три режима, 3Дж., 3 бура, пика, долото</t>
  </si>
  <si>
    <t xml:space="preserve">6937888222269</t>
  </si>
  <si>
    <t xml:space="preserve">9276</t>
  </si>
  <si>
    <t xml:space="preserve">Edon RH-20/650 Перфоратор электрический (650Вт., 20мм., два режима, 2.3Дж., 3 бура, пика, долото, пл</t>
  </si>
  <si>
    <t xml:space="preserve">650Вт;1,7Дж;0-1050об/мин;0-3900уд/мин;20/13/30мм;SDS-plus</t>
  </si>
  <si>
    <t xml:space="preserve">6937888270703</t>
  </si>
  <si>
    <t xml:space="preserve">9275</t>
  </si>
  <si>
    <t xml:space="preserve">Edon RH-24/950 Перфоратор электрический ..</t>
  </si>
  <si>
    <t xml:space="preserve">220В/~50Гц; 950Вт; 24/13/30мм; 0-1000об/мин; 1,7Дж; 0-3900уд/мин; SDS-plus</t>
  </si>
  <si>
    <t xml:space="preserve">6937888209048</t>
  </si>
  <si>
    <t xml:space="preserve">21601</t>
  </si>
  <si>
    <t xml:space="preserve">Edon RH-24/950B Перфоратор электрический (950Вт., 30мм., три режима, 2.6Дж., 3 бура, пика, долото, п</t>
  </si>
  <si>
    <t xml:space="preserve">950Вт;2,6Дж;0-870об/мин;0-4800уд/мин;13/30/24мм;SDS-plus</t>
  </si>
  <si>
    <t xml:space="preserve">6937888221149</t>
  </si>
  <si>
    <t xml:space="preserve">9277</t>
  </si>
  <si>
    <t xml:space="preserve">Edon RH-26/1150 Перфоратор электрический (1150Вт., 26мм., три режима, 3.2Дж., 3 бура, пика, долото, </t>
  </si>
  <si>
    <t xml:space="preserve">1150Вт;3,0Дж;0-1100об/мин;0-4850уд/мин;26/13/30мм;SDS-plus
Текст:</t>
  </si>
  <si>
    <t xml:space="preserve">6937888209055</t>
  </si>
  <si>
    <t xml:space="preserve">21603</t>
  </si>
  <si>
    <t xml:space="preserve">Edon RH-26/1150B Перфоратор электрический (1150Вт., 26мм., три режима, 3.0Дж., 3 бура, пика, долото,</t>
  </si>
  <si>
    <t xml:space="preserve">1150Вт;3Дж;0-1100об/мин;0-4900уд/мин;13/30/26мм;SDS-plus</t>
  </si>
  <si>
    <t xml:space="preserve">6937888221156</t>
  </si>
  <si>
    <t xml:space="preserve">39836</t>
  </si>
  <si>
    <t xml:space="preserve">Edon RH-26/1150M Перфоратор электрический (1150Вт, SDS-plus, 0-4800, 2,6Дж., 26/13/30мм)</t>
  </si>
  <si>
    <t xml:space="preserve">SDS-plus, 0-4850 уд/мин, 0-1100 об/мин, 1150Вт, регулировка скорости, диам сверления 26/13/30 мм, три режима, 2,6 Дж., доп рукоятка, огран-ль глубины, пика, долото, 3 шт сверло, пласт кейс</t>
  </si>
  <si>
    <t xml:space="preserve">6937888247767</t>
  </si>
  <si>
    <t xml:space="preserve">21602</t>
  </si>
  <si>
    <t xml:space="preserve">Edon RH-28/1250B Перфоратор электрический (1250Вт., 28мм., три режима, 3.3Дж., 3 бура, пика, долото,</t>
  </si>
  <si>
    <t xml:space="preserve">1250Вт;3,3Дж;0-1150об/мин;0-5100уд/мин;13/30/28мм;SDS-plus</t>
  </si>
  <si>
    <t xml:space="preserve">6937888221163</t>
  </si>
  <si>
    <t xml:space="preserve">19521</t>
  </si>
  <si>
    <t xml:space="preserve">Edon RH-28/1250C Перфоратор электрический (1250Вт., 28мм., три режима, 3.5Дж., мет.корпус редуктора,</t>
  </si>
  <si>
    <t xml:space="preserve">1250Вт;3,5Дж;0--1250об/мин;5100уд/мин;SDS-plus</t>
  </si>
  <si>
    <t xml:space="preserve">6937888227820</t>
  </si>
  <si>
    <t xml:space="preserve">22104</t>
  </si>
  <si>
    <t xml:space="preserve">HANTEL RHL-1400DFR Перфоратор электрический (1400Вт., 28мм., три режима, 3.0Дж., мет.корпус редуктор</t>
  </si>
  <si>
    <t xml:space="preserve">HANTEL</t>
  </si>
  <si>
    <t xml:space="preserve">6937888222238</t>
  </si>
  <si>
    <t xml:space="preserve">22105</t>
  </si>
  <si>
    <t xml:space="preserve">JONSER JRH-1450DFR Перфоратор электрический (1450Вт., 28мм., три режима, 4.0Дж., мет.корпус редуктор</t>
  </si>
  <si>
    <t xml:space="preserve">JONSER</t>
  </si>
  <si>
    <t xml:space="preserve">6937888222207</t>
  </si>
  <si>
    <t xml:space="preserve">22099</t>
  </si>
  <si>
    <t xml:space="preserve">KRONA KRH-1350 Перфоратор электрический (1350Вт., 26мм., три режима, 3.0Дж., патрон, 3 бура, пика, д</t>
  </si>
  <si>
    <t xml:space="preserve">KRONA</t>
  </si>
  <si>
    <t xml:space="preserve">6937888222290</t>
  </si>
  <si>
    <t xml:space="preserve">22106</t>
  </si>
  <si>
    <t xml:space="preserve">KRONA KRH-1500FT Перфоратор электрический (1500Вт., 28мм., три режима, 3.0Дж., 3 бура, пика, долото,</t>
  </si>
  <si>
    <t xml:space="preserve">6937888222214</t>
  </si>
  <si>
    <t xml:space="preserve">20149</t>
  </si>
  <si>
    <t xml:space="preserve">LINK LION HR-26 Перфоратор электрический</t>
  </si>
  <si>
    <t xml:space="preserve">650 Вт, 0-1000 об/мин, 3 сверла, ограничитель глубины, пласт кейс</t>
  </si>
  <si>
    <t xml:space="preserve">LINK LION</t>
  </si>
  <si>
    <t xml:space="preserve">39834</t>
  </si>
  <si>
    <t xml:space="preserve">REDBO RHD-24/950 Перфоратор электрический (950Вт., 24мм., три режима, 1.7Дж., 3 бура, пика, долото, </t>
  </si>
  <si>
    <t xml:space="preserve">6937888247675</t>
  </si>
  <si>
    <t xml:space="preserve">39837</t>
  </si>
  <si>
    <t xml:space="preserve">REDBO RHD-26/1150 Перфоратор электрический (1150Вт., 26мм., три режима, 3.0Дж., 3 бура, пика, долото</t>
  </si>
  <si>
    <t xml:space="preserve">6937888247682</t>
  </si>
  <si>
    <t xml:space="preserve">39838</t>
  </si>
  <si>
    <t xml:space="preserve">REDBO RHD-26/1150A Перфоратор электрический (1150Вт., 26мм., три режима, 2.6Дж., 3 бура, пика, долот</t>
  </si>
  <si>
    <t xml:space="preserve">6937888247699</t>
  </si>
  <si>
    <t xml:space="preserve">21988</t>
  </si>
  <si>
    <t xml:space="preserve">REDBO RHD-28/1250MV Перфоратор электрический (1250Вт., 28мм., три режима, 4.5Дж., 3 бура, пика, доло</t>
  </si>
  <si>
    <t xml:space="preserve">1250Вт; 4,5Дж; 900об/мин;4300уд/мин; 28/45/13мм; SDS-plus.IP20</t>
  </si>
  <si>
    <t xml:space="preserve">6937888220791</t>
  </si>
  <si>
    <t xml:space="preserve">39839</t>
  </si>
  <si>
    <t xml:space="preserve">REDBO RHD-32/1650 Перфоратор электрический (1650Вт,SDS-plus, 0-4900 уд/мин, 3.3Дж)</t>
  </si>
  <si>
    <t xml:space="preserve">SDS-plus, 0-4900 уд/мин, 0-1300 об/мин, 1650Вт, регулировка скорости, диам сверления 32/13/30 мм, три режима, 3,3 Дж., функция разблокировки патрона в режиме удара. Комплектация:.доп рукоятка, огран-ль глубины, пика, долото, 3 шт сверло, пласт кейс</t>
  </si>
  <si>
    <t xml:space="preserve">6937888247705</t>
  </si>
  <si>
    <t xml:space="preserve">21343</t>
  </si>
  <si>
    <t xml:space="preserve">REDBO RHD-32/1650MVR Перфоратор электрический (1650Вт., 32мм., три режима, 6.0Дж., 3 бура, пика, дол</t>
  </si>
  <si>
    <t xml:space="preserve">1650Вт;6Дж; 950об/мин;4500уд/мин; 32/50/13мм;SDS-plus.IP20</t>
  </si>
  <si>
    <t xml:space="preserve">6937888220807</t>
  </si>
  <si>
    <t xml:space="preserve">39832</t>
  </si>
  <si>
    <t xml:space="preserve">REDBO RHD-40/1900 Перфоратор электрический ( SDS-мах, 1900Вт;  10Дж; 40мм, пика, сверло, кейс)</t>
  </si>
  <si>
    <t xml:space="preserve">220В/~50Гц; 1900Вт; 40мм; 0-630об/мин; 10Дж; 0-3800уд/мин; SDS-max</t>
  </si>
  <si>
    <t xml:space="preserve">6937888247149</t>
  </si>
  <si>
    <t xml:space="preserve">39833</t>
  </si>
  <si>
    <t xml:space="preserve">REDBO RHD-50/2100 Перфоратор электрический ( SDS-мах, 2100Вт;  25Дж; 50мм бур; 150мм коронка, кейс)</t>
  </si>
  <si>
    <t xml:space="preserve">220В/~50Гц; 2100Вт; 50мм; 175-350об/мин; 25Дж; 1150-2300уд/мин; SDS-max</t>
  </si>
  <si>
    <t xml:space="preserve">6937888247156</t>
  </si>
  <si>
    <t xml:space="preserve">Термопистолеты</t>
  </si>
  <si>
    <t xml:space="preserve">40522</t>
  </si>
  <si>
    <t xml:space="preserve">Edon HAG-1900 Термопистолет электрический (1900Вт; 300/520°С; 240/420л/мин, 3 насадки)</t>
  </si>
  <si>
    <t xml:space="preserve">1900Вт; 300/520°С; 240/420л/мин</t>
  </si>
  <si>
    <t xml:space="preserve">6937888250316</t>
  </si>
  <si>
    <t xml:space="preserve">40026</t>
  </si>
  <si>
    <t xml:space="preserve">Edon HAG-2000 Термопистолет электрический (2000Вт., 300˚С/600˚С, 3 насадки)</t>
  </si>
  <si>
    <t xml:space="preserve">2000Вт; 300/600°С; 250/550л/мин</t>
  </si>
  <si>
    <t xml:space="preserve">6937888247651</t>
  </si>
  <si>
    <t xml:space="preserve">7299</t>
  </si>
  <si>
    <t xml:space="preserve">Edon HAG-6618 Термопистолет (2000Вт., 350˚С/650˚С, рег.-ка температуры, 3 насадки)</t>
  </si>
  <si>
    <t xml:space="preserve">2000Вт; 350/650°; 250/550л/мин</t>
  </si>
  <si>
    <t xml:space="preserve">6937888234866</t>
  </si>
  <si>
    <t xml:space="preserve">40015</t>
  </si>
  <si>
    <t xml:space="preserve">REDBO HG-2000 Термопистолет (2000Вт; 380/500°С; 300/500л/мин, 2 насадки)</t>
  </si>
  <si>
    <t xml:space="preserve">220В/~50Гц; 2000Вт; 380/500°С; 300/500л/мин</t>
  </si>
  <si>
    <t xml:space="preserve">6937888247286</t>
  </si>
  <si>
    <t xml:space="preserve">40016</t>
  </si>
  <si>
    <t xml:space="preserve">REDBO HG-2200 Термопистолет (2200Вт; 380/500°С; 300/500л/мин, 2 насадки)</t>
  </si>
  <si>
    <t xml:space="preserve">220В/~50Гц; 2200Вт; 380/500°С; 300/500л/мин, 2 насадки</t>
  </si>
  <si>
    <t xml:space="preserve">6937888247293</t>
  </si>
  <si>
    <t xml:space="preserve">40017</t>
  </si>
  <si>
    <t xml:space="preserve">REDBO HG-2300D Термопистолет (2300Вт; 50-350/60-600°С; 300/500л/мин, 2 насадки)</t>
  </si>
  <si>
    <t xml:space="preserve">220В/~50Гц; 2300Вт; 50-350/60-600°С; 300/500л/мин, 2 насадки</t>
  </si>
  <si>
    <t xml:space="preserve">6937888247309</t>
  </si>
  <si>
    <t xml:space="preserve">Отбойные молотки</t>
  </si>
  <si>
    <t xml:space="preserve">27955</t>
  </si>
  <si>
    <t xml:space="preserve">Edon DH-35/1900 Отбойный молоток (SDS max, 1900Вт., 20 Дж., мет.кейс, пика, долото)</t>
  </si>
  <si>
    <t xml:space="preserve">1900Вт;20Дж;3800уд/мин;HEX18мм</t>
  </si>
  <si>
    <t xml:space="preserve">6937888233821</t>
  </si>
  <si>
    <t xml:space="preserve">7290</t>
  </si>
  <si>
    <t xml:space="preserve">Edon DH-GL65A Отбойный молоток (HEX30мм, 1800Вт, 65 Дж, мет.кейс, пика, долото)</t>
  </si>
  <si>
    <t xml:space="preserve">1800Вт.45Дж;1900об/мин.30мм.</t>
  </si>
  <si>
    <t xml:space="preserve">6937888202650</t>
  </si>
  <si>
    <t xml:space="preserve">7291</t>
  </si>
  <si>
    <t xml:space="preserve">Edon DH-GL95А Отбойный молоток (HEX30мм., 1900Вт., 60ж., мет.кейс, пика, долото)</t>
  </si>
  <si>
    <t xml:space="preserve">2000Вт.60Дж;1900об/мин.30мм.</t>
  </si>
  <si>
    <t xml:space="preserve">6937888202667</t>
  </si>
  <si>
    <t xml:space="preserve">16032</t>
  </si>
  <si>
    <t xml:space="preserve">Edon ED-0810 Отбойный молоток (SDS max, 1800Вт., 15 Дж., мет.кейс, пика, долото)</t>
  </si>
  <si>
    <t xml:space="preserve">1800Вт;15Дж;3000уд/мин;17мм.хвост.</t>
  </si>
  <si>
    <t xml:space="preserve">6937888227011</t>
  </si>
  <si>
    <t xml:space="preserve">22253</t>
  </si>
  <si>
    <t xml:space="preserve">Edon PROtech 2200DH Отбойный молоток (HEX30мм., 2200Вт., 55 Дж., мет.кейс, пика, долото)</t>
  </si>
  <si>
    <t xml:space="preserve">6937888222085</t>
  </si>
  <si>
    <t xml:space="preserve">21344</t>
  </si>
  <si>
    <t xml:space="preserve">REDBO EJH-75/1900 Отбойный молоток (HEX30мм., 1900Вт., 75 Дж., мет.кейс, пика, долото)</t>
  </si>
  <si>
    <t xml:space="preserve">1900Вт; 75Дж;1900уд/мин; Шестигранник HEX (30 мм).IP20.2м.</t>
  </si>
  <si>
    <t xml:space="preserve">6937888220784</t>
  </si>
  <si>
    <t xml:space="preserve">21345</t>
  </si>
  <si>
    <t xml:space="preserve">REDBO EJH-90/2100 Отбойный молоток (HEX30мм., 2100Вт., 90 Дж., мет.кейс, пика, долото)</t>
  </si>
  <si>
    <t xml:space="preserve">2100Вт; 90Дж;2000уд/мин; Шестигранник HEX (30 мм).IP20.2м.</t>
  </si>
  <si>
    <t xml:space="preserve">6937888220746</t>
  </si>
  <si>
    <t xml:space="preserve">Ленточные шлифмашины</t>
  </si>
  <si>
    <t xml:space="preserve">20582</t>
  </si>
  <si>
    <t xml:space="preserve">Edon BS 533/900 Ленточная шлифовальная машина (900Вт., 76*533, работа в труднодоступных местах, 2шт.</t>
  </si>
  <si>
    <t xml:space="preserve">900Вт;120-400м/мин;76х533мм.</t>
  </si>
  <si>
    <t xml:space="preserve">6937888226564</t>
  </si>
  <si>
    <t xml:space="preserve">40030</t>
  </si>
  <si>
    <t xml:space="preserve">Edon EBS-457/1000 Ленточная шлифовальная машина </t>
  </si>
  <si>
    <t xml:space="preserve">220В/~50Гц; 1000Вт; 76х457мм; 200-380 м/мин</t>
  </si>
  <si>
    <t xml:space="preserve">6937888246852</t>
  </si>
  <si>
    <t xml:space="preserve">40031</t>
  </si>
  <si>
    <t xml:space="preserve">Edon EBS-533/1100 Ленточная шлифовальная машина </t>
  </si>
  <si>
    <t xml:space="preserve">220В/~50Гц; 1100Вт; 76х533мм; 200-380 м/мин</t>
  </si>
  <si>
    <t xml:space="preserve">6937888246869</t>
  </si>
  <si>
    <t xml:space="preserve">40033</t>
  </si>
  <si>
    <t xml:space="preserve">REDBO RBS-457/900S Ленточная шлифовальная машина </t>
  </si>
  <si>
    <t xml:space="preserve">220В/~50Гц; 900Вт; 76х457мм; 260м/мин</t>
  </si>
  <si>
    <t xml:space="preserve">6937888247743</t>
  </si>
  <si>
    <t xml:space="preserve">40034</t>
  </si>
  <si>
    <t xml:space="preserve">REDBO RBS-533/1200R Ленточная шлифовальная машина </t>
  </si>
  <si>
    <t xml:space="preserve">220В/~50Гц; 1200Вт; 76х533мм; 120-380м/мин</t>
  </si>
  <si>
    <t xml:space="preserve">6937888247750</t>
  </si>
  <si>
    <t xml:space="preserve">Эксцентриковые шлифмашины</t>
  </si>
  <si>
    <t xml:space="preserve">19363</t>
  </si>
  <si>
    <t xml:space="preserve">Edon OS-125/420 Машина шлифовальная эксцентриковая (125мм, 420Вт, рег-ка оборотов 8000-12000об/мин)</t>
  </si>
  <si>
    <t xml:space="preserve">420Вт;8000-12000об/мин;125мм;3мм</t>
  </si>
  <si>
    <t xml:space="preserve">6937888211263</t>
  </si>
  <si>
    <t xml:space="preserve">Вибрационные шлифмашины</t>
  </si>
  <si>
    <t xml:space="preserve">15038</t>
  </si>
  <si>
    <t xml:space="preserve">Edon VGM-250 Машина шлифовальная вибрационная (250Вт., 187*90мм.)</t>
  </si>
  <si>
    <t xml:space="preserve">250Вт;11000колеб/мин.Амп/кол.2мм.90*187мм.93*203мм</t>
  </si>
  <si>
    <t xml:space="preserve">6937888224355</t>
  </si>
  <si>
    <t xml:space="preserve">40044</t>
  </si>
  <si>
    <t xml:space="preserve">REDBO RSS-250 Плоскошлифовальная машина</t>
  </si>
  <si>
    <t xml:space="preserve">220В/~50Гц; 250Вт; 93х185мм; 10000 кол/мин</t>
  </si>
  <si>
    <t xml:space="preserve">6937888247729</t>
  </si>
  <si>
    <t xml:space="preserve">40045</t>
  </si>
  <si>
    <t xml:space="preserve">REDBO RSS-450 Плоскошлифовальная машина</t>
  </si>
  <si>
    <t xml:space="preserve">220В/~50Гц; 450Вт; 93х185мм; 12000кол/мин</t>
  </si>
  <si>
    <t xml:space="preserve">6937888247736</t>
  </si>
  <si>
    <t xml:space="preserve">Полировальные машины</t>
  </si>
  <si>
    <t xml:space="preserve">14055</t>
  </si>
  <si>
    <t xml:space="preserve">Edon EP-XND180 Полировальная угловая машина (1800Вт., 180мм.)</t>
  </si>
  <si>
    <t xml:space="preserve">1800Вт;0-3000об/мин;180мм;М14</t>
  </si>
  <si>
    <t xml:space="preserve">6937888205064</t>
  </si>
  <si>
    <t xml:space="preserve">Многофункциональные инструменты</t>
  </si>
  <si>
    <t xml:space="preserve">17780</t>
  </si>
  <si>
    <t xml:space="preserve">Edon MF-330 Электрический многофункциональный инструмент (330Вт., 4 насадки)</t>
  </si>
  <si>
    <t xml:space="preserve">330Вт;0-22000кол/мин; 5°, М6</t>
  </si>
  <si>
    <t xml:space="preserve">6937888206603</t>
  </si>
  <si>
    <t xml:space="preserve">Сварочные аппараты для пл. труб</t>
  </si>
  <si>
    <t xml:space="preserve">40588</t>
  </si>
  <si>
    <t xml:space="preserve">Edon PPT-25 Опрессовочный насос (25бар; 5л; 45мл/такт; G3/8")</t>
  </si>
  <si>
    <t xml:space="preserve">25бар; 5л; 45мл/такт; G3/8"</t>
  </si>
  <si>
    <t xml:space="preserve">6937888250569</t>
  </si>
  <si>
    <t xml:space="preserve">40589</t>
  </si>
  <si>
    <t xml:space="preserve">Edon PPT-50 Опрессовочный насос (50бар; 12л; 45мл/такт; 1/2")</t>
  </si>
  <si>
    <t xml:space="preserve">50бар; 12л; 45мл/такт; 1/2"</t>
  </si>
  <si>
    <t xml:space="preserve">6937888250712</t>
  </si>
  <si>
    <t xml:space="preserve">40586</t>
  </si>
  <si>
    <t xml:space="preserve">Edon PWM-3/1000C Сварочный аппарат для пластиковых труб (1000Вт; 260°С; 20/25/32)</t>
  </si>
  <si>
    <t xml:space="preserve">1000Вт; максим темп-ра 260°С; раструбная сварка, парные насадки 20/25/32, индикаторы сети питания и нагрева, метал корпус, подставка</t>
  </si>
  <si>
    <t xml:space="preserve">6937888251467</t>
  </si>
  <si>
    <t xml:space="preserve">40583</t>
  </si>
  <si>
    <t xml:space="preserve">Edon PWM-3/1400 Сварочный аппарат для пластиковых труб (1400Вт; 50-300°С; 20/25/32, мет кейс)</t>
  </si>
  <si>
    <t xml:space="preserve">1400Вт; регулятор тем-ры 50-300°С, раструбная сварка, парные насадки 20/25/32, индикаторы сети питания и нагрева, метал корпус, мет кейс; подставка</t>
  </si>
  <si>
    <t xml:space="preserve">6937888251481</t>
  </si>
  <si>
    <t xml:space="preserve">40587</t>
  </si>
  <si>
    <t xml:space="preserve">Edon PWM-3/1600 Сварочный аппарат для пластиковых труб (1600Вт; 25-300°С; цифр дисплей)</t>
  </si>
  <si>
    <t xml:space="preserve">1600Вт; 25-300°С; 20/25/32, цифровой дисплей (выбор температуры), индикатор сети и нагрева</t>
  </si>
  <si>
    <t xml:space="preserve">6937888251856</t>
  </si>
  <si>
    <t xml:space="preserve">25082</t>
  </si>
  <si>
    <t xml:space="preserve">Edon PWM-3/700C Сварочный аппарат для пл. труб (700Вт., 20/25/32)</t>
  </si>
  <si>
    <t xml:space="preserve">700Вт;260°С;20/25/32;раструбная;парные</t>
  </si>
  <si>
    <t xml:space="preserve">6937888233845</t>
  </si>
  <si>
    <t xml:space="preserve">25084</t>
  </si>
  <si>
    <t xml:space="preserve">Edon PWM-6/2200C Сварочный аппарат для пластиковых труб (2200Вт; 300°С; 20/25/32/40/50/63)</t>
  </si>
  <si>
    <t xml:space="preserve">220В/~50-60Гц; 2200Вт; 300°С; 20/25/32/40/50/63; раструбная; парные</t>
  </si>
  <si>
    <t xml:space="preserve">6937888233869</t>
  </si>
  <si>
    <t xml:space="preserve">25085</t>
  </si>
  <si>
    <t xml:space="preserve">REDBO WPM-6/2000R Сварочный аппарат для пл. труб (2000Вт, рег-ка темп, 20/25/32/40/50/63, мет.кейс)</t>
  </si>
  <si>
    <t xml:space="preserve">1200Вт; 300°С; 20/25/32/40/50/63; раструбная; парные, регулировка температуры, индикаторы сети и нагрева, металлический кейс.</t>
  </si>
  <si>
    <t xml:space="preserve">6937888233906</t>
  </si>
  <si>
    <t xml:space="preserve">25086</t>
  </si>
  <si>
    <t xml:space="preserve">REDBO WPM-6/2200SET Сварочный аппарат для пл. труб (2200Вт., дисплей, рег.-ка темп., 20/25/32/40/50/</t>
  </si>
  <si>
    <t xml:space="preserve">2200Вт; 320°С; 20/25/32/40/50/63; раструбная; парные</t>
  </si>
  <si>
    <t xml:space="preserve">6937888233913</t>
  </si>
  <si>
    <t xml:space="preserve">Миксеры</t>
  </si>
  <si>
    <t xml:space="preserve">40086</t>
  </si>
  <si>
    <t xml:space="preserve">Edon ED-M/1600D Электрический ручной миксер</t>
  </si>
  <si>
    <t xml:space="preserve">6937888237133</t>
  </si>
  <si>
    <t xml:space="preserve">17791</t>
  </si>
  <si>
    <t xml:space="preserve">Edon ED-M/1600DD Электрический ручной миксер (1600Вт, 0-560/0-750, два вала)</t>
  </si>
  <si>
    <t xml:space="preserve">1600Вт; 0-560/0-750об/мин; 110мм; 570мм; 27мм</t>
  </si>
  <si>
    <t xml:space="preserve">6937888206658</t>
  </si>
  <si>
    <t xml:space="preserve">40361</t>
  </si>
  <si>
    <t xml:space="preserve">REDBO RPM-1600/1DR Электрический ручной миксер</t>
  </si>
  <si>
    <t xml:space="preserve">230В/~50Гц; 1600Вт; 250-500/400-800об/мин; 120мм; 590мм</t>
  </si>
  <si>
    <t xml:space="preserve">6937888249204</t>
  </si>
  <si>
    <t xml:space="preserve">Пилы алмазные</t>
  </si>
  <si>
    <t xml:space="preserve">20704</t>
  </si>
  <si>
    <t xml:space="preserve">REDBO TS-115/1600 Пила алмазная электрическая (115мм., 1600Вт.)</t>
  </si>
  <si>
    <t xml:space="preserve">1600Вт;13000об/мин;115х20;М6;34мм;</t>
  </si>
  <si>
    <t xml:space="preserve">6937888215483</t>
  </si>
  <si>
    <r>
      <rPr>
        <b val="true"/>
        <sz val="6"/>
        <color rgb="FF000000"/>
        <rFont val="Times New Roman"/>
        <family val="1"/>
        <charset val="204"/>
      </rPr>
      <t xml:space="preserve">Пилы отрезные</t>
    </r>
    <r>
      <rPr>
        <b val="true"/>
        <sz val="6"/>
        <color rgb="FF000000"/>
        <rFont val="WenQuanYi Micro Hei"/>
        <family val="2"/>
      </rPr>
      <t xml:space="preserve">（</t>
    </r>
    <r>
      <rPr>
        <b val="true"/>
        <sz val="6"/>
        <color rgb="FF000000"/>
        <rFont val="Times New Roman"/>
        <family val="1"/>
        <charset val="204"/>
      </rPr>
      <t xml:space="preserve">Монтажные)</t>
    </r>
  </si>
  <si>
    <t xml:space="preserve">22630</t>
  </si>
  <si>
    <t xml:space="preserve">Edon ED-CS355-2800 Электрическая пила отрезная (2800Вт., 355мм.)</t>
  </si>
  <si>
    <t xml:space="preserve">2800Вт;4500об/мин.100мм.355х30мм</t>
  </si>
  <si>
    <t xml:space="preserve">6937888257971</t>
  </si>
  <si>
    <t xml:space="preserve">Пилы сабельные</t>
  </si>
  <si>
    <t xml:space="preserve">42302</t>
  </si>
  <si>
    <t xml:space="preserve">Edon ERS-1000 Пила сабельная электрическая (1000Вт; 0-3000 ход/мин; 20мм; 115мм)</t>
  </si>
  <si>
    <t xml:space="preserve">1000Вт; 0-3000 ход/мин; ход 20мм; глубина 115мм, поворотная рукоятка</t>
  </si>
  <si>
    <t xml:space="preserve">6937888253669</t>
  </si>
  <si>
    <t xml:space="preserve">18907</t>
  </si>
  <si>
    <t xml:space="preserve">Edon RS-1050 Пила электрическая сабельная.</t>
  </si>
  <si>
    <t xml:space="preserve">220В/~50Гц; 1050Вт;0-2500ход./мин.22мм.пропил дерево 150мм.металл 6мм</t>
  </si>
  <si>
    <t xml:space="preserve">6937888227493.</t>
  </si>
  <si>
    <t xml:space="preserve">Промышленные пылесосы</t>
  </si>
  <si>
    <t xml:space="preserve">19410</t>
  </si>
  <si>
    <t xml:space="preserve">Edon ED-VC20P Электрический строительный пылесос (1400Вт., 20л.)</t>
  </si>
  <si>
    <t xml:space="preserve">1400Вт; 20л; 18КПа; 2000Вт</t>
  </si>
  <si>
    <t xml:space="preserve">6937888211515</t>
  </si>
  <si>
    <t xml:space="preserve">21363</t>
  </si>
  <si>
    <t xml:space="preserve">Edon ED-VC30P Электрический строительный пылесос</t>
  </si>
  <si>
    <t xml:space="preserve">1400Вт; 30л; 18КПа</t>
  </si>
  <si>
    <t xml:space="preserve">6937888230851</t>
  </si>
  <si>
    <t xml:space="preserve">39224</t>
  </si>
  <si>
    <t xml:space="preserve">REDBO IVC-20 Пылесос строительный универсальный</t>
  </si>
  <si>
    <t xml:space="preserve">1400Вт; 20л; 18КПа</t>
  </si>
  <si>
    <t xml:space="preserve">6937888244933</t>
  </si>
  <si>
    <t xml:space="preserve">39228</t>
  </si>
  <si>
    <t xml:space="preserve">REDBO IVC-30 Пылесос строительный универсальный</t>
  </si>
  <si>
    <t xml:space="preserve">6937888244940</t>
  </si>
  <si>
    <t xml:space="preserve">Аккумуляторный инструмент</t>
  </si>
  <si>
    <t xml:space="preserve">Аккум ленточные шлиф машина</t>
  </si>
  <si>
    <t xml:space="preserve">40840</t>
  </si>
  <si>
    <t xml:space="preserve">Edon ABS-21A  Машина ленточная шлифовальная аккумул.бесщет (21В; Li-Ion; 4.0Ач; 76х457мм) </t>
  </si>
  <si>
    <t xml:space="preserve">21В; Li-Ion; 4.0Ач; 1шт АКБ, 1 шт ЗУ, шлиф лента 76х457мм; скорость120-350 м/мин, мешок-пылесборник</t>
  </si>
  <si>
    <t xml:space="preserve">6937888253614</t>
  </si>
  <si>
    <t xml:space="preserve">Акк.дрели</t>
  </si>
  <si>
    <t xml:space="preserve">21055</t>
  </si>
  <si>
    <t xml:space="preserve">Edon AD-12 Акк. дрель.</t>
  </si>
  <si>
    <t xml:space="preserve">12В;30Нм;2,0Ач;Li-Ion;0-400/0-1400об/мин;10мм;18+1;</t>
  </si>
  <si>
    <t xml:space="preserve">6937888215940</t>
  </si>
  <si>
    <t xml:space="preserve">15417</t>
  </si>
  <si>
    <t xml:space="preserve">Edon AD-1201 Акк. дрель-шуруповерт (12В, 0-350/0-1550 об/мин, 30Нм,подсветка, 1 АКБ)</t>
  </si>
  <si>
    <t xml:space="preserve">1 аккумулятор   12В   0-350/0-1550 об/мин  Li-Ion 1.5 А/ч   30 Нм  Макс. Диаметр патрона 10 мм</t>
  </si>
  <si>
    <t xml:space="preserve">6937888225987</t>
  </si>
  <si>
    <t xml:space="preserve">16532</t>
  </si>
  <si>
    <t xml:space="preserve">Edon AD-12AUN  Акк. Дрель (шуруповерт) (12В., 23Н.м.)</t>
  </si>
  <si>
    <t xml:space="preserve">12В;23Нм;2,0Ач;2Акк;Li-Ion;0-400/0-1400об/мин;10мм;17+1;съем.патрон</t>
  </si>
  <si>
    <t xml:space="preserve">6937888270253</t>
  </si>
  <si>
    <t xml:space="preserve">22506</t>
  </si>
  <si>
    <t xml:space="preserve">Edon AD-12CA” Акк. дрель</t>
  </si>
  <si>
    <t xml:space="preserve">12В;23Нм;2,0Ач;2Акк;Li-Ion;0-350/0-1350об/мин;10мм;18+1</t>
  </si>
  <si>
    <t xml:space="preserve">6937888223990</t>
  </si>
  <si>
    <t xml:space="preserve">27683</t>
  </si>
  <si>
    <t xml:space="preserve">Edon AD-12M Акк. Дрель (шуруповерт) (12В., 23Н.м.)</t>
  </si>
  <si>
    <t xml:space="preserve">12В;23Нм;2,0Ач;2Акк.Li-Ion;0-350/0-1350об/мин;10мм;18+1;</t>
  </si>
  <si>
    <t xml:space="preserve">6937888232923</t>
  </si>
  <si>
    <t xml:space="preserve">15420</t>
  </si>
  <si>
    <t xml:space="preserve">Edon AD-12А  Акк. Дрель (шуруповерт) (12В., 30Н.м.)</t>
  </si>
  <si>
    <t xml:space="preserve">12В;23Нм;2,0Ач;2Акк;Li-Ion;0-350/0-1350об/мин;10мм;17+1</t>
  </si>
  <si>
    <t xml:space="preserve">6937888226304</t>
  </si>
  <si>
    <t xml:space="preserve">14790</t>
  </si>
  <si>
    <t xml:space="preserve">Edon AD-14C  Акк. Дрель (шуруповерт) (14В., 25Н.м.)</t>
  </si>
  <si>
    <t xml:space="preserve">14В;25Нм;2,0Ач;2Акк;Li-Ion;0-450/0-1450об/мин;10мм;18+1</t>
  </si>
  <si>
    <t xml:space="preserve">6937888224003</t>
  </si>
  <si>
    <t xml:space="preserve">15424</t>
  </si>
  <si>
    <t xml:space="preserve">Edon AD-16A  Акк. Дрель (шуруповерт) (16В., 25Н.м.)</t>
  </si>
  <si>
    <t xml:space="preserve">16В;25Нм;2,0Ач;2Акк;Li-Ion;0-450/0-1450об/мин;10мм;17+1</t>
  </si>
  <si>
    <t xml:space="preserve">6937888226267</t>
  </si>
  <si>
    <t xml:space="preserve">24891</t>
  </si>
  <si>
    <t xml:space="preserve">Edon AD-16BL  Акк. Дрель (шуруповерт) бесщеточная с набором (16В., 50Н.м.)</t>
  </si>
  <si>
    <t xml:space="preserve">16В;50Нм;2,0Ач;2Акк;Li-Ion;0-420/420-1380об/мин;10мм;23;мет.патрон;набор</t>
  </si>
  <si>
    <t xml:space="preserve">6937888250248</t>
  </si>
  <si>
    <t xml:space="preserve">28006</t>
  </si>
  <si>
    <t xml:space="preserve">Edon AD-16CBL Акк. Дрель (шуруповерт) бесщеточная (16В., 30Н.м.)</t>
  </si>
  <si>
    <t xml:space="preserve">16В;30Нм;1,5Ач;2Акк;Li-Ion;0-450/0-1450об/мин;10мм;21+2;мет.патрон</t>
  </si>
  <si>
    <t xml:space="preserve">6937888235436</t>
  </si>
  <si>
    <t xml:space="preserve">23164</t>
  </si>
  <si>
    <t xml:space="preserve">Edon AD-18 Акк. дрель (шуруповерт) (18В., 28Н.м.удар.)</t>
  </si>
  <si>
    <t xml:space="preserve">18В;30Нм;2,0Ач;Li-Ion;0-400/0-1400об/мин;10мм;18+1;</t>
  </si>
  <si>
    <t xml:space="preserve">6937888215957</t>
  </si>
  <si>
    <t xml:space="preserve">24893</t>
  </si>
  <si>
    <t xml:space="preserve">Edon AD-18BL Акк. Дрель (шуруповерт) бесщеточная с набором (18В., 60Н.м.)</t>
  </si>
  <si>
    <t xml:space="preserve">18В;60Нм;2,0Ач;2Акк;Li-Ion;0-450/450-1430об/мин;10мм;23;мет.патрон;набор</t>
  </si>
  <si>
    <t xml:space="preserve">6937888233760</t>
  </si>
  <si>
    <t xml:space="preserve">22271</t>
  </si>
  <si>
    <t xml:space="preserve">Edon AD-18C” Акк. дрель</t>
  </si>
  <si>
    <t xml:space="preserve">18В;28Нм;2,0Ач;2Акк;Li-Ion;0-450/0-1450об/мин;10мм;18+1</t>
  </si>
  <si>
    <t xml:space="preserve">6937888224010</t>
  </si>
  <si>
    <t xml:space="preserve">20222</t>
  </si>
  <si>
    <t xml:space="preserve">Edon AD-18E  Акк. Дрель (шуруповерт) с набором (18В., 25Н.м.)</t>
  </si>
  <si>
    <t xml:space="preserve">18В;25Нм;2,0Ач;2Акк;Li-Ion;0-400/0-1400об/мин;10мм.набор</t>
  </si>
  <si>
    <t xml:space="preserve">6937888214141</t>
  </si>
  <si>
    <t xml:space="preserve">27684</t>
  </si>
  <si>
    <t xml:space="preserve">Edon AD-18M Акк. Дрель (шуруповерт) (18В., 30Н.м.)</t>
  </si>
  <si>
    <t xml:space="preserve">18В;30Нм;2,0Ач;2Акк;Li-Ion;0-450/0-1450об/мин;10мм;18+1</t>
  </si>
  <si>
    <t xml:space="preserve">6937888232930</t>
  </si>
  <si>
    <t xml:space="preserve">16043</t>
  </si>
  <si>
    <t xml:space="preserve">Edon AD-21A  Акк. Дрель (шуруповерт) (21В., 30Н.м.)</t>
  </si>
  <si>
    <t xml:space="preserve">21В;30Нм;2,0Ач;2Акк;Li-Ion;0-450/0-1450об/мин;10мм;17+1</t>
  </si>
  <si>
    <t xml:space="preserve">6937888226274</t>
  </si>
  <si>
    <t xml:space="preserve">15422</t>
  </si>
  <si>
    <t xml:space="preserve">Edon AD-21AP  Акк. Дрель (шуруповерт) (21В., 40Н.м.удар)</t>
  </si>
  <si>
    <t xml:space="preserve">21В;40Нм;2,0Ач;2Акк;Li-Ion;0-450/0-1450об/мин;0-21750уд/мин;10мм</t>
  </si>
  <si>
    <t xml:space="preserve">6937888226281</t>
  </si>
  <si>
    <t xml:space="preserve">15423</t>
  </si>
  <si>
    <t xml:space="preserve">Edon AD-21AUN  Акк. Дрель (шуруповерт) (21В., 30Н.м.съёмный патрон)</t>
  </si>
  <si>
    <t xml:space="preserve">21В;30Нм;2,0Ач;2Акк;Li-Ion;0-450/0-1450об/мин;10мм;17+1;съем.патрон</t>
  </si>
  <si>
    <t xml:space="preserve">6937888226298</t>
  </si>
  <si>
    <t xml:space="preserve">15419</t>
  </si>
  <si>
    <t xml:space="preserve">Edon AD-21C Дрель-шуруповерт аккумуляторная (21В; Li-Ion; 2.0Ач; 0-400/0-1500об/мин)</t>
  </si>
  <si>
    <t xml:space="preserve">21В; Li-Ion; 2.0Ач; 2 скорости: 0-400/0-1500об/мин; 10мм; 24Нм; 25+1, БЗП, 1 шт АКБ, 1 шт ЗУ, подсветка, реверс</t>
  </si>
  <si>
    <t xml:space="preserve">6937888252556</t>
  </si>
  <si>
    <t xml:space="preserve">28013</t>
  </si>
  <si>
    <t xml:space="preserve">Edon AD-21CBL  Акк. Дрель (шуруповерт) бесщеточная (21В., Li-Ion, 35Нм, 21+2;мет.патрон)</t>
  </si>
  <si>
    <t xml:space="preserve">21В;35Нм;2,0Ач;2Акк;Li-Ion;0-450/0-1450об/мин;10мм;21+2;мет.патрон</t>
  </si>
  <si>
    <t xml:space="preserve">6937888235443</t>
  </si>
  <si>
    <t xml:space="preserve">19642</t>
  </si>
  <si>
    <t xml:space="preserve">Edon AD-21E  Акк. Дрель (шуруповерт) (21В., 28Н.м.)</t>
  </si>
  <si>
    <t xml:space="preserve">21В;28Нм;2,0Ач;2Акк;Li-Ion;0-400/0-1400об/мин;10мм;60мин.набор</t>
  </si>
  <si>
    <t xml:space="preserve">6937888230394</t>
  </si>
  <si>
    <t xml:space="preserve">24895</t>
  </si>
  <si>
    <t xml:space="preserve">Edon AD-21PBL  Акк. Дрель (шуруповерт) бесщеточная с набором (21В., 65Н.м.удар)</t>
  </si>
  <si>
    <t xml:space="preserve">21В;65Нм;2,0Ач;2Акк;Li-Ion;0-400/400-1280об/мин;1280уд/мин;10мм;23;мет.патрон;набор</t>
  </si>
  <si>
    <t xml:space="preserve">6937888233777</t>
  </si>
  <si>
    <t xml:space="preserve">7313</t>
  </si>
  <si>
    <t xml:space="preserve">Edon AD-24 Акк. дрель  </t>
  </si>
  <si>
    <t xml:space="preserve">2 аккумулятора   24В  0-450/0-1450 об/мин  Li-Ion 2,0 А/ч   30 Нм  Макс. Диаметр патрона 10 мм</t>
  </si>
  <si>
    <t xml:space="preserve">6937888270352</t>
  </si>
  <si>
    <t xml:space="preserve">22836</t>
  </si>
  <si>
    <t xml:space="preserve">Edon CF-1201N Акк. Дрель (шуруповерт) (12В., 23Н.м.)</t>
  </si>
  <si>
    <t xml:space="preserve">12В;23Нм;1,3Ач;2Акк;Li-Ion;0-600/0-1300об/мин;10мм;18+1;набор</t>
  </si>
  <si>
    <t xml:space="preserve">6937888228582</t>
  </si>
  <si>
    <t xml:space="preserve">19440</t>
  </si>
  <si>
    <t xml:space="preserve">Edon EDPL02-4 Акк. Отвёртка (3.6В., 5Н.м., набор)</t>
  </si>
  <si>
    <t xml:space="preserve">3,6В;3Нм;1,5Ач;Li-Ion;250об/мин;шестигранник;Набор аксессуаров</t>
  </si>
  <si>
    <t xml:space="preserve">6937888212093</t>
  </si>
  <si>
    <t xml:space="preserve">16519</t>
  </si>
  <si>
    <t xml:space="preserve">Edon OAF12-MAD  Акк. Дрель (шуруповерт) с встроенным аккумулятором (12В., 18Н.м.)</t>
  </si>
  <si>
    <t xml:space="preserve">12В;18Нм;1,5Ач;1Аккум;Li-Ion;850об/мин;10мм;17+1;</t>
  </si>
  <si>
    <t xml:space="preserve">6937888204470</t>
  </si>
  <si>
    <t xml:space="preserve">15001</t>
  </si>
  <si>
    <t xml:space="preserve">Edon OAF21-AD Акк.  Акк. Дрель (шуруповерт) (21В., 30Н.м.)</t>
  </si>
  <si>
    <t xml:space="preserve">21В;30Нм;без аккумулятора,без зарядного устройства;0-350/0-1350об/мин;10мм;19</t>
  </si>
  <si>
    <t xml:space="preserve">6937888223788</t>
  </si>
  <si>
    <t xml:space="preserve">27984</t>
  </si>
  <si>
    <t xml:space="preserve">Edon PROtech AD-16BL  Акк. Дрель (шуруповерт) бесщеточная (16В., 30Н.м.)</t>
  </si>
  <si>
    <t xml:space="preserve">16В;30Нм;1,5Ач;2Акк;Li-Ion;0-450/0-1450об/мин;10мм;21+2;мет.патрон;набор</t>
  </si>
  <si>
    <t xml:space="preserve">6937888237300</t>
  </si>
  <si>
    <t xml:space="preserve">27983</t>
  </si>
  <si>
    <t xml:space="preserve">Edon PROtech AD-18BL  Акк. Дрель (шуруповерт) бесщеточная (18В., 40Н.м.)</t>
  </si>
  <si>
    <t xml:space="preserve">18В;40Нм;2,0Ач;2Акк;Li-Ion;0-450/0-1450об/мин;10мм;21+2;мет.патрон;набор</t>
  </si>
  <si>
    <t xml:space="preserve">6937888237317</t>
  </si>
  <si>
    <t xml:space="preserve">27982</t>
  </si>
  <si>
    <t xml:space="preserve">Edon PROtech AD-21PBL  Акк. Дрель (шуруповерт) бесщеточная (21В., 40Н.м.удар)</t>
  </si>
  <si>
    <t xml:space="preserve">Только offline</t>
  </si>
  <si>
    <t xml:space="preserve">6937888237324</t>
  </si>
  <si>
    <t xml:space="preserve">21467</t>
  </si>
  <si>
    <t xml:space="preserve">Edon PROtech PRO-16L2K Акк. Дрель (шуруповерт) (21В., 28Н.м.)</t>
  </si>
  <si>
    <t xml:space="preserve">21468</t>
  </si>
  <si>
    <t xml:space="preserve">Edon PROtech PRO-16L2K-N1 Акк. Дрель (шуруповерт) (21В., 28Н.м.)</t>
  </si>
  <si>
    <t xml:space="preserve">21455</t>
  </si>
  <si>
    <t xml:space="preserve">Edon PROtech PRO-21L1 Акк. Дрель (шуруповерт) (21В., 28Н.м.)</t>
  </si>
  <si>
    <t xml:space="preserve">21464</t>
  </si>
  <si>
    <t xml:space="preserve">Edon PROtech PRO-21L2K Акк. Дрель (шуруповерт) (21В., 28Н.м.)</t>
  </si>
  <si>
    <t xml:space="preserve">21465</t>
  </si>
  <si>
    <t xml:space="preserve">Edon PROtech PRO-21L2K-N1 Акк. Дрель (шуруповерт) (21В., 28Н.м.)</t>
  </si>
  <si>
    <t xml:space="preserve">21456</t>
  </si>
  <si>
    <t xml:space="preserve">Edon PROtech PRO-21L2K-N2 Акк. Дрель (шуруповерт) (21В., 28Н.м.)</t>
  </si>
  <si>
    <t xml:space="preserve">21457</t>
  </si>
  <si>
    <t xml:space="preserve">Edon PROtech PRO-21L2-N1 Акк. Дрель (шуруповерт) (21В., 28Н.м.)</t>
  </si>
  <si>
    <t xml:space="preserve">35528</t>
  </si>
  <si>
    <t xml:space="preserve">Edon Super AD-16BL Дрель-шуруповерт аккумуляторная бесщеточная (16В, 1,5Ач, 30Нм, Li-Ion)</t>
  </si>
  <si>
    <t xml:space="preserve">Li-Ion; 16В; 1,5 Ач; 18+1; 30Нм;2 шт АКБ, 2шт ЗУ; 2 скорости 0-450/0-1450 об/мин; БЗП, диаметр сверла 10мм, реверс, ЛЕД-подсветка</t>
  </si>
  <si>
    <t xml:space="preserve">6937888238420</t>
  </si>
  <si>
    <t xml:space="preserve">35529</t>
  </si>
  <si>
    <t xml:space="preserve">Edon Super AD-18BL Акк. Дрель (шуруповерт) бесщеточная (18В., 40Н.м.)</t>
  </si>
  <si>
    <t xml:space="preserve">6937888238437</t>
  </si>
  <si>
    <t xml:space="preserve">30469</t>
  </si>
  <si>
    <t xml:space="preserve">Edon Super AD-21PBL Дрель-шуруповерт аккумуляторная бесщеточная (21В., 2Ач, 45Нм, удар)</t>
  </si>
  <si>
    <t xml:space="preserve">Li-Ion; 21В; 2,0Ач; 20+3; 45Нм;1 шт АКБ, 1шт ЗУ;2 скорости 0-400/0-1450об/мин;0-1530уд/мин; диаметр сверла 10мм, ударная, реверс, ЛЕД-подсветка</t>
  </si>
  <si>
    <t xml:space="preserve">6937888238444</t>
  </si>
  <si>
    <t xml:space="preserve">27518</t>
  </si>
  <si>
    <t xml:space="preserve">Edon UAD-16BL Акк. Дрель (шуруповерт) бесщеточная (16В., 30Н.м.)</t>
  </si>
  <si>
    <t xml:space="preserve">6937888234033</t>
  </si>
  <si>
    <t xml:space="preserve">40095</t>
  </si>
  <si>
    <t xml:space="preserve">Edon UAD-16DBL Дрель-шуруповерт аккумуляторная бесщеточная</t>
  </si>
  <si>
    <t xml:space="preserve">16В;50Нм;2,0Ач;2Акк;Li-Ion;0-420_420-1380об/мин;10мм; 23;мет.патрон;набор</t>
  </si>
  <si>
    <t xml:space="preserve">6937888247385</t>
  </si>
  <si>
    <t xml:space="preserve">40094</t>
  </si>
  <si>
    <t xml:space="preserve">Edon UAD-18DBL Дрель-шуруповерт аккумуляторная бесщеточная</t>
  </si>
  <si>
    <t xml:space="preserve">18В;60Нм;2,0Ач;2Акк;Li-Ion;0-450_450-1430об/мин;10мм; 23;мет.патрон;набор</t>
  </si>
  <si>
    <t xml:space="preserve">6937888247392</t>
  </si>
  <si>
    <t xml:space="preserve">24907</t>
  </si>
  <si>
    <t xml:space="preserve">Edon UAD-21A Акк. Дрель (21В., 28Н.м.,удар)</t>
  </si>
  <si>
    <t xml:space="preserve">21В;28Нм;2,0Ач;2Акк;Li-Ion;0-350/0-1350об/мин;10мм;25;набор</t>
  </si>
  <si>
    <t xml:space="preserve">6937888218491</t>
  </si>
  <si>
    <t xml:space="preserve">22977</t>
  </si>
  <si>
    <t xml:space="preserve">Edon UAD-21BL Акк. Дрель (шуруповерт) бесщеточная (21В., 85Н.м.,удар)</t>
  </si>
  <si>
    <t xml:space="preserve">21В;40Нм;4,0Ач;2Акк;Li-Ion;0-450/0-1450об/мин;10мм;21+2;мет.патрон;набор</t>
  </si>
  <si>
    <t xml:space="preserve">6937888225604</t>
  </si>
  <si>
    <t xml:space="preserve">27519</t>
  </si>
  <si>
    <t xml:space="preserve">Edon UAD-21PBL Акк. Дрель (шуруповерт) ударная бесщеточная (21В., 40Н.м.,удар)</t>
  </si>
  <si>
    <t xml:space="preserve">21В;40Нм;2,0Ач;2Акк;Li-Ion;0-450/0-1450об/мин;0-1530уд/мин;10мм;20;мет.патрон;набор</t>
  </si>
  <si>
    <t xml:space="preserve">6937888234040</t>
  </si>
  <si>
    <t xml:space="preserve">24892</t>
  </si>
  <si>
    <t xml:space="preserve">Etech TEH-16BL Акк. Дрель (шуруповерт) бесщеточная (16В., 50Н.м.)</t>
  </si>
  <si>
    <t xml:space="preserve">16В; Li-Ion; 2,0Ач; 0-420/420-1380об/мин; 10мм; 23+1; 50Нм</t>
  </si>
  <si>
    <t xml:space="preserve">6937888233746</t>
  </si>
  <si>
    <t xml:space="preserve">24894</t>
  </si>
  <si>
    <t xml:space="preserve">ETECH TEH-18BL Акк. Дрель (шуруповерт) бесщеточная (18В., 60Н.м.)</t>
  </si>
  <si>
    <t xml:space="preserve">18В; Li-Ion; 2,0Ач; 0-450/450-1430об/мин; 10мм; 23+1; 60Нм</t>
  </si>
  <si>
    <t xml:space="preserve">6937888233753</t>
  </si>
  <si>
    <t xml:space="preserve">22331</t>
  </si>
  <si>
    <t xml:space="preserve">HANTEL LI-12S Акк. Дрель (шуруповерт) (12В., 35Н.м.)</t>
  </si>
  <si>
    <t xml:space="preserve">6937888221835</t>
  </si>
  <si>
    <t xml:space="preserve">22330</t>
  </si>
  <si>
    <t xml:space="preserve">HANTEL LI-18S Акк. Дрель (шуруповерт) (18В., 40Н.м.)</t>
  </si>
  <si>
    <t xml:space="preserve">6937888221859</t>
  </si>
  <si>
    <t xml:space="preserve">20203</t>
  </si>
  <si>
    <t xml:space="preserve">HANTEL LI-21S Акк. Дрель (шуруповерт) (21В., 25Н.м.)</t>
  </si>
  <si>
    <t xml:space="preserve">6937888214110</t>
  </si>
  <si>
    <t xml:space="preserve">22335</t>
  </si>
  <si>
    <t xml:space="preserve">JONSER JAD-12PRO Акк. Дрель (шуруповерт) (12В., 35Н.м.)</t>
  </si>
  <si>
    <t xml:space="preserve">6937888221781</t>
  </si>
  <si>
    <t xml:space="preserve">20221</t>
  </si>
  <si>
    <t xml:space="preserve">JONSER JAD-18PRO Акк. Дрель (шуруповерт) (18В., 25Н.м.)</t>
  </si>
  <si>
    <t xml:space="preserve">1 аккумулятор  12В  0-350/0-1350 об/мин  Li-Ion 1.3 А/ч   23 Нм  Макс. Диаметр патрона 10 мм</t>
  </si>
  <si>
    <t xml:space="preserve">6937888214103</t>
  </si>
  <si>
    <t xml:space="preserve">22334</t>
  </si>
  <si>
    <t xml:space="preserve">JONSER JAD-21PRO Акк. Дрель (шуруповерт) (21В., 50Н.м.)</t>
  </si>
  <si>
    <t xml:space="preserve">6937888221798</t>
  </si>
  <si>
    <t xml:space="preserve">22307</t>
  </si>
  <si>
    <t xml:space="preserve">KATANA KAN-12 Акк. Дрель (шуруповерт) (12В., 35Н.м.)</t>
  </si>
  <si>
    <t xml:space="preserve">KATANA</t>
  </si>
  <si>
    <t xml:space="preserve">6937888226113</t>
  </si>
  <si>
    <t xml:space="preserve">23118</t>
  </si>
  <si>
    <t xml:space="preserve">KATANA KAN-18 Акк. Дрель (шуруповерт) (18В., 40Н.м.)</t>
  </si>
  <si>
    <t xml:space="preserve">6937888226120</t>
  </si>
  <si>
    <t xml:space="preserve">22308</t>
  </si>
  <si>
    <t xml:space="preserve">KATANA KAN-21 Акк. Дрель (шуруповерт) (21В., 45Н.м.)</t>
  </si>
  <si>
    <t xml:space="preserve">6937888226915</t>
  </si>
  <si>
    <t xml:space="preserve">22333</t>
  </si>
  <si>
    <t xml:space="preserve">KRONA KN-18LI Акк. Дрель (шуруповерт) (12В., 40Н.м.)</t>
  </si>
  <si>
    <t xml:space="preserve">6937888221866</t>
  </si>
  <si>
    <t xml:space="preserve">20204</t>
  </si>
  <si>
    <t xml:space="preserve">KRONA KN-21Li Акк. Дрель (шуруповерт) (21В., 25Н.м.)</t>
  </si>
  <si>
    <t xml:space="preserve">6937888214134</t>
  </si>
  <si>
    <t xml:space="preserve">19389</t>
  </si>
  <si>
    <t xml:space="preserve">REDBO LD-16BL Акк. Дрель (шуруповерт) бесщеточная (16В., 40Н.м.)</t>
  </si>
  <si>
    <t xml:space="preserve">16В;40Нм;2Ач;2Акк;Li-Ion;0-400/0-1400об/мин;10мм;17+1;набор бит</t>
  </si>
  <si>
    <t xml:space="preserve">6937888211553</t>
  </si>
  <si>
    <t xml:space="preserve">28305</t>
  </si>
  <si>
    <t xml:space="preserve">REDBO OAD-16BL Акк. Дрель (шуруповерт) бесщеточная (16В., 30Н.м.)</t>
  </si>
  <si>
    <t xml:space="preserve">6937888238123</t>
  </si>
  <si>
    <t xml:space="preserve">28306</t>
  </si>
  <si>
    <t xml:space="preserve">REDBO OAD-18BL Акк. Дрель (шуруповерт) бесщеточная (18В;40Нм;2,0Ач;2Акк;Li-Ion;мет.патрон;набор)</t>
  </si>
  <si>
    <t xml:space="preserve">18В;40Нм;2,0Ач;2Акк;Li-Ion;0-450/0-1450об/мин;10мм;мет.патрон;набор</t>
  </si>
  <si>
    <t xml:space="preserve">6937888238130</t>
  </si>
  <si>
    <t xml:space="preserve">28307</t>
  </si>
  <si>
    <t xml:space="preserve">REDBO OAD-21PBL Акк. Дрель (шуруповерт) ударная бесщеточная (21В.,40Нм;2,0Ач;2Акк;Li-Ion, 23+1)</t>
  </si>
  <si>
    <t xml:space="preserve">21В;40Нм;2,0Ач;2Акк;Li-Ion;0-450/0-1450об/мин;0-1530уд/мин; 10мм;23+1;мет.патрон,набор</t>
  </si>
  <si>
    <t xml:space="preserve">6937888238147</t>
  </si>
  <si>
    <t xml:space="preserve">19390</t>
  </si>
  <si>
    <t xml:space="preserve">REDBO OLD-20PBL Акк. Дрель (шуруповерт) бесщеточная (20В., 50Н.м.удар)</t>
  </si>
  <si>
    <t xml:space="preserve">20В;50Нм;4Ач;1Акк;Li-Ion;0-400/0-2000об;10мм;20+1;мет.патрон;набор бит</t>
  </si>
  <si>
    <t xml:space="preserve">6937888211614</t>
  </si>
  <si>
    <t xml:space="preserve">35706</t>
  </si>
  <si>
    <t xml:space="preserve">ФОТОН ДА-21Л Акк. Дрель (шуруповерт) (21В.,25Н.м.)</t>
  </si>
  <si>
    <t xml:space="preserve">ФОТОН</t>
  </si>
  <si>
    <t xml:space="preserve">6937888228179</t>
  </si>
  <si>
    <t xml:space="preserve">20755</t>
  </si>
  <si>
    <t xml:space="preserve">ФОТОН ДА-21Л-2К Акк. дрель</t>
  </si>
  <si>
    <t xml:space="preserve">6937888215360</t>
  </si>
  <si>
    <t xml:space="preserve">23119</t>
  </si>
  <si>
    <t xml:space="preserve">ФОТОН ДА-24Л Акк. Дрель (шуруповерт) (24В., 28Н.м.)</t>
  </si>
  <si>
    <t xml:space="preserve">6937888228186</t>
  </si>
  <si>
    <t xml:space="preserve">Акк.Цепные пилы</t>
  </si>
  <si>
    <t xml:space="preserve">18868</t>
  </si>
  <si>
    <t xml:space="preserve">Edon ACS-18/4 Мини-цепная пила аккумуляторная</t>
  </si>
  <si>
    <t xml:space="preserve">1 аккумулятор Напряжение: 18В, Скорость хода цепи: 6 м/с, Емкость аккумклятора: 2А/ч, Размер пильной шины: 10.16/4 см, Размеры в упаковке: 350х270х120, Вес брутто: 0,7 кг.</t>
  </si>
  <si>
    <t xml:space="preserve">6937888210570</t>
  </si>
  <si>
    <t xml:space="preserve">22471</t>
  </si>
  <si>
    <t xml:space="preserve">Edon ACS-18/6 набор Мини-цепная пила аккумуляторная</t>
  </si>
  <si>
    <t xml:space="preserve">6937888225390</t>
  </si>
  <si>
    <t xml:space="preserve">40621</t>
  </si>
  <si>
    <t xml:space="preserve">Edon ANS-21/16BL Цепная пила аккумуляторная бесщеточная (21В; Li-Ion; 4.0Ач; 3000об/мин;16")</t>
  </si>
  <si>
    <t xml:space="preserve">21В; Li-Ion; 4.0Ач; 3000об/мин; 12м/сек; 40.64см(16"); 450мм; 3/8"(0.375)_1.3; 59шт; 220мл</t>
  </si>
  <si>
    <t xml:space="preserve">6937888253157</t>
  </si>
  <si>
    <t xml:space="preserve">27812</t>
  </si>
  <si>
    <t xml:space="preserve">Edon ANS-21/16DBL Акк. Пила цепная бесщеточная (21В.,40см.)</t>
  </si>
  <si>
    <t xml:space="preserve">21В;4,0Ач;2Акк;Li-Ion;0-3200об/мин;4,7м/с;16"(40,64см);40cм;3/8_1,25мм;59шт</t>
  </si>
  <si>
    <t xml:space="preserve">6937888233241</t>
  </si>
  <si>
    <t xml:space="preserve">25165</t>
  </si>
  <si>
    <t xml:space="preserve">Edon ANS-21/6BL Акк. Минипила цепная бесщеточная (21В.,15.2см.)</t>
  </si>
  <si>
    <t xml:space="preserve">21В;2,0Ач;2Акк;Li-Ion;4400об/мин;6м/с;6"(15см);очки,перчатки,цепь 2шт.</t>
  </si>
  <si>
    <t xml:space="preserve">6937888234071</t>
  </si>
  <si>
    <t xml:space="preserve">27986</t>
  </si>
  <si>
    <t xml:space="preserve">Edon PROtech NS-21/8BL Акк. Минипила цепная бесщеточная (21В.,20.4см.)</t>
  </si>
  <si>
    <t xml:space="preserve">21В; Li-Ion; 2,0Ач; 4000об/мин; 8м/с; 8"(20см)</t>
  </si>
  <si>
    <t xml:space="preserve">6937888237218</t>
  </si>
  <si>
    <t xml:space="preserve">35530</t>
  </si>
  <si>
    <t xml:space="preserve">Edon Super NS-21/6BL Акк. Минипила цепная бесщеточная (21В.,15.2см.)</t>
  </si>
  <si>
    <t xml:space="preserve">21В;2,0Ач;2Акк;Li-Ion;4000об/мин;8м/с;6"(15см);очки,перчатки,цепь,напильник</t>
  </si>
  <si>
    <t xml:space="preserve">6937888238635</t>
  </si>
  <si>
    <t xml:space="preserve">35531</t>
  </si>
  <si>
    <t xml:space="preserve">Edon Super NS-21/8BL Мини-цепная пила аккумуляторная бесщеточная (21В; Li-Ion; 2.0Ач)</t>
  </si>
  <si>
    <t xml:space="preserve">21В; Li-Ion; 2.0Ач; 3600об/мин; 8м/сек; 20.32см(8")</t>
  </si>
  <si>
    <t xml:space="preserve">6937888238642</t>
  </si>
  <si>
    <t xml:space="preserve">18866</t>
  </si>
  <si>
    <t xml:space="preserve">Edon UCS-21/25BL Акк. Минипила цепная бесщеточная (21В.,25.4см.)</t>
  </si>
  <si>
    <t xml:space="preserve">21В;4,0Ач;1Акк;Li-Ion;6000об/мин;6м/с;10"(25,5см);3/8_1,3мм;40шт;160мл</t>
  </si>
  <si>
    <t xml:space="preserve">6937888206399</t>
  </si>
  <si>
    <t xml:space="preserve">25171</t>
  </si>
  <si>
    <t xml:space="preserve">Edon UNS-21/10BL Акк. Минипила цепная бесщеточная (21В.,25.4см.)</t>
  </si>
  <si>
    <t xml:space="preserve">21В;4,0Ач;2Акк;Li-Ion;3000об/мин;9м/с;10"(25,5см);200мм;3/8_1,3мм;44шт;82мл.</t>
  </si>
  <si>
    <t xml:space="preserve">6937888234347</t>
  </si>
  <si>
    <t xml:space="preserve">22470</t>
  </si>
  <si>
    <t xml:space="preserve">Edon UNS-21/25BL Акк. Минипила цепная бесщеточная (21В.,25.4см.)</t>
  </si>
  <si>
    <t xml:space="preserve">21В;4,0Ач;1Акк;Li-Ion;6000об/мин;6м/с;10"(25,5см);3/8_1,3мм;40шт;160мл.</t>
  </si>
  <si>
    <t xml:space="preserve">6937888218248</t>
  </si>
  <si>
    <t xml:space="preserve">39135</t>
  </si>
  <si>
    <t xml:space="preserve">Edon UNS-21/6 Combo Акк. Минипила цепная с удлинителем-штангой (21В.,15.2см.+штанга 1285 мм.-1960 мм</t>
  </si>
  <si>
    <t xml:space="preserve">21В;2,0Ач;2Акк;Li-Ion;5000об/мин;8м/сек;15см(6");Телескопическая штанга-удлинитель 128,5-196см;очки;перчатки</t>
  </si>
  <si>
    <t xml:space="preserve">6937888224292</t>
  </si>
  <si>
    <t xml:space="preserve">25169</t>
  </si>
  <si>
    <t xml:space="preserve">Edon UNS-21/6BL Акк. Минипила цепная бесщеточная (21В.,15.2см.)</t>
  </si>
  <si>
    <t xml:space="preserve">21В;2,0Ач;2Акк;Li-Ion;4000об/мин;9м/с;6"(15см)</t>
  </si>
  <si>
    <t xml:space="preserve">6937888234323</t>
  </si>
  <si>
    <t xml:space="preserve">40617</t>
  </si>
  <si>
    <t xml:space="preserve">Edon UNS-21/6D Мини-цепная пила аккумуляторная бесщеточная (21В; Li-Ion; 2.0Ач; 500об/мин; 6м/сек)</t>
  </si>
  <si>
    <t xml:space="preserve">21В; Li-Ion; 2.0Ач; 500об/мин; 6м/сек; 15.24см(6"), 1 АБ, 1 ЗУ</t>
  </si>
  <si>
    <t xml:space="preserve">6937888253034</t>
  </si>
  <si>
    <t xml:space="preserve">25170</t>
  </si>
  <si>
    <t xml:space="preserve">Edon UNS-21/8BL Акк. Минипила цепная бесщеточная (21В.,20.4см.)</t>
  </si>
  <si>
    <t xml:space="preserve">21В;2,0Ач;2Акк;Li-Ion;4000об/мин;9м/с;8"(20см)</t>
  </si>
  <si>
    <t xml:space="preserve">6937888234330</t>
  </si>
  <si>
    <t xml:space="preserve">40403</t>
  </si>
  <si>
    <t xml:space="preserve">Edon UNS-48/305 BL Цепная пила аккумуляторная бесщеточная (21В; Li-Ion; 3,0Ач; 0-3000об/мин)</t>
  </si>
  <si>
    <t xml:space="preserve">21В; Li-Ion; 3,0Ач; 0-3000об/мин; 9м/с; 12"(30,5см); 260мм; 3/8_1,3мм; 44шт; 82мл</t>
  </si>
  <si>
    <t xml:space="preserve">6937888221040</t>
  </si>
  <si>
    <t xml:space="preserve">21526</t>
  </si>
  <si>
    <t xml:space="preserve">Edon UNS-48/305 Цепная пила аккумуляторная бесщеточная (21В;3,0Ач;1Акк;Li-Ion)</t>
  </si>
  <si>
    <t xml:space="preserve">21В;3,0Ач;1Акк;Li-Ion;3000об/мин;9м/с;305(12”);260мм;3/8_1,3мм;40шт;120мл</t>
  </si>
  <si>
    <t xml:space="preserve">6937888221040.</t>
  </si>
  <si>
    <t xml:space="preserve">25167</t>
  </si>
  <si>
    <t xml:space="preserve">ETECH NS-18/6BL Акк. Минипила цепная бесщеточная (21В.,15.2см.)</t>
  </si>
  <si>
    <t xml:space="preserve">18В; Li-Ion; 2,0Ач; 4400об/мин; 6м/с; 6"(15см)</t>
  </si>
  <si>
    <t xml:space="preserve">6937888234095</t>
  </si>
  <si>
    <t xml:space="preserve">25168</t>
  </si>
  <si>
    <t xml:space="preserve">ETECH NS-18/8BL Акк. Минипила цепная бесщеточная (21В.,20.4см.)</t>
  </si>
  <si>
    <t xml:space="preserve">18В; Li-Ion; 2,0Ач; 4400об/мин; 6м/с; 8"(20см)</t>
  </si>
  <si>
    <t xml:space="preserve">6937888234101</t>
  </si>
  <si>
    <t xml:space="preserve">39134</t>
  </si>
  <si>
    <t xml:space="preserve">REDBO LNS-21/6 Combo Акк. Минипила цепная с удлинителем-штангой (21В.,15.2см.+штанга 1285 мм.-1960 м</t>
  </si>
  <si>
    <t xml:space="preserve">6937888244285</t>
  </si>
  <si>
    <t xml:space="preserve">40622</t>
  </si>
  <si>
    <t xml:space="preserve">REDBO LNS-21A Цепная пила аккумуляторная бесщеточная (21В; Li-Ion; 6.0Ач; 3000об/мин;16")</t>
  </si>
  <si>
    <t xml:space="preserve">21В; Li-Ion; 6.0Ач; 3000об/мин; 12м/сек; 40.64см(16"); 450мм; 3/8"(0.375)_1.3; 59шт; 220мл</t>
  </si>
  <si>
    <t xml:space="preserve">6937888253140</t>
  </si>
  <si>
    <t xml:space="preserve">28236</t>
  </si>
  <si>
    <t xml:space="preserve">REDBO ONS-21/6BL Акк. Минипила цепная бесщеточная (21В.,15.2см.)</t>
  </si>
  <si>
    <t xml:space="preserve">21В;2,0Ач;2Акк;Li-Ion;500об/мин;8м/с;6"(15см);перчатки,очки</t>
  </si>
  <si>
    <t xml:space="preserve">6937888236860</t>
  </si>
  <si>
    <t xml:space="preserve">28237</t>
  </si>
  <si>
    <t xml:space="preserve">REDBO ONS-21/8BL Акк. Минипила цепная бесщеточная (21В.,20.4см.)</t>
  </si>
  <si>
    <t xml:space="preserve">21В;2,0Ач;2Акк;Li-Ion;500об/мин;8м/с;8"(20см);перчатки,очки</t>
  </si>
  <si>
    <t xml:space="preserve">6937888236877</t>
  </si>
  <si>
    <t xml:space="preserve">Акк.гайковерты</t>
  </si>
  <si>
    <t xml:space="preserve">28251</t>
  </si>
  <si>
    <t xml:space="preserve">Edon AAW-21/1000BL Акк. Гайковерт ударный бесщеточный (21В., 1000Н.м.)</t>
  </si>
  <si>
    <t xml:space="preserve">21В;1000Нм;3,0Ач;2Акк;Li-Ion;0-1000/0-2800об/мин;0-3500уд/мин;М10-М22</t>
  </si>
  <si>
    <t xml:space="preserve">6937888237935</t>
  </si>
  <si>
    <t xml:space="preserve">25088</t>
  </si>
  <si>
    <t xml:space="preserve">Edon AAW-21/300BL Акк. Гайковерт ударный бесщеточный (21В., 300Н.м.)</t>
  </si>
  <si>
    <t xml:space="preserve">21В;300Нм;3,0Ач;2Акк;Li-Ion;0-800/0-2200об/мин;0-3000уд/мин;М10-М18</t>
  </si>
  <si>
    <t xml:space="preserve">6937888233968</t>
  </si>
  <si>
    <t xml:space="preserve">25090</t>
  </si>
  <si>
    <t xml:space="preserve">Edon AAW-21/600BL Акк. Гайковерт ударный бесщеточный (21В., 600Н.м.)</t>
  </si>
  <si>
    <t xml:space="preserve">21В;600Нм;3,0Ач;2Акк;Li-Ion;0-1000/0-2800об/мин;0-3500уд/мин;М10-М22</t>
  </si>
  <si>
    <t xml:space="preserve">6937888233982</t>
  </si>
  <si>
    <t xml:space="preserve">28263</t>
  </si>
  <si>
    <t xml:space="preserve">Edon PROtech AW-21/300BL Акк. Гайковерт ударный бесщеточный (21В., 300Н.м.)</t>
  </si>
  <si>
    <t xml:space="preserve">21В;300Нм;4,0Ач;2Акк;Li-Ion;0-2000об/мин;3000уд/мин;1/2"</t>
  </si>
  <si>
    <t xml:space="preserve">6937888237911</t>
  </si>
  <si>
    <t xml:space="preserve">28299</t>
  </si>
  <si>
    <t xml:space="preserve">Edon PROtech AW-21/600BL Акк. Гайковерт ударный бесщеточный (21В., 600Н.м.)</t>
  </si>
  <si>
    <t xml:space="preserve">21В;600Нм;4,0Ач;2Акк;Li-Ion;0-2000об/мин;3000уд/мин;1/2"</t>
  </si>
  <si>
    <t xml:space="preserve">6937888237928</t>
  </si>
  <si>
    <t xml:space="preserve">28015</t>
  </si>
  <si>
    <t xml:space="preserve">Edon UAW-21/300CBL Акк. Гайковерт ударный бесщеточный (21В., 300Н.м.)</t>
  </si>
  <si>
    <t xml:space="preserve">21В;300Нм;4,0Ач;2Акк;Li-Ion;0-2000об/мин;3000уд/мин;1/2"дюйм</t>
  </si>
  <si>
    <t xml:space="preserve">6937888234057</t>
  </si>
  <si>
    <t xml:space="preserve">28530</t>
  </si>
  <si>
    <t xml:space="preserve">Edon UAW-21/500CBL Акк. Гайковерт ударный бесщеточный (21В., 500Н.м.)</t>
  </si>
  <si>
    <t xml:space="preserve">21В;500Нм;4,0Ач;2Акк;Li-Ion;0-2000об/мин;3000уд/мин;1/2"дюйм</t>
  </si>
  <si>
    <t xml:space="preserve">6937888234064</t>
  </si>
  <si>
    <t xml:space="preserve">27578</t>
  </si>
  <si>
    <t xml:space="preserve">Edon UAW-21A Акк. Гайковерт ударный (21В., 300Н.м.)</t>
  </si>
  <si>
    <t xml:space="preserve">21В;300Нм;4,0Ач;2Акк;Li-Ion;0-2000об/мин;3000уд/мин; 1/2дюйм;набор(биты/головки)</t>
  </si>
  <si>
    <t xml:space="preserve">6937888206382</t>
  </si>
  <si>
    <t xml:space="preserve">25089</t>
  </si>
  <si>
    <t xml:space="preserve">ETECH AW-21/300BL Акк. Гайковерт ударный бесщеточный (21В., 300Н.м.)</t>
  </si>
  <si>
    <t xml:space="preserve">21В; Li-Ion; 3,0Ач; 0-800/450-2200об/мин; 300Нм; 0-3000уд/мин; М10-М18</t>
  </si>
  <si>
    <t xml:space="preserve">6937888233975</t>
  </si>
  <si>
    <t xml:space="preserve">20009</t>
  </si>
  <si>
    <t xml:space="preserve">REDBO OAW-20/1000PBL Акк. Гайковерт ударный бесщеточный (21В., 1000Н.м.)</t>
  </si>
  <si>
    <t xml:space="preserve">20В;1000Нм;4,0Ач;1Акк;Li-Ion;1/2"</t>
  </si>
  <si>
    <t xml:space="preserve">6937888211690</t>
  </si>
  <si>
    <t xml:space="preserve">19643</t>
  </si>
  <si>
    <t xml:space="preserve">REDBO OAW-20/300PBL Акк. Гайковерт ударный бесщеточный (21В., 300Н.м.)</t>
  </si>
  <si>
    <t xml:space="preserve">20В;300Нм;4,0Ач;1Акк;Li-Ion;1/2"</t>
  </si>
  <si>
    <t xml:space="preserve">6937888211669</t>
  </si>
  <si>
    <t xml:space="preserve">28312</t>
  </si>
  <si>
    <t xml:space="preserve">REDBO OAW-21/1000BL Акк. Гайковерт ударный бесщеточный (21В., 1000Н.м.)</t>
  </si>
  <si>
    <t xml:space="preserve">21В;1000Нм;4,0Ач;2Акк;Li-Ion;0-2000об/мин;3000уд/мин;1/2"</t>
  </si>
  <si>
    <t xml:space="preserve">6937888238338</t>
  </si>
  <si>
    <t xml:space="preserve">28310</t>
  </si>
  <si>
    <t xml:space="preserve">REDBO OAW-21/300BL Акк. Гайковерт ударный бесщеточный (21В., 300Н.м.)</t>
  </si>
  <si>
    <t xml:space="preserve">6937888238314</t>
  </si>
  <si>
    <t xml:space="preserve">28311</t>
  </si>
  <si>
    <t xml:space="preserve">REDBO OAW-21/600BL Акк. Гайковерт ударный бесщеточный (21В., 600Н.м.)</t>
  </si>
  <si>
    <t xml:space="preserve">6937888238321</t>
  </si>
  <si>
    <t xml:space="preserve">Акк.винтоверты(Impact)</t>
  </si>
  <si>
    <t xml:space="preserve">15002</t>
  </si>
  <si>
    <t xml:space="preserve">Edon OAF21-WB Акк.Винтоверт(Impact) (21В., 100H.м.без аккумулятора)</t>
  </si>
  <si>
    <t xml:space="preserve">21В;100Нм;без аккумулятора,без зарядного устройства;0-2800об/мин;1/4 дюйма;подсветка</t>
  </si>
  <si>
    <t xml:space="preserve">6937888224140</t>
  </si>
  <si>
    <t xml:space="preserve">Акк.машины шлифовальные угловые</t>
  </si>
  <si>
    <t xml:space="preserve">25093</t>
  </si>
  <si>
    <t xml:space="preserve">Edon AAG-21/125BL Акк. Машина шлифовальная угловая бесщеточная (21В., 125мм.)</t>
  </si>
  <si>
    <t xml:space="preserve">21В;4,0Ач;2Акк;Li-Ion;9000об/мин;125мм;М14</t>
  </si>
  <si>
    <t xml:space="preserve">6937888234200</t>
  </si>
  <si>
    <t xml:space="preserve">16521</t>
  </si>
  <si>
    <t xml:space="preserve">Edon OAF21-AG Акк. Машина шлифовальная угловая бесщеточная (21В., 125мм., без аккумулятора)</t>
  </si>
  <si>
    <t xml:space="preserve">21В; без аккумулятора, без зарядного устройства;8000об/мин.125мм.22,2мм.</t>
  </si>
  <si>
    <t xml:space="preserve">6937888204456</t>
  </si>
  <si>
    <t xml:space="preserve">27985</t>
  </si>
  <si>
    <t xml:space="preserve">Edon PROtech AG-21/125BL Акк. Машина шлифовальная угловая бесщеточная (21В., 125мм.)</t>
  </si>
  <si>
    <t xml:space="preserve">21В;4,0Ач;2Акк;Li-Ion;0-8000об/мин;125мм;М14</t>
  </si>
  <si>
    <t xml:space="preserve">6937888237461</t>
  </si>
  <si>
    <t xml:space="preserve">35532</t>
  </si>
  <si>
    <t xml:space="preserve">Edon Super AG-21/125BL Угловая шлифовальная машина аккумуляторная бесщеточная (21В, 4.0Ач, 125мм.)</t>
  </si>
  <si>
    <t xml:space="preserve">21В; Li-Ion; 4.0Ач; 0-7000об/мин; 125мм; М14</t>
  </si>
  <si>
    <t xml:space="preserve">6937888238659</t>
  </si>
  <si>
    <t xml:space="preserve">27811</t>
  </si>
  <si>
    <t xml:space="preserve">Edon UAG-21/125CBL Акк. Машина шлифовальная угловая бесщеточная (21В., 125мм.)</t>
  </si>
  <si>
    <t xml:space="preserve">21В;4,0Ач;2Акк;Li-Ion;0-8000об/мин; 125мм</t>
  </si>
  <si>
    <t xml:space="preserve">6937888234026</t>
  </si>
  <si>
    <t xml:space="preserve">22685</t>
  </si>
  <si>
    <t xml:space="preserve">Edon UAG-21A Акк. Машина шлифовальная угловая бесщеточная (21В., 125мм.)</t>
  </si>
  <si>
    <t xml:space="preserve">21В;4,0Ач;1Акк;Li-Ion;8000об/мин;125мм.М14.</t>
  </si>
  <si>
    <t xml:space="preserve">6937888222467</t>
  </si>
  <si>
    <t xml:space="preserve">25094</t>
  </si>
  <si>
    <t xml:space="preserve">ETECH AG-21/125BL Акк. Машина шлифовальная угловая бесщеточная (21В., 125мм.)</t>
  </si>
  <si>
    <t xml:space="preserve">21В; Li-Ion; 4,0Ач; 9000об/мин; 125мм</t>
  </si>
  <si>
    <t xml:space="preserve">6937888234217</t>
  </si>
  <si>
    <t xml:space="preserve">21054</t>
  </si>
  <si>
    <t xml:space="preserve">REDBO OAG-20/125BL Акк. Машина шлифовальная угловая бесщеточная (21В., 125мм.)</t>
  </si>
  <si>
    <t xml:space="preserve">20В;4,0Ач;1Акк;Li-Ion;0-8000об/мин;125мм;М14</t>
  </si>
  <si>
    <t xml:space="preserve">6937888214837</t>
  </si>
  <si>
    <t xml:space="preserve">28308</t>
  </si>
  <si>
    <t xml:space="preserve">REDBO OAG-21/125BL Акк. Машина шлифовальная угловая бесщеточная (21В., 125мм.)</t>
  </si>
  <si>
    <t xml:space="preserve">6937888238499</t>
  </si>
  <si>
    <t xml:space="preserve">Акк. Рубанки</t>
  </si>
  <si>
    <t xml:space="preserve">40851</t>
  </si>
  <si>
    <t xml:space="preserve">Edon AHP-21A Рубанок аккумуляторный бесщеточный (21В; Li-Ion; 4.0Ач;15000об/мин; 82мм)</t>
  </si>
  <si>
    <t xml:space="preserve">21В; Li-Ion; 4.0Ач; 1 шт АКБ, 1 шт ЗУ,15000об/мин; ширина 82мм; глубина 0-2мм; выборка четверти 8мм, парал направляющая, огран-ль глубины, пылесборник</t>
  </si>
  <si>
    <t xml:space="preserve">6937888253645</t>
  </si>
  <si>
    <t xml:space="preserve">Акк.Лобзики</t>
  </si>
  <si>
    <t xml:space="preserve">40838</t>
  </si>
  <si>
    <t xml:space="preserve">Edon AJS-21A Лобзик аккумуляторный бесщеточный (21В; Li-Ion; 2.0Ач; 0-2900об/мин; 18мм; 65/4/2мм)</t>
  </si>
  <si>
    <t xml:space="preserve">21В; Li-Ion; 2.0Ач; скорость 0-2900об/мин плавная регул-ка; маятниковый ход величина 18мм; макс глубина пропила 65/4/2мм; угол наклона +/-45°, 1 шт АКБ, 1шт ЗУ</t>
  </si>
  <si>
    <t xml:space="preserve">6937888253591</t>
  </si>
  <si>
    <t xml:space="preserve">15003</t>
  </si>
  <si>
    <t xml:space="preserve">Edon OAF21-JB Акк. Лобзик (21В., без аккумулятора)</t>
  </si>
  <si>
    <t xml:space="preserve">21В;без аккумулятора,без зарядного устройства;0-2500об/мин.пропил мм.(металл 6мм/дерево 65мм.).Ход штока;20мм;Эл.рег.Об-есть</t>
  </si>
  <si>
    <t xml:space="preserve">6937888224171</t>
  </si>
  <si>
    <t xml:space="preserve">Акк.перфораторы</t>
  </si>
  <si>
    <t xml:space="preserve">27686</t>
  </si>
  <si>
    <t xml:space="preserve">Edon URH-21C Акк. Перфоратор (21В., 2.8Дж., 22мм.)</t>
  </si>
  <si>
    <t xml:space="preserve">21В;2,8Дж;4,0Ач;2Акк;Li-Ion;0-1400об/мин;6300уд/мин;SDS-plus;13/28/22мм</t>
  </si>
  <si>
    <t xml:space="preserve">6937888232381</t>
  </si>
  <si>
    <t xml:space="preserve">19391</t>
  </si>
  <si>
    <t xml:space="preserve">REDBO ORH-20BL Акк. Перфоратор бесщеточный (20В., 2.2Дж., 20мм.)</t>
  </si>
  <si>
    <t xml:space="preserve">20В;4,0Ач/2,0Ач;2Акк;Li-Ion;0-1500об/мин;</t>
  </si>
  <si>
    <t xml:space="preserve">6937888211638</t>
  </si>
  <si>
    <t xml:space="preserve">Акк.Пилы дисковые</t>
  </si>
  <si>
    <t xml:space="preserve">15007</t>
  </si>
  <si>
    <t xml:space="preserve">Edon OAF21-CS Акк. Пила дисковая циркулярная (21В.,без аккумулятора)</t>
  </si>
  <si>
    <t xml:space="preserve">21В;без аккумулятора,без зарядного устройства;3800об/мин.90 град.//45град.мм.41.0//36,0//0-45наклон,140мм,22,2мм.</t>
  </si>
  <si>
    <t xml:space="preserve">6937888224157</t>
  </si>
  <si>
    <t xml:space="preserve">15006</t>
  </si>
  <si>
    <t xml:space="preserve">Edon OAF21-CSL Акк. Пила дисковая универсальная (21В.,без аккумулятора)</t>
  </si>
  <si>
    <t xml:space="preserve">21В;без аккумулятора,без зарядного устройства;3400об/мин,115мм.глубина пропила 90°42,8мм.</t>
  </si>
  <si>
    <t xml:space="preserve">6937888224270</t>
  </si>
  <si>
    <t xml:space="preserve">19392</t>
  </si>
  <si>
    <t xml:space="preserve">REDBO OCS-20/125BL Акк. Пила дисковая универсальная</t>
  </si>
  <si>
    <t xml:space="preserve">20В;4,0Ач;Li-Ion;1Акк;6500об/мин;125мм.</t>
  </si>
  <si>
    <t xml:space="preserve">6937888212192</t>
  </si>
  <si>
    <t xml:space="preserve">Акк.машины шлифовальные эксцентриковые</t>
  </si>
  <si>
    <t xml:space="preserve">40842</t>
  </si>
  <si>
    <t xml:space="preserve">Edon AOS-21A Эксцентриковая шлифовальная машина аккумуляторная бесщеточная</t>
  </si>
  <si>
    <t xml:space="preserve">21В; Li-Ion; 2.0Ач; регул-ка оборотов 3режима: 7000/9000/11000об/мин; круг 125мм; амплитуда колебаний 3мм, в комплекте: 1шт АКБ, 1шт ЗУ, круги абраз 3 шт, мешок-пылесборник</t>
  </si>
  <si>
    <t xml:space="preserve">6937888253621</t>
  </si>
  <si>
    <t xml:space="preserve">40847</t>
  </si>
  <si>
    <t xml:space="preserve">Edon ASS-21A  Плоскошлифовальная машина аккумуляторная бесщеточная</t>
  </si>
  <si>
    <t xml:space="preserve">21В; Li-Ion; 2.0Ач; регул-ка оборотов 3режима:7000/9000/11000кол/мин; раб поверхность 110х100мм, пылезащ выкл-ль, в комплекте: 1шт АКБ, 1шт ЗУ, бумага наждач. 3 шт, мешок-пылесборник</t>
  </si>
  <si>
    <t xml:space="preserve">6937888253638</t>
  </si>
  <si>
    <t xml:space="preserve">15010</t>
  </si>
  <si>
    <t xml:space="preserve">Edon OAF21-VC Акк. Машина шлифовальная эксцентриковая (21В.,без аккумулятора)</t>
  </si>
  <si>
    <t xml:space="preserve">21В;без аккумулятора,без зарядного устройства;кол/х.х 12000</t>
  </si>
  <si>
    <t xml:space="preserve">6937888224294</t>
  </si>
  <si>
    <t xml:space="preserve">Акк.многофункциональные инструменты</t>
  </si>
  <si>
    <t xml:space="preserve">15009</t>
  </si>
  <si>
    <t xml:space="preserve">Edon OAF21-MT Акк. Машина универсальная вибрационная (21В.,без аккумулятора)</t>
  </si>
  <si>
    <t xml:space="preserve">21В;без аккумулятора,без зарядного устройства;кол/х.х 5000-19000,Угол колебаний 3,0°.набор</t>
  </si>
  <si>
    <t xml:space="preserve">6937888224287</t>
  </si>
  <si>
    <t xml:space="preserve">Акк.зарядные устройства</t>
  </si>
  <si>
    <t xml:space="preserve">40584</t>
  </si>
  <si>
    <t xml:space="preserve">Edon ABC-21A Зарядное устройство ( 21В; 0.5А)</t>
  </si>
  <si>
    <t xml:space="preserve">220-240В; ~50-60Гц; 21В; 0.5А</t>
  </si>
  <si>
    <t xml:space="preserve">6937888253201</t>
  </si>
  <si>
    <t xml:space="preserve">40585</t>
  </si>
  <si>
    <t xml:space="preserve">Edon ABC-21C Зарядное устройство ( 21В; 1А)</t>
  </si>
  <si>
    <t xml:space="preserve">21В; 1А; 220-240В; ~50-60Гц </t>
  </si>
  <si>
    <t xml:space="preserve">6937888253218</t>
  </si>
  <si>
    <t xml:space="preserve">40718</t>
  </si>
  <si>
    <t xml:space="preserve">Edon ABC-21D Зарядное устройство( 21В; 2.0А)</t>
  </si>
  <si>
    <t xml:space="preserve">220-240В; ~50-60Гц; 21В; 2.0А</t>
  </si>
  <si>
    <t xml:space="preserve">6937888253225</t>
  </si>
  <si>
    <t xml:space="preserve">40719</t>
  </si>
  <si>
    <t xml:space="preserve">Edon ABC-21Е Зарядное устройство( 21В; 1.0А)</t>
  </si>
  <si>
    <t xml:space="preserve">220-240В; ~50-60Гц; 21В; 1.0А</t>
  </si>
  <si>
    <t xml:space="preserve">6937888253232</t>
  </si>
  <si>
    <t xml:space="preserve">15014</t>
  </si>
  <si>
    <t xml:space="preserve">Edon OAF21-1100CB Устройство зарядное (1,1А)</t>
  </si>
  <si>
    <t xml:space="preserve">220В/~50Гц;1А.</t>
  </si>
  <si>
    <t xml:space="preserve">6937888224119</t>
  </si>
  <si>
    <t xml:space="preserve">19443</t>
  </si>
  <si>
    <t xml:space="preserve">Edon OAF21-2400CB Устройство зарядное (2,4А)</t>
  </si>
  <si>
    <t xml:space="preserve">Напряжение питания, В 100-240     Макс. выходное напряжение 21 В   Ток зарядного устройства  1.1 А</t>
  </si>
  <si>
    <t xml:space="preserve">6937888212222</t>
  </si>
  <si>
    <t xml:space="preserve">15013</t>
  </si>
  <si>
    <t xml:space="preserve">Edon OAF21-400CB Устройство зарядное (0,4А)</t>
  </si>
  <si>
    <t xml:space="preserve">220В/~50Гц;0.4А.</t>
  </si>
  <si>
    <t xml:space="preserve">6937888224126</t>
  </si>
  <si>
    <t xml:space="preserve">15005</t>
  </si>
  <si>
    <t xml:space="preserve">Edon OAF21-U USB-зарядное устройство</t>
  </si>
  <si>
    <t xml:space="preserve">21 В   Выходное напряжение,  5,0 В   Выходной ток порт ,  2,0А</t>
  </si>
  <si>
    <t xml:space="preserve">6937888224249</t>
  </si>
  <si>
    <t xml:space="preserve">Акк. культиватор</t>
  </si>
  <si>
    <t xml:space="preserve">40698</t>
  </si>
  <si>
    <t xml:space="preserve">Edon CRT-150BL Аккумуляторный культиватор бесщеточный (21В; Li-Ion; 4.0Ач; 300об/мин; 150мм)</t>
  </si>
  <si>
    <t xml:space="preserve">21В; Li-Ion; 4.0Ач; 300об/мин; 2шт АКБ, 1шт ЗУ, доп рукоятка, глубина 150мм; ширина 200мм; диаметр фрез 150мм, регул-ка складной телескоп. штанги 133-145мм, 550Вт</t>
  </si>
  <si>
    <t xml:space="preserve">6937888252341</t>
  </si>
  <si>
    <t xml:space="preserve">40697</t>
  </si>
  <si>
    <t xml:space="preserve">Edon CRT-40 Аккумуляторный культиватор (21В; Li-Ion; 4.0Ач; 330об/мин; 40мм;110мм;150мм)</t>
  </si>
  <si>
    <t xml:space="preserve">21В; Li-Ion; 4.0Ач; 330об/мин; 2шт АКБ, 1шт ЗУ, доп рукоятка, глубина обработки 40мм; ширина 110мм; диаметр фрез 150мм, регул-ка складывающаяся нерегулируемая штанга 133 мм, 300Вт</t>
  </si>
  <si>
    <t xml:space="preserve">6937888253492</t>
  </si>
  <si>
    <t xml:space="preserve">Акк.Краскораспылители</t>
  </si>
  <si>
    <t xml:space="preserve">19362</t>
  </si>
  <si>
    <t xml:space="preserve">Edon ASG-18 Акк. Краскораспылитель (18В., 600мл./мин.)</t>
  </si>
  <si>
    <t xml:space="preserve">18В;1,5Ач;1Акк; Li-Ion;600мл/мин;1000мл;2,5мм;80DIN/сек.</t>
  </si>
  <si>
    <t xml:space="preserve">6937888210853</t>
  </si>
  <si>
    <t xml:space="preserve">28334</t>
  </si>
  <si>
    <t xml:space="preserve">Edon UGG-21A Акк. Краскораспылитель бесщеточный (21В., 800мл./мин.)</t>
  </si>
  <si>
    <t xml:space="preserve">21В;4,0Ач;2Акк;Li-Ion;800мл/мин;800мл;2,5мм;70DIN/сек</t>
  </si>
  <si>
    <t xml:space="preserve">6937888238567</t>
  </si>
  <si>
    <t xml:space="preserve">28333</t>
  </si>
  <si>
    <t xml:space="preserve">REDBO OGG-21E Акк. Краскораспылитель бесщеточный (21В., 800мл./мин.)</t>
  </si>
  <si>
    <t xml:space="preserve">21В;4,0Ач;2Акк;Li-Ion;800мл/мин; 800мл;2,5мм;70DIN/сек</t>
  </si>
  <si>
    <t xml:space="preserve">6937888238550</t>
  </si>
  <si>
    <t xml:space="preserve">Акк. степлер</t>
  </si>
  <si>
    <t xml:space="preserve">39723</t>
  </si>
  <si>
    <t xml:space="preserve">Edon USG-20A Акк. Степлер/нейлер (4В.,2А.ч., 14/6-14, 1.2/0.75 TypeF/Type53, USB-зар.)</t>
  </si>
  <si>
    <t xml:space="preserve">4,0В;2,0Ач;Li-Ion;50уд/мин;14/6-14мм;1,2/0,75мм;Type F/Type 53;100/50шт</t>
  </si>
  <si>
    <t xml:space="preserve">6937888246432</t>
  </si>
  <si>
    <t xml:space="preserve">Акк.Триммеры</t>
  </si>
  <si>
    <t xml:space="preserve">24251</t>
  </si>
  <si>
    <t xml:space="preserve">Edon AGT-12 Акк.Триммер (12В., 148мм.)</t>
  </si>
  <si>
    <t xml:space="preserve">12В;1.5Ач;2Акк;Li-Ion;9000об/мин.148мм.5-пл.ножа.1диск;2мет.ножа</t>
  </si>
  <si>
    <t xml:space="preserve">6937888214790</t>
  </si>
  <si>
    <t xml:space="preserve">24252</t>
  </si>
  <si>
    <t xml:space="preserve">Edon AGT-18 Акк.Триммер (18В., 150мм.)</t>
  </si>
  <si>
    <t xml:space="preserve">18В;2.0Ач;2Акк;Li-Ion;10000об/мин;150мм;Режущий диск 1шт;Стальной нож 2шт;Пластиковый нож 5шт.</t>
  </si>
  <si>
    <t xml:space="preserve">6937888214806</t>
  </si>
  <si>
    <t xml:space="preserve">19405</t>
  </si>
  <si>
    <t xml:space="preserve">Edon OAF21-LM Акк. Триммер (21В., 260мм., без аккумулятора)</t>
  </si>
  <si>
    <t xml:space="preserve">21В;без аккумулятора,без зарядного устройства;8500 об/мин.250мм.1,6мм.</t>
  </si>
  <si>
    <t xml:space="preserve">6937888207914</t>
  </si>
  <si>
    <t xml:space="preserve">21340</t>
  </si>
  <si>
    <t xml:space="preserve">Edon PROtech 12–2000GT Акк. Триммер (12В., 148мм.)</t>
  </si>
  <si>
    <t xml:space="preserve">6937888219917</t>
  </si>
  <si>
    <t xml:space="preserve">21341</t>
  </si>
  <si>
    <t xml:space="preserve">Edon PROtech 18–2000GT Акк. триммер</t>
  </si>
  <si>
    <t xml:space="preserve">21105</t>
  </si>
  <si>
    <t xml:space="preserve">HANTEL HL-12AKT Акк. Триммер (12В., 148мм.)</t>
  </si>
  <si>
    <t xml:space="preserve">6937888219948</t>
  </si>
  <si>
    <t xml:space="preserve">21106</t>
  </si>
  <si>
    <t xml:space="preserve">JONSER GT-12JN Акк. Триммер (12В., 148мм.)</t>
  </si>
  <si>
    <t xml:space="preserve">6937888219931</t>
  </si>
  <si>
    <t xml:space="preserve">Акк.Секаторы</t>
  </si>
  <si>
    <t xml:space="preserve">28304</t>
  </si>
  <si>
    <t xml:space="preserve">Edon APS-21A Акк. Секатор (21В., 30 мм.)</t>
  </si>
  <si>
    <t xml:space="preserve">21В;2,0Ач;2Акк;Li-Ion;30мм</t>
  </si>
  <si>
    <t xml:space="preserve">6937888236792</t>
  </si>
  <si>
    <t xml:space="preserve">40616</t>
  </si>
  <si>
    <t xml:space="preserve">Edon APS-21CBL Секатор аккумуляторный бесщеточный (21В; Li-Ion; 2.0Ач; 30мм)</t>
  </si>
  <si>
    <t xml:space="preserve">21В; Li-Ion; 2.0Ач; 1шт АКБ, 1шт. ЗУ, Макс.диаметр реза 30мм</t>
  </si>
  <si>
    <t xml:space="preserve">6937888252938</t>
  </si>
  <si>
    <t xml:space="preserve">17512</t>
  </si>
  <si>
    <t xml:space="preserve">Edon UPS-21/100 Акк. Секатор (21В.,30мм.)</t>
  </si>
  <si>
    <t xml:space="preserve">21В;4Ач;1Акк;Li-Ion;30мм.</t>
  </si>
  <si>
    <t xml:space="preserve">6937888206351</t>
  </si>
  <si>
    <t xml:space="preserve">28377</t>
  </si>
  <si>
    <t xml:space="preserve">REDBO OPS-21E Акк секатор бесщеточный (21В.,30мм.)</t>
  </si>
  <si>
    <t xml:space="preserve">21В;2,0Ач;2Акк;Li-Ion;30мм.</t>
  </si>
  <si>
    <t xml:space="preserve">6937888238482</t>
  </si>
  <si>
    <t xml:space="preserve">Акк.снегоуборочники</t>
  </si>
  <si>
    <t xml:space="preserve">35271</t>
  </si>
  <si>
    <t xml:space="preserve">Edon AST-21/10C Акк. Снегоуборочная лопата (21В.,254мм./160мм. 6м.)</t>
  </si>
  <si>
    <t xml:space="preserve">21В;4,0Ач;2Акк;Li-Ion;25,4см/10";16см;6м</t>
  </si>
  <si>
    <t xml:space="preserve">6937888239496</t>
  </si>
  <si>
    <t xml:space="preserve">35273</t>
  </si>
  <si>
    <t xml:space="preserve">Edon AST-21/12C Акк. Снегоуборочная лопата (21В.,305мм./108мм. 4м.)</t>
  </si>
  <si>
    <t xml:space="preserve">21В; Li-Ion; 4,0Ач; 30,5см/12"; 10,8см; 4м</t>
  </si>
  <si>
    <t xml:space="preserve">6937888239519</t>
  </si>
  <si>
    <t xml:space="preserve">35276</t>
  </si>
  <si>
    <t xml:space="preserve">Edon AST-21/14C Акк. Снегоуборочная лопата (21В.,340мм./200мм. 8м.)</t>
  </si>
  <si>
    <t xml:space="preserve">21В;4,0Ач;2Акк;Li-Ion;34см/14";20см;8м</t>
  </si>
  <si>
    <t xml:space="preserve">6937888239540</t>
  </si>
  <si>
    <t xml:space="preserve">35272</t>
  </si>
  <si>
    <t xml:space="preserve">Edon UST-21/10 Акк. Снегоуборочная лопата (21В.,254мм./160мм. 6м.)</t>
  </si>
  <si>
    <t xml:space="preserve">6937888239298</t>
  </si>
  <si>
    <t xml:space="preserve">35274</t>
  </si>
  <si>
    <t xml:space="preserve">Edon UST-21/12 Акк. Снегоуборочная лопата (21В.,305мм./108мм. 4м.)</t>
  </si>
  <si>
    <t xml:space="preserve">21В;4,0Ач;2Акк;Li-Ion;30,5см/12";10,8см;4м</t>
  </si>
  <si>
    <t xml:space="preserve">6937888239502</t>
  </si>
  <si>
    <t xml:space="preserve">35275</t>
  </si>
  <si>
    <t xml:space="preserve">Edon UST-21/12BL Акк. Снегоуборочная лопата бесщеточная (21В.,305мм./108мм. 4м.)</t>
  </si>
  <si>
    <t xml:space="preserve">6937888239526</t>
  </si>
  <si>
    <t xml:space="preserve">35277</t>
  </si>
  <si>
    <t xml:space="preserve">Edon UST-21/14 Акк. Снегоуборочная лопата (21В.,340мм./200мм. 8м.)</t>
  </si>
  <si>
    <t xml:space="preserve">6937888239533</t>
  </si>
  <si>
    <t xml:space="preserve">Акк. фрезер</t>
  </si>
  <si>
    <t xml:space="preserve">40852</t>
  </si>
  <si>
    <t xml:space="preserve">Edon APR-21A Фрезер аккумуляторный бесщеточный (21В; Li-Ion; 2.0Ач; 10000-30000об/мин; 6-8мм; 30мм)</t>
  </si>
  <si>
    <t xml:space="preserve">21В; Li-Ion; 2.0Ач; регулировка оборотов 10000-30000об/мин; цанга 6 и 8мм; глубина 30мм, 1 шт АКБ, 1шт ЗУ</t>
  </si>
  <si>
    <t xml:space="preserve">6937888253652</t>
  </si>
  <si>
    <t xml:space="preserve">Акк.фонари</t>
  </si>
  <si>
    <t xml:space="preserve">15004</t>
  </si>
  <si>
    <t xml:space="preserve">Edon OAF21-F Фонарь светодиодный.</t>
  </si>
  <si>
    <t xml:space="preserve">Максимальное напряжение питания 21В                                                                                                                                                                                 1 Вт  Макс. яркость светодиода 80,0 lm</t>
  </si>
  <si>
    <t xml:space="preserve">6937888224256</t>
  </si>
  <si>
    <t xml:space="preserve">Акк.воздуходувки</t>
  </si>
  <si>
    <t xml:space="preserve">16475</t>
  </si>
  <si>
    <t xml:space="preserve">Edon AKM-21 Аккумуляторный воздуходув</t>
  </si>
  <si>
    <t xml:space="preserve">1 аккумулятор  21В Li-Ion 4.0 А/ч</t>
  </si>
  <si>
    <t xml:space="preserve">6937888222641</t>
  </si>
  <si>
    <t xml:space="preserve">22505</t>
  </si>
  <si>
    <t xml:space="preserve">Edon LLB-21A Акк. Воздуходувка (21В., мешок, шланг, 2 переходника, 3 насадки)</t>
  </si>
  <si>
    <t xml:space="preserve">21В;4Ач;1Акк;Li-Ion;17000об/мин.120м3/час;75м/с.</t>
  </si>
  <si>
    <t xml:space="preserve">6937888218231</t>
  </si>
  <si>
    <t xml:space="preserve">19404</t>
  </si>
  <si>
    <t xml:space="preserve">Edon OAF21-HD Акк. Воздуходувка (21В., без аккумулятора)</t>
  </si>
  <si>
    <t xml:space="preserve">21В;без аккумулятора,без зарядного устройства;12000об/мин.</t>
  </si>
  <si>
    <t xml:space="preserve">6937888207877</t>
  </si>
  <si>
    <t xml:space="preserve">Акк.кусторезы</t>
  </si>
  <si>
    <t xml:space="preserve">25962</t>
  </si>
  <si>
    <t xml:space="preserve">Edon APS-18E Акк. Кусторез (7,2В;2,0Ач; Li-Ion;1100об/мин;120мм;75мм;8мм)</t>
  </si>
  <si>
    <t xml:space="preserve">7,2В;2,0Ач; Li-Ion;1100об/мин;120мм;75мм;8мм;Насадка для травы;Насадка-кусторез</t>
  </si>
  <si>
    <t xml:space="preserve">6937888231698</t>
  </si>
  <si>
    <t xml:space="preserve">19403</t>
  </si>
  <si>
    <t xml:space="preserve">Edon OAF21-LC Акк. Кусторез (21В., без аккумулятора)</t>
  </si>
  <si>
    <t xml:space="preserve">21В;без аккумулятора,без зарядного устройства;1100об/мин.450мм.16мм.</t>
  </si>
  <si>
    <t xml:space="preserve">6937888207907</t>
  </si>
  <si>
    <t xml:space="preserve">Акк.опрыскиватели</t>
  </si>
  <si>
    <t xml:space="preserve">24996</t>
  </si>
  <si>
    <t xml:space="preserve">Edon AGS-12 Акк. Опрыскиватель универсальный (12В., 12л., 3.6л./мин., 8а.ч.)</t>
  </si>
  <si>
    <t xml:space="preserve">12л; 12В; 8,0Ач; 3,6л/мин</t>
  </si>
  <si>
    <t xml:space="preserve">6937888214844</t>
  </si>
  <si>
    <t xml:space="preserve">24997</t>
  </si>
  <si>
    <t xml:space="preserve">Edon AGS-16 Акк. Опрыскиватель универсальный (12В., 16л., 3.6л./мин., 8а.ч.)</t>
  </si>
  <si>
    <t xml:space="preserve">16л; 12В; 8,0Ач; 3,6л/мин</t>
  </si>
  <si>
    <t xml:space="preserve">6937888214851</t>
  </si>
  <si>
    <t xml:space="preserve">Акк.пилы сабельные</t>
  </si>
  <si>
    <t xml:space="preserve">18949</t>
  </si>
  <si>
    <t xml:space="preserve">Edon AD-21FJ Акк. Сабельная пила (21В.,25мм./300мм.)</t>
  </si>
  <si>
    <t xml:space="preserve">21В;2,0Ач;2Акк;Li-Ion;0-3280об/мин.пропил мм.(металл25/дерево300мм.)</t>
  </si>
  <si>
    <t xml:space="preserve">6937888226311</t>
  </si>
  <si>
    <t xml:space="preserve">15008</t>
  </si>
  <si>
    <t xml:space="preserve">Edon OAF21-RS Акк. Сабельная пила (21В., 25мм./300 мм.без аккумулятора)</t>
  </si>
  <si>
    <t xml:space="preserve">21В;без аккумулятора,без зарядного устройства;0-3000об/мин.пропил мм.(металл13/дерево 200мм.металл. Труба100мм).1полотно</t>
  </si>
  <si>
    <t xml:space="preserve">6937888224164</t>
  </si>
  <si>
    <t xml:space="preserve">27813</t>
  </si>
  <si>
    <t xml:space="preserve">Edon URS-21A Акк. Сабельная пила (21В.,15мм./300мм.)</t>
  </si>
  <si>
    <t xml:space="preserve">21В;2,0Ач;2Акк;Li-Ion;15мм;300мм;15мм;Пильное полотно 4шт.</t>
  </si>
  <si>
    <t xml:space="preserve">6937888232305</t>
  </si>
  <si>
    <t xml:space="preserve">28309</t>
  </si>
  <si>
    <t xml:space="preserve">REDBO ОRS-21D Пила сабельная аккумуляторная бесщеточная (21В.,Li-Ion, 4,0Ач)</t>
  </si>
  <si>
    <t xml:space="preserve">21В;4,0Ач, Li-Ion;величина хода 22 мм, глубина пропила металл 10мм, дерево 250мм; 0-3500 об/мин, 2 шт АКБ, 1 шт ЗУ</t>
  </si>
  <si>
    <t xml:space="preserve">6937888238512</t>
  </si>
  <si>
    <t xml:space="preserve">Набор аккумуляторных инструментов</t>
  </si>
  <si>
    <t xml:space="preserve">18028</t>
  </si>
  <si>
    <t xml:space="preserve">Edon OAF21-AD/AG-Набор аккумуляторный (OAF21-AG,OAF21-AD, 2 акк., зар.)</t>
  </si>
  <si>
    <t xml:space="preserve">В комплект набора входит:OAF21-AD-Шуруповерт/OAF21-AG-Машина шлифовальная угловая/OAF21-400CB-Зарадное устройство/Аккумулятор Li-ion, 21В/2,0Ач,1шт./Li-ion, 21В/3,0Ач. 1шт.</t>
  </si>
  <si>
    <t xml:space="preserve">6937888208386</t>
  </si>
  <si>
    <t xml:space="preserve">29619</t>
  </si>
  <si>
    <t xml:space="preserve">Edon набор B (AAW-20/300BL,AAG-20/125BL) Набор аккумуляторного инструмента</t>
  </si>
  <si>
    <t xml:space="preserve">В набор входит: AAW-20/300BL_AAG-20/125BL</t>
  </si>
  <si>
    <t xml:space="preserve">6937888240652</t>
  </si>
  <si>
    <t xml:space="preserve">29620</t>
  </si>
  <si>
    <t xml:space="preserve">Edon набор C (ANS-20/6BL, APS-20BL) Набор аккумуляторного инструмента</t>
  </si>
  <si>
    <t xml:space="preserve">В набор входит: ANS-20/6BL_APS-20BL</t>
  </si>
  <si>
    <t xml:space="preserve">6937888240669</t>
  </si>
  <si>
    <t xml:space="preserve">29618</t>
  </si>
  <si>
    <t xml:space="preserve">Edon набор А ( AAW-20/300BL, AAG-20/125BL, AD-21BL, URH-21A) Набор аккумуляторного инструмента</t>
  </si>
  <si>
    <t xml:space="preserve">В набор входит: AAW-20/300BL_AAG-20/125BL_AD-21BL_АRH-21Е</t>
  </si>
  <si>
    <t xml:space="preserve">6937888240645</t>
  </si>
  <si>
    <t xml:space="preserve">Сварочное оборудование</t>
  </si>
  <si>
    <t xml:space="preserve">Сварочные аппараты MMA</t>
  </si>
  <si>
    <t xml:space="preserve">27855</t>
  </si>
  <si>
    <t xml:space="preserve">CBAPTEX Super ARC-250 (MMA 20-250A., 2-4мм.)</t>
  </si>
  <si>
    <t xml:space="preserve">12кВ; 54,9А; 20-250А; 2,0-4,0мм</t>
  </si>
  <si>
    <t xml:space="preserve">СВАРТЕХ</t>
  </si>
  <si>
    <t xml:space="preserve">6937888232879</t>
  </si>
  <si>
    <t xml:space="preserve">20283</t>
  </si>
  <si>
    <t xml:space="preserve">Edon LV-200 Инверторный сварочный аппарат (20-200A., 2-4мм.)</t>
  </si>
  <si>
    <t xml:space="preserve">22,4А/4,93кВт;20-200А;2.0-3.0мм.</t>
  </si>
  <si>
    <t xml:space="preserve">6937888270628</t>
  </si>
  <si>
    <t xml:space="preserve">18565</t>
  </si>
  <si>
    <t xml:space="preserve">Edon LV-200S  Инверторный сварочный аппарат</t>
  </si>
  <si>
    <t xml:space="preserve">Напряжение сети: 220±15%В                                                                      Сила тока: 20-160
ПН MMA-60%                                                                 
Частота 50/60 Гц                                                                                             Класс защиты IP21S
класс изоляции F                                           
Диаметр электродов 1,6-4.0мм                                                                Мощность  4.9Квт</t>
  </si>
  <si>
    <t xml:space="preserve">7394</t>
  </si>
  <si>
    <t xml:space="preserve">Edon LV-220S (MMA 20-200A., 2-4мм., дисплей, VRD, выбор диаметра элетрода, регулируемый форсаж и роз</t>
  </si>
  <si>
    <t xml:space="preserve">26,2А/5,7кВт;50-220А;20.8-25.6В;2.0-4.0мм.</t>
  </si>
  <si>
    <t xml:space="preserve">6937888200014</t>
  </si>
  <si>
    <t xml:space="preserve">20284</t>
  </si>
  <si>
    <t xml:space="preserve">Edon LV-250 Инверторный сварочный аппарат .</t>
  </si>
  <si>
    <t xml:space="preserve">Напряжение сети: 220± 15%В   
Сила тока: 20-200A
ПН 40%   
Частота 50/60 Гц    
Класс защиты IP21S
класс изоляции F  
Диаметр электродов 1,6-5.0 мм  
Мощность  6.8Квт   
Масса 3,8 кг</t>
  </si>
  <si>
    <t xml:space="preserve">6937888270635</t>
  </si>
  <si>
    <t xml:space="preserve">28518</t>
  </si>
  <si>
    <t xml:space="preserve">Edon MAX MMA-250 (20-250А, два дисплея, рег-ка форсажа, рег-ка розжига дуги)</t>
  </si>
  <si>
    <t xml:space="preserve">220В/~50-60Гц; 54,9А/12,1кВт; 20А/20,8В-250А/30В; 2,0-4,0мм</t>
  </si>
  <si>
    <t xml:space="preserve">6937888238970</t>
  </si>
  <si>
    <t xml:space="preserve">20286</t>
  </si>
  <si>
    <t xml:space="preserve">Edon MMA-207 Инверторный сварочный аппарат</t>
  </si>
  <si>
    <t xml:space="preserve">Напряжение питания / частота (В/Гц.)  90-260 / 50-60 
Максим. потребляемый  ток (А) 43,0 
Выходной сварочный ток / напряжение (А/В) 250/30 
Диаппазон сварочного тока (А) 20-250 
КПД (%) 85 
Номинальный рабочий цикл (%) 60 
Напряжение без нагрузки (В) 62 
Коэффициент мощности 0.93 
Класс защиты корпуса IP21S 
Класс изоляции F 
Габаритные размеры (ДхШхВ) (мм) 450 х170 х 295 
Масса (кг) 7.0</t>
  </si>
  <si>
    <t xml:space="preserve">39725</t>
  </si>
  <si>
    <t xml:space="preserve">Edon PRO MMA-250 Сварочный аппарат</t>
  </si>
  <si>
    <t xml:space="preserve">6937888246562</t>
  </si>
  <si>
    <t xml:space="preserve">27682</t>
  </si>
  <si>
    <t xml:space="preserve">Edon Smart MMA-250 (MMA 20-250A., 2-4мм.)</t>
  </si>
  <si>
    <t xml:space="preserve">MMA 20-250A., 2-4 мм.</t>
  </si>
  <si>
    <t xml:space="preserve">6937888232855</t>
  </si>
  <si>
    <t xml:space="preserve">28516</t>
  </si>
  <si>
    <t xml:space="preserve">Edon Smart MMA-250S  (MMA 20-250A., 2-4мм., два дисплея, регулируемый форсаж и розжиг дуги)</t>
  </si>
  <si>
    <t xml:space="preserve">MMA 20-250A., 2-4 мм., два дисплея, регулируемые форсаж и быстрый розжиг дуги</t>
  </si>
  <si>
    <t xml:space="preserve">6937888238932</t>
  </si>
  <si>
    <t xml:space="preserve">17537</t>
  </si>
  <si>
    <t xml:space="preserve">Edon TB-200 Инверторный сварочный аппарат (MMA 20-200A., 2-4мм.)</t>
  </si>
  <si>
    <t xml:space="preserve">32,2А/7кВт; 20А/20,8В-200А/28В; 2,0-4,0мм</t>
  </si>
  <si>
    <t xml:space="preserve">6937888236426</t>
  </si>
  <si>
    <t xml:space="preserve">7402</t>
  </si>
  <si>
    <t xml:space="preserve">Edon TB-250 (MMA 20-250A., 2-4мм.)</t>
  </si>
  <si>
    <t xml:space="preserve">43А/9,5кВт; 20А/20,8В-250А/30В; 2,0-4,0мм</t>
  </si>
  <si>
    <t xml:space="preserve">6937888269981</t>
  </si>
  <si>
    <t xml:space="preserve">28517</t>
  </si>
  <si>
    <t xml:space="preserve">Edon Ultia MMA-250 (MMA 20-250A., 2-4мм., два дисплея, регулируемый форсаж и розжиг дуги)</t>
  </si>
  <si>
    <t xml:space="preserve">6937888238956</t>
  </si>
  <si>
    <t xml:space="preserve">9373</t>
  </si>
  <si>
    <t xml:space="preserve">Edon САИ-300 Инверторный сварочный аппарат </t>
  </si>
  <si>
    <t xml:space="preserve">Напряжение сети питания, В 220±15%
Частота тока, Гц 50-60
Максимальная потребляемая мощность, (кВа) 12,1
Максимальный потребляемый ток (А) 55,2
Напряжение сварочной дуги (В) 28
Диапазон сварочного тока (А) 20-140
Напряжение холостого хода (В) 60
КПД (%) 85
Номинальная длительность цикла (%) 60 (40̊С)
Коэффициент электрической мощности 0,73
Степень защиты корпуса IP21S
Класс изоляции F
Габаритные размеры, мм 430*165*257
Масса, кг 7,5
Установленный срок службы, лет 3
Провод заземления (м) 1,5
Зажим заземления (А) 300
Сварочный кабель (м) 1,5
Сварочный держатель (А) 300</t>
  </si>
  <si>
    <t xml:space="preserve">6937888270611</t>
  </si>
  <si>
    <t xml:space="preserve">18011</t>
  </si>
  <si>
    <t xml:space="preserve">LINK LION MMA-200 pG IGBT (MMA 20-200A., 2-4мм., дисплей, рег-ка форсажа дуги)</t>
  </si>
  <si>
    <t xml:space="preserve">6937888208072</t>
  </si>
  <si>
    <t xml:space="preserve">18012</t>
  </si>
  <si>
    <t xml:space="preserve">LINK LION MMA-220 pG IGBT (MMA 20-220A., 2-4мм., дисплей, рег-ка форсажа дуги)</t>
  </si>
  <si>
    <t xml:space="preserve">6937888208089</t>
  </si>
  <si>
    <t xml:space="preserve">18013</t>
  </si>
  <si>
    <t xml:space="preserve">LINK LION MMA-250 tG IGBT (MMA 20-250A., 2-4мм., дисплей, рег-ка форсажа дуги)</t>
  </si>
  <si>
    <t xml:space="preserve">6937888208096</t>
  </si>
  <si>
    <t xml:space="preserve">21438</t>
  </si>
  <si>
    <t xml:space="preserve">MICUL LV-200 Сварочный аппарат</t>
  </si>
  <si>
    <t xml:space="preserve">MICUL</t>
  </si>
  <si>
    <t xml:space="preserve">21440</t>
  </si>
  <si>
    <t xml:space="preserve">MICUL LV-300 Сварочный аппарат</t>
  </si>
  <si>
    <t xml:space="preserve">7374</t>
  </si>
  <si>
    <t xml:space="preserve">REDBO INTEC 164S Сварочный аппарат в кейсе (Сварочный ток 20 - 160 А)</t>
  </si>
  <si>
    <t xml:space="preserve">6937888201202</t>
  </si>
  <si>
    <t xml:space="preserve">9371</t>
  </si>
  <si>
    <t xml:space="preserve">REDBO MMA-200 (ММА/ARC) (MMA 20-200A., 2-4мм., дисплей, рег-ка форсажа дуги)</t>
  </si>
  <si>
    <t xml:space="preserve">ММА 20-200А;2-4мм;Форсаж дуги;Горячий старт;Антизалипание;дисплей</t>
  </si>
  <si>
    <t xml:space="preserve">6937888270642</t>
  </si>
  <si>
    <t xml:space="preserve">9279</t>
  </si>
  <si>
    <t xml:space="preserve">REDBO MMA-250 (ММА/ARC) (MMA 20-250A., 2-4мм., дисплей, рег-ка форсажа дуги)</t>
  </si>
  <si>
    <t xml:space="preserve">ММА 20-250А;2-5мм;Форсаж дуги;Горячий старт;Антизалипание;дисплей</t>
  </si>
  <si>
    <t xml:space="preserve">6937888270659</t>
  </si>
  <si>
    <t xml:space="preserve">7376</t>
  </si>
  <si>
    <t xml:space="preserve">REDBO Pro Arc 160S (MMA, Lift TIG, 20-160A., 2-4мм., дисплей, рег-ка форсажа дуги)</t>
  </si>
  <si>
    <t xml:space="preserve">ММА 20-160А;2.0-4мм;Форсаж дуги;Горячий старт;Антизалипание;дисплей;VRD</t>
  </si>
  <si>
    <t xml:space="preserve">REDBO PRO</t>
  </si>
  <si>
    <t xml:space="preserve">6937888225734</t>
  </si>
  <si>
    <t xml:space="preserve">7430</t>
  </si>
  <si>
    <t xml:space="preserve">REDBO Pro Arc 350 (MMA, Lift TIG, 20-350A., 2-6мм., дисплей, рег-ка форсажа и розжига дуги, VRD, воз</t>
  </si>
  <si>
    <t xml:space="preserve">380В/~50Гц;ММА 20-350А;2.0-6мм;Форсаж дуги;Горячий старт;Антизалипание;дисплей;VRD;разъем REM</t>
  </si>
  <si>
    <t xml:space="preserve">6937888225796</t>
  </si>
  <si>
    <t xml:space="preserve">7428</t>
  </si>
  <si>
    <t xml:space="preserve">REDBO Pro Arc 400  (380В., MMA, Lift TIG, 20-350A., 2-6мм., дисплей, рег-ка форсажа и розжига дуги, </t>
  </si>
  <si>
    <t xml:space="preserve">380В/~50Гц;ММА 20-400А;2.0-6мм;Форсаж дуги;Горячий старт;Антизалипание;дисплей;VRD;разъем REM</t>
  </si>
  <si>
    <t xml:space="preserve">6937888225802</t>
  </si>
  <si>
    <t xml:space="preserve">7429</t>
  </si>
  <si>
    <t xml:space="preserve">REDBO Pro Arc 500 (380В., MMA, Lift TIG, 20-350A., 2-6мм., дисплей, рег-ка форсажа и розжига дуги, V</t>
  </si>
  <si>
    <t xml:space="preserve">380В/~50Гц;ММА 20-500А;2.0-6мм;Форсаж дуги;Горячий старт;Антизалипание;дисплей;VRD;разъем REM</t>
  </si>
  <si>
    <t xml:space="preserve">6937888225819</t>
  </si>
  <si>
    <t xml:space="preserve">7384</t>
  </si>
  <si>
    <t xml:space="preserve">REDBO SuperARC-200T (180-415В., MMA, 20-200A., 2-4мм., дисплей, рег-ка форсажа дуги)</t>
  </si>
  <si>
    <t xml:space="preserve">Сила тока: 20 - 200 А 
Напряжение сети: 220/380±15%В
ПН 60% -200А
Частота 50/60 Гц
Класс защиты IP21S
Класс изоляции F
Диаметр электродов 1,6-5,0мм
Мощность 4,8/6.6 Квт
Масса 6,4кг
Размеры 495*210*395
Гарантия 36мес.</t>
  </si>
  <si>
    <t xml:space="preserve">6937888203305</t>
  </si>
  <si>
    <t xml:space="preserve">7409</t>
  </si>
  <si>
    <t xml:space="preserve">REDBO SuperARC-250T (220/380В) Сварочный аппарат MMA</t>
  </si>
  <si>
    <t xml:space="preserve">Сила тока: 20 - 250 А
Напряжение сети: 220/380±15%В
ПН 60% -200А, 
Частота 50/60 Гц, 
Класс защиты IP21S
Класс изоляции F, 
Диаметр электродов 1,6-5,0мм
Мощность 4,8/6.6 Квт
Масса 6,4кг
Размеры 495*210*395
Гарантия 36мес.</t>
  </si>
  <si>
    <t xml:space="preserve">6937888201158</t>
  </si>
  <si>
    <t xml:space="preserve">Сварочные аппараты MIG</t>
  </si>
  <si>
    <t xml:space="preserve">24561</t>
  </si>
  <si>
    <t xml:space="preserve">Edon  Smart MIG-210S Сварочный полуавтомат инверторный </t>
  </si>
  <si>
    <t xml:space="preserve">MIG (Co2, MIX, FCAW) 50-210A 0.8-1 мм., MMA 20-210A., 2-4 мм., Lift TIG, 2T/4T, Регулировка индуктивности, Кнопка подачи проволоки</t>
  </si>
  <si>
    <t xml:space="preserve">6937888231964</t>
  </si>
  <si>
    <t xml:space="preserve">30298</t>
  </si>
  <si>
    <t xml:space="preserve">Edon Digital MIG-170S Сварочный инверторный полуавтомат </t>
  </si>
  <si>
    <t xml:space="preserve">Сварка FCAW без защитного газа порошковой проволокой 0.8-1.0мм, ручная дуговая сварка ММА электродами 2-4 мм. Ток: FCAW- 28А, MMA-33.4А, Диапазон тока: FCAW: 50-170А, MMA 20-170A, мощность: FCAW- 6.2 кВт, MMA - 7.3кВт, Lift TIG, катушка с проволокой, дисплей, наконечники 4шт.)</t>
  </si>
  <si>
    <t xml:space="preserve">6937888240478</t>
  </si>
  <si>
    <t xml:space="preserve">30299</t>
  </si>
  <si>
    <t xml:space="preserve">Edon Digital MIG-175S (MIG (FCAW) 50-175A 0.8-1 мм., MMA 20-175A., 2-4 мм.,Lift TIG, катушка с прово</t>
  </si>
  <si>
    <t xml:space="preserve">6937888240515</t>
  </si>
  <si>
    <t xml:space="preserve">30300</t>
  </si>
  <si>
    <t xml:space="preserve">Edon Digital MIG-200S ( MIG (Co2, MIX, FCAW) 50-200A 0.8-1 мм., MMA 20-200A., 2-4 мм., Lift TIG, 2T/</t>
  </si>
  <si>
    <t xml:space="preserve">6937888240522</t>
  </si>
  <si>
    <t xml:space="preserve">30301</t>
  </si>
  <si>
    <t xml:space="preserve">Edon Digital MIG-220S ( MIG (Co2, MIX, FCAW) 50-220A 0.8-1 мм., MMA 20-220A., 2-4 мм., Lift TIG, 2T/</t>
  </si>
  <si>
    <t xml:space="preserve">220±10%/~50,MIG: 35.2,MMA: 41А,MIG: 50-220,MMA: 20-220,мах.ток210А,FCAW: 0.8-1.0,MIG/MAG: 0.8</t>
  </si>
  <si>
    <t xml:space="preserve">6937888240591</t>
  </si>
  <si>
    <t xml:space="preserve">30302</t>
  </si>
  <si>
    <t xml:space="preserve">Edon Digital MIG-250S ( MIG (Co2, MIX, FCAW) 50-250A 0.8-1 мм., MMA 20-250A., 2-4 мм., Lift TIG, 2T/</t>
  </si>
  <si>
    <t xml:space="preserve">6937888240584</t>
  </si>
  <si>
    <t xml:space="preserve">28521</t>
  </si>
  <si>
    <t xml:space="preserve">Edon MAX MIG-180 (MIG (FCAW) 50-180A 0.8-1 мм., MMA 20-180A., 2-4 мм.,Lift TIG, катушка с проволокой</t>
  </si>
  <si>
    <t xml:space="preserve">220В/~50-60Гц;MIG:30,3А/6,6кВт_ММА:35,8А/7,8кВт;MIG:50А/16,5В-180А/23В;ММА:20А/20,8В-180А/27,2В; 2,0-4,0мм; 0,8-1,0мм</t>
  </si>
  <si>
    <t xml:space="preserve">6937888238987</t>
  </si>
  <si>
    <t xml:space="preserve">28571</t>
  </si>
  <si>
    <t xml:space="preserve">Edon MAX MIG-250 ( MIG (Co2, MIX, FCAW) 50-250A 0.8-1 мм., MMA 20-250A., 2-4 мм., Lift TIG, 2T/4T, S</t>
  </si>
  <si>
    <t xml:space="preserve">220В/~50-60Гц; MIG:48,5А/10,6кВт_ММА:55А/12кВт; MIG:50А/16,5В-250А/26,5В; ММА:20А/20,8В-250А/30В; 2,0-4,0мм; 0,8-1,0мм</t>
  </si>
  <si>
    <t xml:space="preserve">6937888239199</t>
  </si>
  <si>
    <t xml:space="preserve">22293</t>
  </si>
  <si>
    <t xml:space="preserve">Edon PROtech-175-5IQM Сварочный аппарат</t>
  </si>
  <si>
    <t xml:space="preserve">6937888220043</t>
  </si>
  <si>
    <t xml:space="preserve">22458</t>
  </si>
  <si>
    <t xml:space="preserve">Edon PROtech-175GM (1 кг., MIG (Co2, MIX), MIG (FCAW) 50-175A 0.8-1 мм., MMA 20-175A., 2-4 мм., доп.</t>
  </si>
  <si>
    <t xml:space="preserve">6937888220074</t>
  </si>
  <si>
    <t xml:space="preserve">22290</t>
  </si>
  <si>
    <t xml:space="preserve">Edon PROtech-175IQM (MIG (FCAW) 50-175A 0.8-1 мм., MMA 20-175A., 2-4 мм.,Lift TIG, катушка с проволо</t>
  </si>
  <si>
    <t xml:space="preserve">6937888220050</t>
  </si>
  <si>
    <t xml:space="preserve">20299</t>
  </si>
  <si>
    <t xml:space="preserve">Edon PROtech-180 (MIG (FCAW) 50-180A 0.8-1 мм., MMA 20-180A., 2-4 мм.,Lift TIG, катушка с проволокой</t>
  </si>
  <si>
    <t xml:space="preserve">Напряжение питания / частота (В/Гц.)      220 ± 10%  /50-60             Максим. потребляемый  ток (А) 35,8                                               Диапазон Выходного тока TIG 10-200/ MMA 10-180                   Напряжение холостого хода 70В,                                            Номинальный рабочий цикл (%) 60,0                                                     КПД 85%                                                                                              
Класс защиты корпуса IP21                                                                  
Класс изоляции В</t>
  </si>
  <si>
    <t xml:space="preserve">6937888214745</t>
  </si>
  <si>
    <t xml:space="preserve">20302</t>
  </si>
  <si>
    <t xml:space="preserve">Edon PROtech-185 (MIG (FCAW) 50-180A 0.8-1 мм., MMA 20-180A., 2-4 мм.,Lift TIG, катушка с проволокой</t>
  </si>
  <si>
    <t xml:space="preserve">220В/~50-60Гц; MIG:31,5А/7,0кВт_ММА:37,1А/8,1кВт; MIG:30А/15,5В-185А/23,2В; ММА:20А/20,8В-185А/27,4В; 2,0-4,0мм; 0,8-1,0мм</t>
  </si>
  <si>
    <t xml:space="preserve">6937888214813</t>
  </si>
  <si>
    <t xml:space="preserve">20303</t>
  </si>
  <si>
    <t xml:space="preserve">Edon PROtech-190 (MIG (Co2, MIX), MIG (FCAW) 50-190A 0.8-1 мм., MMA 20-190A., 2-4 мм., катушка с про</t>
  </si>
  <si>
    <t xml:space="preserve">MIG (Co2, MIX, FCAW), 50-190A 0.8-1 мм., MMA 20-190A., 2-4 мм.</t>
  </si>
  <si>
    <t xml:space="preserve">6937888214820</t>
  </si>
  <si>
    <t xml:space="preserve">99998</t>
  </si>
  <si>
    <t xml:space="preserve">Edon PROtech-195 (MIG (Co2, MIX), MIG (FCAW) 50-195A 0.8-1 мм., MMA 20-195A., 2-4 мм.,большой диспле</t>
  </si>
  <si>
    <t xml:space="preserve">6937888214912</t>
  </si>
  <si>
    <t xml:space="preserve">28349</t>
  </si>
  <si>
    <t xml:space="preserve">Edon PULSE MIG-175C (MIG (FCAW) 50-175A 0.8-1 мм., MMA 20-175A., 2-4 мм., катушка с проволокой, дисп</t>
  </si>
  <si>
    <t xml:space="preserve">220В/~50-60Гц; MIG:29,2А/6,4кВт_ММА:34,6А/7,6кВт; MIG:50А/16,5В-175А/22,8В; ММА:20А/20,8В-175А/27В; 2,0-4,0мм; 0,8-1,0мм</t>
  </si>
  <si>
    <t xml:space="preserve">6937888236815</t>
  </si>
  <si>
    <t xml:space="preserve">28350</t>
  </si>
  <si>
    <t xml:space="preserve">Edon PULSE MIG-200C (MIG (Co2, MIX), MIG (FCAW) 50-200A 0.8-1 мм., MMA 20-200A., 2-4 мм. 2T/4T, рег-</t>
  </si>
  <si>
    <t xml:space="preserve">220В/~50-60Гц; MIG:35,2А/7,7кВт_ММА:41А/9кВт; MIG:50А/16,5В-200А/24В; ММА:20А/20,8В-200А/28В; 2,0-4,0мм; 0,8-1,0мм</t>
  </si>
  <si>
    <t xml:space="preserve">6937888236822</t>
  </si>
  <si>
    <t xml:space="preserve">40591</t>
  </si>
  <si>
    <t xml:space="preserve">Edon Smart MIG-170 Сварочный аппарат (MIG (FCAW) 50-170A 0.8-1 мм., MMA 20-170A., 2-4 мм.Lift TIG)</t>
  </si>
  <si>
    <t xml:space="preserve">MIG (FCAW) 50-170A 0.8-1 мм., MMA 20-170A., 2-4 мм.Lift TIG</t>
  </si>
  <si>
    <t xml:space="preserve">6937888250385</t>
  </si>
  <si>
    <t xml:space="preserve">25899</t>
  </si>
  <si>
    <t xml:space="preserve">Edon Smart MIG-170S Сварочный полуавтомат инверторный</t>
  </si>
  <si>
    <t xml:space="preserve">6937888232824</t>
  </si>
  <si>
    <t xml:space="preserve">16240</t>
  </si>
  <si>
    <t xml:space="preserve">Edon Smart MIG-180 (MIG (Co2, MIX), MIG (FCAW) 50-180A 0.8-1 мм., MMA 20-180A., 2-4 мм., катушка с п</t>
  </si>
  <si>
    <t xml:space="preserve">MIG (Co2, MIX), MIG (FCAW) 50-180A 0.8-1 мм., MMA 20-180A., 2-4 мм.</t>
  </si>
  <si>
    <t xml:space="preserve">6937888204319</t>
  </si>
  <si>
    <t xml:space="preserve">25073</t>
  </si>
  <si>
    <t xml:space="preserve">Edon Smart MIG-180/5C (MIG (Co2, MIX), (MIG (FCAW) 50-180A 0.8-1 мм., MMA 20-180A., 2-4 мм., Lift TI</t>
  </si>
  <si>
    <t xml:space="preserve">MIG (Co2, MIX), MIG (FCAW) 50-180A 0.8-1 мм., MMA 20-180A., 2-4 мм.Lift TIG</t>
  </si>
  <si>
    <t xml:space="preserve">6937888232831</t>
  </si>
  <si>
    <t xml:space="preserve">18308</t>
  </si>
  <si>
    <t xml:space="preserve">Edon Smart MIG-180S (MIG (Co2, MIX), MIG (FCAW) 50-180A 0.8-1 мм., MMA 20-180A., 2-4 мм.,Lift TIG, к</t>
  </si>
  <si>
    <t xml:space="preserve">MIG (Co2, MIX), MIG (FCAW) 50-180A 0.8-1 мм., MMA 20-180A., 2-4 мм.,Lift TIG</t>
  </si>
  <si>
    <t xml:space="preserve">6937888209130</t>
  </si>
  <si>
    <t xml:space="preserve">28519</t>
  </si>
  <si>
    <t xml:space="preserve">Edon Smart MIG-185S (MIG (FCAW) 50-185A 0.8-1 мм., MMA 20-185A., 2-4 мм., Lift TIG два дисплея, 4 шт</t>
  </si>
  <si>
    <t xml:space="preserve">MIG (FCAW) 50-185A 0.8-1 мм., MMA 20-185A., 2-4 мм.Lift TIG</t>
  </si>
  <si>
    <t xml:space="preserve">6937888238949</t>
  </si>
  <si>
    <t xml:space="preserve">39983</t>
  </si>
  <si>
    <t xml:space="preserve">EDON Smart MIG-190 PLUS Сварочный полуавтомат инверторный</t>
  </si>
  <si>
    <t xml:space="preserve">MIG-MAG/FCAW элект проволока 0,8-1,0 мм, ММА электроды 2-4 мм, функция LIFT TIG, 220В/~50-60Гц; мощность MIG:7,2кВт, ММА:8,4кВт, ток MIG 32,7А, MMA 38,4А;  диап тока А/В (MIG) : 50/16,5-190/23,5, диап тока А/В ММА: 20/20,8-190/27,6, быстрый старт, форсаж дуги\, антизалипание, термозащита, Комплет: кабель с зажимом, кабель с электрододержателем, свар горелка, проволока порошк. 1 мм, шланг, щетка-молоток</t>
  </si>
  <si>
    <t xml:space="preserve">6937888247170</t>
  </si>
  <si>
    <t xml:space="preserve">19428</t>
  </si>
  <si>
    <t xml:space="preserve">Edon Smart MIG-190S (MIG (Co2, MIX), MIG (FCAW) 50-190A 0.8-1 мм., MMA 20-190A., 2-4 мм., Lift TIG, </t>
  </si>
  <si>
    <t xml:space="preserve">MIG (Co2, MIX), MIG (FCAW) 50-190A 0.8-1 мм., MMA 20-190A., 2-4 мм.Lift TIG</t>
  </si>
  <si>
    <t xml:space="preserve">6937888238109</t>
  </si>
  <si>
    <t xml:space="preserve">20520</t>
  </si>
  <si>
    <t xml:space="preserve">Edon Smart MIG-200plus (MIG (Co2, MIX), MIG (FCAW) 50-200A 0.8-1 мм., MMA 20-200A., 2-4 мм. 2T/4T, р</t>
  </si>
  <si>
    <t xml:space="preserve">MIG 50-200A 0.8-1 мм., MMA 20-200A., 2-4 мм. 2T/4T, Регулировка индуктивности, Кнопки подачи проволоки и газа</t>
  </si>
  <si>
    <t xml:space="preserve">6937888216749</t>
  </si>
  <si>
    <t xml:space="preserve">19430</t>
  </si>
  <si>
    <t xml:space="preserve">Edon Smart MIG-205 Сварочный аппарат</t>
  </si>
  <si>
    <t xml:space="preserve">Тип корпуса Моноблок с закрытым подающим механизмом      
Масса и диаметр катушки кг/мм 0,8-5,0/200                                 Входное напряжение (В) AC220V±10%                               Максимальный потребляемый ток (А) MIG:35,1 MMA:41             Диапазон выходного тока (А) MIG:50-200 MMA:20-200 
Напряжение холостого хода (В) 57                                                       Рабочий цикл (40° С) 60                                                                             КПД (%) 85                                                                                            Коэффициент мощности 0.73                                                                    Класс защиты IP21S                                                                                    Класс изоляции F                                                                                       Класс электромагнитной совместимости А</t>
  </si>
  <si>
    <t xml:space="preserve">6937888211973</t>
  </si>
  <si>
    <t xml:space="preserve">15083</t>
  </si>
  <si>
    <t xml:space="preserve">Edon Smart MIG-210 Сварочный аппарат .</t>
  </si>
  <si>
    <t xml:space="preserve">6937888224515</t>
  </si>
  <si>
    <t xml:space="preserve">24677</t>
  </si>
  <si>
    <t xml:space="preserve">Edon Smart MIG-230S  Сварочный полуавтомат инверторный </t>
  </si>
  <si>
    <t xml:space="preserve">MIG (Co2, MIX, FCAW) 50-230A 0.8-1 мм., MMA 20-230A., 2-4 мм., Lift TIG, 2T/4T, Регулировка индуктивности, Кнопка подачи проволоки</t>
  </si>
  <si>
    <t xml:space="preserve">6937888232022</t>
  </si>
  <si>
    <t xml:space="preserve">24768</t>
  </si>
  <si>
    <t xml:space="preserve">EDON Smart MIG-250S Сварочный аппарат</t>
  </si>
  <si>
    <t xml:space="preserve">MIG (Co2, MIX, FCAW) 50-250A 0.8-1 мм., MMA 20-250A., 2-4 мм., Lift TIG, 2T/4T, Регулировка индуктивности, Кнопка подачи проволоки</t>
  </si>
  <si>
    <t xml:space="preserve">6937888232114</t>
  </si>
  <si>
    <t xml:space="preserve">24931</t>
  </si>
  <si>
    <t xml:space="preserve">Edon SmartMIG-180PLUS (MIG (FCAW) 50-180A 0.8-1 мм., MMA 20-180A., 2-4 мм.,Lift TIG, большой дисплей</t>
  </si>
  <si>
    <t xml:space="preserve">MIG (FCAW) 50-180A 0.8-1 мм., MMA 20-180A., 2-4 мм.Lift TIG</t>
  </si>
  <si>
    <t xml:space="preserve">6937888232794</t>
  </si>
  <si>
    <t xml:space="preserve">28058</t>
  </si>
  <si>
    <t xml:space="preserve">Edon Super MIG-180 (MIG (FCAW) 50-180A 0.8-1 мм., MMA 20-180A., 2-4 мм., дисплей, 5 шт.наконечников,</t>
  </si>
  <si>
    <t xml:space="preserve">220В/~50-60Гц; MIG:30,3А/6,6кВт_ММА:35,8А/7,9кВт; MIG:50А/16,5В-180А/23В; ММА:20А/20,8В-180А/27,2В; 2,0-4,0мм; 0,8-1,0мм</t>
  </si>
  <si>
    <t xml:space="preserve">6937888237980</t>
  </si>
  <si>
    <t xml:space="preserve">28059</t>
  </si>
  <si>
    <t xml:space="preserve">Edon Super MIG-180S (MIG (FCAW) 50-180A 0.8-1 мм., MMA 20-180A., 2-4 мм., большой дисплей, 5 шт.нако</t>
  </si>
  <si>
    <t xml:space="preserve">6937888237997</t>
  </si>
  <si>
    <t xml:space="preserve">28060</t>
  </si>
  <si>
    <t xml:space="preserve">Edon SuperMIG-205 (MIG (Co2, MIX), MIG (FCAW) 50-205A 0.8-1 мм., MMA 20-205A., 2-4 мм. 2T/4T, рег-ка</t>
  </si>
  <si>
    <t xml:space="preserve">220В/~50-60Гц; MIG:36,4А/8,0кВт_ММА:42,3А/9,3кВт; MIG:50А/16,5В-205А/24,2В; ММА:20А/20,8В-205А/28,2В; 2,0-4,0мм; 0,8-1,0мм</t>
  </si>
  <si>
    <t xml:space="preserve">6937888238000</t>
  </si>
  <si>
    <t xml:space="preserve">28061</t>
  </si>
  <si>
    <t xml:space="preserve">Edon SuperMIG-255 (MIG (Co2, MIX), MIG (FCAW) 50-255A 0.8-1 мм., MMA 20-255A., 2-4 мм. 2T/4T, рег-ка</t>
  </si>
  <si>
    <t xml:space="preserve">220В/~50-60Гц; MIG:50А/11,0кВт_ММА:56,4А/12,4кВт; MIG:50А/16,5В-255А/26,8В; ММА:20А/20,8В-255А/30,2В; 2,0-4,0мм; 0,8-1,0мм</t>
  </si>
  <si>
    <t xml:space="preserve">6937888238017</t>
  </si>
  <si>
    <t xml:space="preserve">28520</t>
  </si>
  <si>
    <t xml:space="preserve">Edon Ultia MIG-180 (MIG (FCAW) 50-180A 0.8-1 мм., MMA 20-180A., 2-4 мм.,два дисплея, 5 шт.наконечник</t>
  </si>
  <si>
    <t xml:space="preserve">220В/~50-60Гц; MIG:30,3А/6,6кВт_ММА:35,8А/7,8кВт; MIG:50А/16,5В-180А/23В; ММА:20А/20,8В-180А/27,2В; 2,0-4,0мм; 0,8-1,0мм</t>
  </si>
  <si>
    <t xml:space="preserve">6937888238963</t>
  </si>
  <si>
    <t xml:space="preserve">28569</t>
  </si>
  <si>
    <t xml:space="preserve">Edon Ultia MIG-180PLUS (MIG (FCAW) 50-180A 0.8-1 мм., MMA 20-180A., 2-4 мм., большой дисплей, 5 шт.н</t>
  </si>
  <si>
    <t xml:space="preserve">220В/~50-60Гц; MIG:30,3А/6,7кВт_ММА:35,9А/7,9кВт; MIG:50А/16,5В-180А/23В; ММА:20А/20,8В-180А/27,2В; 2,0-4,0мм; 0,8-1,0мм</t>
  </si>
  <si>
    <t xml:space="preserve">6937888239175</t>
  </si>
  <si>
    <t xml:space="preserve">28570</t>
  </si>
  <si>
    <t xml:space="preserve">Edon Ultia MIG-250 (MIG (Co2, MIX), MIG (FCAW) 50-250A 0.8-1 мм., MMA 20-250A., 2-4 мм. 2T/4T, рег-к</t>
  </si>
  <si>
    <t xml:space="preserve">6937888239182</t>
  </si>
  <si>
    <t xml:space="preserve">24954</t>
  </si>
  <si>
    <t xml:space="preserve">Edon Профи MIG-250 Сварочный аппарат инверторный</t>
  </si>
  <si>
    <t xml:space="preserve">MIG:48,5А/10,6кВт_ММА:54,9А/12,1кВт;MIG:20А/15В-250А/26,55В;ММА:20А/20,8В-250А/30В; 2,0-4,0мм; 0,8-1,0мм</t>
  </si>
  <si>
    <t xml:space="preserve">6937888233128</t>
  </si>
  <si>
    <t xml:space="preserve">24952</t>
  </si>
  <si>
    <t xml:space="preserve">Edon ПрофиMIG-180 (MIG (FCAW) 50-180A 0.8-1 мм., MMA 20-180A., 2-4 мм., дисплей, катушка с проволоко</t>
  </si>
  <si>
    <t xml:space="preserve">MIG (FCAW) 20-180A 0.8-1 мм., MMA 20-180A., 2-4 мм.,Lift TIG</t>
  </si>
  <si>
    <t xml:space="preserve">6937888233005</t>
  </si>
  <si>
    <t xml:space="preserve">25071</t>
  </si>
  <si>
    <t xml:space="preserve">Edon ПрофиMIG-185 (MIG (FCAW) 50-185A 0.8-1 мм., MMA 20-185A., 2-4 мм., большой дисплей, катушка с п</t>
  </si>
  <si>
    <t xml:space="preserve">MIG (FCAW) 20-185A 0.8-1 мм., MMA 20-185A., 2-5 мм.,Lift TIG</t>
  </si>
  <si>
    <t xml:space="preserve">6937888233012</t>
  </si>
  <si>
    <t xml:space="preserve">24955</t>
  </si>
  <si>
    <t xml:space="preserve">Edon ПрофиMIG-200 (MIG (Co2, MIX), MIG (FCAW) 50-200A 0.8-1 мм., MMA, 20-200A., 2-4 мм., ,большой ди</t>
  </si>
  <si>
    <t xml:space="preserve">MIG (Co2-0.8 мм., MIX-0.8 мм., FCAW-1 мм.) 15-200A 0.8-1 мм., MMA 20-200A., 2-4 мм., Lift TIG</t>
  </si>
  <si>
    <t xml:space="preserve">6937888233029</t>
  </si>
  <si>
    <t xml:space="preserve">25072</t>
  </si>
  <si>
    <t xml:space="preserve">Edon ПрофиMIG-210 (MIG (Co2, MIX, FCAW) 50-210A 0.8-1 мм., MMA 20-210A., 2-4 мм., 2T/4T,  два диспле</t>
  </si>
  <si>
    <t xml:space="preserve">MIG 15-210A 0.8-1 мм., MMA 20-210A., 2-4 мм., 2T/4T, Регулировка индуктивности, Регулировка скорости подачи проволоки, Кнопка подачи проволоки, Кнопка тестирования газа</t>
  </si>
  <si>
    <t xml:space="preserve">6937888233043</t>
  </si>
  <si>
    <t xml:space="preserve">24953</t>
  </si>
  <si>
    <t xml:space="preserve">Edon ПрофиMIG-230 (MIG (Co2, MIX), MIG (FCAW) 50-230A 0.8-1 мм., MMA 20-230A., 2-4 мм. 2T/4T, рег-ка</t>
  </si>
  <si>
    <t xml:space="preserve">MIG (Co2-0.8 мм., MIX-0.8 мм., FCAW-1 мм.) 15-230A 0.8-1 мм., MMA 20-230A., 2-4 мм., SYN, Lift TIG, 2T/4T, Регулировка индуктивности.</t>
  </si>
  <si>
    <t xml:space="preserve">6937888241666</t>
  </si>
  <si>
    <t xml:space="preserve">25077</t>
  </si>
  <si>
    <t xml:space="preserve">ETECH Super MIG-180/5 (MIG (Co2, MIX), (MIG (FCAW) 50-180A 0.8-1 мм., MMA 20-180A., 2-4 мм., Lift TI</t>
  </si>
  <si>
    <t xml:space="preserve">140~260В/~50-60Гц; MIG:50-180А_ММА:20-180А; MIG:6,6кВт; MMA:7,9кВт 2,0-4,0мм; 0,8-1,0мм</t>
  </si>
  <si>
    <t xml:space="preserve">6937888232862</t>
  </si>
  <si>
    <t xml:space="preserve">24932</t>
  </si>
  <si>
    <t xml:space="preserve">ETECH TEH 230S ( MIG (Co2, MIX, FCAW) 50-230A 0.8-1 мм., MMA 20-230A., 2-4 мм., Lift TIG, 2T/4T, SYN</t>
  </si>
  <si>
    <t xml:space="preserve">220В/~50-60Гц; MIG:37,7А_ММА:43,7А; MIG:50-230А_ММА:20-230А; MIG:9,4кВт_ММА:10,8кВт; 2,0-4,0мм; 0,8-1,0мм</t>
  </si>
  <si>
    <t xml:space="preserve">6937888232138</t>
  </si>
  <si>
    <t xml:space="preserve">22024</t>
  </si>
  <si>
    <t xml:space="preserve">ETECH TEH175 (MIG (FCAW) 50-175A 0.8-1 мм., MMA 20-175A., 2-4 мм., дисплей, катушка с проволокой)</t>
  </si>
  <si>
    <t xml:space="preserve">6937888220104</t>
  </si>
  <si>
    <t xml:space="preserve">22025</t>
  </si>
  <si>
    <t xml:space="preserve">ETECH TEH175S (MIG (FCAW) 50-175A 0.8-1 мм., MMA 20-175A., 2-4 мм., дисплей, катушка с проволокой)</t>
  </si>
  <si>
    <t xml:space="preserve">6937888220111</t>
  </si>
  <si>
    <t xml:space="preserve">21971</t>
  </si>
  <si>
    <t xml:space="preserve">ETECH TEH180 (MIG (Co2, MIX), (MIG (FCAW) 50-180A 0.8-1 мм., MMA 20-180A., 2-4 мм., 2 шт.наконечнико</t>
  </si>
  <si>
    <t xml:space="preserve">6937888221033</t>
  </si>
  <si>
    <t xml:space="preserve">21974</t>
  </si>
  <si>
    <t xml:space="preserve">ETECH TEH180S (MIG (Co2, MIX), (MIG (FCAW) 50-180A 0.8-1 мм., MMA 20-180A., 2-4 мм., Lift TIG, больш</t>
  </si>
  <si>
    <t xml:space="preserve">220В/~50-60Гц; MIG:50-180А_ММА:20-180А; 2,0-4,0мм; 0,8-1,0мм</t>
  </si>
  <si>
    <t xml:space="preserve">6937888220548</t>
  </si>
  <si>
    <t xml:space="preserve">21973</t>
  </si>
  <si>
    <t xml:space="preserve">ETECH TEH185 (MIG (Co2, MIX), MIG (FCAW) 50-185A 0.8-1 мм., MMA 20-185A., 2-4 мм., 2шт.наконечников,</t>
  </si>
  <si>
    <t xml:space="preserve">6937888221064</t>
  </si>
  <si>
    <t xml:space="preserve">21987</t>
  </si>
  <si>
    <t xml:space="preserve">ETECH TEH190S (MIG (Co2, MIX), MIG (FCAW) 50-190A 0.8-1 мм., MMA 20-190A., 2-4 мм.)</t>
  </si>
  <si>
    <t xml:space="preserve">6937888221088</t>
  </si>
  <si>
    <t xml:space="preserve">22124</t>
  </si>
  <si>
    <t xml:space="preserve">ETECH TEH210 (MIG (Co2, MIX), MIG (FCAW) 50-210A 0.8-1 мм., MMA 20-210A., 2-4 мм., два дисплея, 2шт.</t>
  </si>
  <si>
    <t xml:space="preserve">6937888221095</t>
  </si>
  <si>
    <t xml:space="preserve">22026</t>
  </si>
  <si>
    <t xml:space="preserve">ETECH TEH210S (MIG (Co2, MIX, FCAW) 50-210A 0.8-1 мм., MMA 20-210A., 2-4 мм., 2T/4T,  два дисплея, р</t>
  </si>
  <si>
    <t xml:space="preserve">6937888220098</t>
  </si>
  <si>
    <t xml:space="preserve">20816</t>
  </si>
  <si>
    <t xml:space="preserve">HANTEL Industrial MIG-190 Сварочный аппарат</t>
  </si>
  <si>
    <t xml:space="preserve">6937888217562</t>
  </si>
  <si>
    <t xml:space="preserve">22294</t>
  </si>
  <si>
    <t xml:space="preserve">HANTEL MIG-190DS Сварочный аппарат</t>
  </si>
  <si>
    <t xml:space="preserve">6937888222016</t>
  </si>
  <si>
    <t xml:space="preserve">22551</t>
  </si>
  <si>
    <t xml:space="preserve">HANTEL MIG-190G (MIG (Co2, MIX), MIG (FCAW) 50-190A 0.8-1 мм., MMA 20-190A., 2-4 мм.)</t>
  </si>
  <si>
    <t xml:space="preserve">6937888220418</t>
  </si>
  <si>
    <t xml:space="preserve">22295</t>
  </si>
  <si>
    <t xml:space="preserve">HANTEL MIG-195DS Сварочный аппарат</t>
  </si>
  <si>
    <t xml:space="preserve">19931</t>
  </si>
  <si>
    <t xml:space="preserve">HANTEL Professional MIG- 320 (MIG (Co2, MIX), MIG (FCAW) 50-320A 0.8-1 мм., MMA 20-320A., 2-4 мм. 2T</t>
  </si>
  <si>
    <t xml:space="preserve">6937888213304</t>
  </si>
  <si>
    <t xml:space="preserve">22317</t>
  </si>
  <si>
    <t xml:space="preserve">JONSER 180/5DQX (MIG (FCAW) 50-180A 0.8-1 мм., MMA 20-180A., 2-4 мм., дисплей)</t>
  </si>
  <si>
    <t xml:space="preserve">6937888220456</t>
  </si>
  <si>
    <t xml:space="preserve">22607</t>
  </si>
  <si>
    <t xml:space="preserve">JONSER 180/5MQX (MIG (Co2, MIX), (MIG (FCAW) 50-180A 0.8-1 мм., MMA 20-180A., 2-4 мм., Lift TIG, 2 ш</t>
  </si>
  <si>
    <t xml:space="preserve">6937888220470</t>
  </si>
  <si>
    <t xml:space="preserve">22554</t>
  </si>
  <si>
    <t xml:space="preserve">JONSER 180/5MXG (MIG (Co2, MIX), (MIG (FCAW) 50-180A 0.8-1 мм., MMA 20-180A., 2-4 мм., Lift TIG, 2 ш</t>
  </si>
  <si>
    <t xml:space="preserve">6937888220494</t>
  </si>
  <si>
    <t xml:space="preserve">22291</t>
  </si>
  <si>
    <t xml:space="preserve">JONSER 180DQX (MIG (FCAW) 50-180A 0.8-1 мм., MMA 20-180A., 2-4 мм., дисплей, 1шт. наконечник)</t>
  </si>
  <si>
    <t xml:space="preserve">6937888220449</t>
  </si>
  <si>
    <t xml:space="preserve">22549</t>
  </si>
  <si>
    <t xml:space="preserve">JONSER 180QXG (MIG (Co2, MIX), (MIG (FCAW) 50-180A 0.8-1 мм., MMA 20-180A., 2-4 мм.)</t>
  </si>
  <si>
    <t xml:space="preserve">6937888220487</t>
  </si>
  <si>
    <t xml:space="preserve">19261</t>
  </si>
  <si>
    <t xml:space="preserve">JONSER 190QX (MIG (FCAW) 50-180A 0.8-1 мм., MMA 20-180A., 2-4 мм., дисплей)</t>
  </si>
  <si>
    <t xml:space="preserve">6937888211423</t>
  </si>
  <si>
    <t xml:space="preserve">18992</t>
  </si>
  <si>
    <t xml:space="preserve">JONSER 200QX (MIG (Co2, MIX), (MIG (FCAW) 50-180A 0.8-1 мм., MMA 20-180A., 2-4 мм., 2шт.наконечников</t>
  </si>
  <si>
    <t xml:space="preserve">6937888211126</t>
  </si>
  <si>
    <t xml:space="preserve">18994</t>
  </si>
  <si>
    <t xml:space="preserve">JONSER 300QX (MIG (Co2, MIX), MIG (FCAW) 50-300A 0.8-1 мм., MMA 20-300A., 2-4 мм.)</t>
  </si>
  <si>
    <t xml:space="preserve">6937888211164</t>
  </si>
  <si>
    <t xml:space="preserve">22129</t>
  </si>
  <si>
    <t xml:space="preserve">JONSER GT-220 (MIG (Co2, MIX), MIG (FCAW) 50-220A 0.8-1 мм., MMA 20-220A., 2-4 мм.)</t>
  </si>
  <si>
    <t xml:space="preserve">6937888219504</t>
  </si>
  <si>
    <t xml:space="preserve">22125</t>
  </si>
  <si>
    <t xml:space="preserve">JONSER GT-250AL (MIG (Co2, MIX), MIG (FCAW) 50-250A 0.8-1 мм., MMA 20-250A., 2-4 мм.)</t>
  </si>
  <si>
    <t xml:space="preserve">6937888219955</t>
  </si>
  <si>
    <t xml:space="preserve">19632</t>
  </si>
  <si>
    <t xml:space="preserve">JONSER Professional GT-250 (MIG (Co2, MIX), MIG (FCAW) 50-250A 0.8-1 мм., MMA 20-250A., 2-4 мм., два</t>
  </si>
  <si>
    <t xml:space="preserve">6937888212352</t>
  </si>
  <si>
    <t xml:space="preserve">19633</t>
  </si>
  <si>
    <t xml:space="preserve">JONSER Professional GT-300 (MIG (Co2, MIX), MIG (FCAW) 50-300A 0.8-1 мм., MMA 20-300A., 2-4 мм., два</t>
  </si>
  <si>
    <t xml:space="preserve">6937888212369</t>
  </si>
  <si>
    <t xml:space="preserve">20505</t>
  </si>
  <si>
    <t xml:space="preserve">JONSER ULTRA MIG-500 Сварочный аппарат MIG</t>
  </si>
  <si>
    <t xml:space="preserve">23202</t>
  </si>
  <si>
    <t xml:space="preserve">KATANA LS-180 (MIG (Co2, MIX), (MIG (FCAW) 50-180A 0.8-1 мм., MMA 20-180A., 2-4 мм.)</t>
  </si>
  <si>
    <t xml:space="preserve">6937888221514</t>
  </si>
  <si>
    <t xml:space="preserve">22319</t>
  </si>
  <si>
    <t xml:space="preserve">KATANA LS-180-5 (MIG (Co2, MIX), (MIG (FCAW) 50-180A 0.8-1 мм., MMA 20-180A., 2-4 мм., Lift TIG, 2 ш</t>
  </si>
  <si>
    <t xml:space="preserve">6937888221507</t>
  </si>
  <si>
    <t xml:space="preserve">22289</t>
  </si>
  <si>
    <t xml:space="preserve">KATANA LX-180-5 (MIG (FCAW) 50-180A 0.8-1 мм., MMA 20-180A., 2-4 мм., дисплей, наконечник)</t>
  </si>
  <si>
    <t xml:space="preserve">6937888219726</t>
  </si>
  <si>
    <t xml:space="preserve">23203</t>
  </si>
  <si>
    <t xml:space="preserve">Kroff 195/5GE (MIG (FCAW) 50-195A 0.8-1 мм., MMA 20-195A., 2-4 мм.)</t>
  </si>
  <si>
    <t xml:space="preserve">KROFF</t>
  </si>
  <si>
    <t xml:space="preserve">6937888220661</t>
  </si>
  <si>
    <t xml:space="preserve">23146</t>
  </si>
  <si>
    <t xml:space="preserve">Kroff 195GE (MIG (Co2, MIX), (MIG (FCAW) 50-195A 0.8-1 мм., MMA 20-195A., 2-4 мм.)</t>
  </si>
  <si>
    <t xml:space="preserve">6937888220654</t>
  </si>
  <si>
    <t xml:space="preserve">22296</t>
  </si>
  <si>
    <t xml:space="preserve">Kroff 195MG (MIG (FCAW) 50-195A 0.8-1 мм., MMA 20-195A., 2-4 мм., дисплей)</t>
  </si>
  <si>
    <t xml:space="preserve">6937888220630</t>
  </si>
  <si>
    <t xml:space="preserve">20318</t>
  </si>
  <si>
    <t xml:space="preserve">KRONA Expert MIG-190 (MIG (FCAW) 50-190A 0.8-1 мм., MMA 20-190A., 2-4 мм., дисплей, катушка)</t>
  </si>
  <si>
    <t xml:space="preserve">6937888215322</t>
  </si>
  <si>
    <t xml:space="preserve">22608</t>
  </si>
  <si>
    <t xml:space="preserve">KRONA Expert MIG-190GE (MIG (FCAW) 50-190A 0.8-1 мм., MMA 20-190A., 2-4 мм., катушка, наконечник)</t>
  </si>
  <si>
    <t xml:space="preserve">6937888220364</t>
  </si>
  <si>
    <t xml:space="preserve">22316</t>
  </si>
  <si>
    <t xml:space="preserve">KRONA Expert MIG-195 (MIG (FCAW) 50-195A 0.8-1 мм., MMA 20-195A., 2-4 мм., дисплей)</t>
  </si>
  <si>
    <t xml:space="preserve">6937888220340</t>
  </si>
  <si>
    <t xml:space="preserve">22318</t>
  </si>
  <si>
    <t xml:space="preserve">KRONA Expert MIG-195GE (MIG (FCAW) 50-195A 0.8-1 мм., MMA 20-195A., 2-4 мм.,дисплей)</t>
  </si>
  <si>
    <t xml:space="preserve">6937888220388</t>
  </si>
  <si>
    <t xml:space="preserve">24519</t>
  </si>
  <si>
    <t xml:space="preserve">KRONA Expert MIG-210 (MIG (Co2, MIX), (MIG (FCAW) 50-210A 0.8-1 мм., MMA 20-210A., 2-4 мм.)</t>
  </si>
  <si>
    <t xml:space="preserve">6937888230974</t>
  </si>
  <si>
    <t xml:space="preserve">24520</t>
  </si>
  <si>
    <t xml:space="preserve">KRONA Expert MIG-225 (MIG (Co2, MIX), (MIG (FCAW) 50-225A 0.8-1 мм., MMA 20-225A., 2-4 мм.)</t>
  </si>
  <si>
    <t xml:space="preserve">6937888231353</t>
  </si>
  <si>
    <t xml:space="preserve">20319</t>
  </si>
  <si>
    <t xml:space="preserve">KRONA Expert MIG-230 (MIG (Co2, MIX), MIG (FCAW) 50-230A 0.8-1 мм., MMA 20-230A., 2-4 мм., Lift TIG,</t>
  </si>
  <si>
    <t xml:space="preserve">6937888215315</t>
  </si>
  <si>
    <t xml:space="preserve">20320</t>
  </si>
  <si>
    <t xml:space="preserve">KRONA Expert MIG-250 Сварочный аппарат </t>
  </si>
  <si>
    <t xml:space="preserve">6937888214967</t>
  </si>
  <si>
    <t xml:space="preserve">18017</t>
  </si>
  <si>
    <t xml:space="preserve">LINK LION INTEC MIG-175 (MIG (Co2, MIX), MIG (FCAW) 50-175A 0.8-1 мм., MMA  20-175A., 2-4 мм., катуш</t>
  </si>
  <si>
    <t xml:space="preserve">6937888208102</t>
  </si>
  <si>
    <t xml:space="preserve">19325</t>
  </si>
  <si>
    <t xml:space="preserve">LINK LION INTEC MIG-175s (MIG (Co2, MIX), MIG (FCAW) 50-175A 0.8-1 мм., MMA (LiftTIG) 20-175A., 2-4 </t>
  </si>
  <si>
    <t xml:space="preserve">6937888211898</t>
  </si>
  <si>
    <t xml:space="preserve">18018</t>
  </si>
  <si>
    <t xml:space="preserve">LINK LION INTEC MIG-205 (MIG (Co2, MIX), MIG (FCAW) 50-205A 0.8-1 мм., MMA (LiftTIG) 20-205A., 2-4 м</t>
  </si>
  <si>
    <t xml:space="preserve">6937888208119</t>
  </si>
  <si>
    <t xml:space="preserve">19245</t>
  </si>
  <si>
    <t xml:space="preserve">LINK LION INTEC MIG-205s (MIG (Co2, MIX), MIG (FCAW) 50-205A 0.8-1 мм., MMA (LiftTIG) 20-205A., 2-4 </t>
  </si>
  <si>
    <t xml:space="preserve">6937888211317</t>
  </si>
  <si>
    <t xml:space="preserve">19634</t>
  </si>
  <si>
    <t xml:space="preserve">LINK LION MIG-180 (MIG (Co2, MIX), MIG (FCAW) 50-180A 0.8-1 мм., MMA 20-180A., 2-4 мм., рег-ка индук</t>
  </si>
  <si>
    <t xml:space="preserve">Напряжение(В)- АС 220В±15% 50-60 Гц, 45-160 А 
Максимальная потребляемая мощность - кВт. 3.0
Сила тока (А)-13.8  
Диапазон выходного напряжения (В)- 16-26 
Диапазон сварочного тока (А) -45-160  
Напряжение холостого хода (В)-56    
Период нагрузки при токе 140А-60%   
Период нагрузки при токе 120А-100%     
Класс защиты-IP21S 
Класс изоляции-F  
Размер коробки: 470*275*345</t>
  </si>
  <si>
    <t xml:space="preserve">6937888212543</t>
  </si>
  <si>
    <t xml:space="preserve">19529</t>
  </si>
  <si>
    <t xml:space="preserve">LINK LION MIG-180Y (MIG (Co2, MIX), MIG (FCAW) 50-180A 0.8-1 мм., MMA 20-180A., 2-4 мм., 2T/4T, рег-</t>
  </si>
  <si>
    <t xml:space="preserve">6937888253935</t>
  </si>
  <si>
    <t xml:space="preserve">18948</t>
  </si>
  <si>
    <t xml:space="preserve">LINK LION MIG-190 Сварочный аппарат .</t>
  </si>
  <si>
    <t xml:space="preserve">19635</t>
  </si>
  <si>
    <t xml:space="preserve">LINK LION MIG-200 (MIG (Co2, MIX), MIG (FCAW) 50-200A 0.8-1 мм., MMA 20-200A., 2-4 мм., рег-ка индук</t>
  </si>
  <si>
    <t xml:space="preserve">6937888212550</t>
  </si>
  <si>
    <t xml:space="preserve">19530</t>
  </si>
  <si>
    <t xml:space="preserve">LINK LION MIG-200Y (MIG (Co2, MIX), MIG (FCAW) 50-180A 0.8-1 мм., MMA 20-180A., 2-4 мм., 2T/4T, рег-</t>
  </si>
  <si>
    <t xml:space="preserve">6937888212574</t>
  </si>
  <si>
    <t xml:space="preserve">19924</t>
  </si>
  <si>
    <t xml:space="preserve">LINK LION MIG-210 Сварочный аппарат</t>
  </si>
  <si>
    <t xml:space="preserve">7483</t>
  </si>
  <si>
    <t xml:space="preserve">REDBO Expert Mig-175 (MIG (Co2, MIX), MIG (FCAW) 50-175A 0.8-1 мм., MMA (LiftTIG) 20-175A., 2-4 мм.,</t>
  </si>
  <si>
    <t xml:space="preserve">MIG 45-175А;0,6-0,8мм;ММА 175А;2-4мм.Форсаж дуги;Горячий старт;Антизалипание</t>
  </si>
  <si>
    <t xml:space="preserve">6937888200076</t>
  </si>
  <si>
    <t xml:space="preserve">19780</t>
  </si>
  <si>
    <t xml:space="preserve">REDBO Expert Mig-175s MIG (Co2, MIX), MIG (FCAW) 50-175A 0.8-1 мм., MMA 20-175A., 2-4 мм., рег-ка по</t>
  </si>
  <si>
    <t xml:space="preserve">MIG 50-175А;0,8-1мм;ММА 20-175А;2-4мм.Форсаж дуги;Горячий старт;Антизалипание;два дисплея</t>
  </si>
  <si>
    <t xml:space="preserve">6937888213151</t>
  </si>
  <si>
    <t xml:space="preserve">7488</t>
  </si>
  <si>
    <t xml:space="preserve">REDBO Expert Mig-205 MIG (Co2, MIX), MIG (FCAW) 50-205A 0.8-1 мм., MMA 20-205A., 2-4 мм., рег-ка под</t>
  </si>
  <si>
    <t xml:space="preserve">MIG 45-205А;0,6-0,8мм;ММА 205А;2-4мм.Форсаж дуги;Горячий старт;Антизалипание</t>
  </si>
  <si>
    <t xml:space="preserve">6937888200083</t>
  </si>
  <si>
    <t xml:space="preserve">25738</t>
  </si>
  <si>
    <t xml:space="preserve">REDBO Expert MIG-205S MIG (Co2, MIX), MIG (FCAW) 50-205A 0.8-1 мм., MMA 20-205A., 2-4 мм., рег-ка/кн</t>
  </si>
  <si>
    <t xml:space="preserve">MIG 50-205А;0,8-1мм;ММА 20-205А;2-4мм.Форсаж дуги;Горячий старт;Антизалипание;два дисплея</t>
  </si>
  <si>
    <t xml:space="preserve">6937888213168</t>
  </si>
  <si>
    <t xml:space="preserve">7461</t>
  </si>
  <si>
    <t xml:space="preserve">REDBO Expert/Intec Mig-2500S (380В., MIG (Co2, MIX), MIG (FCAW) 50-250A 0.8-1 мм., MMA 20-250A., 2-4</t>
  </si>
  <si>
    <t xml:space="preserve">Напряжение сети: 380 ±10%В,50-250A  
ПН MIG 60% -250А
ПН МIG 100% -195А
Диам,проволоки 0,6-1,2
Подача проволоки м/мин. 2,5-18
Класс защиты IP21S
Класс изоляции F
Мощность 8,4 Квт
Масса 27 кг
Размеры (мм) 550*275*485
Гарантия 36 мес</t>
  </si>
  <si>
    <t xml:space="preserve">6937888200434</t>
  </si>
  <si>
    <t xml:space="preserve">17154</t>
  </si>
  <si>
    <t xml:space="preserve">REDBO Intec Mig-175 (MIG (Co2, MIX), MIG (FCAW) 50-175A 0.8-1 мм., MMA (LiftTIG) 20-175A., 2-4 мм., </t>
  </si>
  <si>
    <t xml:space="preserve">MIG 50-160А;0,8-1мм;ММА 20-160А;2-4мм.Форсаж дуги;Горячий старт;Антизалипание;Информативный дисплей</t>
  </si>
  <si>
    <t xml:space="preserve">6937888206597</t>
  </si>
  <si>
    <t xml:space="preserve">17848</t>
  </si>
  <si>
    <t xml:space="preserve">REDBO Intec Mig-205 (с дисплеем) Сварочный аппарат</t>
  </si>
  <si>
    <t xml:space="preserve">6937888207129</t>
  </si>
  <si>
    <t xml:space="preserve">28522</t>
  </si>
  <si>
    <t xml:space="preserve">REDBO MIG-175S (MIG (FCAW) 20-175A 0.8-1 мм., MMA (Lift TIG) 20-175A., 2-4 мм., дисплей, 4шт. наконе</t>
  </si>
  <si>
    <t xml:space="preserve">MIG:29,1А/6,4кВт_ММА:34,6А/7,6кВт; MIG:20А/15В-175А/22,7В; ММА:20А/20,8В-175А27В; 2,0-4,0мм; 0,8-1,0мм</t>
  </si>
  <si>
    <t xml:space="preserve">6937888239595</t>
  </si>
  <si>
    <t xml:space="preserve">28523</t>
  </si>
  <si>
    <t xml:space="preserve">REDBO MIG-185S (MIG (FCAW) 50-185A 0.8-1 мм., MMA (Lift TIG) 20-185A., 2-4 мм., два дисплея, 5шт. на</t>
  </si>
  <si>
    <t xml:space="preserve">MIG:31,5А/6,9кВт_ММА:37,1А/8,1кВт; MIG:50А/16,5В-185А/23,2В; ММА:20А/20,8В-185А/27,4В; 2,0-4,0мм; 0,8-1,0мм</t>
  </si>
  <si>
    <t xml:space="preserve">6937888239601</t>
  </si>
  <si>
    <t xml:space="preserve">28524</t>
  </si>
  <si>
    <t xml:space="preserve">REDBO MIG-225S (MIG (Co2, MIX), MIG (FCAW) 20-225A 0.8-1 мм., MMA 20-225A., 2-4 мм. 2T/4T, рег-ка ин</t>
  </si>
  <si>
    <t xml:space="preserve">MIG:41,6А/9,1кВт_ММА:47,7А/10,5кВт; MIG:20А/15В-225А/25,2В; ММА:20А/20,8В-225А/29В; 2,0-4,0мм; 0,8-1,0мм</t>
  </si>
  <si>
    <t xml:space="preserve">6937888239618</t>
  </si>
  <si>
    <t xml:space="preserve">28525</t>
  </si>
  <si>
    <t xml:space="preserve">REDBO MIG-255S (MIG (Co2, MIX, FCAW) 20-255A 0.8-1 мм., MMA 20-255A., 2-4 мм., Lift TIG, 2T/4T, SYN,</t>
  </si>
  <si>
    <t xml:space="preserve">MIG:49,9А/11кВт_ММА:56,4А/12,4кВт; MIG:20А/20,8В-255А/26,7В; ММА:20А/20,8В-255А/30,2В; 2,0-4,0мм; 0,8-1,0мм</t>
  </si>
  <si>
    <t xml:space="preserve">6937888239625</t>
  </si>
  <si>
    <t xml:space="preserve">38938</t>
  </si>
  <si>
    <t xml:space="preserve">REDBO MIG-280PLUS (MIG (Co2, MIX, FCAW) 50-280A 0.8-1 мм., MMA 20-280A., 2-4 мм., Lift TIG, 2T/4T, S</t>
  </si>
  <si>
    <t xml:space="preserve">MIG:12,6кВт/57,4А_ММА:14,1кВт/64А; MIG:50-280A(16,5-28B)_MMA:20-280A(20,8-31,2B)</t>
  </si>
  <si>
    <t xml:space="preserve">6937888245398</t>
  </si>
  <si>
    <t xml:space="preserve">28526</t>
  </si>
  <si>
    <t xml:space="preserve">REDBO MIG-285S (MIG (Co2, MIX, FCAW) 50-285A 0.8-1 мм., MMA 20-285A., 2-4 мм., Lift TIG, 2T/4T, SYN,</t>
  </si>
  <si>
    <t xml:space="preserve">MIG:58,9А/13кВт_ММА:65,5А/14,4кВт; MIG:20А/20,8В-285А/28,2В; ММА:20А/20,8В-285А/31,4В; 2,0-4,0мм; 0,8-1,0мм</t>
  </si>
  <si>
    <t xml:space="preserve">6937888239632</t>
  </si>
  <si>
    <t xml:space="preserve">7485</t>
  </si>
  <si>
    <t xml:space="preserve">REDBO Pro Mig 180Y (MIG (Co2, MIX), MIG (FCAW) 50-180A 0.8-1 мм., MMA 20-180A., 2-4 мм., рег-ка отжи</t>
  </si>
  <si>
    <t xml:space="preserve">MIG 50-180А;0,8-1мм;ММА 10-160А;2-4мм.Форсаж дуги;Горячий старт;Антизалипание;два дисплея</t>
  </si>
  <si>
    <t xml:space="preserve">6937888269523</t>
  </si>
  <si>
    <t xml:space="preserve">18418</t>
  </si>
  <si>
    <t xml:space="preserve">Redbo Pro Mig 180Y 2T/4T 36V Сварочный аппарат</t>
  </si>
  <si>
    <t xml:space="preserve">937888269523</t>
  </si>
  <si>
    <t xml:space="preserve">18419</t>
  </si>
  <si>
    <t xml:space="preserve">REDBO Pro Mig 200Y 2T/4TСварочный аппарат</t>
  </si>
  <si>
    <t xml:space="preserve">6937888269530.</t>
  </si>
  <si>
    <t xml:space="preserve">7463</t>
  </si>
  <si>
    <t xml:space="preserve">REDBO Pro Mig 250DB (380В, MIG (Co2, MIX), MIG (FCAW) 50-250A 0.8-1 мм., MMA 20-250A., 2-4 мм., два </t>
  </si>
  <si>
    <t xml:space="preserve">380В/~50Гц;MIG 60-250А;0,8-1,2мм;ММА 40-250А;1-5мм.Форсаж дуги;Горячий старт;Антизалипание;два дисплея</t>
  </si>
  <si>
    <t xml:space="preserve">6937888257667</t>
  </si>
  <si>
    <t xml:space="preserve">7462</t>
  </si>
  <si>
    <t xml:space="preserve">REDBO Pro Mig 250Y (380В, MIG (Co2, MIX), MIG (FCAW) 50-250A 0.8-1 мм., MMA 20-250A., 2-4 мм., два д</t>
  </si>
  <si>
    <t xml:space="preserve">380В/~50Гц;MIG 50-250А;0,8-1,2мм;ММА 20-200А;2-6мм.Форсаж дуги;Горячий старт;Антизалипание;два дисплея;2Т/4Т</t>
  </si>
  <si>
    <t xml:space="preserve">6937888257339</t>
  </si>
  <si>
    <t xml:space="preserve">7464</t>
  </si>
  <si>
    <t xml:space="preserve">REDBO Pro Mig 315Y (MIG (Co2, MIX) 50-315A 0.8-1 мм., MMA 20-315A., 2-4 мм., два дисплея, рег-ка инд</t>
  </si>
  <si>
    <t xml:space="preserve">380В/~50-60Гц; MIG:21,2А/8,0кВт_ММА:22,9А/8,7кВт; MIG:50А/16,5В-350А/31,5В; ММА:20А/20,8В-350А/34В; 2,0-4,0мм; 0,8/1,0/1,2мм</t>
  </si>
  <si>
    <t xml:space="preserve">6937888257346</t>
  </si>
  <si>
    <t xml:space="preserve">7467</t>
  </si>
  <si>
    <t xml:space="preserve">REDBO Pro Mig 350F (MIG (Co2, MIX)  50-350A 0.8-1 мм., MMA 20-350A., 2-4 мм., два дисплея, рег-ка ин</t>
  </si>
  <si>
    <t xml:space="preserve">380В/~50Гц;MIG 20-350А;0,8-1,2мм;ММА 50-350А;2-6мм.Форсаж дуги;Горячий старт;Антизалипание;два дисплея;2Т/4Т</t>
  </si>
  <si>
    <t xml:space="preserve">6937888257377</t>
  </si>
  <si>
    <t xml:space="preserve">7466</t>
  </si>
  <si>
    <t xml:space="preserve">REDBO Pro Mig 350Y (MIG 50-210A 0.8-1 мм., MMA 20-210A., 2-4 мм., 2T/4T, два дисплея, рег-ка индукти</t>
  </si>
  <si>
    <t xml:space="preserve">6937888257353</t>
  </si>
  <si>
    <t xml:space="preserve">16183</t>
  </si>
  <si>
    <t xml:space="preserve">REDBO Pro Mig 500F Digital 380В Сварочный аппарат</t>
  </si>
  <si>
    <t xml:space="preserve">6937888227707</t>
  </si>
  <si>
    <t xml:space="preserve">18372</t>
  </si>
  <si>
    <t xml:space="preserve">REDBO Pro MIG-200/15 (MIG (Co2, MIX), MIG (FCAW) 50-200A 0.8-1 мм., MMA 20-200A., 2-4 мм., два диспл</t>
  </si>
  <si>
    <t xml:space="preserve">MIG 50-200А;0,6-1мм;ММА 20-180А;1-5мм.Форсаж дуги;Горячий старт;Антизалипание;два дисплея;2Т/4Т</t>
  </si>
  <si>
    <t xml:space="preserve">6937888206580</t>
  </si>
  <si>
    <t xml:space="preserve">19922</t>
  </si>
  <si>
    <t xml:space="preserve">REDBO Pulse MIG-225 (MIG (Co2, MIX), MIG (FCAW) 50-225A 0.8-1 мм., MMA 20-225A., 2-4 мм., два диспле</t>
  </si>
  <si>
    <t xml:space="preserve">MIG 50-200А;0,6-1,2мм;ММА 20-200А;2-4мм.Форсаж дуги;Горячий старт;Антизалипание;два дисплея;2Т/4Т;4Тs;PULS;Spot</t>
  </si>
  <si>
    <t xml:space="preserve">6937888212796</t>
  </si>
  <si>
    <t xml:space="preserve">17152</t>
  </si>
  <si>
    <t xml:space="preserve">Redbo Сварочный аппарат “Redbo Pro Mig 200 (3 in 1)</t>
  </si>
  <si>
    <t xml:space="preserve">MIG 50-200А;0,8-1мм;ММА 20-180А;2-4мм.Форсаж дуги;Горячий старт;Антизалипание;два дисплея</t>
  </si>
  <si>
    <t xml:space="preserve">6937888227080</t>
  </si>
  <si>
    <t xml:space="preserve">21563</t>
  </si>
  <si>
    <t xml:space="preserve">SAYFA SAYFA-200 Инверторный сварочный аппарат</t>
  </si>
  <si>
    <t xml:space="preserve">SAYFA</t>
  </si>
  <si>
    <t xml:space="preserve">6937888220203</t>
  </si>
  <si>
    <t xml:space="preserve">22298</t>
  </si>
  <si>
    <t xml:space="preserve">TAKATSU 180-5XX (MIG (FCAW) 50-180A 0.8-1 мм., MMA 20-180A., 2-4 мм., дисплей)</t>
  </si>
  <si>
    <t xml:space="preserve">TAKATSU</t>
  </si>
  <si>
    <t xml:space="preserve">6937888220241</t>
  </si>
  <si>
    <t xml:space="preserve">30340</t>
  </si>
  <si>
    <t xml:space="preserve">СBAPTEX MIG-200Flux (MIG (FCAW) 50-200A 0.8-1 мм., MMA 20-200A., 2-4 мм.,Lift TIG)</t>
  </si>
  <si>
    <t xml:space="preserve">220В/~50-60Гц; MIG:35,2А/7,7кВт_ММА:41А/9,0кВт; MIG:50А/16,5В-200А/24В; ММА:20А/20,8В-200А/28В; 2,0-4,0мм; 0,8-1,2мм</t>
  </si>
  <si>
    <t xml:space="preserve">6937888240829</t>
  </si>
  <si>
    <t xml:space="preserve">28345</t>
  </si>
  <si>
    <t xml:space="preserve">СВАРТЕХ Expert MIG-200 Сварочный аппарат</t>
  </si>
  <si>
    <t xml:space="preserve">6937888236549</t>
  </si>
  <si>
    <t xml:space="preserve">28347</t>
  </si>
  <si>
    <t xml:space="preserve">СВАРТЕХ Expert MIG-220 Сварочный аппарат</t>
  </si>
  <si>
    <t xml:space="preserve">140-260В/~50-60Гц; MIG:40А/8,9кВт_ММА:46,4А/10,2кВт; MIG:20А/15В-220А/25В; ММА:20А/20,8В-220А/28,8В; 2,0-4,0мм; 0,8-1,0мм</t>
  </si>
  <si>
    <t xml:space="preserve">Эксклюзив маркетплейса</t>
  </si>
  <si>
    <t xml:space="preserve">6937888236563</t>
  </si>
  <si>
    <t xml:space="preserve">28389</t>
  </si>
  <si>
    <t xml:space="preserve">СВАРТЕХ Expert MIG-250 Сварочный аппарат</t>
  </si>
  <si>
    <t xml:space="preserve">6937888236570</t>
  </si>
  <si>
    <t xml:space="preserve">28421</t>
  </si>
  <si>
    <t xml:space="preserve">СВАРТЕХ Stand MIG 170S (MIG (FCAW) 50-170A 0.8-1 мм., MMA 20-170A., 2-4 мм., дисплей, катушка с пров</t>
  </si>
  <si>
    <t xml:space="preserve">220В/~50-60Гц; MIG:28А/6,1кВт_ММА:33,4А/7,3кВт; MIG:50А/16,5В-170А/22,5В; ММА:20А/20,8В-170А/26,8В; 2,0-4,0мм; 0,8-1,0мм</t>
  </si>
  <si>
    <t xml:space="preserve">6937888236983</t>
  </si>
  <si>
    <t xml:space="preserve">25078</t>
  </si>
  <si>
    <t xml:space="preserve">СВАРТЕХ Stand MIG 185S (MIG (Co2, MIX), MIG (FCAW) 50-185A 0.8-1 мм., MMA 20-185A., 2-4 мм.)</t>
  </si>
  <si>
    <t xml:space="preserve">220В/~50-60Гц; MIG:31,5А_ММА:37,1А; MIG:50-185А_ММА:20-185А; MIG:6,9кВт_ММА:8,1кВт; 2,0-4,0мм; 0,8-1,0мм</t>
  </si>
  <si>
    <t xml:space="preserve">6937888232886</t>
  </si>
  <si>
    <t xml:space="preserve">28422</t>
  </si>
  <si>
    <t xml:space="preserve">СВАРТЕХ Stand MIG 250 (MIG (Co2, MIX, FCAW) 20-250A 0.8-1 мм., MMA 20-250A., 2-4 мм., Lift TIG, 2T/4</t>
  </si>
  <si>
    <t xml:space="preserve">220В/~50-60Гц; MIG:48,5А/10,6кВт_ММА:54,9А/12,1кВт; MIG:20А/15В-250А/26,5В; ММА:20А/20,8В-250А/30В; 2,0-4,0мм; 0,8-1,2мм</t>
  </si>
  <si>
    <t xml:space="preserve">6937888236990</t>
  </si>
  <si>
    <t xml:space="preserve">20098</t>
  </si>
  <si>
    <t xml:space="preserve">СВАРТЕХ TEX175S (MIG (FCAW) 50-175A 0.8-1 мм., MMA 20-175A., 2-4 мм., дисплей, катушка с проволокой)</t>
  </si>
  <si>
    <t xml:space="preserve">6937888213908</t>
  </si>
  <si>
    <t xml:space="preserve">20096</t>
  </si>
  <si>
    <t xml:space="preserve">СВАРТЕХ ТЕХ-180 (MIG (Co2, MIX), (MIG (FCAW) 50-180A 0.8-1 мм., MMA 20-180A., 2-4 мм.)</t>
  </si>
  <si>
    <t xml:space="preserve">6937888213915</t>
  </si>
  <si>
    <t xml:space="preserve">20100</t>
  </si>
  <si>
    <t xml:space="preserve">СВАРТЕХ ТЕХ-180S (MIG (Co2, MIX), (MIG (FCAW) 50-180A 0.8-1 мм., MMA 20-180A., 2-4 мм., дисплей, 2шт</t>
  </si>
  <si>
    <t xml:space="preserve">6937888213922</t>
  </si>
  <si>
    <t xml:space="preserve">20099</t>
  </si>
  <si>
    <t xml:space="preserve">СВАРТЕХ ТЕХ-190S (MIG (Co2, MIX), (MIG (FCAW) 50-180A 0.8-1 мм., MMA 20-180A., 2-4 мм., дисплей, 2шт</t>
  </si>
  <si>
    <t xml:space="preserve">6937888213946</t>
  </si>
  <si>
    <t xml:space="preserve">39831</t>
  </si>
  <si>
    <t xml:space="preserve">ФОТОН МИГ-200S Сварочный аппарат</t>
  </si>
  <si>
    <t xml:space="preserve">220В/~50-60Гц; MIG:31,5А/6,9кВт_ММА:37,1А/8,1кВт; MIG:50А/16,5В-185А/23,2В; ММА:20А/20,8В-185А/27,4В; 2,0-4,0мм; 0,8-1,0мм/с Газом</t>
  </si>
  <si>
    <t xml:space="preserve">6937888243721</t>
  </si>
  <si>
    <t xml:space="preserve">20316</t>
  </si>
  <si>
    <t xml:space="preserve">ФОТОН МИГ-210 (MIG (Co2, MIX), (MIG (FCAW) 50-210A 0.8-1 мм., MMA 20-210A., 2-4 мм., дисплей, 2шт. н</t>
  </si>
  <si>
    <t xml:space="preserve">6937888215247</t>
  </si>
  <si>
    <t xml:space="preserve">20313</t>
  </si>
  <si>
    <t xml:space="preserve">ФОТОН МИГ-225 Сварочный аппарат</t>
  </si>
  <si>
    <t xml:space="preserve">6937888215261</t>
  </si>
  <si>
    <t xml:space="preserve">20314</t>
  </si>
  <si>
    <t xml:space="preserve">ФОТОН МИГ-250 Сварочный аппарат</t>
  </si>
  <si>
    <t xml:space="preserve">6937888214943</t>
  </si>
  <si>
    <t xml:space="preserve">24258</t>
  </si>
  <si>
    <t xml:space="preserve">ФОТОН САИПА-170 ПРОФ (MIG (Co2, MIX), (MIG (FCAW) 50-170A 0.8-1 мм., MMA 20-170A., 2-4 мм.)</t>
  </si>
  <si>
    <t xml:space="preserve">6937888230950</t>
  </si>
  <si>
    <t xml:space="preserve">Сварочные аппараты TIG</t>
  </si>
  <si>
    <t xml:space="preserve">28515</t>
  </si>
  <si>
    <t xml:space="preserve">Edon PROtech TIG-200AC/DC (TIG 10-200A., MMA 10-160A., 2T/4T, дисплей, PULSE, AC/DC, шланг, расх. к </t>
  </si>
  <si>
    <t xml:space="preserve">ТIG:29А/6,4кВт_ММА:28А/6,2кВт; ТIG:10А/10,4В-200А/18В; ММА:20А/20,8В-160А/26,4В; 2,0-4,0мм</t>
  </si>
  <si>
    <t xml:space="preserve">6937888239472</t>
  </si>
  <si>
    <t xml:space="preserve">29741</t>
  </si>
  <si>
    <t xml:space="preserve">Edon PROtech TIG-200DC (TIG 10-200A., MMA 10-160A., DC, дисплей, рег-ка продувки, шланг, расх. к рук</t>
  </si>
  <si>
    <t xml:space="preserve">ТIG:26,4А/5,8кВт_ММА:35,9А/7,9кВт; ТIG:10А/10,4В-200А/18В; ММА:20А/20,8В-180А/27,2В; 2,0-4,0мм</t>
  </si>
  <si>
    <t xml:space="preserve">6937888239977</t>
  </si>
  <si>
    <t xml:space="preserve">28057</t>
  </si>
  <si>
    <t xml:space="preserve">Edon Smart TIG-200AC/DC  (TIG 10-200A., MMA 10-160A., 2T/4T, дисплей, PULSE, AC/DC, шланг, расх. к р</t>
  </si>
  <si>
    <t xml:space="preserve">TIG (AC/DC, PULSE, 2T/4T) 10-200A., MMA 20-160A., 2-4 мм. Циклограмма настройки параметров.</t>
  </si>
  <si>
    <t xml:space="preserve">6937888238048</t>
  </si>
  <si>
    <t xml:space="preserve">29740</t>
  </si>
  <si>
    <t xml:space="preserve">Edon SmartTIG-200DC (TIG 10-200A., MMA 10-160A., DC, дисплей, рег-ка продувки, шланг, расх. к рукаву</t>
  </si>
  <si>
    <t xml:space="preserve">6937888239960</t>
  </si>
  <si>
    <t xml:space="preserve">28513</t>
  </si>
  <si>
    <t xml:space="preserve">ETECH TIG-200AC/DC Сварочный аппарат</t>
  </si>
  <si>
    <t xml:space="preserve">6937888239755</t>
  </si>
  <si>
    <t xml:space="preserve">18021</t>
  </si>
  <si>
    <t xml:space="preserve">LINK LION PulseTig-315ACDC y MOS Инверторный сварочный аппарат</t>
  </si>
  <si>
    <t xml:space="preserve">6937888208140</t>
  </si>
  <si>
    <t xml:space="preserve">7444</t>
  </si>
  <si>
    <t xml:space="preserve">REDBO Expert Tig-160 (TIG 10-160A., DC, дисплей, рег-ка гашения дуги, расх. к рукаву)</t>
  </si>
  <si>
    <t xml:space="preserve">TIG 160А;Дисплей;защита от перегрева/перегрузки;работа от пониженного напряжения 180В.</t>
  </si>
  <si>
    <t xml:space="preserve">6937888200175</t>
  </si>
  <si>
    <t xml:space="preserve">7437</t>
  </si>
  <si>
    <t xml:space="preserve">REDBO Pro Tig 250 (380В., TIG 10-230A., MMA 20-230A., DC, дисплей, рег-ка продувки)</t>
  </si>
  <si>
    <t xml:space="preserve">380В/~50Гц;TIG 10-230А;ММА 20-210А;Форсаж дуги;Горячий старт;Антизалипание;дисплей;2Т/4Т;блок охлажд.</t>
  </si>
  <si>
    <t xml:space="preserve">6937888256905</t>
  </si>
  <si>
    <t xml:space="preserve">7442</t>
  </si>
  <si>
    <t xml:space="preserve">REDBO Pro Tig 400 (380В., TIG 10-400A., MMA 10-360A., DC, дисплей, рег-ка форсажа/роста и спада дуги</t>
  </si>
  <si>
    <t xml:space="preserve">380В/~50Гц;TIG 10-400А;ММА 10-360А;Форсаж дуги;Горячий старт;Антизалипание;дисплей;2Т/4Т;блок охлажд.тележка</t>
  </si>
  <si>
    <t xml:space="preserve">6937888256899</t>
  </si>
  <si>
    <t xml:space="preserve">19653</t>
  </si>
  <si>
    <t xml:space="preserve">REDBO Pro WSME-200 Сварочный аппарат TIG</t>
  </si>
  <si>
    <t xml:space="preserve">ММА:43,6А.TIG:26А.ММА:120-180А.TIG120-200А.</t>
  </si>
  <si>
    <t xml:space="preserve">6937888257810</t>
  </si>
  <si>
    <t xml:space="preserve">7460</t>
  </si>
  <si>
    <t xml:space="preserve">REDBO Pro WSME-315 (380В., TIG 10-315A., MMA 20-250A., дисплей, 2T/4T, PULSE, AC/DC, разъём ДУ, шлан</t>
  </si>
  <si>
    <t xml:space="preserve">380В/~50Гц;TIG 20-315А;ММА 20-250А;Форсаж дуги;Горячий старт;Антизалипание;дисплей;2Т/4Т;Pulse;АС/DC</t>
  </si>
  <si>
    <t xml:space="preserve">6937888257544</t>
  </si>
  <si>
    <t xml:space="preserve">7456</t>
  </si>
  <si>
    <t xml:space="preserve">REDBO Pulse Tig-200 AC/D  (TIG 10-180A., MMA 20-180A., 2T/4T, дисплей, PULSE, AC/DC, разъёмДУ, расх.</t>
  </si>
  <si>
    <t xml:space="preserve">TIG 10-180A;ММА 10-180A; 1-5мм;Форсаж дуги;Горячий старт;Антизалипание;дисплей;2Т/4Т;PULS;AC/DC</t>
  </si>
  <si>
    <t xml:space="preserve">6937888200106</t>
  </si>
  <si>
    <t xml:space="preserve">7458</t>
  </si>
  <si>
    <t xml:space="preserve">REDBO Pulse Tig-250AC/DC Сварочный аппарат инверторного типа</t>
  </si>
  <si>
    <t xml:space="preserve">380В., TIG 10-220A., MMA 10-220A., 2T/4T, дисплей, PULSE, AC/DC,расх. к рукаву</t>
  </si>
  <si>
    <t xml:space="preserve">6937888200113</t>
  </si>
  <si>
    <t xml:space="preserve">7459</t>
  </si>
  <si>
    <t xml:space="preserve">REDBO Pulse Tig-315AC/DC  (380В., TIG 10-290A., MMA 10-290A., 2T/4T, дисплей, PULSE, AC/DC,расх. к р</t>
  </si>
  <si>
    <t xml:space="preserve">380В/~50Гц;TIG 20-290А;ММА 20-290А;1-5мм;Форсаж дуги;Горячий старт;Антизалипание;дисплей;2Т/4Т;PULS;AC/DC</t>
  </si>
  <si>
    <t xml:space="preserve">6937888200212</t>
  </si>
  <si>
    <t xml:space="preserve">28512</t>
  </si>
  <si>
    <t xml:space="preserve">REDBO TIG-200AC/DC (TIG 10-200A., MMA 10-160A., 2T/4T, дисплей, PULSE, AC/DC, шланг, расх. к рукаву)</t>
  </si>
  <si>
    <t xml:space="preserve">6937888239564</t>
  </si>
  <si>
    <t xml:space="preserve">29744</t>
  </si>
  <si>
    <t xml:space="preserve">REDBO TIG-200DC (TIG 10-200A., MMA 10-160A., DC, дисплей, рег-ка продувки, шланг, расх. к рукаву)</t>
  </si>
  <si>
    <t xml:space="preserve">6937888240010</t>
  </si>
  <si>
    <t xml:space="preserve">28514</t>
  </si>
  <si>
    <t xml:space="preserve">СВАРТЕХ Stand TIG-200AC/DC (TIG 10-200A., MMA 10-160A., 2T/4T, дисплей, PULSE, AC/DC, шланг, расх. к</t>
  </si>
  <si>
    <t xml:space="preserve">220В/~50-60Гц; ТIG:29А/6,4кВт_ММА:28А/6,2кВт; ТIG:10А/10,4В-200А/18В; ММА:20А/20,8В-160А/26,4В; 2,0-4,0мм</t>
  </si>
  <si>
    <t xml:space="preserve">6937888239779</t>
  </si>
  <si>
    <t xml:space="preserve">29742</t>
  </si>
  <si>
    <t xml:space="preserve">СВАРТЕХ Stand TIG-200DC (TIG 10-200A., MMA 10-160A., DC, дисплей, рег-ка продувки, шланг, расх. к ру</t>
  </si>
  <si>
    <t xml:space="preserve">220В/~50-60Гц; ТIG:26,4А/5,8кВт_ММА:35,9А/7,9кВт; ТIG:10А/10,4В-200А/18В; ММА:20А/20,8В-180А/27,2В; 2,0-4,0мм</t>
  </si>
  <si>
    <t xml:space="preserve">6937888239984</t>
  </si>
  <si>
    <t xml:space="preserve">Многофункциональные сварочные аппараты</t>
  </si>
  <si>
    <t xml:space="preserve">28505</t>
  </si>
  <si>
    <t xml:space="preserve">Edon Smart MMCT-250 (ММА 20-250A., MIG (Co2, MIX, FCAW) 50-250A., TIG 20-250A., CUT 20-40А., большой</t>
  </si>
  <si>
    <t xml:space="preserve">MIG (Co2, FCAW) 40-250A 0.8-1 мм., MMA 20-250A., 2-4 мм.,TIG (DC) 20-250A, CUT 20-40A</t>
  </si>
  <si>
    <t xml:space="preserve">6937888239434</t>
  </si>
  <si>
    <t xml:space="preserve">28508</t>
  </si>
  <si>
    <t xml:space="preserve">ETECH MMCT-250 Сварочный аппарат</t>
  </si>
  <si>
    <t xml:space="preserve">6937888239649</t>
  </si>
  <si>
    <t xml:space="preserve">28507</t>
  </si>
  <si>
    <t xml:space="preserve">REDBO MMCT-250 (ММА 20-250A., MIG (Co2, MIX, FCAW) 50-250A., TIG 20-250A., CUT 20-40А., большой дисп</t>
  </si>
  <si>
    <t xml:space="preserve">MIG: 10,7кВт/48,5А, 40-250А; ММА: 12,1кВт/55А, 20-250А; CUT :6,2кВт/28, 20-40А, 12мм, 0,4МПа/100-140л/мин, LIFT; TIG: 8,0кВт/36,6А, 20-250А</t>
  </si>
  <si>
    <t xml:space="preserve">6937888239557</t>
  </si>
  <si>
    <t xml:space="preserve">28509</t>
  </si>
  <si>
    <t xml:space="preserve">СВАРТЕХ Stand MMCT-250 (ММА 20-250A., MIG (Co2, MIX, FCAW) 50-250A., TIG 20-250A., CUT 20-40А., боль</t>
  </si>
  <si>
    <t xml:space="preserve">220В/~50-60Гц; MIG: 10,7кВт/48,5А, 40-250А; ММА: 12,1кВт/55А, 20-250А; CUT :6,2кВт/28, 20-40А, 12мм, 0,4МПа/100-140л/мин, LIFT; TIG: 8,0кВт/36,6А, 20-250А</t>
  </si>
  <si>
    <t xml:space="preserve">6937888239762</t>
  </si>
  <si>
    <t xml:space="preserve">Плазморезы CUT</t>
  </si>
  <si>
    <t xml:space="preserve">30303</t>
  </si>
  <si>
    <t xml:space="preserve">Edon Digital CUT-45S (15-45A., 15мм., поджиг Lift(контактный), дисплей, рег-ка времени продувки, вст</t>
  </si>
  <si>
    <t xml:space="preserve">140~260/~50-60,32,3А,15мм,Давление/расход воздуха, атм/л.мин 4-5/160</t>
  </si>
  <si>
    <t xml:space="preserve">6937888240607</t>
  </si>
  <si>
    <t xml:space="preserve">39719</t>
  </si>
  <si>
    <t xml:space="preserve">Edon Max CUT-45  Инверторный аппарат плазменной резки</t>
  </si>
  <si>
    <t xml:space="preserve">6937888245145</t>
  </si>
  <si>
    <t xml:space="preserve">25079</t>
  </si>
  <si>
    <t xml:space="preserve">Edon Smart CUT-45 (15-45A., 15мм., поджиг Lift(контактный), дисплей, рег-ка времени продувки, встрое</t>
  </si>
  <si>
    <t xml:space="preserve">32,3А/7,1кВт; 270В; 15А/86В-45А/98В; 15мм; 4-5атм./160л.мин; LIFT(контактный)</t>
  </si>
  <si>
    <t xml:space="preserve">6937888232848</t>
  </si>
  <si>
    <t xml:space="preserve">39984</t>
  </si>
  <si>
    <t xml:space="preserve">Edon Smart CUT-65 Инверторный аппарат плазменной резки</t>
  </si>
  <si>
    <t xml:space="preserve">220В/~50-60Гц; 50,4А; 11,1кВт; 344В; 20/86-65/106А/В; 20мм; контактный тип поджига</t>
  </si>
  <si>
    <t xml:space="preserve">6937888247163</t>
  </si>
  <si>
    <t xml:space="preserve">39758</t>
  </si>
  <si>
    <t xml:space="preserve">Edon Ultra CUT-45 Аппарат плазменной резки</t>
  </si>
  <si>
    <t xml:space="preserve">6937888246654</t>
  </si>
  <si>
    <t xml:space="preserve">24933</t>
  </si>
  <si>
    <t xml:space="preserve">ETECH CUT-45 (15-45A., 15мм., поджиг Lift(контактный), дисплей, рег-ка времени продувки, встроенный </t>
  </si>
  <si>
    <t xml:space="preserve">220В/~50-60Гц; 32,3А/7,1кВт; 270В; 15А/86В-45А/98В; 15мм; 4-5атм./160л.мин; LIFT(контактный)</t>
  </si>
  <si>
    <t xml:space="preserve">6937888232787</t>
  </si>
  <si>
    <t xml:space="preserve">20127</t>
  </si>
  <si>
    <t xml:space="preserve">JONSER GTR-40KM CUTАппарат плазменной резки (15-40A., 15мм., поджиг Lift(контактный), дисплей, рег-к</t>
  </si>
  <si>
    <t xml:space="preserve">6937888214301</t>
  </si>
  <si>
    <t xml:space="preserve">28511</t>
  </si>
  <si>
    <t xml:space="preserve">REDBO CUT-45 (15-45A., 15мм., поджиг Lift(контактный), дисплей, рег-ка времени продувки, встроенный </t>
  </si>
  <si>
    <t xml:space="preserve">7,13кВт/32,3А 270В; 15А/86В-45А/98В; 15мм; 4-5атм./160л.мин; LIFT(контактный)</t>
  </si>
  <si>
    <t xml:space="preserve">6937888239489</t>
  </si>
  <si>
    <t xml:space="preserve">7446</t>
  </si>
  <si>
    <t xml:space="preserve">REDBO ExpertCut-40 (15-40A., 15мм., поджиг Lift(контактный), дисплей, рег-ка времени продувки, встро</t>
  </si>
  <si>
    <t xml:space="preserve">15-40А;HF(бесконтактный);дисплей;тол.реза15мм;4.8-5.5Атм;100л/мин;редуктор с фильтром.</t>
  </si>
  <si>
    <t xml:space="preserve">6937888200229</t>
  </si>
  <si>
    <t xml:space="preserve">7449</t>
  </si>
  <si>
    <t xml:space="preserve">REDBO ExpertCut-60 (20-60A., 20мм., поджиг Lift(контактный), 2T/4T, дисплей, встроенный осушитель с </t>
  </si>
  <si>
    <t xml:space="preserve">10кВт/35,4А; 330В; 20А/88В-60А/104В; 20мм; 0,3-0,5МПа/40л.мин; HF(бесконтактный)</t>
  </si>
  <si>
    <t xml:space="preserve">6937888236464</t>
  </si>
  <si>
    <t xml:space="preserve">19926</t>
  </si>
  <si>
    <t xml:space="preserve">REDBO Pro Cut 100APM (220В./380В. CUT 30-100A., 35мм., MMA 20-320A., поджиг CF(высокочастотный, беск</t>
  </si>
  <si>
    <t xml:space="preserve">380В/~50Гц;CUT 20-100А;ММА 20-230А;тол.реза35мм;4-6Атм;240л/мин;;дисплей;встроенный воздушный компрессор;HF(бесконтактный);2Т/4Т</t>
  </si>
  <si>
    <t xml:space="preserve">6937888213212</t>
  </si>
  <si>
    <t xml:space="preserve">14143</t>
  </si>
  <si>
    <t xml:space="preserve">REDBO Pro Cut 120 (380В. CUT 30-120A., 35мм., поджиг CF(высокочастотный, бесконтактный), 2T/4T, рег-</t>
  </si>
  <si>
    <t xml:space="preserve">380В/~50Гц;30-120А;тол.реза50мм;4-6Атм;280л/мин;редуктор с фильтром; дисплей;2Т/4Т</t>
  </si>
  <si>
    <t xml:space="preserve">6937888269899</t>
  </si>
  <si>
    <t xml:space="preserve">17749</t>
  </si>
  <si>
    <t xml:space="preserve">REDBO Pro Cut 160 (380В. CUT 40-160A., 60мм., поджиг CF(высокочастотный, бесконтактный), 2T/4T, рег-</t>
  </si>
  <si>
    <t xml:space="preserve">380В/~50Гц;40-160А;тол.реза60мм;4-6Атм;280л/мин;редуктор с фильтром; дисплей;2Т/4Т</t>
  </si>
  <si>
    <t xml:space="preserve">6937888227585</t>
  </si>
  <si>
    <t xml:space="preserve">7448</t>
  </si>
  <si>
    <t xml:space="preserve">REDBO Pro Cut 40 (20-40A., 15мм., поджиг Lift(контактный), комплект расх. д/рукава)</t>
  </si>
  <si>
    <t xml:space="preserve">20-40А;тол.реза15мм;4-5Атм;160л/мин;редуктор с фильтром.дисплей;2Т/4Т</t>
  </si>
  <si>
    <t xml:space="preserve">6937888225833</t>
  </si>
  <si>
    <t xml:space="preserve">27165</t>
  </si>
  <si>
    <t xml:space="preserve">REDBO Pro Cut 40AP (20-40A., 15мм., поджиг Lift(контактный), дисплей, рег-ка времени продувки, встро</t>
  </si>
  <si>
    <t xml:space="preserve">20-40А;тол.реза15мм;4-5Атм;160л/мин;монометр;дисплей;встроенный воздушный компрессор;HF(бесконтактный)</t>
  </si>
  <si>
    <t xml:space="preserve">6937888213175</t>
  </si>
  <si>
    <t xml:space="preserve">39786</t>
  </si>
  <si>
    <t xml:space="preserve">СВАРТЕХ Elite CUT-50 Инверторный аппарат плазменной резки</t>
  </si>
  <si>
    <t xml:space="preserve">220В/~50-60Гц; 36,6А; 8,1кВт; 362В; 15/86-50/100А/В; 15мм; контактный тип поджига</t>
  </si>
  <si>
    <t xml:space="preserve">6937888246821</t>
  </si>
  <si>
    <t xml:space="preserve">25074</t>
  </si>
  <si>
    <t xml:space="preserve">СВАРТЕХ Stand CUT-45 Аппарат плазменной резки</t>
  </si>
  <si>
    <t xml:space="preserve">6937888232893</t>
  </si>
  <si>
    <t xml:space="preserve">Силовая техника</t>
  </si>
  <si>
    <t xml:space="preserve">Генераторы</t>
  </si>
  <si>
    <t xml:space="preserve">40520</t>
  </si>
  <si>
    <t xml:space="preserve">Edon PRO PT-1200 Бензиновый инверторный генератор (53,5см3; 1200/1000Вт; 4,5/0,25л)</t>
  </si>
  <si>
    <t xml:space="preserve">53,5см3; 1200/1000Вт; 4,5/0,25л</t>
  </si>
  <si>
    <t xml:space="preserve">6937888249778</t>
  </si>
  <si>
    <t xml:space="preserve">22350</t>
  </si>
  <si>
    <t xml:space="preserve">Edon PT-13000D Бензиновый генератор (8.0 кВт./9.0 кВт.,ручной/электро стартер)</t>
  </si>
  <si>
    <t xml:space="preserve">9500/9000Вт; 25/1,3л; 3200об/мин; 12В; 4-х тактный, ручной,електро стартер; бензин АИ-92</t>
  </si>
  <si>
    <t xml:space="preserve">6937888219382</t>
  </si>
  <si>
    <t xml:space="preserve">22555</t>
  </si>
  <si>
    <t xml:space="preserve">Edon PT-3000 Бензиновый генератор (230 В, 3000/2800Вт,12В/8,3А;12В/8,3А, ручной стартер)</t>
  </si>
  <si>
    <t xml:space="preserve">3000/2800Вт,208см3; 395г/кВт.ч;15,0/0,6л; 3200об/мин; 12В/8,3А; 4-х тактный, одноцилиндровый с воздушным охлаждением; ручной стартер; бензин АИ-92</t>
  </si>
  <si>
    <t xml:space="preserve">6937888203237</t>
  </si>
  <si>
    <t xml:space="preserve">28411</t>
  </si>
  <si>
    <t xml:space="preserve">Edon PT-3000D Бензиновый генератор (230-380В, 3000/2800Вт; 15,0/0,6л; 3000об/мин; ручной стартер)</t>
  </si>
  <si>
    <t xml:space="preserve">230-380В/~50Гц; 212см3; 395г/кВт.ч; 3000/2800Вт; 15,0/0,6л; 3000об/мин; 12В/8,3А; 4-х тактный, одноцилиндровый с воздушным охлаждением; ручной стартер; бензин АИ-92</t>
  </si>
  <si>
    <t xml:space="preserve">6937888236518</t>
  </si>
  <si>
    <t xml:space="preserve">20608</t>
  </si>
  <si>
    <t xml:space="preserve">Edon PT-3300 Бензиновый генератор (2.8 кВт./3.0 кВт.,ручной стартер)</t>
  </si>
  <si>
    <t xml:space="preserve">3300/3000Вт;208см3; 395г/кВт.ч;15,0/0,6л; 3200об/мин; 12В/8,3А; 4-х тактный, одноцилиндровый с воздушным охлаждением; ручной стартер; бензин АИ-92</t>
  </si>
  <si>
    <t xml:space="preserve">6937888212451</t>
  </si>
  <si>
    <t xml:space="preserve">20225</t>
  </si>
  <si>
    <t xml:space="preserve">EDON PT-3300C Бензиновый генератор</t>
  </si>
  <si>
    <t xml:space="preserve">6937888217081</t>
  </si>
  <si>
    <t xml:space="preserve">35817</t>
  </si>
  <si>
    <t xml:space="preserve">Edon PT-3300D Бензиновый генератор (3.0 кВт./3.3 кВт.,ручной стартер)</t>
  </si>
  <si>
    <t xml:space="preserve">6937888241789</t>
  </si>
  <si>
    <t xml:space="preserve">30290</t>
  </si>
  <si>
    <t xml:space="preserve">Edon PT-3800 Бензиновый инверторный генератор (3.5 кВт./3.8 кВт.,ручной стартер)</t>
  </si>
  <si>
    <t xml:space="preserve">3200/3000Вт; 8,0/0,6л; 2800об/мин; 12В/8А; 4-х тактный, ручной стартер; бензин АИ-92</t>
  </si>
  <si>
    <t xml:space="preserve">6937888239892</t>
  </si>
  <si>
    <t xml:space="preserve">30291</t>
  </si>
  <si>
    <t xml:space="preserve">Edon PT-4000 Бензиновый инверторный генератор  (3.2 кВт./3.5 кВт.,ручной стартер)</t>
  </si>
  <si>
    <t xml:space="preserve">3500/3200Вт; 8,0/0,6л; 2800об/мин; 12В/8А; 4-х тактный, ручной стартер; бензин АИ-92</t>
  </si>
  <si>
    <t xml:space="preserve">6937888239908</t>
  </si>
  <si>
    <t xml:space="preserve">20691</t>
  </si>
  <si>
    <t xml:space="preserve">Edon PT-4000C Бензогенератор инверторный (2,8/3,5 кВт, 212 см³, ручн стартер)</t>
  </si>
  <si>
    <t xml:space="preserve">ном мощность 2,8кВт, макс мощность 3,5 кВт,ручн стартер, 212 см³, 4-такт одноцилиндровый, топл. бак 6л, масл. бак 0,6л, ЭКО-режим</t>
  </si>
  <si>
    <t xml:space="preserve">6937888214752</t>
  </si>
  <si>
    <t xml:space="preserve">42312</t>
  </si>
  <si>
    <t xml:space="preserve">Edon PT-4000D Бензиновый инверторный генератор (3.5 /2.8 кВт, 223 cм3, ручной стартер)</t>
  </si>
  <si>
    <t xml:space="preserve">цифровой дисплей; ном мощность 2,8кВт, макс мощность 3,5 кВт,ручн стартер, 223 см³, 4-такт одноцилиндровый, топл. бак 6л, масл. бак 0,6л, режима ECO;индикатор аварийного уровня масла;защита от перегрузки, индикатор нагрузки, индикатор неисправности</t>
  </si>
  <si>
    <t xml:space="preserve">6937888249785</t>
  </si>
  <si>
    <t xml:space="preserve">22351</t>
  </si>
  <si>
    <t xml:space="preserve">Edon PT-9000D Бензиновый генератор (9 кВт./9.5 кВт.,ручной/электро стартер)</t>
  </si>
  <si>
    <t xml:space="preserve">7500/7000Вт; 25/1,3л; 3200об/мин; 12В; 4-х тактный, ручной,електро стартер; бензин АИ-92</t>
  </si>
  <si>
    <t xml:space="preserve">6937888219375</t>
  </si>
  <si>
    <t xml:space="preserve">25154</t>
  </si>
  <si>
    <t xml:space="preserve">REDBO DPG-3500C Дизельный генератор (2.8 кВт./3.0 кВт.,ручной стартер)</t>
  </si>
  <si>
    <t xml:space="preserve">3000/2800Вт;12В/8,3А; 296см3; 280г/кВт.ч;12,6/1,1л; 3000об/мин; 4-х тактный, одноцилиндровый с воздушным охлаждением, с непосредственным впрыском топлива; ручной/электрический стартер; дизельное топливо</t>
  </si>
  <si>
    <t xml:space="preserve">6937888234002</t>
  </si>
  <si>
    <t xml:space="preserve">21033</t>
  </si>
  <si>
    <t xml:space="preserve">REDBO DPG-5000 Дизельный генератор (5.0 кВт./5.5 кВт.,ручной/электро стартер)</t>
  </si>
  <si>
    <t xml:space="preserve">5500/5000Вт;12В/8,3А;186F,418см3;15/1,65л;AVR, 4-х тактный, одноцилиндровый с воздушным охлаждением, с непосредственным впрыском топлива; ручной/электрический стартер; дизельное топливо</t>
  </si>
  <si>
    <t xml:space="preserve">6937888219627</t>
  </si>
  <si>
    <t xml:space="preserve">25155</t>
  </si>
  <si>
    <t xml:space="preserve">REDBO DPG-5000C Дизельный генератор (4.5 кВт./5.0 кВт.,ручной стартер)</t>
  </si>
  <si>
    <t xml:space="preserve">5000/4500Вт;12В/8,3А; 418см3; 280г/кВт.ч;12,6/1,5л; 4-х тактный, одноцилиндровый с воздушным охлаждением, с непосредственным впрыском топлива; ручной/электрический стартер; дизельное топливо</t>
  </si>
  <si>
    <t xml:space="preserve">6937888233999</t>
  </si>
  <si>
    <t xml:space="preserve">21504</t>
  </si>
  <si>
    <t xml:space="preserve">REDBO DPG-5000KC Дизельный генератор (5.0 кВт./5.5 кВт.,ручной/электро стартер)</t>
  </si>
  <si>
    <t xml:space="preserve">5500/5000Вт;12В/8,3А;186F, 418см3;15/1,65л; 4-х тактный, одноцилиндровый с воздушным охлаждением, с непосредственным впрыском топлива; ручной/электрический стартер; дизельное топливо</t>
  </si>
  <si>
    <t xml:space="preserve">6937888220722</t>
  </si>
  <si>
    <t xml:space="preserve">21034</t>
  </si>
  <si>
    <t xml:space="preserve">REDBO DPG-6500 Дизельный генератор (6.5 кВт./7.0 кВт.,ручной/электро стартер)</t>
  </si>
  <si>
    <t xml:space="preserve">7000/6500Вт;12В/8,3А;192F,498см3; 15/1,65л;AVR, 4-х тактный, одноцилиндровый с воздушным охлаждением, с непосредственным впрыском топлива; ручной/электрический стартер; дизельное топливо</t>
  </si>
  <si>
    <t xml:space="preserve">6937888219634</t>
  </si>
  <si>
    <t xml:space="preserve">30297</t>
  </si>
  <si>
    <t xml:space="preserve">REDBO GPT-11000KC Бензиновый генератор (8.0 кВт./8.5 кВт.,ручной стартер)</t>
  </si>
  <si>
    <t xml:space="preserve">8500/8000Вт;499см3;25,0/1,2л; 12В/8,3А; 4-х тактный, одноцилиндровый с воздушным охлаждением; ручной стартер/электрозапуск; бензин АИ-92</t>
  </si>
  <si>
    <t xml:space="preserve">6937888240133</t>
  </si>
  <si>
    <t xml:space="preserve">35818</t>
  </si>
  <si>
    <t xml:space="preserve">REDBO GPT-3300D Бензиновый  генератор (3.0 кВт./3.3 кВт.,ручной стартер)</t>
  </si>
  <si>
    <t xml:space="preserve">3300/3000Вт;208см3; 395г/кВт.ч;15,0/0,6л;12В/8,3А; 4-х тактный, одноцилиндровый с воздушным охлаждением; ручной стартер; бензин АИ-92</t>
  </si>
  <si>
    <t xml:space="preserve">6937888241796</t>
  </si>
  <si>
    <t xml:space="preserve">39791</t>
  </si>
  <si>
    <t xml:space="preserve">REDBO GPT-4000CK Бензиновый генератор (3.0 кВт./3.2 кВт.,ручной стартер)</t>
  </si>
  <si>
    <t xml:space="preserve">3000/3200Вт;212см3;6,5/0,6л; 4-х тактный, одноцилиндровый с воздушным охлаждением; ручной стартер; бензин АИ-92</t>
  </si>
  <si>
    <t xml:space="preserve">6937888241239</t>
  </si>
  <si>
    <t xml:space="preserve">39792</t>
  </si>
  <si>
    <t xml:space="preserve">REDBO GPT-5000CK Бензиновый генератор (3.5 кВт./3.8 кВт.,ручной стартер)</t>
  </si>
  <si>
    <t xml:space="preserve">3500/3800Вт;223см3;6,5/0,6л; 4-х тактный, одноцилиндровый с воздушным охлаждением; ручной стартер; бензин АИ-92</t>
  </si>
  <si>
    <t xml:space="preserve">6937888241246</t>
  </si>
  <si>
    <t xml:space="preserve">39793</t>
  </si>
  <si>
    <t xml:space="preserve">REDBO GPT-6000CK Бензиновый генератор (5.0 кВт./5.5 кВт.,ручной/электро стартер)</t>
  </si>
  <si>
    <t xml:space="preserve">5000/5500Вт;312см3;14,5/0,8л; 4-х тактный, одноцилиндровый с воздушным охлаждением; ручной стартер_электрозапуск; бензин АИ-92</t>
  </si>
  <si>
    <t xml:space="preserve">6937888241253</t>
  </si>
  <si>
    <t xml:space="preserve">30190</t>
  </si>
  <si>
    <t xml:space="preserve">REDBO GPT-6500C Бензиновый генератор (5.0 кВт./5.5 кВт.,ручной стартер)</t>
  </si>
  <si>
    <t xml:space="preserve">5500/5000Вт;420см3;25,0/1,1л; 12В/8,3А; 4-х тактный, одноцилиндровый с воздушным охлаждением; ручной стартер; бензин АИ-92</t>
  </si>
  <si>
    <t xml:space="preserve">6937888240119</t>
  </si>
  <si>
    <t xml:space="preserve">30296</t>
  </si>
  <si>
    <t xml:space="preserve">REDBO GPT-6500KC Бензиновый генератор (5.0 кВт./5.5 кВт.,ручной/электро стартер)</t>
  </si>
  <si>
    <t xml:space="preserve">5500/5000Вт;420см3;25,0/1,1л; 12В/8,3А; 4-х тактный, одноцилиндровый с воздушным охлаждением; ручной стартер/электрозапуск; бензин АИ-92</t>
  </si>
  <si>
    <t xml:space="preserve">6937888240126</t>
  </si>
  <si>
    <t xml:space="preserve">37648</t>
  </si>
  <si>
    <t xml:space="preserve">REDBO GPT-7500K ATS Бензиновый генератор (6.0 кВт./6.5 кВт.ручной/электро стартер,блок автоматическо</t>
  </si>
  <si>
    <t xml:space="preserve">6000/6500Вт; 25,0/1,1л; 12В(8,3А); 4-х тактный, ручной стартер/электрозапуск; бензин АИ-92</t>
  </si>
  <si>
    <t xml:space="preserve">6937888243776</t>
  </si>
  <si>
    <t xml:space="preserve">39794</t>
  </si>
  <si>
    <t xml:space="preserve">REDBO GPT-9000CK Бензиновый генератор (6.2 кВт./6.5 кВт.,ручной/электро стартер)</t>
  </si>
  <si>
    <t xml:space="preserve">6200/6500Вт;312см3;14,5/0,8л; 4-х тактный, одноцилиндровый с воздушным охлаждением; ручной стартер_электрозапуск; бензин АИ-92</t>
  </si>
  <si>
    <t xml:space="preserve">6937888241260</t>
  </si>
  <si>
    <t xml:space="preserve">29763</t>
  </si>
  <si>
    <t xml:space="preserve">REDBO QDIG-2000QD Бензиновый инверторный генератор (2.2 кВт./2.5 кВт.,ручной стартер)</t>
  </si>
  <si>
    <t xml:space="preserve">2500/2200Вт;79,7см3;4,5/0,33л; 12В/8,3А; 4-х тактный, одноцилиндровый с воздушным охлаждением; ручной стартер; бензин АИ-92</t>
  </si>
  <si>
    <t xml:space="preserve">6937888239137</t>
  </si>
  <si>
    <t xml:space="preserve">29765</t>
  </si>
  <si>
    <t xml:space="preserve">REDBO QDIG-6500QD Бензиновый инверторный генератор (5.5 кВт./6.0 кВт.,ручной/электро стартер)</t>
  </si>
  <si>
    <t xml:space="preserve">6000/5500Вт;312см3;13,5/0,8л; 12В/8,3А; 4-х тактный, одноцилиндровый с воздушным охлаждением; ручной стартер/электрозапуск; бензин АИ-92</t>
  </si>
  <si>
    <t xml:space="preserve">6937888239151</t>
  </si>
  <si>
    <t xml:space="preserve">29766</t>
  </si>
  <si>
    <t xml:space="preserve">REDBO QDIG-9000QD Бензиновый инверторный генератор (7200/6800Вт; 12,5/0,8л; ручной/электро стартер)</t>
  </si>
  <si>
    <t xml:space="preserve">220В/~50Гц; 312см3; 7200/6800Вт; 12,5/0,8л; 12В/8,3А; 4-х тактный, одноцилиндровый с воздушным охлаждением; ручной стартер/электрозапуск; бензин АИ-92</t>
  </si>
  <si>
    <t xml:space="preserve">6937888239168</t>
  </si>
  <si>
    <t xml:space="preserve">21506</t>
  </si>
  <si>
    <t xml:space="preserve">REDBO QIG-1200Q Бензиновый инверторный генератор</t>
  </si>
  <si>
    <t xml:space="preserve">6937888221002</t>
  </si>
  <si>
    <t xml:space="preserve">21507</t>
  </si>
  <si>
    <t xml:space="preserve">REDBO QIG-2000Q Бензиновый инверторный генератор</t>
  </si>
  <si>
    <t xml:space="preserve">6937888221019</t>
  </si>
  <si>
    <t xml:space="preserve">30901</t>
  </si>
  <si>
    <t xml:space="preserve">REDBO QIG-3000Q Бензиновый инверторный генератор</t>
  </si>
  <si>
    <t xml:space="preserve">6937888240089</t>
  </si>
  <si>
    <t xml:space="preserve">Стабилизатор напряжения</t>
  </si>
  <si>
    <t xml:space="preserve">39873</t>
  </si>
  <si>
    <t xml:space="preserve">REDBO RS-1000D Автоматический стабилизатор напряжения (220В., 1000VA.,140-260В., дисплей, релейный)</t>
  </si>
  <si>
    <t xml:space="preserve">140-260В; 220+/-4%В/~50Гц; 1000ВА; 4,55А; 90%; 20-35; 255+/-5В; 135+/-5В</t>
  </si>
  <si>
    <t xml:space="preserve">6937888246050</t>
  </si>
  <si>
    <t xml:space="preserve">39874</t>
  </si>
  <si>
    <t xml:space="preserve">REDBO RS-1500D Автоматический стабилизатор напряжения  (220В., 1500VA.,140-260В., дисплей, релейный)</t>
  </si>
  <si>
    <t xml:space="preserve">140-260В; 220+/-4%В/~50Гц; 1500ВА; 6,8А; 90%; 20-35; 255+/-5В; 135+/-5В</t>
  </si>
  <si>
    <t xml:space="preserve">6937888246067</t>
  </si>
  <si>
    <t xml:space="preserve">39875</t>
  </si>
  <si>
    <t xml:space="preserve">REDBO RS-2000D Автоматический стабилизатор напряжения  (220В., 2000VA.,140-260В., дисплей, релейный)</t>
  </si>
  <si>
    <t xml:space="preserve">140-260В; 220+/-4%В/~50Гц; 2000ВА; 9,09А; 90%; 20-35; 255+/-5В; 135+/-5В</t>
  </si>
  <si>
    <t xml:space="preserve">6937888246074</t>
  </si>
  <si>
    <t xml:space="preserve">39876</t>
  </si>
  <si>
    <t xml:space="preserve">REDBO RS-3000D Автоматический стабилизатор напряжения  (220В., 3000VA.,140-260В., дисплей, релейный)</t>
  </si>
  <si>
    <t xml:space="preserve">140-260В; 220+/-4%В/~50Гц; 3000ВА; 13,6А; 90%; 20-35; 255+/-5В; 135+/-5В</t>
  </si>
  <si>
    <t xml:space="preserve">6937888246081</t>
  </si>
  <si>
    <t xml:space="preserve">39877</t>
  </si>
  <si>
    <t xml:space="preserve">REDBO RS-5000D Автоматический стабилизатор напряжения однофазный</t>
  </si>
  <si>
    <t xml:space="preserve">140-260В; 220+/-4%В/~50Гц; 5000ВА; 22,7А; 90%; 20-35; 255+/-5В; 135+/-5В</t>
  </si>
  <si>
    <t xml:space="preserve">6937888246098</t>
  </si>
  <si>
    <t xml:space="preserve">39872</t>
  </si>
  <si>
    <t xml:space="preserve">REDBO RS-500D Автоматический стабилизатор напряжения (220В., 500VA.,140-260В., дисплей, релейный)</t>
  </si>
  <si>
    <t xml:space="preserve">140-260В; 220+/-4%В/~50Гц; 500ВА; 2,27А; 90%; 20-35; 255+/-5В; 135+/-5В</t>
  </si>
  <si>
    <t xml:space="preserve">6937888246043</t>
  </si>
  <si>
    <t xml:space="preserve">39878</t>
  </si>
  <si>
    <t xml:space="preserve">REDBO WMS-0.5D Автоматический стабилизатор напряжения однофазный</t>
  </si>
  <si>
    <t xml:space="preserve">140-260В; 220+/-4%В/~50Гц; 500ВА; 2,27А; 90%; 20-35;  240-280В; 120-200В</t>
  </si>
  <si>
    <t xml:space="preserve">6937888246104</t>
  </si>
  <si>
    <t xml:space="preserve">39879</t>
  </si>
  <si>
    <t xml:space="preserve">REDBO WMS-1.0D Автоматический стабилизатор напряжения однофазный</t>
  </si>
  <si>
    <t xml:space="preserve">140-260В; 220+/-4%В/~50Гц; 1000ВА; 4,54А; 90%; 20-35;  240-280В; 120-200В</t>
  </si>
  <si>
    <t xml:space="preserve">6937888246111</t>
  </si>
  <si>
    <t xml:space="preserve">39880</t>
  </si>
  <si>
    <t xml:space="preserve">REDBO WMS-2.0D Автоматический стабилизатор напряжения однофазный</t>
  </si>
  <si>
    <t xml:space="preserve">140-260В; 220+/-4%В/~50Гц; 2000ВА; 9,09А; 90%; 20-35;  240-280В; 120-200В</t>
  </si>
  <si>
    <t xml:space="preserve">6937888246128</t>
  </si>
  <si>
    <t xml:space="preserve">Пневмоинструмент и оборудование</t>
  </si>
  <si>
    <t xml:space="preserve">Компрессоры масляные</t>
  </si>
  <si>
    <t xml:space="preserve">39782</t>
  </si>
  <si>
    <t xml:space="preserve">Edon OAC-100/2200 Компрессор масляный ременной (2.2кВт., 310л./мин., 100л., 2 цил.ремень)</t>
  </si>
  <si>
    <t xml:space="preserve">2200Вт; 2800об/мин; 310л/мин; 0,8МПа/8,0бар; 1/2; 100л</t>
  </si>
  <si>
    <t xml:space="preserve">6937888246364</t>
  </si>
  <si>
    <t xml:space="preserve">7319</t>
  </si>
  <si>
    <t xml:space="preserve">Edon OAC-100/2400 Компрессор масляный ременной (2.4кВт., 380л./мин., 100л., 2 цил.ремень)</t>
  </si>
  <si>
    <t xml:space="preserve">2400Вт; 2800об/мин; 360л/мин; 0,8МПа/8,0бар;100л</t>
  </si>
  <si>
    <t xml:space="preserve">6937888227547</t>
  </si>
  <si>
    <t xml:space="preserve">17337</t>
  </si>
  <si>
    <t xml:space="preserve">Edon OAC-100/2400TS Компрессор (2.4кВт., 360л./мин., 100л., 3 цил.ремень)</t>
  </si>
  <si>
    <t xml:space="preserve">2400Вт;360л/мин;0,8МПа/8,0бар;100л</t>
  </si>
  <si>
    <t xml:space="preserve">6937888206511</t>
  </si>
  <si>
    <t xml:space="preserve">39776</t>
  </si>
  <si>
    <t xml:space="preserve">Edon OAC-25/1600 Компрессор масляный коаксиальный (1,6кВт., 198л./мин., 25л.)</t>
  </si>
  <si>
    <t xml:space="preserve">1600Вт; 2800об/мин; 198л/мин; 0,8МПа/8,0бар; 1/1; 25л</t>
  </si>
  <si>
    <t xml:space="preserve">6937888246333</t>
  </si>
  <si>
    <t xml:space="preserve">7318</t>
  </si>
  <si>
    <t xml:space="preserve">Edon OAC-50/1500 Компрессор (1,5кВт., 198л./мин., 50л.)</t>
  </si>
  <si>
    <t xml:space="preserve">1500Вт; 2800об/мин; 320л/мин; 0,8МПа/8,0бар;50л</t>
  </si>
  <si>
    <t xml:space="preserve">6937888227530</t>
  </si>
  <si>
    <t xml:space="preserve">39778</t>
  </si>
  <si>
    <t xml:space="preserve">Edon OAC-50/1800 Компрессор масляный коаксиальный (1,8кВт., 207л./мин., 50л.)</t>
  </si>
  <si>
    <t xml:space="preserve">1800Вт; 2800об/мин; 207л/мин; 0,8МПа/8,0бар; 1/1; 50л</t>
  </si>
  <si>
    <t xml:space="preserve">6937888246340</t>
  </si>
  <si>
    <t xml:space="preserve">17335</t>
  </si>
  <si>
    <t xml:space="preserve">Edon OAC-50/2200D Компрессор (2.2кВт., 270л./мин., 50л., 2 цил.)</t>
  </si>
  <si>
    <t xml:space="preserve">2200Вт; 2800об/мин; 270л/мин; 0,8МПа/8,0бар; 1/2; 50л</t>
  </si>
  <si>
    <t xml:space="preserve">6937888214783</t>
  </si>
  <si>
    <t xml:space="preserve">22140</t>
  </si>
  <si>
    <t xml:space="preserve">Edon PROtech 400/2200 Компрессор воздушный масляный (2.2кВт., 400л./мин., 50л., 2 цил.)</t>
  </si>
  <si>
    <t xml:space="preserve">2200Вт.</t>
  </si>
  <si>
    <t xml:space="preserve">6937888220821</t>
  </si>
  <si>
    <t xml:space="preserve">22141</t>
  </si>
  <si>
    <t xml:space="preserve">Edon PROtech 480/2400 Компрессор воздушный масляный (2.4кВт., 480л./мин., 50л., 3 цил.)</t>
  </si>
  <si>
    <t xml:space="preserve">2400Вт.</t>
  </si>
  <si>
    <t xml:space="preserve">6937888220838</t>
  </si>
  <si>
    <t xml:space="preserve">30313</t>
  </si>
  <si>
    <t xml:space="preserve">ETECH AOC-100/520 Компрессор масляный ременной</t>
  </si>
  <si>
    <t xml:space="preserve">220В/~50Гц; 2400Вт; 2800об/мин; 520л/мин; 0,8/8,0; 1/2; 100л</t>
  </si>
  <si>
    <t xml:space="preserve">6937888240393</t>
  </si>
  <si>
    <t xml:space="preserve">30314</t>
  </si>
  <si>
    <t xml:space="preserve">ETECH AOC-100/580 Компрессор масляный ременной</t>
  </si>
  <si>
    <t xml:space="preserve">220В/~50Гц; 2400Вт; 2800об/мин; 580л/мин; 0,8/8,0; 1/3; 100л</t>
  </si>
  <si>
    <t xml:space="preserve">6937888240409</t>
  </si>
  <si>
    <t xml:space="preserve">30310</t>
  </si>
  <si>
    <t xml:space="preserve">ETECH AOC-25/230 Компрессор масляный коаксиальный</t>
  </si>
  <si>
    <t xml:space="preserve">6937888240362</t>
  </si>
  <si>
    <t xml:space="preserve">19743</t>
  </si>
  <si>
    <t xml:space="preserve">REDBO ACO-100/2400 Компрессор масляный ременной (2.4кВт., 360л./мин., 100л., 2 цил.ремень)</t>
  </si>
  <si>
    <t xml:space="preserve">2400Вт; 2800об/мин; 360л/мин; 0,8МПа/8,0бар; 1/2; 100л</t>
  </si>
  <si>
    <t xml:space="preserve">6937888212994</t>
  </si>
  <si>
    <t xml:space="preserve">39783</t>
  </si>
  <si>
    <t xml:space="preserve">REDBO ACO-100/2400A Компрессор масляный ременной (2400Вт; 2800об/мин; 100 л, 370л/мин; 8,0бар; 1/2)</t>
  </si>
  <si>
    <t xml:space="preserve">2400Вт; 2800об/мин; 370л/мин; 0,8МПа/8,0бар; 1/2; 100л</t>
  </si>
  <si>
    <t xml:space="preserve">6937888246517</t>
  </si>
  <si>
    <t xml:space="preserve">39785</t>
  </si>
  <si>
    <t xml:space="preserve">REDBO ACO-100/2400B Компрессор масляный ременной (2.4кВт., 380л./мин., 100л., 3 цил.ремень)</t>
  </si>
  <si>
    <t xml:space="preserve">2400Вт; 2800об/мин; 380л/мин; 0,8МПа/8,0бар; 1/3; 100л</t>
  </si>
  <si>
    <t xml:space="preserve">6937888246524</t>
  </si>
  <si>
    <t xml:space="preserve">19739</t>
  </si>
  <si>
    <t xml:space="preserve">REDBO ACO-25/1000 Компрессор воздушный масляный (1,0кВт., 198л./мин., 25л, 8 бар)</t>
  </si>
  <si>
    <t xml:space="preserve">Потребляемая мощность, кВт: 1,0
Объем ресивера, л: 25
Частота вращения ротора двигателя, об/мин: 2800
Количество цилиндров, шт.:1
Производительность по всасыванию, л/мин: 260, 
Рабочее давление сжатого воздуха, Мпа/бар: 0,8/8,0
Количество ступеней, шт. 1, 
Масса нетто/брутто, кг.: 16,0/17,5
габаритные размеры, мм.: 550*270*585
срок эксплуатации: 3 года, 
срок хранения: 5 лет</t>
  </si>
  <si>
    <t xml:space="preserve">6937888212970</t>
  </si>
  <si>
    <t xml:space="preserve">39777</t>
  </si>
  <si>
    <t xml:space="preserve">REDBO ACO-25/1600 Компрессор масляный коаксиальный (1,6кВт., 198л./мин., 25л.)</t>
  </si>
  <si>
    <t xml:space="preserve">6937888246494</t>
  </si>
  <si>
    <t xml:space="preserve">39779</t>
  </si>
  <si>
    <t xml:space="preserve">REDBO ACO-50/1800 Компрессор масляный коаксиальный (1800Вт; 2800об/мин; 207л/мин; 8бар; 1/1)</t>
  </si>
  <si>
    <t xml:space="preserve">6937888246500</t>
  </si>
  <si>
    <t xml:space="preserve">39781</t>
  </si>
  <si>
    <t xml:space="preserve">REDBO ACO-50/2200 Компрессор масляный коаксиальный</t>
  </si>
  <si>
    <t xml:space="preserve">220В/~50Гц; 2200Вт; 2800об/мин; 270л/мин; 0,8МПа/8,0бар; 1/2; 50л</t>
  </si>
  <si>
    <t xml:space="preserve">6937888246357</t>
  </si>
  <si>
    <t xml:space="preserve">Компрессоры безмасляные</t>
  </si>
  <si>
    <t xml:space="preserve">39775</t>
  </si>
  <si>
    <t xml:space="preserve">REDBO ACN-100/3600-3 Компрессор безмасляный (3.6кВт., 315л./мин., 100л., 6 цил.)</t>
  </si>
  <si>
    <t xml:space="preserve">3600Вт; 2800об/мин; 315л/мин; 0,8/8,0бар; 3; 100л</t>
  </si>
  <si>
    <t xml:space="preserve">6937888233944</t>
  </si>
  <si>
    <t xml:space="preserve">27940</t>
  </si>
  <si>
    <t xml:space="preserve">REDBO ACN-100/3800*3 Компрессор безмаслянный (3.6кВт., 315л./мин., 100л., 6 цил.)</t>
  </si>
  <si>
    <t xml:space="preserve">3800Вт; 2800об/мин; 315л/мин; 0,8/8,0бар; 3; 100л</t>
  </si>
  <si>
    <t xml:space="preserve">6937888233944.</t>
  </si>
  <si>
    <t xml:space="preserve">19738</t>
  </si>
  <si>
    <t xml:space="preserve">REDBO ACN-25/1000 Компрессор воздушный безмасляный (700Вт, 120 л/мин, 25л, 8бар)</t>
  </si>
  <si>
    <t xml:space="preserve">6937888212826</t>
  </si>
  <si>
    <t xml:space="preserve">39773</t>
  </si>
  <si>
    <t xml:space="preserve">REDBO ACN-25/1200 Компрессор безмасляный (1.2кВт., 105л./мин., 25л., 2 цил.)</t>
  </si>
  <si>
    <t xml:space="preserve">1200Вт; 2800об/мин; 105л/мин; 0,8/8,0бар; 1; 25л</t>
  </si>
  <si>
    <t xml:space="preserve">6937888233920.</t>
  </si>
  <si>
    <t xml:space="preserve">27938</t>
  </si>
  <si>
    <t xml:space="preserve">REDBO ACN-25/1300 Компрессор безмаслянный (1.3кВт., 105л./мин., 25л., 2 цил.)</t>
  </si>
  <si>
    <t xml:space="preserve">1300Вт; 2800об/мин; 105л/мин; 0,8/8,0бар; 1; 25л</t>
  </si>
  <si>
    <t xml:space="preserve">6937888233920</t>
  </si>
  <si>
    <t xml:space="preserve">39774</t>
  </si>
  <si>
    <t xml:space="preserve">REDBO ACN-50/2400-2 Компрессор безмасляный (2.4кВт., 210л./мин., 50л., 4 цил.)</t>
  </si>
  <si>
    <t xml:space="preserve">2400Вт; 2800об/мин; 210л/мин; 0,8/8,0бар; 2; 50л</t>
  </si>
  <si>
    <t xml:space="preserve">6937888233937</t>
  </si>
  <si>
    <t xml:space="preserve">27939</t>
  </si>
  <si>
    <t xml:space="preserve">REDBO ACN-50/2600*2 Компрессор безмаслянный (2.6кВт., 210л./мин., 50л., 4 цил.)</t>
  </si>
  <si>
    <t xml:space="preserve">2600Вт; 2800об/мин; 210л/мин; 0,8/8,0бар; 2; 50л</t>
  </si>
  <si>
    <t xml:space="preserve">6937888233937.</t>
  </si>
  <si>
    <t xml:space="preserve">18912</t>
  </si>
  <si>
    <t xml:space="preserve">REDBO RB-2-1100F24 Компрессор безмасляный (1.1кВт., 105л./мин., 24л., 2 цил.)</t>
  </si>
  <si>
    <t xml:space="preserve">1100Вт; 2800об/мин;95л/мин;24л</t>
  </si>
  <si>
    <t xml:space="preserve">6937888210419</t>
  </si>
  <si>
    <t xml:space="preserve">Пневматические дрели</t>
  </si>
  <si>
    <t xml:space="preserve">19406</t>
  </si>
  <si>
    <t xml:space="preserve">Edon RP7107 Пневматическая дрель (10мм.бес.ключ., 700об./мин., 114 л.мин., доп.рукоятка)</t>
  </si>
  <si>
    <t xml:space="preserve">1/2(13мм),114л/мин.6,3бар.1/4"</t>
  </si>
  <si>
    <t xml:space="preserve">6942090380966</t>
  </si>
  <si>
    <t xml:space="preserve">38828</t>
  </si>
  <si>
    <t xml:space="preserve">REDBO RP-7101 Пневматическая дрель (10мм.ключ., 1800об./мин., 106 л.мин.)</t>
  </si>
  <si>
    <t xml:space="preserve">106л/мин.1800об/мин.металлический патрон 10мм.</t>
  </si>
  <si>
    <t xml:space="preserve">6937888245510</t>
  </si>
  <si>
    <t xml:space="preserve">Пневматические шлифовальные машины</t>
  </si>
  <si>
    <t xml:space="preserve">38831</t>
  </si>
  <si>
    <t xml:space="preserve">REDBO RP-7316 Пневматическая шлифовальная машина (150мм. 113л./мин.)</t>
  </si>
  <si>
    <t xml:space="preserve">113л/мин;10000об/мин; 1/4"; 150мм; 6,3бар; 3/8"</t>
  </si>
  <si>
    <t xml:space="preserve">6937888245879</t>
  </si>
  <si>
    <t xml:space="preserve">38945</t>
  </si>
  <si>
    <t xml:space="preserve">REDBO RP-7319 Пневматическая машина шлифовальная угловая</t>
  </si>
  <si>
    <t xml:space="preserve">140л/мин;10000об/мин;1/4";125мм;М14;6,3бар;3/8"</t>
  </si>
  <si>
    <t xml:space="preserve">6937888244339</t>
  </si>
  <si>
    <t xml:space="preserve">38829</t>
  </si>
  <si>
    <t xml:space="preserve">REDBO RP-7819 Пневматический гравер (3 мм., 57л.мин. гибкий вал, комплект насадок 10шт., лубрикатор,</t>
  </si>
  <si>
    <t xml:space="preserve">набор 17 предметов,Цанговый патрон 3,0 мм 1/8 дюйм57л/мин.</t>
  </si>
  <si>
    <t xml:space="preserve">6937888244223</t>
  </si>
  <si>
    <t xml:space="preserve">Пневматические гайковерты</t>
  </si>
  <si>
    <t xml:space="preserve">19408</t>
  </si>
  <si>
    <t xml:space="preserve">Edon RP 7445 Пневматический гайковёрт ударный (1/2, 675Н.м.,198л./мин 7000об/мин.)</t>
  </si>
  <si>
    <t xml:space="preserve">6942090330039</t>
  </si>
  <si>
    <t xml:space="preserve">7326</t>
  </si>
  <si>
    <t xml:space="preserve">Edon RP 7451 Пневматический гайковерт ударный(1/2, 610Н.м.,184л./мин.)</t>
  </si>
  <si>
    <t xml:space="preserve">Двойной ударный механизм, предназначен для шиномонтажных работ, защищен от пыли и коррозии   Размер коробки: 212*72*198</t>
  </si>
  <si>
    <t xml:space="preserve">6942090371957</t>
  </si>
  <si>
    <t xml:space="preserve">39163</t>
  </si>
  <si>
    <t xml:space="preserve">REDBO RB-9512 Пневматический гайковёрт ударный (1/2, 1100Нм,198л/мин, 7800 об/мин, 6,3 бар)</t>
  </si>
  <si>
    <t xml:space="preserve">1100Нм;198л/мин;7800об/мин;1/4"; 1/2"(13мм);16мм; 6,3бар;3/8"</t>
  </si>
  <si>
    <t xml:space="preserve">6937888234460</t>
  </si>
  <si>
    <t xml:space="preserve">38826</t>
  </si>
  <si>
    <t xml:space="preserve">REDBO RP-7404 Пневматический гайковёрт ударный (1/2, 312Нм,141л/мин, 6,3бар 7000об/мин)</t>
  </si>
  <si>
    <t xml:space="preserve">312Нм;141л/мин;7000об/мин;1/4"; 1/2"(13мм);14мм; 6,3бар;3/8"</t>
  </si>
  <si>
    <t xml:space="preserve">6937888245435</t>
  </si>
  <si>
    <t xml:space="preserve">38827</t>
  </si>
  <si>
    <t xml:space="preserve">REDBO RP-7412 Пневматическая трещотка (1/2, 68Нм,77л/мин, 160 об/мин, 3/8)</t>
  </si>
  <si>
    <t xml:space="preserve">68Нм;77л/мин;160об/мин;1/4"; 1/2"(13мм);6,3бар;3/8"</t>
  </si>
  <si>
    <t xml:space="preserve">6937888244322</t>
  </si>
  <si>
    <t xml:space="preserve">38943</t>
  </si>
  <si>
    <t xml:space="preserve">REDBO RP-7426 Пневматический гайковёрт ударный (1/2,610Нм,156л/мин,6,3бар, 9000 об/мин )</t>
  </si>
  <si>
    <t xml:space="preserve">610Нм;156л/мин;9000об/мин;1/4"; 1/2"(13мм);16мм; 6,3бар;3/8"</t>
  </si>
  <si>
    <t xml:space="preserve">6937888245480</t>
  </si>
  <si>
    <t xml:space="preserve">38944</t>
  </si>
  <si>
    <t xml:space="preserve">REDBO RP-7426K Пневматический гайковёрт ударный (1/2, 610Нм,142,5л/мин, 6,3бар, 8500 об/мин)</t>
  </si>
  <si>
    <t xml:space="preserve">610Нм;142,5л/мин;8500об/мин;1/4"; 1/2"(13мм);16мм; 6,3бар;3/8"</t>
  </si>
  <si>
    <t xml:space="preserve">6937888244308</t>
  </si>
  <si>
    <t xml:space="preserve">38946</t>
  </si>
  <si>
    <t xml:space="preserve">REDBO RP-7462 Пневматический гайковёрт ударный (1/2, 1800Нм, 583л/мин, 4600 об/мин, 6,3 бар)</t>
  </si>
  <si>
    <t xml:space="preserve">1800Нм;583л/мин;4600об/мин;1/4"; 1/2"(13мм);6,3бар;3/8"</t>
  </si>
  <si>
    <t xml:space="preserve">6937888244315</t>
  </si>
  <si>
    <t xml:space="preserve">Пневматические нейлеры и степлеры</t>
  </si>
  <si>
    <t xml:space="preserve">38833</t>
  </si>
  <si>
    <t xml:space="preserve">REDBO AS-5040E Пневматический нейлер/степлер (скоба 16-40/1.0-1.2, гвоздь 15-50/1.0-1.2, 53,4л.мин.)</t>
  </si>
  <si>
    <t xml:space="preserve">53,4л/мин;1/4"; 15-50/16-40мм; 1,0-1,25мм; 100шт; 8,3бар; 4-7бар; 3/8"</t>
  </si>
  <si>
    <t xml:space="preserve">6937888245022</t>
  </si>
  <si>
    <t xml:space="preserve">38832</t>
  </si>
  <si>
    <t xml:space="preserve">REDBO AS-V8016 Пневматический степлер (скоба GA21 6-16, 8,3бар, 100шт, 0,5л/уд)</t>
  </si>
  <si>
    <t xml:space="preserve">требуемое давление 4,8-7,5Атм,размер крепежа GA21,2в1 скобы,гвозди</t>
  </si>
  <si>
    <t xml:space="preserve">6937888244346</t>
  </si>
  <si>
    <t xml:space="preserve">Пневматические краскораспылители</t>
  </si>
  <si>
    <t xml:space="preserve">39054</t>
  </si>
  <si>
    <t xml:space="preserve">Edon SBG-3 Текстурный распылитель пневматический (4мм.,6мм.,8мм., 250л./мин.)</t>
  </si>
  <si>
    <t xml:space="preserve">5,0л; 4,0/6,0/8,0мм; HP; от 250л/мин; 3-5бар; 1/4"; 8,0мм</t>
  </si>
  <si>
    <t xml:space="preserve">6937888244032</t>
  </si>
  <si>
    <t xml:space="preserve">39053</t>
  </si>
  <si>
    <t xml:space="preserve">Edon SG-1.5 HVLP Пневматический краскораспылитель</t>
  </si>
  <si>
    <t xml:space="preserve">0,6л; 1,5мм; 4,5-6,0бар; 8,3бар; 120-200л/мин</t>
  </si>
  <si>
    <t xml:space="preserve">6937888244025</t>
  </si>
  <si>
    <t xml:space="preserve">38949</t>
  </si>
  <si>
    <t xml:space="preserve">REDBO PT-3/2.0 Красконагнетательный бак (10л., 15м., 1.4-2.1бар)</t>
  </si>
  <si>
    <t xml:space="preserve">170-250л/мин;10л; 3,8бар; 1/4"; 1,5мм; 1,8_2,0_2,5мм; 180-230мм</t>
  </si>
  <si>
    <t xml:space="preserve">6937888245138</t>
  </si>
  <si>
    <t xml:space="preserve">Пневматические ножницы</t>
  </si>
  <si>
    <t xml:space="preserve">38830</t>
  </si>
  <si>
    <t xml:space="preserve">REDBO RP-7610 Пневматические ножницы по металлу (1.2мм., 141л./мин, 1800р/мин,6,3бар)</t>
  </si>
  <si>
    <t xml:space="preserve">114л/мин;ход ножа 1800 х/мин.,Мах.толщина рез стали 1,2мм.</t>
  </si>
  <si>
    <t xml:space="preserve">6937888245572</t>
  </si>
  <si>
    <t xml:space="preserve">Пневматические пилы</t>
  </si>
  <si>
    <t xml:space="preserve">38942</t>
  </si>
  <si>
    <t xml:space="preserve">REDBO RP-7602 Пневматическая сабельная пила (8-10мм, 169л/мин, 9000кол/мин, 6,3бар)</t>
  </si>
  <si>
    <t xml:space="preserve">114л/мин.рабочий ход 5000х/мин.Мах.толщина рез материала 1,5мм.</t>
  </si>
  <si>
    <t xml:space="preserve">6937888245763</t>
  </si>
  <si>
    <t xml:space="preserve">Аппараты для безвоздушного распыления</t>
  </si>
  <si>
    <t xml:space="preserve">39721</t>
  </si>
  <si>
    <t xml:space="preserve">Edon RP-8626 Окрасочный аппарат безвоздушного распыления (750 Вт., 1.2л./мин., 207бар)</t>
  </si>
  <si>
    <t xml:space="preserve">800Вт(1,09л.с.); 1,7л/мин; 207бар(3000PSI); 7,6м</t>
  </si>
  <si>
    <t xml:space="preserve">6937888245350</t>
  </si>
  <si>
    <t xml:space="preserve">38947</t>
  </si>
  <si>
    <t xml:space="preserve">REDBO APS-330 Окрасочный аппарат безвоздушного распыления (1400 Вт., 3л./мин., 830бар)</t>
  </si>
  <si>
    <t xml:space="preserve">6937888245084</t>
  </si>
  <si>
    <t xml:space="preserve">38948</t>
  </si>
  <si>
    <t xml:space="preserve">REDBO APS-515 Окрасочный аппарат безвоздушного распыления (2200Вт., асинхр.двиг., 3.5л./мин., 227бар</t>
  </si>
  <si>
    <t xml:space="preserve">6937888245077</t>
  </si>
  <si>
    <t xml:space="preserve">38950</t>
  </si>
  <si>
    <t xml:space="preserve">REDBO APS-8626 Окрасочный аппарат безвоздушного распыления (800 Вт., 1.7л./мин., 207бар)</t>
  </si>
  <si>
    <t xml:space="preserve">800Вт(1,09л.с.);1,7л/мин; 207бар(3000PSI); 7,6м</t>
  </si>
  <si>
    <t xml:space="preserve">6937888245091</t>
  </si>
  <si>
    <t xml:space="preserve">Наборы пневмоинструмента</t>
  </si>
  <si>
    <t xml:space="preserve">39056</t>
  </si>
  <si>
    <t xml:space="preserve">Edon PTK-4 Набор пневмоинструмента (4 предмета, краск-тель, продувка+насадка, подкачка, шланг)</t>
  </si>
  <si>
    <t xml:space="preserve">Краскораспылитель_Продувочный пистолет_Пистолет для подкачки шин_Шланг для компрессора(5м)</t>
  </si>
  <si>
    <t xml:space="preserve">6937888244056</t>
  </si>
  <si>
    <t xml:space="preserve">39055</t>
  </si>
  <si>
    <t xml:space="preserve">Edon PTK-5 Набор пневмоинструмента (5 предметов краск-тель, продувка+насадка, подкачка, мойка, шланг</t>
  </si>
  <si>
    <t xml:space="preserve">Краскораспылитель_Продувочный пистолет_Пистолет для подкачки шин_Моечный пистолет_Шланг для компрессора(5м)</t>
  </si>
  <si>
    <t xml:space="preserve">6937888244049</t>
  </si>
  <si>
    <t xml:space="preserve">Пневматические пистолеты (продувка, подкачка колес)</t>
  </si>
  <si>
    <t xml:space="preserve">39051</t>
  </si>
  <si>
    <t xml:space="preserve">Edon AG-1 Пневматический продувочный пистолет</t>
  </si>
  <si>
    <t xml:space="preserve">6 атм; 1/4"</t>
  </si>
  <si>
    <t xml:space="preserve">6937888244001</t>
  </si>
  <si>
    <t xml:space="preserve">39052</t>
  </si>
  <si>
    <t xml:space="preserve">EDON AG-3 Пневматический пистолет</t>
  </si>
  <si>
    <t xml:space="preserve">6937888244018</t>
  </si>
  <si>
    <t xml:space="preserve">39057</t>
  </si>
  <si>
    <t xml:space="preserve">Edon TI-1 Пистолет для подкачки шин </t>
  </si>
  <si>
    <t xml:space="preserve">6937888244063</t>
  </si>
  <si>
    <t xml:space="preserve">39058</t>
  </si>
  <si>
    <t xml:space="preserve">Edon TI-2 Пистолет для подкачки шин </t>
  </si>
  <si>
    <t xml:space="preserve">6937888244070</t>
  </si>
  <si>
    <t xml:space="preserve">Пневматические шланги</t>
  </si>
  <si>
    <t xml:space="preserve">38926</t>
  </si>
  <si>
    <t xml:space="preserve">Edon HPU-8/10 Шланг для компрессора  (5мм./8мм., 10м.)</t>
  </si>
  <si>
    <t xml:space="preserve">внутр.-5мм; внеш.-8мм; 10м; PU; max-8бар</t>
  </si>
  <si>
    <t xml:space="preserve">6937888243882</t>
  </si>
  <si>
    <t xml:space="preserve">38927</t>
  </si>
  <si>
    <t xml:space="preserve">Edon HPU-8/15 Шланг для компрессора  (5мм./8мм., 15м.)</t>
  </si>
  <si>
    <t xml:space="preserve">внутр.-5мм; внеш.-8мм; 15м; PU; max-8бар</t>
  </si>
  <si>
    <t xml:space="preserve">6937888243899</t>
  </si>
  <si>
    <t xml:space="preserve">38825</t>
  </si>
  <si>
    <t xml:space="preserve">Edon HPU-8/5 Шланг для компрессора  (5мм./8мм., 5м.)</t>
  </si>
  <si>
    <t xml:space="preserve">внутр.-5мм; внеш.-8мм; 5м; PU; max-8бар</t>
  </si>
  <si>
    <t xml:space="preserve">6937888243875</t>
  </si>
  <si>
    <t xml:space="preserve">38940</t>
  </si>
  <si>
    <t xml:space="preserve">Edon HPVC-16/10 Шланг для компрессора  (10мм./16мм., 10м.)</t>
  </si>
  <si>
    <t xml:space="preserve">внутр.-10мм; внеш.-16мм; 10м; HPVC; 20бар; рапид 1/4"</t>
  </si>
  <si>
    <t xml:space="preserve">6937888243905</t>
  </si>
  <si>
    <t xml:space="preserve">38941</t>
  </si>
  <si>
    <t xml:space="preserve">Edon HPVC-16/15 Шланг для компрессора  (10мм./16мм., 15м.)</t>
  </si>
  <si>
    <t xml:space="preserve">внутр.-10мм; внеш.-16мм; 15м; HPVC; 20бар; рапид 1/4"</t>
  </si>
  <si>
    <t xml:space="preserve">6937888243912</t>
  </si>
  <si>
    <t xml:space="preserve">Подготовка воздуха</t>
  </si>
  <si>
    <t xml:space="preserve">39044</t>
  </si>
  <si>
    <t xml:space="preserve">REDBO F-1 Фильтр воздушный (1/4M; 1/4F)</t>
  </si>
  <si>
    <t xml:space="preserve">14bar; 0-12bar; 1/4"</t>
  </si>
  <si>
    <t xml:space="preserve">6937888244186</t>
  </si>
  <si>
    <t xml:space="preserve">39043</t>
  </si>
  <si>
    <t xml:space="preserve">REDBO FR-1 Устройство для сжатого воздуха (1/4, влагоотделитель с рег.давления)</t>
  </si>
  <si>
    <t xml:space="preserve">9,5bar; 0-10bar</t>
  </si>
  <si>
    <t xml:space="preserve">6937888244179</t>
  </si>
  <si>
    <t xml:space="preserve">39042</t>
  </si>
  <si>
    <t xml:space="preserve">REDBO FRL-2 Устройство для сжатого воздуха (1/4, влаго/маслоотделитель с рег.давления)</t>
  </si>
  <si>
    <t xml:space="preserve">6937888244162</t>
  </si>
  <si>
    <t xml:space="preserve">39045</t>
  </si>
  <si>
    <t xml:space="preserve">REDBO L-2 Лубрикатор (1/4M; 1/4F)</t>
  </si>
  <si>
    <t xml:space="preserve">220PSI; 0-150PSI; G1/4"</t>
  </si>
  <si>
    <t xml:space="preserve">6937888244193</t>
  </si>
  <si>
    <t xml:space="preserve">Садовая техника</t>
  </si>
  <si>
    <t xml:space="preserve">Бензотриммеры</t>
  </si>
  <si>
    <t xml:space="preserve">24413</t>
  </si>
  <si>
    <t xml:space="preserve">Edon GT-430/2600C Бензотриммер (43см3; 2,6кВт(3,5л.с.),неразъёмная штанга, 3-х лопастной нож, леска)</t>
  </si>
  <si>
    <t xml:space="preserve">43см3; 2,6кВт(3,5л.с.); 254/400мм</t>
  </si>
  <si>
    <t xml:space="preserve">6937888218774</t>
  </si>
  <si>
    <t xml:space="preserve">39108</t>
  </si>
  <si>
    <t xml:space="preserve">Edon GT-520/3000B Бензотриммер (4.1 л.с.,разъёмная штанга, 3-х лопастной нож, леска)</t>
  </si>
  <si>
    <t xml:space="preserve">52см3; 3,0кВт(4,1л.с.); 254/400мм</t>
  </si>
  <si>
    <t xml:space="preserve">6937888243967</t>
  </si>
  <si>
    <t xml:space="preserve">25162</t>
  </si>
  <si>
    <t xml:space="preserve">Edon GT-520/3000C Бензотриммер (4.1 л.с.,разъёмная штанга, 3-х лопастной нож, леска)</t>
  </si>
  <si>
    <t xml:space="preserve">6937888217807</t>
  </si>
  <si>
    <t xml:space="preserve">39109</t>
  </si>
  <si>
    <t xml:space="preserve">Edon GT-630/3700B Бензотриммер (4.9 л.с.,разъёмная штанга, 3-х лопастной нож, леска)</t>
  </si>
  <si>
    <t xml:space="preserve">63см3; 3,7кВт(4,9л.с.); 254/400мм</t>
  </si>
  <si>
    <t xml:space="preserve">6937888243974</t>
  </si>
  <si>
    <t xml:space="preserve">25163</t>
  </si>
  <si>
    <t xml:space="preserve">Edon GT-630/3700C Бензотриммер (4.9 л.с.,неразъёмная штанга, 3-х лопастной нож, леска)</t>
  </si>
  <si>
    <t xml:space="preserve">6937888217814</t>
  </si>
  <si>
    <t xml:space="preserve">20409</t>
  </si>
  <si>
    <t xml:space="preserve">REDBO GST-390/1250F Бензотриммер (4х-такт.,1.1 л.с.,неразём. штанга, нож-2 шт.(2Т+3Т), диск-2-шт.,ре</t>
  </si>
  <si>
    <t xml:space="preserve">31см3; 0,8кВт(1,09л.с);3000-3400 об/мин. 255(305)/460мм.100мл.650мл.4-х тактный</t>
  </si>
  <si>
    <t xml:space="preserve">6937888217852</t>
  </si>
  <si>
    <t xml:space="preserve">19331</t>
  </si>
  <si>
    <t xml:space="preserve">REDBO GST-430/2600 Бензотриммер</t>
  </si>
  <si>
    <t xml:space="preserve">Двигатель: 2-х тактный, с воздушным охлаждением
Тип зажигания: электронный, бесконтактный
Объем двигателя: 52,0 см. куб
Зазор свечи зажигания: 0,7 мм
Мощность двигателя: 3,0 кВт/4,1 л.с
Топливо: бензин АИ-92
Топливная смесь (бензиНмасло): 25//1
Класс масла: SAE M/F4 API TC
Стартер: ручной
Приводной вал: цельный/разъемный
Ширина захвата (нож/леска): 254/400 мм</t>
  </si>
  <si>
    <t xml:space="preserve">20411</t>
  </si>
  <si>
    <t xml:space="preserve">REDBO GST-430/2600C Бензотриммер (2.6 л.с.,неразъёмная штанга, нож-2 шт.(2Т+3Т), диск-2-шт.,рем. ран</t>
  </si>
  <si>
    <t xml:space="preserve">6937888217821</t>
  </si>
  <si>
    <t xml:space="preserve">19173</t>
  </si>
  <si>
    <t xml:space="preserve">REDBO GST-520/3000 Бензотриммер</t>
  </si>
  <si>
    <t xml:space="preserve">20412</t>
  </si>
  <si>
    <t xml:space="preserve">REDBO GST-520/3000C Бензотриммер (3 л.с.,неразъёмная штанга, нож-2 шт.(2Т+3Т), диск-2-шт.,рем. ранец</t>
  </si>
  <si>
    <t xml:space="preserve">6937888211225</t>
  </si>
  <si>
    <t xml:space="preserve">19174</t>
  </si>
  <si>
    <t xml:space="preserve">REDBO GST-630/3700 Бензотриммер</t>
  </si>
  <si>
    <t xml:space="preserve">Двигатель: 2-х тактный, с воздушным охлаждением
Тип зажигания: электронный, бесконтактный
Объем двигателя: 63,0 см. куб
Зазор свечи зажигания: 0,7 мм
Мощность двигателя: 3,7 кВт/4,9 л.с
Топливо: бензин АИ-92
Топливная смесь (бензиНмасло): 25//1
Класс масла: SAE M/F4 API TC
Стартер: ручной
Приводной вал: цельный/разъемный
Ширина захвата (нож/леска): 254/400 мм</t>
  </si>
  <si>
    <t xml:space="preserve">Бензопилы</t>
  </si>
  <si>
    <t xml:space="preserve">40167</t>
  </si>
  <si>
    <t xml:space="preserve">Edon GCS-12/2000 Пила цепная бензиновая (25,4см3; 2000Вт(2,7л.с.); 400/240мл; 304мм/12"; 3/8; 45шт)</t>
  </si>
  <si>
    <t xml:space="preserve">25,4см3; 2000Вт(2,7л.с.); 400/240мл; 304мм/12"; 3/8; 45шт</t>
  </si>
  <si>
    <t xml:space="preserve">6937888248177</t>
  </si>
  <si>
    <t xml:space="preserve">22119</t>
  </si>
  <si>
    <t xml:space="preserve">Edon GCS-16/2400B Пила цепная бензиновая (2400Вт(3,3л.с.); 550/250мл; 405мм/16"; 3/8; 57шт; 0,15с)</t>
  </si>
  <si>
    <t xml:space="preserve">54,4см3; 2400Вт(3,3л.с.); 550/250мл; 405мм/16"; 3/8; 57шт; 0,15с</t>
  </si>
  <si>
    <t xml:space="preserve">6937888215735</t>
  </si>
  <si>
    <t xml:space="preserve">22120</t>
  </si>
  <si>
    <t xml:space="preserve">Edon GCS-18/2600B Пила цепная бензиновая (54,4см3; 2600Вт(3,5л.с.); 550/250мл; 455мм/18"; 3/8; 64шт)</t>
  </si>
  <si>
    <t xml:space="preserve">54,4см3; 2600Вт(3,5л.с.); 550/250мл; 455мм/18"; 3/8; 64шт; 0,15с</t>
  </si>
  <si>
    <t xml:space="preserve">6937888215742</t>
  </si>
  <si>
    <t xml:space="preserve">22121</t>
  </si>
  <si>
    <t xml:space="preserve">Edon GCS-20/2800B Бензопила (3.7л.с., 20",0.325, 78)</t>
  </si>
  <si>
    <t xml:space="preserve">52см3; 2,8кВт; 20/50,6дюйм/см.78шт.0.325дюйма.1,5мм.260мл.550мл.</t>
  </si>
  <si>
    <t xml:space="preserve">6937888225208</t>
  </si>
  <si>
    <t xml:space="preserve">20415</t>
  </si>
  <si>
    <t xml:space="preserve">REDBO PCS-5216 Бензопила (3.2л.с., 16",0.325, 64)</t>
  </si>
  <si>
    <t xml:space="preserve">52см3; 2,4(3,2)кВт(л/с); 406/16”мм/дюйм.64шт.3/8 - 0,325.260мл.550мл.</t>
  </si>
  <si>
    <t xml:space="preserve">6937888217869</t>
  </si>
  <si>
    <t xml:space="preserve">20416</t>
  </si>
  <si>
    <t xml:space="preserve">REDBO PCS-5218 Бензопила (3.5л.с., 18",0.325, 72)</t>
  </si>
  <si>
    <t xml:space="preserve">52см3; 2,6(3,5)кВт(л/с); 457/18”мм/дюйм.72шт.3/8 - 0,325.260мл.550мл.</t>
  </si>
  <si>
    <t xml:space="preserve">6937888217876</t>
  </si>
  <si>
    <t xml:space="preserve">20417</t>
  </si>
  <si>
    <t xml:space="preserve">REDBO PCS-5820 Бензопила (3.8л.с., 20",0.325, 76)</t>
  </si>
  <si>
    <t xml:space="preserve">58см3; 2,8(3,8)кВт(л/с);508/20”мм/дюйм.76шт.3/8 - 0,325.260мл.550мл.</t>
  </si>
  <si>
    <t xml:space="preserve">6937888217883</t>
  </si>
  <si>
    <t xml:space="preserve">Двигатели</t>
  </si>
  <si>
    <t xml:space="preserve">30468</t>
  </si>
  <si>
    <t xml:space="preserve">Edon Бензиновый двигатель GE-20/180 (170F, 196CC, 6.0 л.с./7.0 л.с.,ручной стартер)</t>
  </si>
  <si>
    <t xml:space="preserve">4,5кВт/5,2кВт;196см3; 6,0/7,0л.с;68х54мм; 13,2Нм; 3,6л/0,6л; 360г/кВт.ч; 4-х тактный, одноцилиндровый с воздушным охлаждением с верхним расположением клапанов; ручной стартер; бензин АИ-92</t>
  </si>
  <si>
    <t xml:space="preserve">6937888240096</t>
  </si>
  <si>
    <t xml:space="preserve">Бензиновые газонокосилки</t>
  </si>
  <si>
    <t xml:space="preserve">20844</t>
  </si>
  <si>
    <t xml:space="preserve">Edon GML-410/2600 БЕНЗИНОВАЯ ГАЗОНОКОСИЛКА (410мм., 4л.с.)</t>
  </si>
  <si>
    <t xml:space="preserve">XYM158-1B.139см³.5,0л.с.2800об/мин.АИ-92.1,0Л.1,3Л.ручной,40Л.8шт.25-70высота мм.410 мм.ширина</t>
  </si>
  <si>
    <t xml:space="preserve">6937888219412</t>
  </si>
  <si>
    <t xml:space="preserve">20845</t>
  </si>
  <si>
    <t xml:space="preserve">Edon GML-460/4600 БЕНЗИНОВАЯ ГАЗОНОКОСИЛКА (460мм., 5л.с.)</t>
  </si>
  <si>
    <t xml:space="preserve">XYM168-1B.139см³.5,0л.с.2800об/мин.АИ-92.1,3Л.1,3Л.самоходный,60Л.7шт.20-65высота мм.460 мм.ширина</t>
  </si>
  <si>
    <t xml:space="preserve">6937888219429</t>
  </si>
  <si>
    <t xml:space="preserve">20846</t>
  </si>
  <si>
    <t xml:space="preserve">Edon GML-510/4800 БЕНЗИНОВАЯ ГАЗОНОКОСИЛКА (510мм., 6л.с, самоходная)</t>
  </si>
  <si>
    <t xml:space="preserve">XYM178-2B.139см³.5,0л.с.2800об/мин.АИ-92.1,3Л.1,3Л.самоходный,60Л.7шт.20-65высота мм.510 мм.ширина</t>
  </si>
  <si>
    <t xml:space="preserve">6937888219436</t>
  </si>
  <si>
    <t xml:space="preserve">Мотобуры</t>
  </si>
  <si>
    <t xml:space="preserve">18277</t>
  </si>
  <si>
    <t xml:space="preserve">Edon EA-20/52 Мотобур (52см3; 1600Вт(2,18л.с.); 1,0л)</t>
  </si>
  <si>
    <t xml:space="preserve">1600Вт(2,18л.с.); скорость шнека 150-310 об/мин, 2-х тактный, ручной стартер, 52см3;  топлив бак 1,0л, 9000 об/мин, металл редуктор</t>
  </si>
  <si>
    <t xml:space="preserve">6937888207921</t>
  </si>
  <si>
    <t xml:space="preserve">Пилы цепные электрические</t>
  </si>
  <si>
    <t xml:space="preserve">24253</t>
  </si>
  <si>
    <t xml:space="preserve">Edon ECS-405/1800 Пила цепная электрическая (1800Вт., 16")</t>
  </si>
  <si>
    <t xml:space="preserve">1800Вт; 16"/405мм; 10м/с; 160мл; 3/8", 59шт; 1,3мм</t>
  </si>
  <si>
    <t xml:space="preserve">6937888229732</t>
  </si>
  <si>
    <t xml:space="preserve">8452</t>
  </si>
  <si>
    <t xml:space="preserve">Edon ECS405-KA30 Электрическая пила цепная (1400Вт., 14")</t>
  </si>
  <si>
    <t xml:space="preserve">1400Вт; 14/35дюйм/см; 13м/с; 120мл; 3/8", 52шт; 1,3мм</t>
  </si>
  <si>
    <t xml:space="preserve">6937888233388</t>
  </si>
  <si>
    <t xml:space="preserve">22152</t>
  </si>
  <si>
    <t xml:space="preserve">Edon ECS405-KA30C Электрическая пила цепная (1400Вт., 14")</t>
  </si>
  <si>
    <t xml:space="preserve">1400Вт; 14/35,5дюйм/см; 13м/с; 120мл; 3/8", 52шт; 1,3мм</t>
  </si>
  <si>
    <t xml:space="preserve">6937888225406</t>
  </si>
  <si>
    <t xml:space="preserve">7293</t>
  </si>
  <si>
    <t xml:space="preserve">Edon ECS405-KA40 Электрическая пила цепная (1800Вт., 16")</t>
  </si>
  <si>
    <t xml:space="preserve">Параметры сети: 220В/50Гц, 
Потребляемая мощность: 1800 Вт
Скорость движения цепи: 13 м/сек, 
Допустимые размеры шины: 16,18,20
Автоматическая смазка цепи: да
механический тормоз: нет</t>
  </si>
  <si>
    <t xml:space="preserve">6937888233371</t>
  </si>
  <si>
    <t xml:space="preserve">21339</t>
  </si>
  <si>
    <t xml:space="preserve">KATANA 2200 Электрическая пила цепная</t>
  </si>
  <si>
    <t xml:space="preserve">Садовые измельчители</t>
  </si>
  <si>
    <t xml:space="preserve">39842</t>
  </si>
  <si>
    <t xml:space="preserve">Edon ES-45/2800 Садовый измельчитель (2800Вт., 45мм., ножи, мешок)</t>
  </si>
  <si>
    <t xml:space="preserve">2800Вт;4000об/мин;45мм;50л</t>
  </si>
  <si>
    <t xml:space="preserve">6937888247002</t>
  </si>
  <si>
    <t xml:space="preserve">39841</t>
  </si>
  <si>
    <t xml:space="preserve">Edon ES-45/3000 Садовый измельчитель (3000Вт., 45мм., ножи, пластиковый ящик, колёса)</t>
  </si>
  <si>
    <t xml:space="preserve">3000Вт;4000об/мин;45мм;60л</t>
  </si>
  <si>
    <t xml:space="preserve">6937888246999</t>
  </si>
  <si>
    <t xml:space="preserve">39843</t>
  </si>
  <si>
    <t xml:space="preserve">Edon ES-45/3200 Садовый измельчитель (3200Вт., 45мм., фреза, пластиковый ящик, колёса)</t>
  </si>
  <si>
    <t xml:space="preserve">3200Вт;54об/мин;45мм;60л.фреза</t>
  </si>
  <si>
    <t xml:space="preserve">6937888246982</t>
  </si>
  <si>
    <t xml:space="preserve">Опрыскиватели механические</t>
  </si>
  <si>
    <t xml:space="preserve">21065</t>
  </si>
  <si>
    <t xml:space="preserve">Edon GS-10 Опрыскиватель универсальный(10л) </t>
  </si>
  <si>
    <t xml:space="preserve">10л.,0,23±0,03 (2,3±0,3).МПа (атм.);0,6 - 0,8л/мин.</t>
  </si>
  <si>
    <t xml:space="preserve">6937888214882</t>
  </si>
  <si>
    <t xml:space="preserve">20426</t>
  </si>
  <si>
    <t xml:space="preserve">Edon GS-5 Опрыскиватель универсальный (5л)</t>
  </si>
  <si>
    <t xml:space="preserve">5л.,0,23±0,03 (2,3±0,3).МПа (атм.);0,6 - 0,8л/мин.</t>
  </si>
  <si>
    <t xml:space="preserve">6937888214868</t>
  </si>
  <si>
    <t xml:space="preserve">20428</t>
  </si>
  <si>
    <t xml:space="preserve">Edon GS-8 Опрыскиватель универсальный (8л)</t>
  </si>
  <si>
    <t xml:space="preserve">8л.,0,23±0,03 (2,3±0,3).МПа (атм.);0,6 - 0,8л/мин.</t>
  </si>
  <si>
    <t xml:space="preserve">6937888214875</t>
  </si>
  <si>
    <t xml:space="preserve">Электрические триммеры</t>
  </si>
  <si>
    <t xml:space="preserve">19386</t>
  </si>
  <si>
    <t xml:space="preserve">Edon ET-1200 Триммер электрический .</t>
  </si>
  <si>
    <t xml:space="preserve">1200Вт; 400мм; леска -1,6мм; 12000об/мин</t>
  </si>
  <si>
    <t xml:space="preserve">6937888211003</t>
  </si>
  <si>
    <t xml:space="preserve">19385</t>
  </si>
  <si>
    <t xml:space="preserve">Edon ET-1700 Триммер электрический</t>
  </si>
  <si>
    <t xml:space="preserve">Напряжение / Частота: 220В / 50Гц
Мощность (Вт): 1700
Частота вращения лески на холостом ходу, (об/мин) 12,000
Трехлопастной нож: (мм.) ø230хø25,4х1,4 мм
Рабочий диаметр / диаметр ствола (мм): 400 / 2,0
Масса (нетто/брутто), кг 4.8 / 5.6</t>
  </si>
  <si>
    <t xml:space="preserve">6937888226168</t>
  </si>
  <si>
    <t xml:space="preserve">35703</t>
  </si>
  <si>
    <t xml:space="preserve">Edon ET-1700C Триммер электрический  (1700Вт., леска, изогнутая раъёмная штанга)</t>
  </si>
  <si>
    <t xml:space="preserve">1700Вт;7000об/мин;430мм; леска -1,6мм.</t>
  </si>
  <si>
    <t xml:space="preserve">6937888241970</t>
  </si>
  <si>
    <t xml:space="preserve">15983</t>
  </si>
  <si>
    <t xml:space="preserve">Edon ET-2000E Триммер электрический </t>
  </si>
  <si>
    <t xml:space="preserve">Напряжение / Частота: 220В / 50Гц
Мощность (Вт): 2000
Частота вращения лески на холостом ходу, (об/мин) 12,000
Трехлопастной нож: (мм.) ø230хø25,4х1,4 мм
Рабочий диаметр / диаметр ствола (мм): 400 / 2,0
Масса (нетто/брутто), кг 4.8 / 5.6</t>
  </si>
  <si>
    <t xml:space="preserve">6937888226175</t>
  </si>
  <si>
    <t xml:space="preserve">35701</t>
  </si>
  <si>
    <t xml:space="preserve">Edon ET-2000EA Триммер электрический (2000Вт., леска, 3-х лопастной нож, прямая раъёмная штанга, вел</t>
  </si>
  <si>
    <t xml:space="preserve">2000Вт;7000об/мин;380/255мм;леска - 1,6мм.</t>
  </si>
  <si>
    <t xml:space="preserve">6937888241956</t>
  </si>
  <si>
    <t xml:space="preserve">35702</t>
  </si>
  <si>
    <t xml:space="preserve">Edon ET-2000EC Триммер электрический (2000Вт., леска, 3-х лопастной нож, прямая раъёмная штанга, D-о</t>
  </si>
  <si>
    <t xml:space="preserve">2000Вт;7000об/мин;380/255мм;леска -1,6мм.</t>
  </si>
  <si>
    <t xml:space="preserve">6937888241963</t>
  </si>
  <si>
    <t xml:space="preserve">Насосное оборудование</t>
  </si>
  <si>
    <t xml:space="preserve">Вибрационные насосы</t>
  </si>
  <si>
    <t xml:space="preserve">24685</t>
  </si>
  <si>
    <t xml:space="preserve">Edon VP 210/10 Вибрационный насос (210 Вт. верхн.забор 10 м.)</t>
  </si>
  <si>
    <t xml:space="preserve">210Вт; 18л/мин; 40м; 35°С; 10м; верхний забор воды</t>
  </si>
  <si>
    <t xml:space="preserve">6937888231179</t>
  </si>
  <si>
    <t xml:space="preserve">24682</t>
  </si>
  <si>
    <t xml:space="preserve">Edon VP 210/15 Вибрационный насос (210 Вт. верхн.забор  15 м.)</t>
  </si>
  <si>
    <t xml:space="preserve">210Вт; 18л/мин; 40м; 35°С; 15м; верхний забор воды</t>
  </si>
  <si>
    <t xml:space="preserve">6937888231186</t>
  </si>
  <si>
    <t xml:space="preserve">24686</t>
  </si>
  <si>
    <t xml:space="preserve">Edon VP 300/10 Вибрационный насос (300 Вт. верхн.забор  10 м.)</t>
  </si>
  <si>
    <t xml:space="preserve">300Вт; 25л/мин; 60м; 35°С; 10м; верхний забор воды</t>
  </si>
  <si>
    <t xml:space="preserve">6937888231193</t>
  </si>
  <si>
    <t xml:space="preserve">24688</t>
  </si>
  <si>
    <t xml:space="preserve">Edon VP 300/10D Вибрационный насос (300 Вт. ниж.забор  10 м.)</t>
  </si>
  <si>
    <t xml:space="preserve">300Вт; 25л/мин; 60м; 35°С; 10м; нижний забор воды</t>
  </si>
  <si>
    <t xml:space="preserve">6937888231223</t>
  </si>
  <si>
    <t xml:space="preserve">24687</t>
  </si>
  <si>
    <t xml:space="preserve">Edon VP 300/25 Вибрационный насос (300 Вт. верхн.забор  25 м.)</t>
  </si>
  <si>
    <t xml:space="preserve">300Вт; 25л/мин; 60м; 35°С; 25м; верхний забор воды</t>
  </si>
  <si>
    <t xml:space="preserve">6937888231209</t>
  </si>
  <si>
    <t xml:space="preserve">24689</t>
  </si>
  <si>
    <t xml:space="preserve">Edon VP 300/25D Вибрационный насос (300 Вт. ниж.забор  25 м.)</t>
  </si>
  <si>
    <t xml:space="preserve">300Вт; 25л/мин; 60м; 35°С; 25м; нижний забор воды</t>
  </si>
  <si>
    <t xml:space="preserve">6937888231230</t>
  </si>
  <si>
    <t xml:space="preserve">24683</t>
  </si>
  <si>
    <t xml:space="preserve">Edon VP 300/40 Вибрационный насос (300 Вт. верхн.забор  40 м.)</t>
  </si>
  <si>
    <t xml:space="preserve">300Вт; 25л/мин; 60м; 35°С; 40м; верхний забор воды</t>
  </si>
  <si>
    <t xml:space="preserve">6937888231216</t>
  </si>
  <si>
    <t xml:space="preserve">24684</t>
  </si>
  <si>
    <t xml:space="preserve">Edon VP 300/40D Вибрационный насос (300 Вт. ниж.забор  40 м.)</t>
  </si>
  <si>
    <t xml:space="preserve">300Вт; 25л/мин; 60м; 35°С; 40м; нижний забор воды</t>
  </si>
  <si>
    <t xml:space="preserve">6937888231247</t>
  </si>
  <si>
    <t xml:space="preserve">Дренажные насосы</t>
  </si>
  <si>
    <t xml:space="preserve">37630</t>
  </si>
  <si>
    <t xml:space="preserve">Edon Q1100/35 Дренажный насос (1100 Вт.,35 мм.10 м.)</t>
  </si>
  <si>
    <t xml:space="preserve">1100Вт; 13,5м3/час(225л/мин); 8,5м; 7м; 35мм</t>
  </si>
  <si>
    <t xml:space="preserve">6937888243288</t>
  </si>
  <si>
    <t xml:space="preserve">37627</t>
  </si>
  <si>
    <t xml:space="preserve">Edon Q1100/5 Дренажный насос  (1100 Вт.,5 мм.10 м.)</t>
  </si>
  <si>
    <t xml:space="preserve">1100Вт; 12,5м3/час(208л/мин); 8,5м; 7м; 5мм</t>
  </si>
  <si>
    <t xml:space="preserve">6937888243233</t>
  </si>
  <si>
    <t xml:space="preserve">37632</t>
  </si>
  <si>
    <t xml:space="preserve">Edon Q1100S/35 Насос погружной дренажный центробежный (1100 Вт.,35 мм.10 м.нерж.)</t>
  </si>
  <si>
    <t xml:space="preserve">1100Вт; 12,5м3/час(208л/мин); 6,5м; 7м; 35мм</t>
  </si>
  <si>
    <t xml:space="preserve">6937888243295</t>
  </si>
  <si>
    <t xml:space="preserve">37633</t>
  </si>
  <si>
    <t xml:space="preserve">Edon Q1300/40 Дренажный насос  (1300 Вт.,40 мм.10 м.)</t>
  </si>
  <si>
    <t xml:space="preserve">1300Вт; 14,0м3/час(233л/мин); 7м; 7м; 40мм</t>
  </si>
  <si>
    <t xml:space="preserve">6937888243325</t>
  </si>
  <si>
    <t xml:space="preserve">37624</t>
  </si>
  <si>
    <t xml:space="preserve">Edon Q400/5 Дренажный насос  (400 Вт.,5 мм.10 м.)</t>
  </si>
  <si>
    <t xml:space="preserve">400Вт; 6,0м3/час(100л/мин); 6м; 7м; 5мм</t>
  </si>
  <si>
    <t xml:space="preserve">6937888243202</t>
  </si>
  <si>
    <t xml:space="preserve">37628</t>
  </si>
  <si>
    <t xml:space="preserve">Edon Q550/35 Дренажный насос  (550 Вт.,35 мм.10 м.)</t>
  </si>
  <si>
    <t xml:space="preserve">550Вт; 8,0м3/час(133л/мин); 7,5м; 7м; 35мм</t>
  </si>
  <si>
    <t xml:space="preserve">6937888243318</t>
  </si>
  <si>
    <t xml:space="preserve">37625</t>
  </si>
  <si>
    <t xml:space="preserve">Edon Q550/5 Дренажный насос (550 Вт.,5 мм.10 м.)</t>
  </si>
  <si>
    <t xml:space="preserve">550Вт; 8,0м3/час(133л/мин); 6м; 7м; 5мм</t>
  </si>
  <si>
    <t xml:space="preserve">6937888243219</t>
  </si>
  <si>
    <t xml:space="preserve">37631</t>
  </si>
  <si>
    <t xml:space="preserve">Edon Q550S/5 Дренажный насос (550 Вт.,5 мм.10 м.нерж.)</t>
  </si>
  <si>
    <t xml:space="preserve">550Вт; 7,5м3/час(125л/мин); 6,5м; 7м; 5мм</t>
  </si>
  <si>
    <t xml:space="preserve">6937888243301</t>
  </si>
  <si>
    <t xml:space="preserve">37629</t>
  </si>
  <si>
    <t xml:space="preserve">Edon Q750/35 Дренажный насос (750 Вт.,35 мм.10 м.)</t>
  </si>
  <si>
    <t xml:space="preserve">750Вт; 10,0м3/час(167л/мин); 8,5м; 7м; 35мм</t>
  </si>
  <si>
    <t xml:space="preserve">6937888243271</t>
  </si>
  <si>
    <t xml:space="preserve">37626</t>
  </si>
  <si>
    <t xml:space="preserve">Edon Q750/5 Дренажный насос (750 Вт.,5 мм.10 м.)</t>
  </si>
  <si>
    <t xml:space="preserve">750Вт; 10,0м3/час(167л/мин); 8,5м; 7м; 5мм</t>
  </si>
  <si>
    <t xml:space="preserve">6937888243226</t>
  </si>
  <si>
    <t xml:space="preserve">18027</t>
  </si>
  <si>
    <t xml:space="preserve">Edon QDX1.5-17-0.37F Насос погружной дренажный (370Вт, 1,5м3/час, поплавк. выкл-ль,подъем 17м)</t>
  </si>
  <si>
    <t xml:space="preserve">6937888208348</t>
  </si>
  <si>
    <t xml:space="preserve">18026</t>
  </si>
  <si>
    <t xml:space="preserve">Edon QDX1.5-25-0.55F Насос погружной дренажный (550Вт, 3,0м3/час, поплавк. выкл-ль,подъем 25м)</t>
  </si>
  <si>
    <t xml:space="preserve">550Вт, 3,0м3/час, поплавков выкл-ль, высота подъема 25м</t>
  </si>
  <si>
    <t xml:space="preserve">6937888257865.</t>
  </si>
  <si>
    <t xml:space="preserve">18025</t>
  </si>
  <si>
    <t xml:space="preserve">Edon QDX1.5-32-0.75F Насос погружной дренажный (750Вт, 1,5м3/час, поплавк. выкл-ль,подъем 32м)</t>
  </si>
  <si>
    <t xml:space="preserve">750Вт, 1,5м3/час, поплавков выкл-ль, высота подъема 32м</t>
  </si>
  <si>
    <t xml:space="preserve">6937888208324</t>
  </si>
  <si>
    <t xml:space="preserve">18024</t>
  </si>
  <si>
    <t xml:space="preserve">Edon QDX10-16-0.75F Насос погружной дренажный (750Вт, 10м3/час, поплавк. выкл-ль,подъем 16м)</t>
  </si>
  <si>
    <t xml:space="preserve">750Вт, 10 м3/час, поплавков выкл-ль, высота подъема 16м</t>
  </si>
  <si>
    <t xml:space="preserve">6937888257841.</t>
  </si>
  <si>
    <t xml:space="preserve">24890</t>
  </si>
  <si>
    <t xml:space="preserve">Edon SP 1200/12P PRO Дренажный насос (1200 Вт.,35 мм.12 м.нерж.)</t>
  </si>
  <si>
    <t xml:space="preserve">1200Вт; 15м3/час; 9м; 7м; 35мм</t>
  </si>
  <si>
    <t xml:space="preserve">6937888232107</t>
  </si>
  <si>
    <t xml:space="preserve">24886</t>
  </si>
  <si>
    <t xml:space="preserve">Edon SP 400/5P PRO Насос погружной центробежный дренажный (400 Вт.,35 мм.5 м.нерж.)</t>
  </si>
  <si>
    <t xml:space="preserve">400Вт; 7,5м3/час; 5м ;7м; 35мм</t>
  </si>
  <si>
    <t xml:space="preserve">6937888232046</t>
  </si>
  <si>
    <t xml:space="preserve">24887</t>
  </si>
  <si>
    <t xml:space="preserve">Edon SP 550/8P PRO Насос погружной центробежный дренажный (550 Вт.,35 мм.8 м.нерж.)</t>
  </si>
  <si>
    <t xml:space="preserve">550Вт; 10,5м3/час ;7м; 7м; 35мм</t>
  </si>
  <si>
    <t xml:space="preserve">6937888232060</t>
  </si>
  <si>
    <t xml:space="preserve">24888</t>
  </si>
  <si>
    <t xml:space="preserve">Edon SP 750/10P PRO Дренажный насос (750 Вт.,35 мм.10 м.нерж.)</t>
  </si>
  <si>
    <t xml:space="preserve">750Вт; 12,5м3/час; 8м; 7м; 35мм</t>
  </si>
  <si>
    <t xml:space="preserve">6937888232084</t>
  </si>
  <si>
    <t xml:space="preserve">24884</t>
  </si>
  <si>
    <t xml:space="preserve">Edon SP 750/10P Насос погружной центробежный дренажный (750 Вт.,35 мм.8 м.)</t>
  </si>
  <si>
    <t xml:space="preserve">6937888232077</t>
  </si>
  <si>
    <t xml:space="preserve">37637</t>
  </si>
  <si>
    <t xml:space="preserve">Edon WQV 1100 Насос погружной фекальный (1100 Вт.,2 ножа,10 м.чугун-нерж.)</t>
  </si>
  <si>
    <t xml:space="preserve">1100Вт; 16м3/час(267л/мин); 8,5м; 5м; 20мм</t>
  </si>
  <si>
    <t xml:space="preserve">6937888243240</t>
  </si>
  <si>
    <t xml:space="preserve">37638</t>
  </si>
  <si>
    <t xml:space="preserve">Edon WQV 1300 Насос погружной фекальный (1300 Вт.,2 ножа,10 м.чугун-нерж.)</t>
  </si>
  <si>
    <t xml:space="preserve">1300Вт; 20м3/час(333л/мин); 10,5м; 5м; 20мм</t>
  </si>
  <si>
    <t xml:space="preserve">6937888243257</t>
  </si>
  <si>
    <t xml:space="preserve">37639</t>
  </si>
  <si>
    <t xml:space="preserve">Edon WQV 1800 Насос погружной фекальный (1800 Вт.,2 ножа,10 м.чугун-нерж.)</t>
  </si>
  <si>
    <t xml:space="preserve">1800Вт; 25м3/час(417л/мин); 15м; 5м; 20мм</t>
  </si>
  <si>
    <t xml:space="preserve">6937888243264</t>
  </si>
  <si>
    <t xml:space="preserve">40140</t>
  </si>
  <si>
    <t xml:space="preserve">REDBO RSP 1000/35P PRO Насос погружной дренажный центробежный </t>
  </si>
  <si>
    <t xml:space="preserve">230В/~50Гц; 1000Вт; 14м3/час(233л/мин); 8,5м; 5/35мм; 7м; 1"~G1"~1 1/4"~G1 1/2"</t>
  </si>
  <si>
    <t xml:space="preserve">6937888247811</t>
  </si>
  <si>
    <t xml:space="preserve">40139</t>
  </si>
  <si>
    <t xml:space="preserve">REDBO RSP 750/35P PRO Насос погружной дренажный центробежный с встроенным сенсорным выключателем</t>
  </si>
  <si>
    <t xml:space="preserve">220В/~50Гц; 750Вт; 12м3/час(200л/мин); 6м; 1/15/35мм; 7м; 1"~G1"~1 1/4"~G1 1/2"</t>
  </si>
  <si>
    <t xml:space="preserve">6937888247804</t>
  </si>
  <si>
    <t xml:space="preserve">Насосные станции</t>
  </si>
  <si>
    <t xml:space="preserve">30795</t>
  </si>
  <si>
    <t xml:space="preserve">Edon EPW 370 Станция автономного водоснабжения (370 Вт., 2 куб.м./час, 31 м.)</t>
  </si>
  <si>
    <t xml:space="preserve">370Вт.,2.0м3/час(33,3л/мин).31м,самовсасывающая</t>
  </si>
  <si>
    <t xml:space="preserve">6937888241307</t>
  </si>
  <si>
    <t xml:space="preserve">24810</t>
  </si>
  <si>
    <t xml:space="preserve">Edon EWP 1350RC Станция автономного водоснабжения (1350 Вт., 3.8 куб.м./час 48 м.)</t>
  </si>
  <si>
    <t xml:space="preserve">1350Вт; 3,8м3/час(63,3л/мин); 48м; 7м; 1,3/3,0бар; 19л</t>
  </si>
  <si>
    <t xml:space="preserve">6937888232015</t>
  </si>
  <si>
    <t xml:space="preserve">24809</t>
  </si>
  <si>
    <t xml:space="preserve">Edon EWP 650RC Станция автономного водоснабжения (650 Вт., 3.0 куб.м./час 35 м.)</t>
  </si>
  <si>
    <t xml:space="preserve">650Вт;3,0м3/час(50л/мин); 35м; 7м; 1,3/3,0бар; 19л</t>
  </si>
  <si>
    <t xml:space="preserve">6937888231995</t>
  </si>
  <si>
    <t xml:space="preserve">24805</t>
  </si>
  <si>
    <t xml:space="preserve">Edon EWP 850RC Станция автономного водоснабжения (850 Вт., 3.2 куб.м./час 40 м.)</t>
  </si>
  <si>
    <t xml:space="preserve">850Вт; 3,2м3/час(53,3л/мин); 40м; 7м; 1,3/3,0бар; 19л</t>
  </si>
  <si>
    <t xml:space="preserve">6937888232008</t>
  </si>
  <si>
    <t xml:space="preserve">Поверхностные вихревые насосы</t>
  </si>
  <si>
    <t xml:space="preserve">37646</t>
  </si>
  <si>
    <t xml:space="preserve">Edon QB60 Поверхностный вихревой насос (370Вт., 1.5 куб.м./час., 8м./16м.)</t>
  </si>
  <si>
    <t xml:space="preserve">370Вт; 1,5м3/час(25л/мин); 16м; 8м</t>
  </si>
  <si>
    <t xml:space="preserve">6937888223433</t>
  </si>
  <si>
    <t xml:space="preserve">37647</t>
  </si>
  <si>
    <t xml:space="preserve">Edon QB70 Поверхностный вихревой насос (550Вт., 2.7 куб.м./час.,7м./55м.)</t>
  </si>
  <si>
    <t xml:space="preserve">550Вт; 2,7м3/час(45л/мин); 55м; 7м</t>
  </si>
  <si>
    <t xml:space="preserve">6937888225338</t>
  </si>
  <si>
    <t xml:space="preserve">Поверхностные центробежные насосы</t>
  </si>
  <si>
    <t xml:space="preserve">39263</t>
  </si>
  <si>
    <t xml:space="preserve">REDBO RPW1200PRO Многоступенчатый поверхностный насос (2300Вт., 7.2 куб.м./час,8м./83м.)</t>
  </si>
  <si>
    <t xml:space="preserve">2300Вт; 2850об/мин; 7,2м3/час(120л/мин); 83м; 8м; 1,25х1дюйм; 7 крыльчаток</t>
  </si>
  <si>
    <t xml:space="preserve">6937888256746</t>
  </si>
  <si>
    <t xml:space="preserve">39262</t>
  </si>
  <si>
    <t xml:space="preserve">REDBO RPW900PRO Многоступенчатый поверхностный насос (1650Вт., 5.4 куб.м./час,8м./64м.)</t>
  </si>
  <si>
    <t xml:space="preserve">1650Вт; 2850об/мин; 5,4м3/час(90л/мин); 64м; 8м; 1х1дюйм; 6 крыльчаток</t>
  </si>
  <si>
    <t xml:space="preserve">6937888246739</t>
  </si>
  <si>
    <t xml:space="preserve">40142</t>
  </si>
  <si>
    <t xml:space="preserve">REDBO RSP850 PRO Поверхностный центробежный насос</t>
  </si>
  <si>
    <t xml:space="preserve">230В/~50Гц; 850Вт; 60л/мин(3600л/час); 30м;  7м; G1/G1</t>
  </si>
  <si>
    <t xml:space="preserve">6937888247828</t>
  </si>
  <si>
    <t xml:space="preserve">Мотопомпы</t>
  </si>
  <si>
    <t xml:space="preserve">20545</t>
  </si>
  <si>
    <t xml:space="preserve">Edon WP-100 Бензиновая мотопомпа (7 л.с., 100 мм., 72 куб.м./час)</t>
  </si>
  <si>
    <t xml:space="preserve">7л.с.;100мм.72куб/м/час</t>
  </si>
  <si>
    <t xml:space="preserve">6937888207402</t>
  </si>
  <si>
    <t xml:space="preserve">19441</t>
  </si>
  <si>
    <t xml:space="preserve">Edon WP-50 Бензиновая мотопомпа</t>
  </si>
  <si>
    <t xml:space="preserve">196см3; 5,15кВт/7,0л.; 3,6л/0,6л; 360г/кВт.ч; 4-х тактный, АИ-92; 30м3/час(500л/мин); 1,97"(50мм); 7м; 30м</t>
  </si>
  <si>
    <t xml:space="preserve">6937888207358</t>
  </si>
  <si>
    <t xml:space="preserve">19442</t>
  </si>
  <si>
    <t xml:space="preserve">Edon WP-80 Бензиновая мотопомпа (7 л.с., 80 мм., 60 куб.м./час)</t>
  </si>
  <si>
    <t xml:space="preserve">196см3; 5,15кВт/7,0л.; 3,6л/0,6л; 360г/кВт.ч; 4-х тактный,АИ-92; 60м3/час(1000л/мин); 3,15"(80мм); 7м; 30м</t>
  </si>
  <si>
    <t xml:space="preserve">6937888207389</t>
  </si>
  <si>
    <t xml:space="preserve">Контроллеры управления насосом</t>
  </si>
  <si>
    <t xml:space="preserve">37643</t>
  </si>
  <si>
    <t xml:space="preserve">Edon EPC-10 Блок автоматического управления (1/4" рег. верх./нижн. давл.1.5 кВт.)</t>
  </si>
  <si>
    <t xml:space="preserve">1,5кВт; 10бар; 0,5-9,5бар; 60°С</t>
  </si>
  <si>
    <t xml:space="preserve">6937888243493</t>
  </si>
  <si>
    <t xml:space="preserve">37641</t>
  </si>
  <si>
    <t xml:space="preserve">Edon EPC-11A Блок автоматического управления (1" рег.нижн. давл. 1.1 кВт.)</t>
  </si>
  <si>
    <t xml:space="preserve">1,1кВт; 10бар; 1,2-2,2бар; 60°С</t>
  </si>
  <si>
    <t xml:space="preserve">6937888243509</t>
  </si>
  <si>
    <t xml:space="preserve">37642</t>
  </si>
  <si>
    <t xml:space="preserve">Edon EPC-12 Блок автоматического управления (1" рег. верх./нижн. давл. 2.2 кВт.)</t>
  </si>
  <si>
    <t xml:space="preserve">2,2кВт; 10бар; 0,8-6,7/1,1-7,0бар; 60°С</t>
  </si>
  <si>
    <t xml:space="preserve">6937888243516</t>
  </si>
  <si>
    <t xml:space="preserve">37640</t>
  </si>
  <si>
    <t xml:space="preserve">Edon EPC-2 Блок автоматического управления (1" рег.нижн. давл. 1.1 кВт.)</t>
  </si>
  <si>
    <t xml:space="preserve">6937888243486</t>
  </si>
  <si>
    <t xml:space="preserve">Скважинные винтовые насосы</t>
  </si>
  <si>
    <t xml:space="preserve">37644</t>
  </si>
  <si>
    <t xml:space="preserve">Edon 3.0QGD1.4-60-0.55 Скважинный винтовой насос (550Вт., 1.4 куб.м./час,60м.)</t>
  </si>
  <si>
    <t xml:space="preserve">550Вт; 2880об/мин; 1,4м3/час(23,5л/мин); 60м; 15м; 3,0"(76,2мм), не более 50г/м3</t>
  </si>
  <si>
    <t xml:space="preserve">6937888243417</t>
  </si>
  <si>
    <t xml:space="preserve">37645</t>
  </si>
  <si>
    <t xml:space="preserve">Edon 3.5QGD1.4-85-0.55 Скважинный винтовой насос (550Вт., 1.4 куб.м./час,85м.)</t>
  </si>
  <si>
    <t xml:space="preserve">550Вт; 2880об/мин; 1,4м3/час(23,5л/мин); 85м; 15м; 3,5"(90мм), не более 50г/м3</t>
  </si>
  <si>
    <t xml:space="preserve">6937888243424</t>
  </si>
  <si>
    <t xml:space="preserve">Скважинные многоступенчатые насосы</t>
  </si>
  <si>
    <t xml:space="preserve">37634</t>
  </si>
  <si>
    <t xml:space="preserve">Edon 3.0SDM2.4-52-0.37 Насос погружной центробежный скважинный (370Вт., 2.4 куб.м./час., 52м.)</t>
  </si>
  <si>
    <t xml:space="preserve">370Вт; 2880 об/мин; 2,4м3/час(40л/мин); 52м; 50м; 3,0"(76,2мм); 0,5мм</t>
  </si>
  <si>
    <t xml:space="preserve">6937888243431</t>
  </si>
  <si>
    <t xml:space="preserve">37636</t>
  </si>
  <si>
    <t xml:space="preserve">Edon 3.0SDM2.4-81-0.55 Насос погружной центробежный скважинный (550Вт., 2.4 куб.м./час., 90м.)</t>
  </si>
  <si>
    <t xml:space="preserve">550Вт; 2880 об/мин; 2,4м3/час(40л/мин); 81м; 50м; 3,0"(76,2мм); 0,5мм</t>
  </si>
  <si>
    <t xml:space="preserve">6937888243455</t>
  </si>
  <si>
    <t xml:space="preserve">37635</t>
  </si>
  <si>
    <t xml:space="preserve">Edon 3.0SDM3.54-90-0.75 Насос погружной центробежный скважинный (750Вт., 3.54 куб.м./час., 90м.)</t>
  </si>
  <si>
    <t xml:space="preserve">750Вт; 2880 об/мин; 3,54м3/час(59л/мин); 90м; 50м; 3,0"(76,2мм); 0,5мм</t>
  </si>
  <si>
    <t xml:space="preserve">6937888243448</t>
  </si>
  <si>
    <t xml:space="preserve">40192</t>
  </si>
  <si>
    <t xml:space="preserve">REDBO RQJD 2/550PRO Колодезный насос</t>
  </si>
  <si>
    <t xml:space="preserve">230В/~50Гц; 550Вт; 2,7м3/час(45,8л/мин); 44м; G1 внутр.; 4,0"(105)мм</t>
  </si>
  <si>
    <t xml:space="preserve">6937888247835</t>
  </si>
  <si>
    <t xml:space="preserve">Циркуляционные насосы</t>
  </si>
  <si>
    <t xml:space="preserve">39261</t>
  </si>
  <si>
    <t xml:space="preserve">Edon CP15/9-160 Циркуляционный насос для повышения давления</t>
  </si>
  <si>
    <t xml:space="preserve">120Вт; 8,8м; 23(1,38)л/мин; 10бар; 1/2дюйм; 160мм</t>
  </si>
  <si>
    <t xml:space="preserve">6937888246722</t>
  </si>
  <si>
    <t xml:space="preserve">28329</t>
  </si>
  <si>
    <t xml:space="preserve">Edon CP25/4-180 Циркуляционный насос (72Вт., 4м., 2.4 куб.м./час, 25мм,/180 мм.)</t>
  </si>
  <si>
    <t xml:space="preserve">36/53/72Вт; 2,5/3/4м; 20/30/40л/мин; 10бар; 1дюйм; 180мм</t>
  </si>
  <si>
    <t xml:space="preserve">6937888235450</t>
  </si>
  <si>
    <t xml:space="preserve">28330</t>
  </si>
  <si>
    <t xml:space="preserve">Edon CP25/6-180 Циркуляционный насос (90Вт., 6м., 2.4 куб.м./час, 25мм./180 мм.)</t>
  </si>
  <si>
    <t xml:space="preserve">40/60/90Вт; 4/5/6м; 20/30/40л/мин; 10бар; 1дюйм; 180мм</t>
  </si>
  <si>
    <t xml:space="preserve">6937888235467</t>
  </si>
  <si>
    <t xml:space="preserve">39259</t>
  </si>
  <si>
    <t xml:space="preserve">Edon CP32/4-180 Циркуляционный насос (72Вт., 4м., 2.4 куб.м./час, 32мм./180 мм.)</t>
  </si>
  <si>
    <t xml:space="preserve">36/53/72Вт; 2,5/3/4м; 20/30/40л/мин; 10бар; 1/4дюйм; 180мм</t>
  </si>
  <si>
    <t xml:space="preserve">6937888246708</t>
  </si>
  <si>
    <t xml:space="preserve">39260</t>
  </si>
  <si>
    <t xml:space="preserve">Edon CP32/6-180 Циркуляционный насос (90Вт., 6м., 2.4 куб.м./час, 32мм./180 мм.)</t>
  </si>
  <si>
    <t xml:space="preserve">40/60/90Вт; 4/5/6м; 20/30/40л/мин; 10бар; 1/4дюйм; 180мм</t>
  </si>
  <si>
    <t xml:space="preserve">6937888246715</t>
  </si>
  <si>
    <t xml:space="preserve">28331</t>
  </si>
  <si>
    <t xml:space="preserve">ETECH LCP25/4-180 Циркуляционный насос (72Вт., 4м., 2.4 куб.м./час, 25мм,/180 мм.медная обмотка)</t>
  </si>
  <si>
    <t xml:space="preserve">220-230В/~50Гц; 36/53/72Вт; 2/3/4м; 50л/мин; 10бар; 180мм; 1,5"; 1"</t>
  </si>
  <si>
    <t xml:space="preserve">28332</t>
  </si>
  <si>
    <t xml:space="preserve">ETECH LCP25/6-180 Циркуляционный насос  (90Вт., 6м., 2.4 куб.м./час, 25мм./180 мм.медная обмотка)</t>
  </si>
  <si>
    <t xml:space="preserve">220-230В/~50Гц; 40/60/90Вт; 3/5/6м; 50л/мин; 10бар; 180мм; 1,5"; 1"</t>
  </si>
  <si>
    <t xml:space="preserve">6937888235481</t>
  </si>
  <si>
    <t xml:space="preserve">Станки</t>
  </si>
  <si>
    <t xml:space="preserve">Пилы торцовочные</t>
  </si>
  <si>
    <t xml:space="preserve">44306</t>
  </si>
  <si>
    <t xml:space="preserve">Edon CMS-210/1600 Пила торцовочная (1600Вт; 210х30мм; 4000об/мин)</t>
  </si>
  <si>
    <t xml:space="preserve">1600Вт; 210х30мм; 4000об/мин; (0°х90°)-60х120мм; (0°х45°)-35х120мм; (45°х90°)-60х80мм; (45°х45°)-35х80мм, металлический редуктор, мешок-пылесборник;</t>
  </si>
  <si>
    <t xml:space="preserve">6937888254062</t>
  </si>
  <si>
    <t xml:space="preserve">19359</t>
  </si>
  <si>
    <t xml:space="preserve">Edon CMS-210/1800 Пила торцовочная (1800Вт., 210мм., протяжка)</t>
  </si>
  <si>
    <t xml:space="preserve">1800Вт;4700об/мин;210х30мм; 90°мм_240мм; 45°мм_240мм</t>
  </si>
  <si>
    <t xml:space="preserve">6937888211140</t>
  </si>
  <si>
    <t xml:space="preserve">15295</t>
  </si>
  <si>
    <t xml:space="preserve">Edon CMS-255/2600 Пила торцовочная (2600Вт., 255мм., протяжка)</t>
  </si>
  <si>
    <t xml:space="preserve">2600Вт;4500об/мин;255х30х40Тмм; 90°мм_340мм; 45°мм_240мм</t>
  </si>
  <si>
    <t xml:space="preserve">6937888242649</t>
  </si>
  <si>
    <t xml:space="preserve">17997</t>
  </si>
  <si>
    <t xml:space="preserve">Edon CMS-305/2000 Пила торцовочная (2000Вт., 305мм., протяжка, ременный привод)</t>
  </si>
  <si>
    <t xml:space="preserve">2000Вт;3800об/мин;305х30мм; 90°мм_330мм; 45°мм_230мм</t>
  </si>
  <si>
    <t xml:space="preserve">69378882007778</t>
  </si>
  <si>
    <t xml:space="preserve">39193</t>
  </si>
  <si>
    <t xml:space="preserve">REDBO CMS-210/1800 Пила торцовочная (1800Вт., 210мм., протяжка)</t>
  </si>
  <si>
    <t xml:space="preserve">1800Вт;5000об/мин; 210х30мм;50х120мм(0°х90°)_30х120мм(0°х45°)_50х80(45°х90°)_30х80(45°х45°)</t>
  </si>
  <si>
    <t xml:space="preserve">6937888244353</t>
  </si>
  <si>
    <t xml:space="preserve">39188</t>
  </si>
  <si>
    <t xml:space="preserve">REDBO CMS-255/2100L Пила торцовочная  (2100Вт., 255мм., протяжка, лазер)</t>
  </si>
  <si>
    <t xml:space="preserve">2100Вт;5000об/мин; 255х30мм;75х340мм(0°х90°)_45х340/25х340мм(0°х45°)L/R_75х240(45°х90°)_45х240/25х240(45°х45°)L/R</t>
  </si>
  <si>
    <t xml:space="preserve">6937888244360</t>
  </si>
  <si>
    <t xml:space="preserve">39190</t>
  </si>
  <si>
    <t xml:space="preserve">REDBO CMS-255/2300L Пила торцовочная (2300Вт., 255мм., протяжка, лазер)</t>
  </si>
  <si>
    <t xml:space="preserve">2300Вт;5000об/мин; 255х30х40Тмм;72х300мм(0°х90°)_40х300мм(0°х45°)_72х200(45°х90°)_40х200(45°х45°)</t>
  </si>
  <si>
    <t xml:space="preserve">6937888244377</t>
  </si>
  <si>
    <t xml:space="preserve">39187</t>
  </si>
  <si>
    <t xml:space="preserve">REDBO MS-210/1700 Пила торцовочная (1700Вт., 210мм.)</t>
  </si>
  <si>
    <t xml:space="preserve">1700Вт;5000об/мин; 210х30мм;55х120мм(0°х90°)_32х120мм(0°х45°)_55х80(45°х90°)_32х80(45°х45°)</t>
  </si>
  <si>
    <t xml:space="preserve">6937888244391</t>
  </si>
  <si>
    <t xml:space="preserve">39189</t>
  </si>
  <si>
    <t xml:space="preserve">REDBO MS-255/2300L Пила торцовочная (2300Вт., 255мм., лазер)</t>
  </si>
  <si>
    <t xml:space="preserve">2300Вт;4500об/мин; 255x30x60Tмм;75x135мм(0°х90°)_45x135мм(0°х45°)_75x95(45°х90°)_45x95(45°х45°)</t>
  </si>
  <si>
    <t xml:space="preserve">6937888244384</t>
  </si>
  <si>
    <t xml:space="preserve">39194</t>
  </si>
  <si>
    <t xml:space="preserve">REDBO MTS-210/2100 Пила торцовочная комбинированная (2100Вт., 210мм., торц.+распил. станок с подвижн</t>
  </si>
  <si>
    <t xml:space="preserve">Режим распиловочного станка и торцевой пилы. Поворот от 0 до 45° в обе стороны. Пропилы, кроме вертикальных (0 -90°): косые пропилы материала под заданным углом от 0 до 45° относительно
задней кромки заготовки в обе и наклонные пропилы с заданным углом (от 0 до 45°) относительно вертикальной. В режиме настольной пилы - поперечное пиление заготовок толщиной до 70 мм.
Потребляемая мощность 2100Вт;
Номин. скорость шпинделя 5000об/мин; 
Двигатель однофазный коллекторный
Зубчатая передача
Диаметр пильного диска 210х30х2,8х24Т мм
Комплектация:
Диск пильный
Нож расклинивающий
Планка направляющая с транспортиром
Вертикальный зажим (струбцина)
Пылесборник/Дополнительные опоры/Толкатель</t>
  </si>
  <si>
    <t xml:space="preserve">6937888244421</t>
  </si>
  <si>
    <t xml:space="preserve">Сверлильные станки</t>
  </si>
  <si>
    <t xml:space="preserve">22688</t>
  </si>
  <si>
    <t xml:space="preserve">Edon BD-13/400 Сверлильный станок (13мм., 400Вт., 5 скоростей)</t>
  </si>
  <si>
    <t xml:space="preserve">400Вт;580-2650об/мин.5скоростей.13мм.50мм.0-45°.160х160стол.2м.</t>
  </si>
  <si>
    <t xml:space="preserve">6937888208201</t>
  </si>
  <si>
    <t xml:space="preserve">22689</t>
  </si>
  <si>
    <t xml:space="preserve">Edon BD-16/500 Сверлильный станок (16мм., 500Вт., 9 скоростей)</t>
  </si>
  <si>
    <t xml:space="preserve">500Вт;280-2350об/мин.9скоростей.16мм.50мм.0-45°.170х170стол.2м.</t>
  </si>
  <si>
    <t xml:space="preserve">6937888208218</t>
  </si>
  <si>
    <t xml:space="preserve">22686</t>
  </si>
  <si>
    <t xml:space="preserve">Edon PROtech-1500BD Сверлильный станок (13мм., 1500Вт., 5 скоростей)</t>
  </si>
  <si>
    <t xml:space="preserve">6937888221958</t>
  </si>
  <si>
    <t xml:space="preserve">22687</t>
  </si>
  <si>
    <t xml:space="preserve">Edon PROtech-1700BD Сверлильный станок (16мм., 1700Вт., 9 скоростей)</t>
  </si>
  <si>
    <t xml:space="preserve">6937888221941</t>
  </si>
  <si>
    <t xml:space="preserve">22692</t>
  </si>
  <si>
    <t xml:space="preserve">KRONA KBR-13/1500 Сверлильный станок</t>
  </si>
  <si>
    <t xml:space="preserve">6937888221910</t>
  </si>
  <si>
    <t xml:space="preserve">39176</t>
  </si>
  <si>
    <t xml:space="preserve">REDBO EBD-13/400 Сверлильный станок (13мм., 400Вт., 5 скоростей)</t>
  </si>
  <si>
    <t xml:space="preserve">400Вт; 580-2650об/мин; 5скор.; 13мм; 50мм; 0-45°; 160х160мм; 46мм</t>
  </si>
  <si>
    <t xml:space="preserve">6937888245190</t>
  </si>
  <si>
    <t xml:space="preserve">39177</t>
  </si>
  <si>
    <t xml:space="preserve">REDBO EBD-16/600 Сверлильный станок (16мм., 600Вт., 9 скоростей)</t>
  </si>
  <si>
    <t xml:space="preserve">600Вт; 280-2350об/мин; 9скор.; 16мм; 50мм; 0-45°; 170х170мм; 46мм</t>
  </si>
  <si>
    <t xml:space="preserve">6937888245206</t>
  </si>
  <si>
    <t xml:space="preserve">39178</t>
  </si>
  <si>
    <t xml:space="preserve">REDBO EBD-20/1000 Сверлильный станок (20мм., 1000Вт., 12 скоростей)</t>
  </si>
  <si>
    <t xml:space="preserve">1000Вт; 210-2220об/мин; 12скор.; 20мм; 80мм; 0-45°; 300х300мм; 72мм</t>
  </si>
  <si>
    <t xml:space="preserve">6937888245213</t>
  </si>
  <si>
    <t xml:space="preserve">Плиткорезы</t>
  </si>
  <si>
    <t xml:space="preserve">99997</t>
  </si>
  <si>
    <t xml:space="preserve">REDBO TTS-180/650 Плиткорез электрический (180мм., 650Вт., 34мм., 360x330мм.)</t>
  </si>
  <si>
    <t xml:space="preserve">650Вт;2950об/мин;180*22,2;360x330мм.</t>
  </si>
  <si>
    <t xml:space="preserve">6937888217296</t>
  </si>
  <si>
    <t xml:space="preserve">39179</t>
  </si>
  <si>
    <t xml:space="preserve">REDBO TTS-250/2200 Плиткорез-камнерез (254мм., 2200Вт., 90мм., 610x330мм., подача воды, стол с колес</t>
  </si>
  <si>
    <t xml:space="preserve">2200Вт; 3800об/мин; 254х16,9х2,2мм; 80/60/38мм; 610мм</t>
  </si>
  <si>
    <t xml:space="preserve">6937888245220</t>
  </si>
  <si>
    <t xml:space="preserve">Рейсмусовые станки</t>
  </si>
  <si>
    <t xml:space="preserve">20554</t>
  </si>
  <si>
    <t xml:space="preserve">Edon EBP-33016/2000 Рубанок электрический (1850Вт., 330мм., 160мм.)</t>
  </si>
  <si>
    <t xml:space="preserve">220-240В/~50Гц; 2200Вт;8500об/мин; 331х16,5х1,8мм(2 ножа); 6м/мин; 330мм; 300мм; 6-160мм; до 100мм-3,0мм_100-200мм-2,0мм_210-330мм-1,0мм; 330х290мм</t>
  </si>
  <si>
    <t xml:space="preserve">6937888215308</t>
  </si>
  <si>
    <t xml:space="preserve">39192</t>
  </si>
  <si>
    <t xml:space="preserve">REDBO EBP-330160/2200 Рубанок-рейсмус электрический (2200Вт., 330мм., 160мм.)</t>
  </si>
  <si>
    <t xml:space="preserve">2200Вт;8500об/мин; 331х16,5х1,8мм(2 ножа); 6м/мин; 330мм; 300мм; 6-160мм; до 100мм-3,0мм_100-200мм-2,0мм_210-330мм-1,0мм; 330х290мм</t>
  </si>
  <si>
    <t xml:space="preserve">6937888244476</t>
  </si>
  <si>
    <t xml:space="preserve">Токарные деревообрабатывающие</t>
  </si>
  <si>
    <t xml:space="preserve">39174</t>
  </si>
  <si>
    <t xml:space="preserve">REDBO WL-1000 Токарный деревообрабатывающий станок (450Вт., 1000мм., 4 скорости, настольный)</t>
  </si>
  <si>
    <t xml:space="preserve">450Вт;4скор;810/1180/1700/2480об/мин;1000мм;350мм;</t>
  </si>
  <si>
    <t xml:space="preserve">6937888245176</t>
  </si>
  <si>
    <t xml:space="preserve">39175</t>
  </si>
  <si>
    <t xml:space="preserve">REDBO WL-1000C Токарный деревообрабатывающий станок (700Вт., 1000мм., 4 скорости, копир, на ножках)</t>
  </si>
  <si>
    <t xml:space="preserve">700Вт;4скор;810/1180/1700/2480об/мин;1000мм;350мм;</t>
  </si>
  <si>
    <t xml:space="preserve">6937888245183</t>
  </si>
  <si>
    <t xml:space="preserve">39173</t>
  </si>
  <si>
    <t xml:space="preserve">REDBO WL-330 Токарный деревообрабатывающий станок (330Вт., 330мм., плавная рег.-ка оборотов 500-3500</t>
  </si>
  <si>
    <t xml:space="preserve">350Вт; 500-3500об/мин; 330мм; 250мм</t>
  </si>
  <si>
    <t xml:space="preserve">6937888245169</t>
  </si>
  <si>
    <t xml:space="preserve">Точильные станки</t>
  </si>
  <si>
    <t xml:space="preserve">18324</t>
  </si>
  <si>
    <t xml:space="preserve">Edon GM-125 Точильный станок (125мм., 150Вт.)</t>
  </si>
  <si>
    <t xml:space="preserve">150Вт;3000об/мин;125мм.</t>
  </si>
  <si>
    <t xml:space="preserve">6937888203657</t>
  </si>
  <si>
    <t xml:space="preserve">16474</t>
  </si>
  <si>
    <t xml:space="preserve">Edon GM-150 Точильный станок  (150мм., 250Вт.)</t>
  </si>
  <si>
    <t xml:space="preserve">150Вт;3000об/мин;150мм.</t>
  </si>
  <si>
    <t xml:space="preserve">6937888203664</t>
  </si>
  <si>
    <t xml:space="preserve">17779</t>
  </si>
  <si>
    <t xml:space="preserve">Edon GM-200/430 Точильный станок  (200мм., 430Вт., подсветка)</t>
  </si>
  <si>
    <t xml:space="preserve">430Вт;3000об/мин;200мм.</t>
  </si>
  <si>
    <t xml:space="preserve">6937888207242</t>
  </si>
  <si>
    <t xml:space="preserve">39168</t>
  </si>
  <si>
    <t xml:space="preserve">REDBO BG-125/250 Точильный станок (125мм., 250Вт.)</t>
  </si>
  <si>
    <t xml:space="preserve">250Вт; 2950об/мин; 125х16мм; 12,7/32мм</t>
  </si>
  <si>
    <t xml:space="preserve">6937888244711</t>
  </si>
  <si>
    <t xml:space="preserve">39169</t>
  </si>
  <si>
    <t xml:space="preserve">REDBO BG-150/350 Точильный станок (150мм., 350Вт.)</t>
  </si>
  <si>
    <t xml:space="preserve">350Вт; 2950об/мин; 150х20мм; 12,7/32мм</t>
  </si>
  <si>
    <t xml:space="preserve">6937888244704</t>
  </si>
  <si>
    <t xml:space="preserve">39172</t>
  </si>
  <si>
    <t xml:space="preserve">REDBO BG-150/350LB Точильно-Шлифовальный станок (150мм.+гриндер 50*686, 350Вт., подсветка)</t>
  </si>
  <si>
    <t xml:space="preserve">350Вт; 2950об/мин; 150х16мм; 12,7/32мм; 50х686мм</t>
  </si>
  <si>
    <t xml:space="preserve">6937888244742</t>
  </si>
  <si>
    <t xml:space="preserve">39170</t>
  </si>
  <si>
    <t xml:space="preserve">REDBO BG-200/500 Точильный станок (200мм., 500Вт.)</t>
  </si>
  <si>
    <t xml:space="preserve">500Вт; 2950об/мин; 200х20мм; 12,7/32мм</t>
  </si>
  <si>
    <t xml:space="preserve">6937888244698</t>
  </si>
  <si>
    <t xml:space="preserve">39171</t>
  </si>
  <si>
    <t xml:space="preserve">REDBO BG-75/180FS Точильный станок (75мм., 180Вт., 0-10000 об.мин., гибкий вал)</t>
  </si>
  <si>
    <t xml:space="preserve">180Вт; 0-11000об/мин; 75х20мм; 10мм</t>
  </si>
  <si>
    <t xml:space="preserve">6937888244759</t>
  </si>
  <si>
    <t xml:space="preserve">Циркулярные распиловочные станки</t>
  </si>
  <si>
    <t xml:space="preserve">24760</t>
  </si>
  <si>
    <t xml:space="preserve">REDBO TCS-255/2000 Циркулярный распиловочный станок</t>
  </si>
  <si>
    <t xml:space="preserve">6937888216077</t>
  </si>
  <si>
    <t xml:space="preserve">39191</t>
  </si>
  <si>
    <t xml:space="preserve">REDBO TCS-255/2200 Циркулярный распиловочный станок (2200Вт., 254мм., 80мм., 940*570мм.(550+(2*197))</t>
  </si>
  <si>
    <t xml:space="preserve">2200Вт; 4200об/мин; 254х30х24Т; 80(90°)/58(45°)мм; 550х570мм; 195х570мм</t>
  </si>
  <si>
    <t xml:space="preserve">6937888244469</t>
  </si>
  <si>
    <t xml:space="preserve">Тепловая техника</t>
  </si>
  <si>
    <t xml:space="preserve">Автономные дизельные обогреватели</t>
  </si>
  <si>
    <t xml:space="preserve">29751</t>
  </si>
  <si>
    <t xml:space="preserve">Edon MAX DHP-12-24/5000 Автономный дизельный обогреватель (12/24/220В; 2-8кВ, 5л, 25-50Вт)</t>
  </si>
  <si>
    <t xml:space="preserve">2000-8000Вт; дизельное топливо; 0,1-0,35л/час; 5л; 25-50Вт; 12/24/220В; -40°+40°С</t>
  </si>
  <si>
    <t xml:space="preserve">6937888238895</t>
  </si>
  <si>
    <t xml:space="preserve">40450</t>
  </si>
  <si>
    <t xml:space="preserve">Edon PRO DHP-12-24/5000 Автономный дизельный обогреватель  (12/24/220В; 2-8кВ, 5л, 25-50Вт)</t>
  </si>
  <si>
    <t xml:space="preserve">6937888249525</t>
  </si>
  <si>
    <t xml:space="preserve">29752</t>
  </si>
  <si>
    <t xml:space="preserve">Edon Smart DHP-12-24/5000 Автономный дизельный отопитель (12/24В., 220В., 2-8кВт., 5л., дисплей, </t>
  </si>
  <si>
    <t xml:space="preserve">6937888238734</t>
  </si>
  <si>
    <t xml:space="preserve">29748</t>
  </si>
  <si>
    <t xml:space="preserve">REDBO RDH-12-24/5000 Автономный дизельный отопитель (12/24В., 220В., 2-8кВт., 5л., дисплей, пульт</t>
  </si>
  <si>
    <t xml:space="preserve">6937888238710</t>
  </si>
  <si>
    <t xml:space="preserve">Тепловые пушки дизельные</t>
  </si>
  <si>
    <t xml:space="preserve">22342</t>
  </si>
  <si>
    <t xml:space="preserve">Edon GAH-20000 Тепловая пушка дизельная (20кВт., 680куб.м., 20л.)</t>
  </si>
  <si>
    <t xml:space="preserve">20 кВт; 50-150 м2; 680 м3/ч; 20 л; 1,7 л/ч</t>
  </si>
  <si>
    <t xml:space="preserve">6937888228360</t>
  </si>
  <si>
    <t xml:space="preserve">22343</t>
  </si>
  <si>
    <t xml:space="preserve">Edon GAH-30000 Тепловая пушка дизельная (30кВт., 720куб.м., 38л., колеса)</t>
  </si>
  <si>
    <t xml:space="preserve">30 кВт; 120-200 м2; 720 м3/ч; 38 л; 2,39 л/ч</t>
  </si>
  <si>
    <t xml:space="preserve">6937888228377</t>
  </si>
  <si>
    <t xml:space="preserve">22344</t>
  </si>
  <si>
    <t xml:space="preserve">Edon GAH-50000 Тепловая пушка дизельная (50кВт., 1100куб.м., 56л., колеса)</t>
  </si>
  <si>
    <t xml:space="preserve">50 кВт; 180-260 м2; 1100 м3/ч; 56 л; 3,3 л/ч</t>
  </si>
  <si>
    <t xml:space="preserve">6937888228384</t>
  </si>
  <si>
    <t xml:space="preserve">40598</t>
  </si>
  <si>
    <t xml:space="preserve">REDBO ABD-20 Тепловая пушка дизельная (20кВт; 50-150м2; 680м3/ч; 20л; 1.7л/ч)</t>
  </si>
  <si>
    <t xml:space="preserve">20кВт; 50-150м2; 680м3/ч; дизельное топливо/керосин; 20л; 1.7л/ч</t>
  </si>
  <si>
    <t xml:space="preserve">6937888250514</t>
  </si>
  <si>
    <t xml:space="preserve">40599</t>
  </si>
  <si>
    <t xml:space="preserve">REDBO ABD-30 Тепловая пушка дизельная (30кВт; 120-200м2; 720м3/ч; 38л; 2.39л/ч)</t>
  </si>
  <si>
    <t xml:space="preserve">30кВт; 120-200м2; 720м3/ч; дизельное топливо/керосин; 38л; 2.39л/ч
цифр индикатор</t>
  </si>
  <si>
    <t xml:space="preserve">6937888250521</t>
  </si>
  <si>
    <t xml:space="preserve">Тепловые пушки газовые</t>
  </si>
  <si>
    <t xml:space="preserve">22346</t>
  </si>
  <si>
    <t xml:space="preserve">Edon DAH-15000 Тепловая пушка газовая (15кВт; 160 м2; 0,7 бар/0,07 Мпа; 320 м3/ч)</t>
  </si>
  <si>
    <t xml:space="preserve">15кВт; 160 м2; 0,7 бар/0,07 Мпа; 320 м3/ч; 1,09 кг/ч; 0,86 мм</t>
  </si>
  <si>
    <t xml:space="preserve">6937888228346</t>
  </si>
  <si>
    <t xml:space="preserve">22347</t>
  </si>
  <si>
    <t xml:space="preserve">Edon DAH-30000 Тепловая пушка газовая (30кВт., 650куб.м.)</t>
  </si>
  <si>
    <t xml:space="preserve">30кВт; 310 м2; 0,7 бар/0,07 Мпа; 650 м3/ч; 2,18 кг/ч; 1,28 мм</t>
  </si>
  <si>
    <t xml:space="preserve">6937888228353</t>
  </si>
  <si>
    <t xml:space="preserve">Тепловые пушки электрические</t>
  </si>
  <si>
    <t xml:space="preserve">40600</t>
  </si>
  <si>
    <t xml:space="preserve">Edon EAB-3000C Тепловая пушка электрическая (3000Вт; 249м3/ч; 13А; 16А; 40м2)</t>
  </si>
  <si>
    <t xml:space="preserve">3000Вт; 249м3/ч; 13А; 16А; 40м2</t>
  </si>
  <si>
    <t xml:space="preserve">6937888251849</t>
  </si>
  <si>
    <t xml:space="preserve">20694</t>
  </si>
  <si>
    <t xml:space="preserve">Edon WAB-2000E Электрическая тепловая пушка (2кВт.)</t>
  </si>
  <si>
    <t xml:space="preserve">2000Вт.8,7А.155м³/час.30м²</t>
  </si>
  <si>
    <t xml:space="preserve">6937888217357</t>
  </si>
  <si>
    <t xml:space="preserve">20071</t>
  </si>
  <si>
    <t xml:space="preserve">Edon WAB-2000R Электрическая тепловая пушка (2000Вт.8,7А.155м³/час.30м²)</t>
  </si>
  <si>
    <t xml:space="preserve">6937888214066</t>
  </si>
  <si>
    <t xml:space="preserve">20070</t>
  </si>
  <si>
    <t xml:space="preserve">Edon WAB-2000S Электрическая тепловая пушка (2кВт.8,7А.155м³/час.30м²)</t>
  </si>
  <si>
    <t xml:space="preserve">6937888214059</t>
  </si>
  <si>
    <t xml:space="preserve">22603</t>
  </si>
  <si>
    <t xml:space="preserve">Edon WAB-3000R Электрическая тепловая пушка (3000Вт.13А.249м³/час.40м²)</t>
  </si>
  <si>
    <t xml:space="preserve">3000Вт.13А.249м³/час.40м²</t>
  </si>
  <si>
    <t xml:space="preserve">6937888214073</t>
  </si>
  <si>
    <t xml:space="preserve">Авто инструмент и оборудование</t>
  </si>
  <si>
    <t xml:space="preserve">Зарядные устройства</t>
  </si>
  <si>
    <t xml:space="preserve">40531</t>
  </si>
  <si>
    <t xml:space="preserve">Edon CB-10C Зарядное устройство аккумулятора (1А; 6В; 7,4-7,8В_12В;14,8-15,2В; 2.5-10А; 10-150Ач)</t>
  </si>
  <si>
    <t xml:space="preserve">1А; 6В; 7,4-7,8В_12В;14,8-15,2В; 2.5-10А; 10-150Ач</t>
  </si>
  <si>
    <t xml:space="preserve">6937888250118</t>
  </si>
  <si>
    <t xml:space="preserve">22464</t>
  </si>
  <si>
    <t xml:space="preserve">Edon CB-20 Зарядное устройство .</t>
  </si>
  <si>
    <t xml:space="preserve">12/24В.10А.12-100АКБ, Ач.IP20.</t>
  </si>
  <si>
    <t xml:space="preserve">6937888201721</t>
  </si>
  <si>
    <t xml:space="preserve">40532</t>
  </si>
  <si>
    <t xml:space="preserve">Edon CB-20C Зарядное устройство аккумулятора (2,7А; 6В:14,8-15,2В; 4-18А; 10-270Ач)</t>
  </si>
  <si>
    <t xml:space="preserve">2,7А; 6В:14,8-15,2В; 4-18А; 10-270Ач</t>
  </si>
  <si>
    <t xml:space="preserve">6937888250125</t>
  </si>
  <si>
    <t xml:space="preserve">20108</t>
  </si>
  <si>
    <t xml:space="preserve">Edon CB-30 Зарядное устройство (12/24В., 12А., 25-125А.ч.) </t>
  </si>
  <si>
    <t xml:space="preserve">12/24В.12А.25-125АКБ, Ач.IP20.</t>
  </si>
  <si>
    <t xml:space="preserve">6937888201639</t>
  </si>
  <si>
    <t xml:space="preserve">7334</t>
  </si>
  <si>
    <t xml:space="preserve">Edon CB-40 Зарядное устройство </t>
  </si>
  <si>
    <t xml:space="preserve">Напряжение сети: 220 ±10%В  
Выходное напряжение: 12-24В  
Мощность: 90Вт, 
Ток зарядки от 0.9-7А, 
Max. ток запуска 60А, 
Ёмкость заряжаемых акумуляторов: до 55А.ч, 
Вес (кг) 4.2</t>
  </si>
  <si>
    <t xml:space="preserve">6937888201738</t>
  </si>
  <si>
    <t xml:space="preserve">7335</t>
  </si>
  <si>
    <t xml:space="preserve">Edon CB-50 Зарядное устройство.</t>
  </si>
  <si>
    <t xml:space="preserve">12/24В.16А.30-200АКБ, Ач.IP20.</t>
  </si>
  <si>
    <t xml:space="preserve">6937888201745</t>
  </si>
  <si>
    <t xml:space="preserve">40536</t>
  </si>
  <si>
    <t xml:space="preserve">Edon CB-50A Устройство зарядное инверторное (60Вт; 6В/12В; 6В: 1.2-14Ач/0.8А; 12В: 1.2-120Ач/5А )</t>
  </si>
  <si>
    <t xml:space="preserve">60Вт; 6В/12В; 6В: емкость1.2-14Ач/ ток 0.8А; 12В:  емкость1.2-120Ач/ ток 5А, многофункц. дисплей</t>
  </si>
  <si>
    <t xml:space="preserve">6937888252600</t>
  </si>
  <si>
    <t xml:space="preserve">20110</t>
  </si>
  <si>
    <t xml:space="preserve">Edon CD-450 Пускозарядное устройство (12/24В.650Вт.25А.30-300АКБ, Ач.200А старт. ток.IP20) .</t>
  </si>
  <si>
    <t xml:space="preserve">12/24В.650Вт.25А.30-300АКБ, Ач.200А старт. ток.IP20.</t>
  </si>
  <si>
    <t xml:space="preserve">6937888201653</t>
  </si>
  <si>
    <t xml:space="preserve">7336</t>
  </si>
  <si>
    <t xml:space="preserve">Edon CD-550 Пускозарядное устройство (12/24В.950Вт.35А.40-400АКБ, Ач.300А старт. ток.IP20.)</t>
  </si>
  <si>
    <t xml:space="preserve">12/24В.950Вт.35А.40-400АКБ, Ач.300А старт. ток.IP20.</t>
  </si>
  <si>
    <t xml:space="preserve">6937888201660.</t>
  </si>
  <si>
    <t xml:space="preserve">7337</t>
  </si>
  <si>
    <t xml:space="preserve">Edon CD-650 Пускозарядное устройство  (12/24В., 45/400А., 50-500А.ч.) </t>
  </si>
  <si>
    <t xml:space="preserve">12/24В.1300Вт.45А.50-500АКБ, Ач.400А старт. ток.IP20.</t>
  </si>
  <si>
    <t xml:space="preserve">6937888201509.</t>
  </si>
  <si>
    <t xml:space="preserve">40533</t>
  </si>
  <si>
    <t xml:space="preserve">Edon CD-750A Пуско-зарядное инверторное устройство (12/24В; 8-180Ач)</t>
  </si>
  <si>
    <t xml:space="preserve">12/24В; 8-180Ач; 2А"стандартная"_6-12"быстрая"; 75А</t>
  </si>
  <si>
    <t xml:space="preserve">6937888250132</t>
  </si>
  <si>
    <t xml:space="preserve">Мойки высокого давления</t>
  </si>
  <si>
    <t xml:space="preserve">20736</t>
  </si>
  <si>
    <t xml:space="preserve">Edon PW-120/2050 Мойка высокого давления (2050Вт.,120/150бар, катушка)</t>
  </si>
  <si>
    <t xml:space="preserve">2050Вт;120мин/Бар.150Мах/бар.6л/мин.8Бар/мах</t>
  </si>
  <si>
    <t xml:space="preserve">6937888218637</t>
  </si>
  <si>
    <t xml:space="preserve">20737</t>
  </si>
  <si>
    <t xml:space="preserve">Edon PW-130/2250 Мойка высокого давления (2250Вт.,130/160бар)</t>
  </si>
  <si>
    <t xml:space="preserve">2250Вт;130мин/Бар.160Мах/бар.6л/мин.8Бар/мах</t>
  </si>
  <si>
    <t xml:space="preserve">6937888219078</t>
  </si>
  <si>
    <t xml:space="preserve">20953</t>
  </si>
  <si>
    <t xml:space="preserve">Edon PW-150/2650 Мойка высокого давления (2650Вт.,150/200бар)</t>
  </si>
  <si>
    <t xml:space="preserve">2650Вт;150мин/Бар.200Мах/бар.6л/мин.8Бар/мах</t>
  </si>
  <si>
    <t xml:space="preserve">6937888218644</t>
  </si>
  <si>
    <t xml:space="preserve">20734</t>
  </si>
  <si>
    <t xml:space="preserve">Edon PW-90/1450 Мойка высокого давления (1450Вт.,90/120бар)</t>
  </si>
  <si>
    <t xml:space="preserve">1450Вт;90мин/Бар.120Мах/бар.6л/мин.8Бар/мах</t>
  </si>
  <si>
    <t xml:space="preserve">6937888218613</t>
  </si>
  <si>
    <t xml:space="preserve">20587</t>
  </si>
  <si>
    <t xml:space="preserve">REDBO HPW-10/2000 Мойка высокого давления (220В., 2000Вт.,60-100бар)</t>
  </si>
  <si>
    <t xml:space="preserve">2000Вт;2880об/мин;10л/мин.80-100(8-10)бар(МПа).100 Мах/бар.</t>
  </si>
  <si>
    <t xml:space="preserve">6937888218316</t>
  </si>
  <si>
    <t xml:space="preserve">20588</t>
  </si>
  <si>
    <t xml:space="preserve">REDBO HPW-10/2200 Мойка высокого давления (220В., 2200Вт.,80-100бар)</t>
  </si>
  <si>
    <t xml:space="preserve">2200Вт;2880об/мин;13л/мин.60-100(6-10)бар(МПа).100 Мах/бар.</t>
  </si>
  <si>
    <t xml:space="preserve">6937888218323</t>
  </si>
  <si>
    <t xml:space="preserve">20589</t>
  </si>
  <si>
    <t xml:space="preserve">REDBO HPW-16/2600 Мойка высокого давления (220В., 2600Вт.,100-160бар)</t>
  </si>
  <si>
    <t xml:space="preserve">2600Вт;1440об/мин;18л/мин.100-160(10-16)бар(МПа).160 Мах/бар.</t>
  </si>
  <si>
    <t xml:space="preserve">6937888218330</t>
  </si>
  <si>
    <t xml:space="preserve">20590</t>
  </si>
  <si>
    <t xml:space="preserve">REDBO HPW-27/7800 Мойка высокого давления (380В., 7800Вт.,100-270бар)</t>
  </si>
  <si>
    <t xml:space="preserve">380В/~50Гц; 7800Вт;1440об/мин.100-270(10-27)бар(МПа).270 Мах/бар.16л/мин.</t>
  </si>
  <si>
    <t xml:space="preserve">6937888218347</t>
  </si>
  <si>
    <t xml:space="preserve">Компрессоры автомобильные</t>
  </si>
  <si>
    <t xml:space="preserve">20243</t>
  </si>
  <si>
    <t xml:space="preserve">Edon PAC-55A (12В.,7А.,10атм.,22л./мин.) Компрессор автомобильный</t>
  </si>
  <si>
    <t xml:space="preserve">12В.7А.10Атм.22л/мин.IP20.3,0м.кабель.0,5м.шланг</t>
  </si>
  <si>
    <t xml:space="preserve">6937888217135</t>
  </si>
  <si>
    <t xml:space="preserve">20241</t>
  </si>
  <si>
    <t xml:space="preserve">Edon PAC-75 (12В.,7А.,10атм.,22л./мин.) Компрессор автомобильный </t>
  </si>
  <si>
    <t xml:space="preserve">12В.7А.10Атм.22л/мин.IP20.3,0м.кабель.0,6м.шланг</t>
  </si>
  <si>
    <t xml:space="preserve">6937888217142</t>
  </si>
  <si>
    <t xml:space="preserve">14192</t>
  </si>
  <si>
    <t xml:space="preserve">Edon WM102-2 (12В.,15А.,10атм.,34л./мин.) Компрессор автомобильный</t>
  </si>
  <si>
    <t xml:space="preserve">12В.15А.10Атм.34л/мин.</t>
  </si>
  <si>
    <t xml:space="preserve">6937888202971</t>
  </si>
  <si>
    <t xml:space="preserve">14191</t>
  </si>
  <si>
    <t xml:space="preserve">Edon WM102-7 (12В.,18А.,10атм.,70л./мин.) Компрессор автомобильный</t>
  </si>
  <si>
    <t xml:space="preserve">12В.18А.10Атм.70л/мин.</t>
  </si>
  <si>
    <t xml:space="preserve">6937888202988</t>
  </si>
  <si>
    <t xml:space="preserve">Ручной инструмент</t>
  </si>
  <si>
    <t xml:space="preserve">Верстаки</t>
  </si>
  <si>
    <t xml:space="preserve">39760</t>
  </si>
  <si>
    <t xml:space="preserve">REDBO MSS-46/60 Универсальный верстак для торцевых пил</t>
  </si>
  <si>
    <t xml:space="preserve">Рабочий стол 460х600мм; высота ножек 820м</t>
  </si>
  <si>
    <t xml:space="preserve">6937888247118</t>
  </si>
  <si>
    <t xml:space="preserve">39759</t>
  </si>
  <si>
    <t xml:space="preserve">REDBO WT-625/560 Верстак складной для столярных работ</t>
  </si>
  <si>
    <t xml:space="preserve">625х560х785мм; 950х560х165мм; 560х100х18мм; 20х20х0,7х720мм; стальQ195</t>
  </si>
  <si>
    <t xml:space="preserve">6937888247101</t>
  </si>
  <si>
    <t xml:space="preserve">Наборы инструмента</t>
  </si>
  <si>
    <t xml:space="preserve">22833</t>
  </si>
  <si>
    <t xml:space="preserve">Edon MHS-43 Набор инструмента ½ дюйма (43 предмета)</t>
  </si>
  <si>
    <t xml:space="preserve">43 предмета</t>
  </si>
  <si>
    <t xml:space="preserve">6937888228551</t>
  </si>
  <si>
    <t xml:space="preserve">22834</t>
  </si>
  <si>
    <t xml:space="preserve">Edon MHS-45 Набор инструмента ½ дюйма (45 предметов)</t>
  </si>
  <si>
    <t xml:space="preserve">45 предметов</t>
  </si>
  <si>
    <t xml:space="preserve">6937888228568</t>
  </si>
  <si>
    <t xml:space="preserve">22901</t>
  </si>
  <si>
    <t xml:space="preserve">Edon MHS-72 Набор инструмента ½ дюйма (72 предмета)</t>
  </si>
  <si>
    <t xml:space="preserve">72 предмета</t>
  </si>
  <si>
    <t xml:space="preserve">6937888228575</t>
  </si>
  <si>
    <t xml:space="preserve">20421</t>
  </si>
  <si>
    <t xml:space="preserve">Edon MTB-108 Набор инструмента ½ дюйма и ¼ дюйма (108 предметов)</t>
  </si>
  <si>
    <t xml:space="preserve">108 предметов</t>
  </si>
  <si>
    <t xml:space="preserve">6937888216213</t>
  </si>
  <si>
    <t xml:space="preserve">20420</t>
  </si>
  <si>
    <t xml:space="preserve">Edon MTB-32 Набор инструмента ½ дюйма (32 предмета)</t>
  </si>
  <si>
    <t xml:space="preserve">6937888216190</t>
  </si>
  <si>
    <t xml:space="preserve">21032</t>
  </si>
  <si>
    <t xml:space="preserve">Edon MTB-82 Набор инструмента ½ дюйма</t>
  </si>
  <si>
    <t xml:space="preserve">6937888220333</t>
  </si>
  <si>
    <t xml:space="preserve">24680</t>
  </si>
  <si>
    <t xml:space="preserve">Edon MTB-85PLVA Набор инструмента ½ дюйма (85 предметов)</t>
  </si>
  <si>
    <t xml:space="preserve">85 предметов</t>
  </si>
  <si>
    <t xml:space="preserve">6937888231599</t>
  </si>
  <si>
    <t xml:space="preserve">20422</t>
  </si>
  <si>
    <t xml:space="preserve">Edon MTB-94 Набор инструмента ½ дюйма и ¼ дюйма (94 предмета)</t>
  </si>
  <si>
    <t xml:space="preserve">6937888216206</t>
  </si>
  <si>
    <t xml:space="preserve">21597</t>
  </si>
  <si>
    <t xml:space="preserve">Edon PROtech 12-pro-m Набор инструмента ½ дюйма (12 предметов)</t>
  </si>
  <si>
    <t xml:space="preserve">6937888220210.</t>
  </si>
  <si>
    <t xml:space="preserve">21598</t>
  </si>
  <si>
    <t xml:space="preserve">Edon PROtech 24-pro-m Набор инструмента ½ дюйма (24 предмета)</t>
  </si>
  <si>
    <t xml:space="preserve">21599</t>
  </si>
  <si>
    <t xml:space="preserve">Edon PROtech 32-pro-m Набор инструмента ½ дюйма (32 предмета)</t>
  </si>
  <si>
    <t xml:space="preserve">21600</t>
  </si>
  <si>
    <t xml:space="preserve">Edon PROtech 94-pro-m Набор инструмента ½ дюйма (94 предмета)</t>
  </si>
  <si>
    <t xml:space="preserve">21604</t>
  </si>
  <si>
    <t xml:space="preserve">Edon PROtech108-pro-m Набор инструмента ½ дюйма (108 предметов)</t>
  </si>
  <si>
    <t xml:space="preserve">21605</t>
  </si>
  <si>
    <t xml:space="preserve">Edon PROtech82-pro-m Набор инструмента ½ дюйма (82 предмета)</t>
  </si>
  <si>
    <t xml:space="preserve">6937888219962</t>
  </si>
  <si>
    <t xml:space="preserve">21607</t>
  </si>
  <si>
    <t xml:space="preserve">HANTEL HLR-108 Набор инструмента ½ дюйма (108 предметов)</t>
  </si>
  <si>
    <t xml:space="preserve">6937888220395</t>
  </si>
  <si>
    <t xml:space="preserve">21606</t>
  </si>
  <si>
    <t xml:space="preserve">HANTEL HLR-12 Набор инструмента ½ дюйма (12 предметов)</t>
  </si>
  <si>
    <t xml:space="preserve">6937888220289</t>
  </si>
  <si>
    <t xml:space="preserve">21608</t>
  </si>
  <si>
    <t xml:space="preserve">HANTEL HLR-82 Набор инструмента ½ дюйма (82 предмета)</t>
  </si>
  <si>
    <t xml:space="preserve">21518</t>
  </si>
  <si>
    <t xml:space="preserve">JONSER JBR-108 Набор инструмента ½ дюйма (108 предметов)</t>
  </si>
  <si>
    <t xml:space="preserve">6937888219979</t>
  </si>
  <si>
    <t xml:space="preserve">21514</t>
  </si>
  <si>
    <t xml:space="preserve">JONSER JBR-12 Набор инструмента ½ дюйма (12 предметов)</t>
  </si>
  <si>
    <t xml:space="preserve">6937888220234</t>
  </si>
  <si>
    <t xml:space="preserve">21515</t>
  </si>
  <si>
    <t xml:space="preserve">JONSER JBR-24 Набор инструмента ½ дюйма (24 предмета)</t>
  </si>
  <si>
    <t xml:space="preserve">6937888220623</t>
  </si>
  <si>
    <t xml:space="preserve">21516</t>
  </si>
  <si>
    <t xml:space="preserve">JONSER JBR-32 Набор инструмента ½ дюйма (32 предмета)</t>
  </si>
  <si>
    <t xml:space="preserve">6937888220692</t>
  </si>
  <si>
    <t xml:space="preserve">21519</t>
  </si>
  <si>
    <t xml:space="preserve">JONSER JBR-82 Набор инструмента ½ дюйма (82 предмета)</t>
  </si>
  <si>
    <t xml:space="preserve">6937888220517</t>
  </si>
  <si>
    <t xml:space="preserve">21517</t>
  </si>
  <si>
    <t xml:space="preserve">JONSER JBR-94 Набор инструмента ½ дюйма (94 предмета)</t>
  </si>
  <si>
    <t xml:space="preserve">6937888220159</t>
  </si>
  <si>
    <t xml:space="preserve">21610</t>
  </si>
  <si>
    <t xml:space="preserve">KATANA K-108-KIT Набор инструмента ½ дюйма (108 предметов)</t>
  </si>
  <si>
    <t xml:space="preserve">6937888219825</t>
  </si>
  <si>
    <t xml:space="preserve">21609</t>
  </si>
  <si>
    <t xml:space="preserve">KATANA K-12-KIT Набор инструмента ½ дюйма (12 предметов)</t>
  </si>
  <si>
    <t xml:space="preserve">6937888220326</t>
  </si>
  <si>
    <t xml:space="preserve">21611</t>
  </si>
  <si>
    <t xml:space="preserve">KATANA K-82-KIT Набор инструмента ½ дюйма (82 предмета)</t>
  </si>
  <si>
    <t xml:space="preserve">6937888220500</t>
  </si>
  <si>
    <t xml:space="preserve">21524</t>
  </si>
  <si>
    <t xml:space="preserve">KRONA KR-108-R Набор инструмента ½ дюйма (108 предметов)</t>
  </si>
  <si>
    <t xml:space="preserve">6937888219832</t>
  </si>
  <si>
    <t xml:space="preserve">21520</t>
  </si>
  <si>
    <t xml:space="preserve">KRONA KR-12-R Набор инструмента ½ дюйма (12 предметов)</t>
  </si>
  <si>
    <t xml:space="preserve">6937888220210</t>
  </si>
  <si>
    <t xml:space="preserve">21521</t>
  </si>
  <si>
    <t xml:space="preserve">KRONA KR-24-R Набор инструмента ½ дюйма (24 предмета)</t>
  </si>
  <si>
    <t xml:space="preserve">6937888220616</t>
  </si>
  <si>
    <t xml:space="preserve">21522</t>
  </si>
  <si>
    <t xml:space="preserve">KRONA KR-32-R Набор инструмента ½ дюйма (32 предмета)</t>
  </si>
  <si>
    <t xml:space="preserve">6937888220678</t>
  </si>
  <si>
    <t xml:space="preserve">21525</t>
  </si>
  <si>
    <t xml:space="preserve">KRONA KR-82-R Набор инструмента ½ дюйма (82 предмета)</t>
  </si>
  <si>
    <t xml:space="preserve">6937888220531</t>
  </si>
  <si>
    <t xml:space="preserve">21523</t>
  </si>
  <si>
    <t xml:space="preserve">KRONA KR-94-R Набор инструмента ½ дюйма (94 предмета)</t>
  </si>
  <si>
    <t xml:space="preserve">6937888220166</t>
  </si>
  <si>
    <t xml:space="preserve">21613</t>
  </si>
  <si>
    <t xml:space="preserve">TAKATSU TS-108M Набор инструмента ½ дюйма (108 предметов)</t>
  </si>
  <si>
    <t xml:space="preserve">6937888219856</t>
  </si>
  <si>
    <t xml:space="preserve">21614</t>
  </si>
  <si>
    <t xml:space="preserve">TAKATSU TS-82M Набор инструмента ½ дюйма (82 предмета)</t>
  </si>
  <si>
    <t xml:space="preserve">6937888220524</t>
  </si>
  <si>
    <t xml:space="preserve">21612</t>
  </si>
  <si>
    <t xml:space="preserve">TAKATSU TS-94M Набор инструмента ½ дюйма (94 предмета)</t>
  </si>
  <si>
    <t xml:space="preserve">6937888220142</t>
  </si>
  <si>
    <t xml:space="preserve">Удлинители</t>
  </si>
  <si>
    <t xml:space="preserve">35487</t>
  </si>
  <si>
    <t xml:space="preserve">Edon EC30-1.5/3RT Удлинитель (30м., 3*1.5кв.мм.)</t>
  </si>
  <si>
    <t xml:space="preserve">30м.3/1.5мм</t>
  </si>
  <si>
    <t xml:space="preserve">6937888228728</t>
  </si>
  <si>
    <t xml:space="preserve">22900</t>
  </si>
  <si>
    <t xml:space="preserve">REDBO CE50-1.5/3RT Удлинитель (50м., 3*1.5кв.мм.)</t>
  </si>
  <si>
    <t xml:space="preserve">50м.3/1.5мм</t>
  </si>
  <si>
    <t xml:space="preserve">22899</t>
  </si>
  <si>
    <t xml:space="preserve">Удлинитель Edon EC50-1.5/3RT </t>
  </si>
  <si>
    <t xml:space="preserve">6937888228735</t>
  </si>
  <si>
    <t xml:space="preserve">Ящики</t>
  </si>
  <si>
    <t xml:space="preserve">39761</t>
  </si>
  <si>
    <t xml:space="preserve">Edon TH-1083 Сумка инструментальная</t>
  </si>
  <si>
    <t xml:space="preserve">6937888247019</t>
  </si>
  <si>
    <t xml:space="preserve">39762</t>
  </si>
  <si>
    <t xml:space="preserve">Edon TH-2217 Транспортировочный ящик</t>
  </si>
  <si>
    <t xml:space="preserve">6937888247026</t>
  </si>
  <si>
    <t xml:space="preserve">39763</t>
  </si>
  <si>
    <t xml:space="preserve">Edon TH-2218 Транспортировочный ящик</t>
  </si>
  <si>
    <t xml:space="preserve">6937888247033</t>
  </si>
  <si>
    <t xml:space="preserve">39764</t>
  </si>
  <si>
    <t xml:space="preserve">Edon TH-2219 Транспортировочный ящик</t>
  </si>
  <si>
    <t xml:space="preserve">6937888247040</t>
  </si>
  <si>
    <t xml:space="preserve">39765</t>
  </si>
  <si>
    <t xml:space="preserve">Edon TH-2220 Транспортировочный ящик</t>
  </si>
  <si>
    <t xml:space="preserve">6937888247057</t>
  </si>
  <si>
    <t xml:space="preserve">39766</t>
  </si>
  <si>
    <t xml:space="preserve">Edon TH-2221 Основа системы хранения с транспортировочным ящиком</t>
  </si>
  <si>
    <t xml:space="preserve">6937888247064</t>
  </si>
  <si>
    <t xml:space="preserve">39769</t>
  </si>
  <si>
    <t xml:space="preserve">Edon TH-2223 Система хранения</t>
  </si>
  <si>
    <t xml:space="preserve">6937888247095</t>
  </si>
  <si>
    <t xml:space="preserve">39768</t>
  </si>
  <si>
    <t xml:space="preserve">Edon TH-2224 Система хранения</t>
  </si>
  <si>
    <t xml:space="preserve">6937888247088</t>
  </si>
  <si>
    <t xml:space="preserve">39767</t>
  </si>
  <si>
    <t xml:space="preserve">Edon TH-2225 Система хранения</t>
  </si>
  <si>
    <t xml:space="preserve">6937888247071</t>
  </si>
  <si>
    <t xml:space="preserve">Строительная техника</t>
  </si>
  <si>
    <t xml:space="preserve">Вибраторы</t>
  </si>
  <si>
    <t xml:space="preserve">17993</t>
  </si>
  <si>
    <t xml:space="preserve">Edon CV-35/1100 Вибратор электрический ручной (1100Вт, 35мм.)</t>
  </si>
  <si>
    <t xml:space="preserve">1100Вт; 35мм; М41х1,5мм.8мм.</t>
  </si>
  <si>
    <t xml:space="preserve">6937888208041</t>
  </si>
  <si>
    <t xml:space="preserve">17994</t>
  </si>
  <si>
    <t xml:space="preserve">Edon CV-35/1500 Вибратор электрический ручной (1500Вт, 35мм., ручной)</t>
  </si>
  <si>
    <t xml:space="preserve">1500Вт; 35мм; М41х1,5мм.8мм.</t>
  </si>
  <si>
    <t xml:space="preserve">6937888208003</t>
  </si>
  <si>
    <t xml:space="preserve">39802</t>
  </si>
  <si>
    <t xml:space="preserve">REDBO CVE-1500 Вибратор электрический ручной (1500Вт; 35мм; М41х1,5мм; 8мм)</t>
  </si>
  <si>
    <t xml:space="preserve">1500Вт; 35мм; М41х1,5мм; 8мм</t>
  </si>
  <si>
    <t xml:space="preserve">6937888246135</t>
  </si>
  <si>
    <t xml:space="preserve">39803</t>
  </si>
  <si>
    <t xml:space="preserve">REDBO CVE-2300C Вибратор электрический стационарный</t>
  </si>
  <si>
    <t xml:space="preserve">2300Вт; 35мм</t>
  </si>
  <si>
    <t xml:space="preserve">6937888246142</t>
  </si>
  <si>
    <t xml:space="preserve">Виброплиты</t>
  </si>
  <si>
    <t xml:space="preserve">39856</t>
  </si>
  <si>
    <t xml:space="preserve">REDBO PCG-55/4000 Бензиновая виброплита (2.5л.с., 50кг.)</t>
  </si>
  <si>
    <t xml:space="preserve">8кН; 5140уд/мин; 420х300мм; 22м/мин; 350м2/час; 20см; двигатель: Dinking 152F; 2,5л.с; 3600/1300об/мин; 1,3/0,3л; ручной стартер; бензин АИ-92</t>
  </si>
  <si>
    <t xml:space="preserve">6937888247415</t>
  </si>
  <si>
    <t xml:space="preserve">39857</t>
  </si>
  <si>
    <t xml:space="preserve">REDBO PCG-60/4800 Бензиновая виброплита (5.5л.с., 60кг.)</t>
  </si>
  <si>
    <t xml:space="preserve">10,5кН; 5600уд/мин; 520х370мм; 20-25м/мин; 450м2/час; 20см; двигатель: Loncin G200F; 4,1кВт; 3600об/мин; 3,6/0,6л; ручной стартер; бензин АИ-92</t>
  </si>
  <si>
    <t xml:space="preserve">6937888247422</t>
  </si>
  <si>
    <t xml:space="preserve">39858</t>
  </si>
  <si>
    <t xml:space="preserve">REDBO PCG-70/5200B Бензиновая виброплита (5.5л.с.,70кг., бак)</t>
  </si>
  <si>
    <t xml:space="preserve">10,5кН; 5600уд/мин; 520х370мм; 25м/мин; 450м2/час; 20см; двигатель: Loncin G200F; 4,1кВт; 3600об/мин; 3,6/0,6л; ручной стартер; бензин АИ-92; бак системы орошения</t>
  </si>
  <si>
    <t xml:space="preserve">6937888247439</t>
  </si>
  <si>
    <t xml:space="preserve">39860</t>
  </si>
  <si>
    <t xml:space="preserve">REDBO PCG-90/4000 Бензиновая виброплита (5.5л.с., 85кг.)</t>
  </si>
  <si>
    <t xml:space="preserve">16кН; 4200уд/мин; 540х430мм; 20-25м/мин; 486м2/час; 30см; двигатель: Loncin G200F; 4,1кВт; 3600об/мин; 3,6/0,6л; ручной стартер; бензин АИ-92</t>
  </si>
  <si>
    <t xml:space="preserve">6937888247453</t>
  </si>
  <si>
    <t xml:space="preserve">39859</t>
  </si>
  <si>
    <t xml:space="preserve">REDBO PCG-100/4800B Бензиновая виброплита (5.5л.с., 60кг.)</t>
  </si>
  <si>
    <t xml:space="preserve">13,2кН; 5500уд/мин; 500х520мм; 40м/мин; 660м2/час; 30см; двигатель: Loncin G200F; 4,1кВт; 3600об/мин; 3,6/0,6л; ручной стартер; бензин АИ-92; бак системы орошения</t>
  </si>
  <si>
    <t xml:space="preserve">6937888247446</t>
  </si>
  <si>
    <t xml:space="preserve">Вибротрамбовки</t>
  </si>
  <si>
    <t xml:space="preserve">39861</t>
  </si>
  <si>
    <t xml:space="preserve">REDBO ED-HR100B Бензиновая вибротрамбовка (6.5л.с.,10kN., 345х285мм)</t>
  </si>
  <si>
    <t xml:space="preserve">10кН; 450-660уд/мин; 40-65мм; 345х285мм; 10-13м/мин; 0,9л; двигатель: Loncin LC 168-2H; 6,5л.с; 2,8/0,6л; 3600об/мин; ручной стартер; бензин АИ-92</t>
  </si>
  <si>
    <t xml:space="preserve">6937888247408</t>
  </si>
  <si>
    <t xml:space="preserve">Гибкие валы для вибраторов</t>
  </si>
  <si>
    <t xml:space="preserve">18105</t>
  </si>
  <si>
    <t xml:space="preserve">Edon CNV-35/1.5 Гибкий вал с вибронаконечником (35мм., 1.5м.)</t>
  </si>
  <si>
    <t xml:space="preserve">35мм х 1,5м; М41 х 1,5мм; 8мм</t>
  </si>
  <si>
    <t xml:space="preserve">6937888213830</t>
  </si>
  <si>
    <t xml:space="preserve">18106</t>
  </si>
  <si>
    <t xml:space="preserve">Edon CNV-35/4 Гибкий вал с вибронаконечником (35мм., 4м.)</t>
  </si>
  <si>
    <t xml:space="preserve">35мм х 4м</t>
  </si>
  <si>
    <t xml:space="preserve">6937888213823</t>
  </si>
  <si>
    <t xml:space="preserve">Затирочные машины</t>
  </si>
  <si>
    <t xml:space="preserve">21625</t>
  </si>
  <si>
    <t xml:space="preserve">Edon ED-MG1000 Бензиновая затирочная машина  (5.5л.с.,1000мм.)</t>
  </si>
  <si>
    <t xml:space="preserve">1000мм.70-140об/мин.340х150мм.4шт.0-15°.RWD170F/D.4,0/5,44кВт/л.с.3,5/0,6л.</t>
  </si>
  <si>
    <t xml:space="preserve">6937888219603</t>
  </si>
  <si>
    <t xml:space="preserve">Швонарезчики</t>
  </si>
  <si>
    <t xml:space="preserve">39862</t>
  </si>
  <si>
    <t xml:space="preserve">REDBO VFS-350/4000B Бензиновый швонарезчик (350мм., 6.5л.с., 80мм., бак)</t>
  </si>
  <si>
    <t xml:space="preserve">80мм; 350/25,4(1 дюйм); 3000об/мин; ременная; 12л; двигатель: Loncin G200F; 6,5л.с; 3,6/0,6л; ручной стартер; бензин АИ-92</t>
  </si>
  <si>
    <t xml:space="preserve">6937888247460</t>
  </si>
  <si>
    <t xml:space="preserve">39863</t>
  </si>
  <si>
    <t xml:space="preserve">REDBO VFS-500/12000B Бензиновый швонарезчик (500мм., 13л.с., 185мм., бак)</t>
  </si>
  <si>
    <t xml:space="preserve">185мм; 500/25,4(1 дюйм); 3000об/мин; ременная; 35л; двигатель: Loncin G420F; 13л.с; 6,5/1,1л; ручной стартер; бензин АИ-92; 374г/кВт.ч</t>
  </si>
  <si>
    <t xml:space="preserve">6937888247477</t>
  </si>
  <si>
    <t xml:space="preserve">Электротельферы</t>
  </si>
  <si>
    <t xml:space="preserve">39165</t>
  </si>
  <si>
    <t xml:space="preserve">REDBO EH-1000/1600 Тельфер электрический (1600Вт., 1000кг., трос 12м., ø5.6мм.)</t>
  </si>
  <si>
    <t xml:space="preserve">1600Вт; 500/1000кг; 12/6м; 10/5м/мин; 12м/5,6мм</t>
  </si>
  <si>
    <t xml:space="preserve">6937888244407</t>
  </si>
  <si>
    <t xml:space="preserve">39167</t>
  </si>
  <si>
    <t xml:space="preserve">REDBO EH-1000/1600C Тельфер электрический самоходный (1600Вт., 1000кг., трос 12м., ø5.6мм., каретка)</t>
  </si>
  <si>
    <t xml:space="preserve">1600Вт; 500/1000кг; 12/6м; 10/5м/мин; 12м/5,6мм (каретка: 200Вт; 16м/мин; 68-110мм; 1,5м)</t>
  </si>
  <si>
    <t xml:space="preserve">6937888244452</t>
  </si>
  <si>
    <t xml:space="preserve">20380</t>
  </si>
  <si>
    <t xml:space="preserve">REDBO EH-250/500 Тельфер электрический (500Вт., 250кг., трос 12м., ø3мм.)</t>
  </si>
  <si>
    <t xml:space="preserve">500Вт; 125/250кг; 12/6м; 10/5м/мин; 12м/3,0мм</t>
  </si>
  <si>
    <t xml:space="preserve">6937888217388</t>
  </si>
  <si>
    <t xml:space="preserve">20381</t>
  </si>
  <si>
    <t xml:space="preserve">REDBO EH-500/900 Тельфер электрический  (900Вт., 500кг., трос 12м., ø4.2мм.)</t>
  </si>
  <si>
    <t xml:space="preserve">900Вт; 250/500кг; 12/6м; 10/5м/мин; 12м/4,2мм</t>
  </si>
  <si>
    <t xml:space="preserve">6937888217395</t>
  </si>
  <si>
    <t xml:space="preserve">39166</t>
  </si>
  <si>
    <t xml:space="preserve">REDBO EH-500/900C Тельфер электрический самоходный (900Вт., 500кг., трос 12м., ø4.2мм., каретка)</t>
  </si>
  <si>
    <t xml:space="preserve">900Вт; 250/500кг; 12/6м; 10/5м/мин; 12м/4,2мм (каретка: 200Вт; 16м/мин; 68-110мм; 1,0м)</t>
  </si>
  <si>
    <t xml:space="preserve">6937888244445</t>
  </si>
  <si>
    <t xml:space="preserve">39164</t>
  </si>
  <si>
    <t xml:space="preserve">REDBO EH-800/1350 Тельфер электрический (1350Вт., 800кг., трос 12м., ø5.1мм.)</t>
  </si>
  <si>
    <t xml:space="preserve">1350Вт; 400/800кг; 12/6м; 10/5м/мин; 12м/5,1мм</t>
  </si>
  <si>
    <t xml:space="preserve">6937888244414</t>
  </si>
  <si>
    <t xml:space="preserve">Средства защиты</t>
  </si>
  <si>
    <t xml:space="preserve">Маски</t>
  </si>
  <si>
    <t xml:space="preserve">21424</t>
  </si>
  <si>
    <t xml:space="preserve">REDBO Explorer 9-13 Маска сварщика хамелеон</t>
  </si>
  <si>
    <t xml:space="preserve">110х90х9мм; 92,5х42,5мм; DIN4; DIN/9~13; 3/10000; 0,1-0,8сек</t>
  </si>
  <si>
    <t xml:space="preserve">6937888243547</t>
  </si>
  <si>
    <t xml:space="preserve">18004</t>
  </si>
  <si>
    <t xml:space="preserve">REDBO LYG-4300 Маска сварщика хамелеон</t>
  </si>
  <si>
    <t xml:space="preserve">110х90х9мм; 90,5х34мм; DIN4; DIN/9/11~13; 5/10000; 0,2сек</t>
  </si>
  <si>
    <t xml:space="preserve">6937888203329</t>
  </si>
  <si>
    <t xml:space="preserve">18005</t>
  </si>
  <si>
    <t xml:space="preserve">REDBO LYG-4400 Маска сварщика хамелеон</t>
  </si>
  <si>
    <t xml:space="preserve">110х90х9мм; 90,5х34мм; DIN3; DIN11; 5/10000; 0,2сек</t>
  </si>
  <si>
    <t xml:space="preserve">6937888203336</t>
  </si>
  <si>
    <t xml:space="preserve">14354</t>
  </si>
  <si>
    <t xml:space="preserve">REDBO RB-6000-21 Маска сварщика хамелеон</t>
  </si>
  <si>
    <t xml:space="preserve">110х90х9мм; 92,5х42,5мм; DIN4; DIN9~13; 3/10000сек; 0,1-0,8сек</t>
  </si>
  <si>
    <t xml:space="preserve">6937888203381</t>
  </si>
  <si>
    <t xml:space="preserve">14353</t>
  </si>
  <si>
    <t xml:space="preserve">REDBO RB-6000-23 Маска сварщика хамелеон</t>
  </si>
  <si>
    <t xml:space="preserve">124,5х100х18мм; 92,5х42,5мм; DIN4; DIN9~13; 1/10000сек; 0,1/0,4/0,8сек</t>
  </si>
  <si>
    <t xml:space="preserve">6937888203398</t>
  </si>
  <si>
    <t xml:space="preserve">17649</t>
  </si>
  <si>
    <t xml:space="preserve">REDBO RB-6512 Маска сварщика хамелеон</t>
  </si>
  <si>
    <t xml:space="preserve">Материал: термостойкий ударный пластик
Размер светофильтра (мм) 110*90*9
Поле обзора (мм) 92*42
Наружный датчик поджига электодуги
Наружный регулятор степени затемнения DIN4/DIN9-DIN13
Регулятор чувствительности светофильтра
Источник питания: солнечная барея и литиевая батарея
Время срабатывания 1/25000 сек.
Количество сенсоров 2
Рабочая темпиратура от -10С до +60С
вес 485гр
Гарантия 12мес.</t>
  </si>
  <si>
    <t xml:space="preserve">6937888203343</t>
  </si>
  <si>
    <t xml:space="preserve">14356</t>
  </si>
  <si>
    <t xml:space="preserve">REDBO RB-9000-3 Маска сварщика хамелеон</t>
  </si>
  <si>
    <t xml:space="preserve">133х114х10мм; 100х59,5мм; DIN4; DIN9~13;1/10000сек; 0,1-0,8сек</t>
  </si>
  <si>
    <t xml:space="preserve">6937888203374</t>
  </si>
  <si>
    <t xml:space="preserve">14355</t>
  </si>
  <si>
    <t xml:space="preserve">REDBO RB-9000-5 Маска сварщика хамелеон</t>
  </si>
  <si>
    <t xml:space="preserve">133х114х10мм; 92,5х42,5мм; DIN4; DIN9~13;1/10000сек; 0,1-0,8сек</t>
  </si>
  <si>
    <t xml:space="preserve">6937888203367</t>
  </si>
  <si>
    <t xml:space="preserve">21423</t>
  </si>
  <si>
    <t xml:space="preserve">REDBO Venturer 9-13 Маска сварщика хамелеон</t>
  </si>
  <si>
    <t xml:space="preserve">24442</t>
  </si>
  <si>
    <t xml:space="preserve">REDBO Zealot 4-13C Маска сварщика хамелеон</t>
  </si>
  <si>
    <t xml:space="preserve">133х114х10мм; 100х93мм; DIN4; DIN5~9/9~13; 1/10000сек; 0,1-0,8сек</t>
  </si>
  <si>
    <t xml:space="preserve">6937888230400</t>
  </si>
  <si>
    <t xml:space="preserve">24441</t>
  </si>
  <si>
    <t xml:space="preserve">REDBO Zealot 9-13 Маска сварщика хамелеон</t>
  </si>
  <si>
    <t xml:space="preserve">190,5х77,5х76,25мм; 122,5х35мм; DIN5-DIN9; DIN/9~13; 3/10000сек; 0,1-1сек</t>
  </si>
  <si>
    <t xml:space="preserve">6937888230417</t>
  </si>
  <si>
    <t xml:space="preserve">Очки</t>
  </si>
  <si>
    <t xml:space="preserve">20592</t>
  </si>
  <si>
    <t xml:space="preserve">ETECH J200ultra Очки сварщика</t>
  </si>
  <si>
    <t xml:space="preserve">20593</t>
  </si>
  <si>
    <t xml:space="preserve">HANTEL HL-GLASS Очки сварщика</t>
  </si>
  <si>
    <t xml:space="preserve">20594</t>
  </si>
  <si>
    <t xml:space="preserve">KRONA KR-lock Очки сварщика</t>
  </si>
  <si>
    <t xml:space="preserve">20591</t>
  </si>
  <si>
    <t xml:space="preserve">REDBO RB-2000 Хамелеон очки</t>
  </si>
  <si>
    <t xml:space="preserve">108х50х5,5мм;90х30мм; DIN4;DIN11;1/10000сек;0,2сек</t>
  </si>
  <si>
    <t xml:space="preserve">6937888216824</t>
  </si>
  <si>
    <t xml:space="preserve">Аксессуары и расходные материалы</t>
  </si>
  <si>
    <t xml:space="preserve">Для аккумуляторного инструмента</t>
  </si>
  <si>
    <t xml:space="preserve">19833</t>
  </si>
  <si>
    <t xml:space="preserve">Edon AB-18/2.0 Аккумулятор</t>
  </si>
  <si>
    <t xml:space="preserve">19834</t>
  </si>
  <si>
    <t xml:space="preserve">Edon AB-21/2.0 Аккумулятор</t>
  </si>
  <si>
    <t xml:space="preserve">19835</t>
  </si>
  <si>
    <t xml:space="preserve">Edon AB-21/4.0 Аккумулятор</t>
  </si>
  <si>
    <t xml:space="preserve">19836</t>
  </si>
  <si>
    <t xml:space="preserve">Edon AB-21/4.0D Аккумулятор</t>
  </si>
  <si>
    <t xml:space="preserve">41889</t>
  </si>
  <si>
    <t xml:space="preserve">Edon ACS-6-1-2 Шина</t>
  </si>
  <si>
    <t xml:space="preserve">41890</t>
  </si>
  <si>
    <t xml:space="preserve">Edon ACS-8-1-2 Шина</t>
  </si>
  <si>
    <t xml:space="preserve">19841</t>
  </si>
  <si>
    <t xml:space="preserve">Edon ASB-10-3/8-1.4 Шина </t>
  </si>
  <si>
    <t xml:space="preserve">10-3/8-1.4</t>
  </si>
  <si>
    <t xml:space="preserve">19842</t>
  </si>
  <si>
    <t xml:space="preserve">Edon ASB-4-1-2 Шина</t>
  </si>
  <si>
    <t xml:space="preserve">15011</t>
  </si>
  <si>
    <t xml:space="preserve">Edon LIO/OAF-1.3A/h Аккумулятор литий-ионный</t>
  </si>
  <si>
    <t xml:space="preserve">21В   1.3 А/ч   0,4 A</t>
  </si>
  <si>
    <t xml:space="preserve">6937888224201</t>
  </si>
  <si>
    <t xml:space="preserve">41887</t>
  </si>
  <si>
    <t xml:space="preserve">REDBO ACSB-6-1-2 Шина</t>
  </si>
  <si>
    <t xml:space="preserve">41888</t>
  </si>
  <si>
    <t xml:space="preserve">REDBO ACSB-8-1-2 Шина</t>
  </si>
  <si>
    <t xml:space="preserve">15015</t>
  </si>
  <si>
    <t xml:space="preserve">Аккумулятор Edon LIO/OAF21-2,0A/h (Li-ion, 2,0A/h)</t>
  </si>
  <si>
    <t xml:space="preserve">21В.2.0А/ч</t>
  </si>
  <si>
    <t xml:space="preserve">6937888224218</t>
  </si>
  <si>
    <t xml:space="preserve">15012</t>
  </si>
  <si>
    <t xml:space="preserve">Аккумулятор Edon LIO/OAF21-3,0A/h (Li-ion, 3,0A/h)</t>
  </si>
  <si>
    <t xml:space="preserve">21В.3.0А/ч</t>
  </si>
  <si>
    <t xml:space="preserve">6937888224225</t>
  </si>
  <si>
    <t xml:space="preserve">19737</t>
  </si>
  <si>
    <t xml:space="preserve">Аккумулятор Edon LIO/OAF21-4,0A/h  (Li-ion, 4,0A/h)</t>
  </si>
  <si>
    <t xml:space="preserve">21В.4.0А/ч</t>
  </si>
  <si>
    <t xml:space="preserve">6937888212246</t>
  </si>
  <si>
    <t xml:space="preserve">22682</t>
  </si>
  <si>
    <t xml:space="preserve">Аккумулятор Edon UAB-21/2.0 (Li-ion, 2,0A/h)</t>
  </si>
  <si>
    <t xml:space="preserve">6937888217968</t>
  </si>
  <si>
    <t xml:space="preserve">22683</t>
  </si>
  <si>
    <t xml:space="preserve">Аккумулятор Edon UAB-21/4 (Li-ion, 21 В, 4,0A/ч)</t>
  </si>
  <si>
    <t xml:space="preserve">6937888253249</t>
  </si>
  <si>
    <t xml:space="preserve">22684</t>
  </si>
  <si>
    <t xml:space="preserve">Аккумулятор Edon UAB-21/6.0 (Li-ion, 6,0A/h)</t>
  </si>
  <si>
    <t xml:space="preserve">21В.6.0А/ч</t>
  </si>
  <si>
    <t xml:space="preserve">6937888253188</t>
  </si>
  <si>
    <t xml:space="preserve">40716</t>
  </si>
  <si>
    <t xml:space="preserve">Аккумулятор Edon UAB-21/8.0 (Li-ion, 8,0A/ч)</t>
  </si>
  <si>
    <t xml:space="preserve">Li-ion, 21В, 8.0А/ч</t>
  </si>
  <si>
    <t xml:space="preserve">6937888253195</t>
  </si>
  <si>
    <t xml:space="preserve">19644</t>
  </si>
  <si>
    <t xml:space="preserve">Аккумулятор REDBO OLB-20/4.0  (Li-ion, 4,0A/h)</t>
  </si>
  <si>
    <t xml:space="preserve">20В.4.0А/ч</t>
  </si>
  <si>
    <t xml:space="preserve">6937888211942</t>
  </si>
  <si>
    <t xml:space="preserve">9451</t>
  </si>
  <si>
    <t xml:space="preserve">Аккумуляторная батарея AD-24V</t>
  </si>
  <si>
    <t xml:space="preserve">22261</t>
  </si>
  <si>
    <t xml:space="preserve">Нож сменный  для секатора Edon ACPS A</t>
  </si>
  <si>
    <t xml:space="preserve">20892</t>
  </si>
  <si>
    <t xml:space="preserve">Режущий диск металлический Edon AACD 110/50-40</t>
  </si>
  <si>
    <t xml:space="preserve">110/50-40</t>
  </si>
  <si>
    <t xml:space="preserve">20890</t>
  </si>
  <si>
    <t xml:space="preserve">Режущий диск металлический Edon AACD 150/50-40</t>
  </si>
  <si>
    <t xml:space="preserve">150/50-40</t>
  </si>
  <si>
    <t xml:space="preserve">20889</t>
  </si>
  <si>
    <t xml:space="preserve">Режущий нож двухлопастной металлический Edon AACD 150/20-2</t>
  </si>
  <si>
    <t xml:space="preserve">150/20-2</t>
  </si>
  <si>
    <t xml:space="preserve">20891</t>
  </si>
  <si>
    <t xml:space="preserve">Режущий нож двухлопастной пластиковый Edon AACD 140/20-2P</t>
  </si>
  <si>
    <t xml:space="preserve">140/20-2P</t>
  </si>
  <si>
    <t xml:space="preserve">21135</t>
  </si>
  <si>
    <t xml:space="preserve">Шина Edon ASB-4-1-2 </t>
  </si>
  <si>
    <t xml:space="preserve">18.04.</t>
  </si>
  <si>
    <t xml:space="preserve">21136</t>
  </si>
  <si>
    <t xml:space="preserve">Шина Edon ASB-6-1-2 </t>
  </si>
  <si>
    <t xml:space="preserve">18.06.</t>
  </si>
  <si>
    <t xml:space="preserve">35827</t>
  </si>
  <si>
    <t xml:space="preserve">Шина Edon ASB-8-1-2</t>
  </si>
  <si>
    <t xml:space="preserve">Для бензоинструмента</t>
  </si>
  <si>
    <t xml:space="preserve">17446</t>
  </si>
  <si>
    <t xml:space="preserve">Edon DT-255/40T Диск для триммера</t>
  </si>
  <si>
    <t xml:space="preserve">18280</t>
  </si>
  <si>
    <t xml:space="preserve">Edon EAD-100/800 Шнек для мотобура</t>
  </si>
  <si>
    <t xml:space="preserve">18281</t>
  </si>
  <si>
    <t xml:space="preserve">Edon EAD-150/800 Шнек для мотобура</t>
  </si>
  <si>
    <t xml:space="preserve">18285</t>
  </si>
  <si>
    <t xml:space="preserve">Edon EADE-1000 Удлинитель шнека</t>
  </si>
  <si>
    <t xml:space="preserve">18284</t>
  </si>
  <si>
    <t xml:space="preserve">Edon EADE-500 Удлинитель шнека</t>
  </si>
  <si>
    <t xml:space="preserve">17444</t>
  </si>
  <si>
    <t xml:space="preserve">Edon Нож для бензотриммера 4T</t>
  </si>
  <si>
    <t xml:space="preserve">80030301031</t>
  </si>
  <si>
    <t xml:space="preserve">Edon Шина для Бензопилы EDC 5216</t>
  </si>
  <si>
    <t xml:space="preserve">13979</t>
  </si>
  <si>
    <t xml:space="preserve">Головка режущая в сборе Edon (B)</t>
  </si>
  <si>
    <t xml:space="preserve">Гайка М10*1,25LH (левая резьба)</t>
  </si>
  <si>
    <t xml:space="preserve">6937888221286</t>
  </si>
  <si>
    <t xml:space="preserve">13980</t>
  </si>
  <si>
    <t xml:space="preserve">Головка режущая в сборе Edon (C) Гайка М10*1,25LH (левая резьба)</t>
  </si>
  <si>
    <t xml:space="preserve">14404</t>
  </si>
  <si>
    <t xml:space="preserve">Головка режущая в сборе Edon GT (черная) (A) Гайка М10*1,25LH</t>
  </si>
  <si>
    <t xml:space="preserve">Гайка М10*1,25LH</t>
  </si>
  <si>
    <t xml:space="preserve">20000</t>
  </si>
  <si>
    <t xml:space="preserve">Масло 2T минеральное REDBO 100ml  API TB</t>
  </si>
  <si>
    <t xml:space="preserve">4606882030577</t>
  </si>
  <si>
    <t xml:space="preserve">20001</t>
  </si>
  <si>
    <t xml:space="preserve">Масло минеральное REDBO 1L API TB</t>
  </si>
  <si>
    <t xml:space="preserve">4606882030560</t>
  </si>
  <si>
    <t xml:space="preserve">20002</t>
  </si>
  <si>
    <t xml:space="preserve">Масло минеральное моторное REDBO API TB 1LB </t>
  </si>
  <si>
    <t xml:space="preserve">4606882030553</t>
  </si>
  <si>
    <t xml:space="preserve">20003</t>
  </si>
  <si>
    <t xml:space="preserve">Масло полусинтетическое моторное REDBO API TC 1L</t>
  </si>
  <si>
    <t xml:space="preserve">4606882030591</t>
  </si>
  <si>
    <t xml:space="preserve">20004</t>
  </si>
  <si>
    <t xml:space="preserve">Масло полусинтетическое моторное REDBO API TC 1L B </t>
  </si>
  <si>
    <t xml:space="preserve">4606882030584</t>
  </si>
  <si>
    <t xml:space="preserve">20005</t>
  </si>
  <si>
    <t xml:space="preserve">Масло полусинтетическое моторное REDBO SAE 10W-40 API SJ/CF 1L</t>
  </si>
  <si>
    <t xml:space="preserve">4606882030614</t>
  </si>
  <si>
    <t xml:space="preserve">18283</t>
  </si>
  <si>
    <t xml:space="preserve">Шнек для мотобура Edon EAD-250/800</t>
  </si>
  <si>
    <t xml:space="preserve">Для сварки</t>
  </si>
  <si>
    <t xml:space="preserve">30085</t>
  </si>
  <si>
    <t xml:space="preserve">CBAPTEX FCW1.0-1 Сварочная проволока порошковая </t>
  </si>
  <si>
    <t xml:space="preserve">20992</t>
  </si>
  <si>
    <t xml:space="preserve">Edon DGE 500 Электрододержатель</t>
  </si>
  <si>
    <t xml:space="preserve">500А</t>
  </si>
  <si>
    <t xml:space="preserve">6937888223266</t>
  </si>
  <si>
    <t xml:space="preserve">37850</t>
  </si>
  <si>
    <t xml:space="preserve">Edon Digital FCW-0.8/1S Сварочная проволока порошковая </t>
  </si>
  <si>
    <t xml:space="preserve">30304</t>
  </si>
  <si>
    <t xml:space="preserve">EDON Digital FCW-1.0/1S Сварочная проволока порошковая </t>
  </si>
  <si>
    <t xml:space="preserve">21996</t>
  </si>
  <si>
    <t xml:space="preserve">Edon DIT 200 Электрододержатель</t>
  </si>
  <si>
    <t xml:space="preserve">200А</t>
  </si>
  <si>
    <t xml:space="preserve">6937888223211</t>
  </si>
  <si>
    <t xml:space="preserve">16291</t>
  </si>
  <si>
    <t xml:space="preserve">Edon ED-D100 Магнит для сварки</t>
  </si>
  <si>
    <t xml:space="preserve">30°,45°,60°,75°,90°,135°,34Кг</t>
  </si>
  <si>
    <t xml:space="preserve">6937888225956</t>
  </si>
  <si>
    <t xml:space="preserve">16034</t>
  </si>
  <si>
    <t xml:space="preserve">Edon ED-D50 Магнит для сварки</t>
  </si>
  <si>
    <t xml:space="preserve">30°,45°,60°,75°,90°,135°,11Кг</t>
  </si>
  <si>
    <t xml:space="preserve">6937888225932</t>
  </si>
  <si>
    <t xml:space="preserve">16033</t>
  </si>
  <si>
    <t xml:space="preserve">Edon ED-S50 Магнит для сварки</t>
  </si>
  <si>
    <t xml:space="preserve">45°,90°,135°,11Кг</t>
  </si>
  <si>
    <t xml:space="preserve">6937888225901</t>
  </si>
  <si>
    <t xml:space="preserve">16035</t>
  </si>
  <si>
    <t xml:space="preserve">Edon ED-S75 Магнит для сварки</t>
  </si>
  <si>
    <t xml:space="preserve">45°,90°,135°,23Кг</t>
  </si>
  <si>
    <t xml:space="preserve">6937888225918</t>
  </si>
  <si>
    <t xml:space="preserve">18056</t>
  </si>
  <si>
    <t xml:space="preserve">Edon EHC 25/1.8 Электрододержатель с кабелем</t>
  </si>
  <si>
    <t xml:space="preserve">18058</t>
  </si>
  <si>
    <t xml:space="preserve">Edon EHC 50/1.8 Электрододержатель с кабелем </t>
  </si>
  <si>
    <t xml:space="preserve">18057</t>
  </si>
  <si>
    <t xml:space="preserve">Edon GCC 50/1.8 Зажим массы с кабелем </t>
  </si>
  <si>
    <t xml:space="preserve">20517</t>
  </si>
  <si>
    <t xml:space="preserve">Edon M180/2.5 Сварочная горелка .</t>
  </si>
  <si>
    <t xml:space="preserve">14604</t>
  </si>
  <si>
    <t xml:space="preserve">Edon MND 500 Зажим массы</t>
  </si>
  <si>
    <t xml:space="preserve">6937888223297</t>
  </si>
  <si>
    <t xml:space="preserve">20994</t>
  </si>
  <si>
    <t xml:space="preserve">Edon MUS 300 Зажим массы . (ут)</t>
  </si>
  <si>
    <t xml:space="preserve">300А</t>
  </si>
  <si>
    <t xml:space="preserve">20993</t>
  </si>
  <si>
    <t xml:space="preserve">Edon MUS 500 Зажим массы . (ут)</t>
  </si>
  <si>
    <t xml:space="preserve">28068</t>
  </si>
  <si>
    <t xml:space="preserve">Edon PULSE FCW1.0-1 Сварочная проволока порошковая </t>
  </si>
  <si>
    <t xml:space="preserve">35822</t>
  </si>
  <si>
    <t xml:space="preserve">EDON Smart FCW0.8-1 Сварочная проволока порошковая</t>
  </si>
  <si>
    <t xml:space="preserve">35824</t>
  </si>
  <si>
    <t xml:space="preserve">EDON Smart FCW0.8-5 Сварочная проволока порошковая</t>
  </si>
  <si>
    <t xml:space="preserve">35823</t>
  </si>
  <si>
    <t xml:space="preserve">EDON Smart FCW1.0-5 Сварочная проволока порошковая</t>
  </si>
  <si>
    <t xml:space="preserve">20292</t>
  </si>
  <si>
    <t xml:space="preserve">Edon T-1625 Кабельная вставка</t>
  </si>
  <si>
    <t xml:space="preserve">18036</t>
  </si>
  <si>
    <t xml:space="preserve">Edon WCI-35/50 Кабельная вставка</t>
  </si>
  <si>
    <t xml:space="preserve">6937888214424</t>
  </si>
  <si>
    <t xml:space="preserve">9070000004</t>
  </si>
  <si>
    <t xml:space="preserve">Edon WPS-35/50 Гнездо панельное</t>
  </si>
  <si>
    <t xml:space="preserve">7718</t>
  </si>
  <si>
    <t xml:space="preserve">Edon Электрододержатель 200А (арт. ZF-014)</t>
  </si>
  <si>
    <t xml:space="preserve">6937888288845</t>
  </si>
  <si>
    <t xml:space="preserve">7626</t>
  </si>
  <si>
    <t xml:space="preserve">Edon Электрододержатель 200А (арт. ZF-016)</t>
  </si>
  <si>
    <t xml:space="preserve">7625</t>
  </si>
  <si>
    <t xml:space="preserve">Edon Электрододержатель 300А (арт. DF-1030)</t>
  </si>
  <si>
    <t xml:space="preserve">7627</t>
  </si>
  <si>
    <t xml:space="preserve">Edon Электрододержатель 500А (арт. DF-1029)</t>
  </si>
  <si>
    <t xml:space="preserve">19976</t>
  </si>
  <si>
    <t xml:space="preserve">ETECH WW0.8-5 Сварочная проволока порошковая</t>
  </si>
  <si>
    <t xml:space="preserve">Диаметр 0,8мм                                                                                                Кассета 5кг</t>
  </si>
  <si>
    <t xml:space="preserve">20015</t>
  </si>
  <si>
    <t xml:space="preserve">HANTEL WW0.8-5 Сварочная проволока порошковая</t>
  </si>
  <si>
    <t xml:space="preserve">18951</t>
  </si>
  <si>
    <t xml:space="preserve">REDBO 1.0/M6*28 Pro Mig 250DB/Pro Mig 250Y Токосъемный наконечник</t>
  </si>
  <si>
    <t xml:space="preserve">18954</t>
  </si>
  <si>
    <t xml:space="preserve">REDBO 15AK Сопло для горелок</t>
  </si>
  <si>
    <t xml:space="preserve">7624</t>
  </si>
  <si>
    <t xml:space="preserve">REDBO BINZEL ZF-011 500 AДержатель электродный</t>
  </si>
  <si>
    <t xml:space="preserve">18040</t>
  </si>
  <si>
    <t xml:space="preserve">REDBO C60-8/5 Сварочная горелка CUT </t>
  </si>
  <si>
    <t xml:space="preserve">18041</t>
  </si>
  <si>
    <t xml:space="preserve">REDBO C80-14/5 Сварочная горелка CUT .</t>
  </si>
  <si>
    <t xml:space="preserve">18599</t>
  </si>
  <si>
    <t xml:space="preserve">REDBO M120-10/3 Сварочная горелка МIG</t>
  </si>
  <si>
    <t xml:space="preserve">6937888210389</t>
  </si>
  <si>
    <t xml:space="preserve">20514</t>
  </si>
  <si>
    <t xml:space="preserve">REDBO M175/2,0 Сварочная горелка МIG</t>
  </si>
  <si>
    <t xml:space="preserve">20095</t>
  </si>
  <si>
    <t xml:space="preserve">REDBO M190-12/3 Сварочная горелка МIG.</t>
  </si>
  <si>
    <t xml:space="preserve">20633</t>
  </si>
  <si>
    <t xml:space="preserve">REDBO M360-42/3 Сварочная горелка </t>
  </si>
  <si>
    <t xml:space="preserve">9010000053</t>
  </si>
  <si>
    <t xml:space="preserve">REDBO M360-42/3 Сварочная горелка МIG</t>
  </si>
  <si>
    <t xml:space="preserve">9010000054</t>
  </si>
  <si>
    <t xml:space="preserve">REDBO M400-56/3 Сварочная горелка МIG</t>
  </si>
  <si>
    <t xml:space="preserve">18051</t>
  </si>
  <si>
    <t xml:space="preserve">REDBO M400-56/3 Сварочная горелка МIG.</t>
  </si>
  <si>
    <t xml:space="preserve">20632</t>
  </si>
  <si>
    <t xml:space="preserve">REDBO M500-16/5W Сварочная горелка МIG</t>
  </si>
  <si>
    <t xml:space="preserve">402010200502</t>
  </si>
  <si>
    <t xml:space="preserve">REDBO M500-16/5W Сварочная горелка МIG *</t>
  </si>
  <si>
    <t xml:space="preserve">9010000057</t>
  </si>
  <si>
    <t xml:space="preserve">REDBO M500-16/5W Сварочная горелка МIG*</t>
  </si>
  <si>
    <t xml:space="preserve">18964</t>
  </si>
  <si>
    <t xml:space="preserve">REDBO MB-14AK защитное покрытие для горелок</t>
  </si>
  <si>
    <t xml:space="preserve">18997</t>
  </si>
  <si>
    <t xml:space="preserve">REDBO MIG180/5 180S</t>
  </si>
  <si>
    <t xml:space="preserve">18052</t>
  </si>
  <si>
    <t xml:space="preserve">REDBO T150-14/4D Сварочная горелка TIG</t>
  </si>
  <si>
    <t xml:space="preserve">19977</t>
  </si>
  <si>
    <t xml:space="preserve">REDBO T15-10/4 Сварочная горелка</t>
  </si>
  <si>
    <t xml:space="preserve">20628</t>
  </si>
  <si>
    <t xml:space="preserve">REDBO T250-18/4D5 Сварочная горелка TIG</t>
  </si>
  <si>
    <t xml:space="preserve">45044</t>
  </si>
  <si>
    <t xml:space="preserve">REDBO WP-17 35-50 Сварочная горелка </t>
  </si>
  <si>
    <t xml:space="preserve">17674</t>
  </si>
  <si>
    <t xml:space="preserve">REDBO WP-17 Сварочная горелка</t>
  </si>
  <si>
    <t xml:space="preserve">45043</t>
  </si>
  <si>
    <t xml:space="preserve">REDBO WP-17V 10-25 Сварочная горелка </t>
  </si>
  <si>
    <t xml:space="preserve">18952</t>
  </si>
  <si>
    <t xml:space="preserve">REDBO Держатель наконечника (диффузор) с пружиной для горелок</t>
  </si>
  <si>
    <t xml:space="preserve">18956</t>
  </si>
  <si>
    <t xml:space="preserve">REDBO Держатель наконечника (диффузор) с пружиной для горелок 36AK</t>
  </si>
  <si>
    <t xml:space="preserve">18960</t>
  </si>
  <si>
    <t xml:space="preserve">REDBO Держатель наконечника (диффузор) с пружиной для горелок 501D</t>
  </si>
  <si>
    <t xml:space="preserve">19027</t>
  </si>
  <si>
    <t xml:space="preserve">REDBO Сварочная горелка 2M без газ</t>
  </si>
  <si>
    <t xml:space="preserve">40060</t>
  </si>
  <si>
    <t xml:space="preserve">RUBIK FCW0.8-1 Сварочная проволока порошковая</t>
  </si>
  <si>
    <t xml:space="preserve">RUBIK</t>
  </si>
  <si>
    <t xml:space="preserve">6937888246586</t>
  </si>
  <si>
    <t xml:space="preserve">40061</t>
  </si>
  <si>
    <t xml:space="preserve">RUBIK FCW1.0-1 Сварочная проволока порошковая</t>
  </si>
  <si>
    <t xml:space="preserve">6937888246593</t>
  </si>
  <si>
    <t xml:space="preserve">40062</t>
  </si>
  <si>
    <t xml:space="preserve">RUBIK WW0.8-5 Сварочная проволока омеднённая</t>
  </si>
  <si>
    <t xml:space="preserve">40063</t>
  </si>
  <si>
    <t xml:space="preserve">RUBIK WW1.0-5 Сварочная проволока омеднённая</t>
  </si>
  <si>
    <t xml:space="preserve">18035</t>
  </si>
  <si>
    <t xml:space="preserve">Гнездо панельное Edon WPS-16/25</t>
  </si>
  <si>
    <t xml:space="preserve">18037</t>
  </si>
  <si>
    <t xml:space="preserve">Гнездо панельное Edon WPS-35/50</t>
  </si>
  <si>
    <t xml:space="preserve">402010200638</t>
  </si>
  <si>
    <t xml:space="preserve">Горелка M190-12/3 / M120-12/3</t>
  </si>
  <si>
    <t xml:space="preserve">7665</t>
  </si>
  <si>
    <t xml:space="preserve">Держатель наконечника (диффузор) с пружиной для горелок MIG REDBO 14/15, аналог ERGOPLUS 14/15 </t>
  </si>
  <si>
    <t xml:space="preserve">7686</t>
  </si>
  <si>
    <t xml:space="preserve">Держатель цанги для горелок TIG REDBO 17/18/26, ф-1,0 (IGF0006-10) </t>
  </si>
  <si>
    <t xml:space="preserve">7685</t>
  </si>
  <si>
    <t xml:space="preserve">Держатель цанги для горелок TIG REDBO 17/18/26, ф-1,6 (IGF0006-16) </t>
  </si>
  <si>
    <t xml:space="preserve">7684</t>
  </si>
  <si>
    <t xml:space="preserve">Держатель цанги для горелок TIG REDBO 17/18/26, ф-2,0 (IGF0006-20) </t>
  </si>
  <si>
    <t xml:space="preserve">7683</t>
  </si>
  <si>
    <t xml:space="preserve">Держатель цанги для горелок TIG REDBO 17/18/26, ф-2,4 (IGF0006-24) </t>
  </si>
  <si>
    <t xml:space="preserve">7682</t>
  </si>
  <si>
    <t xml:space="preserve">Держатель цанги для горелок TIG REDBO 17/18/26, ф-3,0 (IGF0006-30) </t>
  </si>
  <si>
    <t xml:space="preserve">7681</t>
  </si>
  <si>
    <t xml:space="preserve">Держатель цанги для горелок TIG REDBO 17/18/26, ф-3,2 (IGF0006-32) </t>
  </si>
  <si>
    <t xml:space="preserve">7680</t>
  </si>
  <si>
    <t xml:space="preserve">Держатель цанги для горелок TIG REDBO 17/18/26, ф-4,0 (IGF0006-40) </t>
  </si>
  <si>
    <t xml:space="preserve">21511</t>
  </si>
  <si>
    <t xml:space="preserve">Изолирующий ролик P80 для CUT</t>
  </si>
  <si>
    <t xml:space="preserve">6937888218125</t>
  </si>
  <si>
    <t xml:space="preserve">18034</t>
  </si>
  <si>
    <t xml:space="preserve">Кабельная вставка Edon WCI-16/25</t>
  </si>
  <si>
    <t xml:space="preserve">7628</t>
  </si>
  <si>
    <t xml:space="preserve">Клемма заземления Edon M200 </t>
  </si>
  <si>
    <t xml:space="preserve">6937888223273</t>
  </si>
  <si>
    <t xml:space="preserve">7672</t>
  </si>
  <si>
    <t xml:space="preserve">Колпачек длинный для горелок TIG REDBO 17/18/26(Арт. IHJ0011 (TIG 17-18-26))</t>
  </si>
  <si>
    <t xml:space="preserve">7671</t>
  </si>
  <si>
    <t xml:space="preserve">Колпачек короткий для горелок TIG REDBO 17/18/26(Арт. IHJ0012 (TIG 17-18-26))</t>
  </si>
  <si>
    <t xml:space="preserve">20307</t>
  </si>
  <si>
    <t xml:space="preserve">Комплект запчастей REDBO HCCS25/1,8B </t>
  </si>
  <si>
    <t xml:space="preserve">200А;16мм2;1,8м.раз.подкл.10-25</t>
  </si>
  <si>
    <t xml:space="preserve">6937888214509</t>
  </si>
  <si>
    <t xml:space="preserve">20298</t>
  </si>
  <si>
    <t xml:space="preserve">Комплект запчастей REDBO HCCS50/1,8 </t>
  </si>
  <si>
    <t xml:space="preserve">200А;16мм2;1,8м.раз.подкл.35-50</t>
  </si>
  <si>
    <t xml:space="preserve">6937888214516</t>
  </si>
  <si>
    <t xml:space="preserve">16290</t>
  </si>
  <si>
    <t xml:space="preserve">Магнит для сварки Edon ED-D75 </t>
  </si>
  <si>
    <t xml:space="preserve">6937888225949</t>
  </si>
  <si>
    <t xml:space="preserve">16036</t>
  </si>
  <si>
    <t xml:space="preserve">Магнит для сварки Edon ED-S100 </t>
  </si>
  <si>
    <t xml:space="preserve">6937888225925</t>
  </si>
  <si>
    <t xml:space="preserve">7729</t>
  </si>
  <si>
    <t xml:space="preserve">Ролик подающего механизма Edon  0.8-1.0</t>
  </si>
  <si>
    <t xml:space="preserve">7730</t>
  </si>
  <si>
    <t xml:space="preserve">Ролик подающего механизма Edon  1.0-1.2</t>
  </si>
  <si>
    <t xml:space="preserve">19652</t>
  </si>
  <si>
    <t xml:space="preserve">Сварочная горелка Edon M175/2.0</t>
  </si>
  <si>
    <t xml:space="preserve">6937888211713</t>
  </si>
  <si>
    <t xml:space="preserve">18039</t>
  </si>
  <si>
    <t xml:space="preserve">Сварочная горелка Edon MIG-1.0/2.5</t>
  </si>
  <si>
    <t xml:space="preserve">20291</t>
  </si>
  <si>
    <t xml:space="preserve">Сварочная горелка Edon Smart M120-10/2.5</t>
  </si>
  <si>
    <t xml:space="preserve">120А;0,6-1мм;Воздушное;2,5м.</t>
  </si>
  <si>
    <t xml:space="preserve">6937888207679</t>
  </si>
  <si>
    <t xml:space="preserve">24761</t>
  </si>
  <si>
    <t xml:space="preserve">Сварочная горелка Edon Smart M120-10/3 Для Smart MIG-180S 180/5 190 190S</t>
  </si>
  <si>
    <t xml:space="preserve">18648</t>
  </si>
  <si>
    <t xml:space="preserve">Сварочная горелка P-80  PRO CUT-80</t>
  </si>
  <si>
    <t xml:space="preserve">20309</t>
  </si>
  <si>
    <t xml:space="preserve">Сварочная горелка REDBO CUT C30-4/5T</t>
  </si>
  <si>
    <t xml:space="preserve">40А;Воздушное;5м.</t>
  </si>
  <si>
    <t xml:space="preserve">20310</t>
  </si>
  <si>
    <t xml:space="preserve">Сварочная горелка REDBO CUT C60-8/5</t>
  </si>
  <si>
    <t xml:space="preserve">60А;воздушное;5м.</t>
  </si>
  <si>
    <t xml:space="preserve">69307888207563</t>
  </si>
  <si>
    <t xml:space="preserve">20311</t>
  </si>
  <si>
    <t xml:space="preserve">Сварочная горелка REDBO CUT C80-14/5 </t>
  </si>
  <si>
    <t xml:space="preserve">120А;воздушное;5м.</t>
  </si>
  <si>
    <t xml:space="preserve">6937888207570</t>
  </si>
  <si>
    <t xml:space="preserve">20627</t>
  </si>
  <si>
    <t xml:space="preserve">Сварочная горелка TIG REDBO T150-14/4D</t>
  </si>
  <si>
    <t xml:space="preserve">180А;1,6-2,4мм;4м;Воздушное охлаждение</t>
  </si>
  <si>
    <t xml:space="preserve">21728</t>
  </si>
  <si>
    <t xml:space="preserve">Сварочная горелка TIG REDBO T15-10/4 10-25 </t>
  </si>
  <si>
    <t xml:space="preserve">150А;1,6-2мм;воздушное;4м.</t>
  </si>
  <si>
    <t xml:space="preserve">6937888217760</t>
  </si>
  <si>
    <t xml:space="preserve">21729</t>
  </si>
  <si>
    <t xml:space="preserve">Сварочная горелка TIG REDBO T15-10/4 35-50 </t>
  </si>
  <si>
    <t xml:space="preserve">250А;1,6-3,2мм;воздушное;4м.</t>
  </si>
  <si>
    <t xml:space="preserve">6937888219245</t>
  </si>
  <si>
    <t xml:space="preserve">Сварочная горелка TIG REDBO T250-18/4D5 </t>
  </si>
  <si>
    <t xml:space="preserve">250А;1,6-2,4мм;воздушное;4м.</t>
  </si>
  <si>
    <t xml:space="preserve">20626</t>
  </si>
  <si>
    <t xml:space="preserve">Сварочная горелка TIG REDBO T350-10/4D</t>
  </si>
  <si>
    <t xml:space="preserve">350А;1,6-2,4мм;4м;Жидкостное охлаждение</t>
  </si>
  <si>
    <t xml:space="preserve">20629</t>
  </si>
  <si>
    <t xml:space="preserve">Сварочная горелка TIG REDBO T350-10/4D2 </t>
  </si>
  <si>
    <t xml:space="preserve">20635</t>
  </si>
  <si>
    <t xml:space="preserve">Сварочная горелка МIG REDBO M150-10/3 </t>
  </si>
  <si>
    <t xml:space="preserve">150А;0,8-1мм;воздушное;3м.</t>
  </si>
  <si>
    <t xml:space="preserve">6937888215681</t>
  </si>
  <si>
    <t xml:space="preserve">20630</t>
  </si>
  <si>
    <t xml:space="preserve">Сварочная горелка МIG REDBO M150-12/3</t>
  </si>
  <si>
    <t xml:space="preserve">20631</t>
  </si>
  <si>
    <t xml:space="preserve">Сварочная горелка МIG REDBO M150-16/3</t>
  </si>
  <si>
    <t xml:space="preserve">200А;0,6-1,2мм;воздушное;3м.</t>
  </si>
  <si>
    <t xml:space="preserve">19651</t>
  </si>
  <si>
    <t xml:space="preserve">Сварочная горелка МIG REDBO M180/2,5 </t>
  </si>
  <si>
    <t xml:space="preserve">6937888240188</t>
  </si>
  <si>
    <t xml:space="preserve">18044</t>
  </si>
  <si>
    <t xml:space="preserve">Сварочная горелка МIG REDBO M250-25/3</t>
  </si>
  <si>
    <t xml:space="preserve">300А;0,8-1,2мм;воздушное;3м.</t>
  </si>
  <si>
    <t xml:space="preserve">18053</t>
  </si>
  <si>
    <t xml:space="preserve">Сварочная горелка МIG REDBO M400-56/5 </t>
  </si>
  <si>
    <t xml:space="preserve">18042</t>
  </si>
  <si>
    <t xml:space="preserve">Сварочная горелка МIG REDBO M500-16/3W </t>
  </si>
  <si>
    <t xml:space="preserve">0,8-1,2мм;Воздушное;3м.</t>
  </si>
  <si>
    <t xml:space="preserve">18043</t>
  </si>
  <si>
    <t xml:space="preserve">Сварочная горелка МIG REDBO M500-16/5W </t>
  </si>
  <si>
    <t xml:space="preserve">6937888215674</t>
  </si>
  <si>
    <t xml:space="preserve">30078</t>
  </si>
  <si>
    <t xml:space="preserve">Сварочная проволока омеднённая Edon Max FCW1.0-1 </t>
  </si>
  <si>
    <t xml:space="preserve">1,0 мм_1 кг</t>
  </si>
  <si>
    <t xml:space="preserve">6937888239687</t>
  </si>
  <si>
    <t xml:space="preserve">30077</t>
  </si>
  <si>
    <t xml:space="preserve">Сварочная проволока омеднённая Edon MaxFCW0.8-1 </t>
  </si>
  <si>
    <t xml:space="preserve">0,8 мм_1 кг</t>
  </si>
  <si>
    <t xml:space="preserve">6937888239670</t>
  </si>
  <si>
    <t xml:space="preserve">20129</t>
  </si>
  <si>
    <t xml:space="preserve">Сварочная проволока омеднённая Edon WW0.8-1 </t>
  </si>
  <si>
    <t xml:space="preserve">6937888206054</t>
  </si>
  <si>
    <t xml:space="preserve">14754</t>
  </si>
  <si>
    <t xml:space="preserve">Сварочная проволока омеднённая Edon WW0.8-5 </t>
  </si>
  <si>
    <t xml:space="preserve">0,8 мм_5 кг</t>
  </si>
  <si>
    <t xml:space="preserve">6937888224386.</t>
  </si>
  <si>
    <t xml:space="preserve">19393</t>
  </si>
  <si>
    <t xml:space="preserve">Сварочная проволока омеднённая Edon WW1.0-15 </t>
  </si>
  <si>
    <t xml:space="preserve">1.0мм. 15кг.</t>
  </si>
  <si>
    <t xml:space="preserve">6937888224447</t>
  </si>
  <si>
    <t xml:space="preserve">19257</t>
  </si>
  <si>
    <t xml:space="preserve">Сварочная проволока омеднённая Edon WW1.0-5 </t>
  </si>
  <si>
    <t xml:space="preserve">1,0 мм_5 кг</t>
  </si>
  <si>
    <t xml:space="preserve">6937888224393</t>
  </si>
  <si>
    <t xml:space="preserve">19394</t>
  </si>
  <si>
    <t xml:space="preserve">Сварочная проволока омеднённая Edon WW1.2-15 </t>
  </si>
  <si>
    <t xml:space="preserve">1.2мм. 15кг.</t>
  </si>
  <si>
    <t xml:space="preserve">6937888224454</t>
  </si>
  <si>
    <t xml:space="preserve">30076</t>
  </si>
  <si>
    <t xml:space="preserve">Сварочная проволока по нержавеющей стали (порошковая) Edon ER308 1.0-1 </t>
  </si>
  <si>
    <t xml:space="preserve">6937888239748</t>
  </si>
  <si>
    <t xml:space="preserve">30086</t>
  </si>
  <si>
    <t xml:space="preserve">Сварочная проволока порошковая CBAPTEX FCW0.8-1 </t>
  </si>
  <si>
    <t xml:space="preserve">6937888239885</t>
  </si>
  <si>
    <t xml:space="preserve">30075</t>
  </si>
  <si>
    <t xml:space="preserve">Сварочная проволока порошковая Edon ER308 0.8-1 </t>
  </si>
  <si>
    <t xml:space="preserve">6937888239731</t>
  </si>
  <si>
    <t xml:space="preserve">14760</t>
  </si>
  <si>
    <t xml:space="preserve">Сварочная проволока порошковая Edon FCW0.8-1 </t>
  </si>
  <si>
    <t xml:space="preserve">0.8мм.1кг.</t>
  </si>
  <si>
    <t xml:space="preserve">6937888224362</t>
  </si>
  <si>
    <t xml:space="preserve">14763</t>
  </si>
  <si>
    <t xml:space="preserve">Сварочная проволока порошковая Edon FCW0.8-5 </t>
  </si>
  <si>
    <t xml:space="preserve">0.8мм.5кг.</t>
  </si>
  <si>
    <t xml:space="preserve">6937888224416</t>
  </si>
  <si>
    <t xml:space="preserve">14761</t>
  </si>
  <si>
    <t xml:space="preserve">Сварочная проволока порошковая Edon FCW1.0-1 </t>
  </si>
  <si>
    <t xml:space="preserve">1.0мм. 1кг.</t>
  </si>
  <si>
    <t xml:space="preserve">6937888224379</t>
  </si>
  <si>
    <t xml:space="preserve">14762</t>
  </si>
  <si>
    <t xml:space="preserve">Сварочная проволока порошковая Edon FCW1.0-5 </t>
  </si>
  <si>
    <t xml:space="preserve">1.0мм.5кг.</t>
  </si>
  <si>
    <t xml:space="preserve">6937888224423</t>
  </si>
  <si>
    <t xml:space="preserve">28417</t>
  </si>
  <si>
    <t xml:space="preserve">Сварочная проволока порошковая Edon LINE FCAW0.8-1 </t>
  </si>
  <si>
    <t xml:space="preserve">6937888238475</t>
  </si>
  <si>
    <t xml:space="preserve">30081</t>
  </si>
  <si>
    <t xml:space="preserve">Сварочная проволока порошковая Edon MaxER308 0.8-1 </t>
  </si>
  <si>
    <t xml:space="preserve">6937888239717</t>
  </si>
  <si>
    <t xml:space="preserve">30082</t>
  </si>
  <si>
    <t xml:space="preserve">Сварочная проволока порошковая Edon MaxER308 1.0-1 </t>
  </si>
  <si>
    <t xml:space="preserve">6937888239724</t>
  </si>
  <si>
    <t xml:space="preserve">28066</t>
  </si>
  <si>
    <t xml:space="preserve">Сварочная проволока порошковая Edon PROtech FCW1.0-1 </t>
  </si>
  <si>
    <t xml:space="preserve">6937888237423</t>
  </si>
  <si>
    <t xml:space="preserve">30084</t>
  </si>
  <si>
    <t xml:space="preserve">Сварочная проволока порошковая Edon Профи FCW0.8-1 </t>
  </si>
  <si>
    <t xml:space="preserve">6937888239663</t>
  </si>
  <si>
    <t xml:space="preserve">28065</t>
  </si>
  <si>
    <t xml:space="preserve">Сварочная проволока порошковая Edon Профи FCW1.0-1 </t>
  </si>
  <si>
    <t xml:space="preserve">6937888237430</t>
  </si>
  <si>
    <t xml:space="preserve">21329</t>
  </si>
  <si>
    <t xml:space="preserve">Сопло для горелок REDBO CN P80-1.1</t>
  </si>
  <si>
    <t xml:space="preserve">1 000</t>
  </si>
  <si>
    <t xml:space="preserve">6937888218088</t>
  </si>
  <si>
    <t xml:space="preserve">21330</t>
  </si>
  <si>
    <t xml:space="preserve">Сопло для горелок REDBO CN P80-1.3 </t>
  </si>
  <si>
    <t xml:space="preserve">6937888218095</t>
  </si>
  <si>
    <t xml:space="preserve">21331</t>
  </si>
  <si>
    <t xml:space="preserve">Сопло для горелок REDBO CN P80-1.5 </t>
  </si>
  <si>
    <t xml:space="preserve">6937888218101</t>
  </si>
  <si>
    <t xml:space="preserve">21425</t>
  </si>
  <si>
    <t xml:space="preserve">Сопло для горелок REDBO CN P80-1.7</t>
  </si>
  <si>
    <t xml:space="preserve">6937888218118</t>
  </si>
  <si>
    <t xml:space="preserve">21328</t>
  </si>
  <si>
    <t xml:space="preserve">Сопло для горелок REDBO CN PT31</t>
  </si>
  <si>
    <t xml:space="preserve">2 000</t>
  </si>
  <si>
    <t xml:space="preserve">6937888218064</t>
  </si>
  <si>
    <t xml:space="preserve">7663</t>
  </si>
  <si>
    <t xml:space="preserve">Сопло для горелок REDBO MIG 14/15, ф12 (Арт. ICS0063 (12 14-15AK) </t>
  </si>
  <si>
    <t xml:space="preserve">7664</t>
  </si>
  <si>
    <t xml:space="preserve">Сопло для горелок REDBO MIG 14/15, ф16 (Арт. ICS0064 (16 14-15AK) </t>
  </si>
  <si>
    <t xml:space="preserve">7662</t>
  </si>
  <si>
    <t xml:space="preserve">Сопло для горелок REDBO MIG 14/15, ф9,5(Арт. ICS0062 (9.5 14-15AK) </t>
  </si>
  <si>
    <t xml:space="preserve">21325</t>
  </si>
  <si>
    <t xml:space="preserve">Сопло керамическое для горелок REDBO CD PT31</t>
  </si>
  <si>
    <t xml:space="preserve">5 000</t>
  </si>
  <si>
    <t xml:space="preserve">6937888218033</t>
  </si>
  <si>
    <t xml:space="preserve">21327</t>
  </si>
  <si>
    <t xml:space="preserve">Сопло керамическое для горелок REDBO CSC P80</t>
  </si>
  <si>
    <t xml:space="preserve">6937888218057</t>
  </si>
  <si>
    <t xml:space="preserve">21326</t>
  </si>
  <si>
    <t xml:space="preserve">Сопло керамическое для горелок REDBO CSC PT31</t>
  </si>
  <si>
    <t xml:space="preserve">6937888218040</t>
  </si>
  <si>
    <t xml:space="preserve">7667</t>
  </si>
  <si>
    <t xml:space="preserve">Сопло керамическое для горелок TIG REDBO 17/18/26, ф 11, №7 (Арт. IGS0005 (TIG 17-18-26, GR7)) </t>
  </si>
  <si>
    <t xml:space="preserve">7669 </t>
  </si>
  <si>
    <t xml:space="preserve">Сопло керамическое для горелок TIG REDBO 17/18/26, ф 6,5, №4 (Арт. IGS0007(TIG 17-18-26, GR4) </t>
  </si>
  <si>
    <t xml:space="preserve">8693</t>
  </si>
  <si>
    <t xml:space="preserve">Сопло керамическое для горелок TIG REDBO 17/18/26, ф 8, №5 (Арт. IGS0008 (TIG 17-18-26) </t>
  </si>
  <si>
    <t xml:space="preserve">7668</t>
  </si>
  <si>
    <t xml:space="preserve">Сопло керамическое для горелок TIG REDBO 17/18/26, ф 9,5, №6 (Арт. IGS0009(TIG 17-18-26, GR6) </t>
  </si>
  <si>
    <t xml:space="preserve">7670</t>
  </si>
  <si>
    <t xml:space="preserve">Сопло керамическое для горелок TIG REDBO 17/18/26, ф-12,5, №8 (IGS0001) </t>
  </si>
  <si>
    <t xml:space="preserve">21292</t>
  </si>
  <si>
    <t xml:space="preserve">Токосъемный наконечник REDBO CE P80</t>
  </si>
  <si>
    <t xml:space="preserve">1 660</t>
  </si>
  <si>
    <t xml:space="preserve">6937888218026</t>
  </si>
  <si>
    <t xml:space="preserve">21324</t>
  </si>
  <si>
    <t xml:space="preserve">Токосъемный наконечник REDBO CE PT31</t>
  </si>
  <si>
    <t xml:space="preserve">6937888218019</t>
  </si>
  <si>
    <t xml:space="preserve">7658</t>
  </si>
  <si>
    <t xml:space="preserve">Токосъемный наконечник REDBO MIG, М6*25, ф-0,6, Cu (ICU0003-06) </t>
  </si>
  <si>
    <t xml:space="preserve">7659</t>
  </si>
  <si>
    <t xml:space="preserve">Токосъемный наконечник REDBO MIG, М6*25, ф-0,8, Cu (ICU0003-08) </t>
  </si>
  <si>
    <t xml:space="preserve">7660</t>
  </si>
  <si>
    <t xml:space="preserve">Токосъемный наконечник REDBO MIG, М6*25, ф-1,0, Cu (ICU0003-10) </t>
  </si>
  <si>
    <t xml:space="preserve">7661</t>
  </si>
  <si>
    <t xml:space="preserve">Токосъемный наконечник REDBO MIG, М6*25, ф-1,2, Cu (ICU0003-12) </t>
  </si>
  <si>
    <t xml:space="preserve">7657</t>
  </si>
  <si>
    <t xml:space="preserve">Токосъемный наконечник REDBO MIG, М6*28, ф-0,12, Cu (ICU0004-12) </t>
  </si>
  <si>
    <t xml:space="preserve">7654</t>
  </si>
  <si>
    <t xml:space="preserve">Токосъемный наконечник REDBO MIG, М6*28, ф-0,6, Cu (ICU0004-06) </t>
  </si>
  <si>
    <t xml:space="preserve">7655</t>
  </si>
  <si>
    <t xml:space="preserve">Токосъемный наконечник REDBO MIG, М6*28, ф-0,8, Cu (ICU0004-08) </t>
  </si>
  <si>
    <t xml:space="preserve">7656</t>
  </si>
  <si>
    <t xml:space="preserve">Токосъемный наконечникREDBO MIG, М6*28, ф-1,0, Cu (ICU0004-10) </t>
  </si>
  <si>
    <t xml:space="preserve">7687</t>
  </si>
  <si>
    <t xml:space="preserve">Цанга для горелок TIG REDBO  17/18/26, ф-4.0 (IGU0006-40) </t>
  </si>
  <si>
    <t xml:space="preserve">7693</t>
  </si>
  <si>
    <t xml:space="preserve">Цанга для горелок TIG REDBO 17/18/26, ф-1.0 (IGU0006-10) </t>
  </si>
  <si>
    <t xml:space="preserve">7692</t>
  </si>
  <si>
    <t xml:space="preserve">Цанга для горелок TIG REDBO 17/18/26, ф-1.6 (IGU0006-16) </t>
  </si>
  <si>
    <t xml:space="preserve">7691</t>
  </si>
  <si>
    <t xml:space="preserve">Цанга для горелок TIG REDBO 17/18/26, ф-2.0 (IGU0006-20) </t>
  </si>
  <si>
    <t xml:space="preserve">7690</t>
  </si>
  <si>
    <t xml:space="preserve">Цанга для горелок TIG REDBO 17/18/26, ф-2.4 (IGU0006-24) </t>
  </si>
  <si>
    <t xml:space="preserve">7689</t>
  </si>
  <si>
    <t xml:space="preserve">Цанга для горелок TIG REDBO 17/18/26, ф-3.0 (IGU0006-30)</t>
  </si>
  <si>
    <t xml:space="preserve">7688</t>
  </si>
  <si>
    <t xml:space="preserve">Цанга для горелок TIG REDBO 17/18/26, ф-3.2 (IGU0006-32) </t>
  </si>
  <si>
    <t xml:space="preserve">8697</t>
  </si>
  <si>
    <t xml:space="preserve">Электрод вольфрамовый REDBO ф-2,0 , L-175 серый (IGB0003- 20) </t>
  </si>
  <si>
    <t xml:space="preserve">8696</t>
  </si>
  <si>
    <t xml:space="preserve">Электрод вольфрамовый REDBO ф-2,4 , L-175 серый (IGB0003- 24) </t>
  </si>
  <si>
    <t xml:space="preserve">8695</t>
  </si>
  <si>
    <t xml:space="preserve">Электрод вольфрамовый REDBO ф-3,0 , L-175 серый (IGB0003- 30) </t>
  </si>
  <si>
    <t xml:space="preserve">8694</t>
  </si>
  <si>
    <t xml:space="preserve">Электрод вольфрамовый REDBO ф-3,2 , L-175 серый (IGB0003- 32) </t>
  </si>
  <si>
    <t xml:space="preserve">7673</t>
  </si>
  <si>
    <t xml:space="preserve">Электрод вольфрамовый REDBO ф-4,0 , L-175 серый (IGB0003- 40) </t>
  </si>
  <si>
    <t xml:space="preserve">7679</t>
  </si>
  <si>
    <t xml:space="preserve">Электрод вольфрамовый ф-2,0 , L-175 серый (IGB0003- 10)</t>
  </si>
  <si>
    <t xml:space="preserve">14607</t>
  </si>
  <si>
    <t xml:space="preserve">Электрододержатель Edon DCO 300 (300А)</t>
  </si>
  <si>
    <t xml:space="preserve">6937888223242</t>
  </si>
  <si>
    <t xml:space="preserve">14601</t>
  </si>
  <si>
    <t xml:space="preserve">Электрододержатель Edon DGE 300 (300А)</t>
  </si>
  <si>
    <t xml:space="preserve">6937888223204</t>
  </si>
  <si>
    <t xml:space="preserve">14608</t>
  </si>
  <si>
    <t xml:space="preserve">Электрододержатель Edon DUS 300C (300А)</t>
  </si>
  <si>
    <t xml:space="preserve">6937888223228</t>
  </si>
  <si>
    <t xml:space="preserve">7623</t>
  </si>
  <si>
    <t xml:space="preserve">Электрододержатель Edon DUS 500C (500А)</t>
  </si>
  <si>
    <t xml:space="preserve">6937888223259</t>
  </si>
  <si>
    <t xml:space="preserve">21997</t>
  </si>
  <si>
    <t xml:space="preserve">Электрододержатель Edon ZF-101-1</t>
  </si>
  <si>
    <t xml:space="preserve">6937888259227</t>
  </si>
  <si>
    <t xml:space="preserve">Для электроинструмента</t>
  </si>
  <si>
    <t xml:space="preserve">19474</t>
  </si>
  <si>
    <t xml:space="preserve">Бумажный мешок для пылесоса Edon AVCB P</t>
  </si>
  <si>
    <t xml:space="preserve">6937888222443</t>
  </si>
  <si>
    <t xml:space="preserve">39795</t>
  </si>
  <si>
    <t xml:space="preserve">Стойка для дрели Edon DS6109 </t>
  </si>
  <si>
    <t xml:space="preserve">400мм; 60мм; 43мм</t>
  </si>
  <si>
    <t xml:space="preserve">6937888246326</t>
  </si>
  <si>
    <t xml:space="preserve">39800</t>
  </si>
  <si>
    <t xml:space="preserve">Стойка для угловой шлифовальной машины Edon DS6106 </t>
  </si>
  <si>
    <t xml:space="preserve">115/125мм; 0-45°; 35мм; 35х50мм</t>
  </si>
  <si>
    <t xml:space="preserve">6937888246203</t>
  </si>
  <si>
    <t xml:space="preserve">39799</t>
  </si>
  <si>
    <t xml:space="preserve">Стойка для угловой шлифовальной машины Edon DS6107 </t>
  </si>
  <si>
    <t xml:space="preserve">180/230мм; 0-45°</t>
  </si>
  <si>
    <t xml:space="preserve">6937888246272</t>
  </si>
  <si>
    <t xml:space="preserve">39798</t>
  </si>
  <si>
    <t xml:space="preserve">Тиски Edon DS6115 </t>
  </si>
  <si>
    <t xml:space="preserve">70мм; 70мм</t>
  </si>
  <si>
    <t xml:space="preserve">6937888246180</t>
  </si>
  <si>
    <t xml:space="preserve">22268</t>
  </si>
  <si>
    <t xml:space="preserve">Тканевый мешок для пылесоса Edon AVCB C</t>
  </si>
  <si>
    <t xml:space="preserve">Универсальные аксессуары и расходные</t>
  </si>
  <si>
    <t xml:space="preserve">15605</t>
  </si>
  <si>
    <t xml:space="preserve">Edon 325-72 Цепь пильная</t>
  </si>
  <si>
    <t xml:space="preserve">325-72z</t>
  </si>
  <si>
    <t xml:space="preserve">6937888225864</t>
  </si>
  <si>
    <t xml:space="preserve">15606</t>
  </si>
  <si>
    <t xml:space="preserve">Edon 325-76 Цепь пильная</t>
  </si>
  <si>
    <t xml:space="preserve">325-76z</t>
  </si>
  <si>
    <t xml:space="preserve">6937888225871</t>
  </si>
  <si>
    <t xml:space="preserve">41886</t>
  </si>
  <si>
    <t xml:space="preserve">Edon ACSC-37-48-1.0 Цепь</t>
  </si>
  <si>
    <t xml:space="preserve">41891</t>
  </si>
  <si>
    <t xml:space="preserve">Edon ACSC-46-60-1.0 Цепь</t>
  </si>
  <si>
    <t xml:space="preserve">19840</t>
  </si>
  <si>
    <t xml:space="preserve">Edon ASC-37-18-1.0 Цепь</t>
  </si>
  <si>
    <t xml:space="preserve">8558</t>
  </si>
  <si>
    <t xml:space="preserve">Edon EDB5220 Цепь King 20</t>
  </si>
  <si>
    <t xml:space="preserve">8553</t>
  </si>
  <si>
    <t xml:space="preserve">Edon EDC5216 Цепь King 16</t>
  </si>
  <si>
    <t xml:space="preserve">80030401209</t>
  </si>
  <si>
    <t xml:space="preserve">Edon EDC5218 Цепь King 18</t>
  </si>
  <si>
    <t xml:space="preserve">20918</t>
  </si>
  <si>
    <t xml:space="preserve">HANTEL 3/8-50 Цепь</t>
  </si>
  <si>
    <t xml:space="preserve">20923</t>
  </si>
  <si>
    <t xml:space="preserve">HANTEL 3/8-50PRO Цепь</t>
  </si>
  <si>
    <t xml:space="preserve">Шаг цепи: 0,325"
Толщина ведущего звена: 1.3 мм
Количество звеньев: 72</t>
  </si>
  <si>
    <t xml:space="preserve">20919</t>
  </si>
  <si>
    <t xml:space="preserve">HANTEL 3/8-56 Цепь</t>
  </si>
  <si>
    <t xml:space="preserve">20924</t>
  </si>
  <si>
    <t xml:space="preserve">HANTEL 3/8-56PRO Цепь</t>
  </si>
  <si>
    <t xml:space="preserve">20920</t>
  </si>
  <si>
    <t xml:space="preserve">HANTEL 3/8-57 Цепь</t>
  </si>
  <si>
    <t xml:space="preserve">20925</t>
  </si>
  <si>
    <t xml:space="preserve">HANTEL 3/8-57PRO Цепь</t>
  </si>
  <si>
    <t xml:space="preserve">20921</t>
  </si>
  <si>
    <t xml:space="preserve">HANTEL 325-64 Цепь</t>
  </si>
  <si>
    <t xml:space="preserve">20926</t>
  </si>
  <si>
    <t xml:space="preserve">HANTEL 325-64PRO Цепь</t>
  </si>
  <si>
    <t xml:space="preserve">20922</t>
  </si>
  <si>
    <t xml:space="preserve">HANTEL 325-72 Цепь</t>
  </si>
  <si>
    <t xml:space="preserve">20927</t>
  </si>
  <si>
    <t xml:space="preserve">HANTEL 325-72PRO Цепь</t>
  </si>
  <si>
    <t xml:space="preserve">22680</t>
  </si>
  <si>
    <t xml:space="preserve">JONSER 0.325-64 Цепь пильная</t>
  </si>
  <si>
    <t xml:space="preserve">22681</t>
  </si>
  <si>
    <t xml:space="preserve">JONSER 0.325-72 Цепь пильная</t>
  </si>
  <si>
    <t xml:space="preserve">22677</t>
  </si>
  <si>
    <t xml:space="preserve">JONSER 3/8-52 Цепь пильная</t>
  </si>
  <si>
    <t xml:space="preserve">22678</t>
  </si>
  <si>
    <t xml:space="preserve">JONSER 3/8-56 Цепь пильная</t>
  </si>
  <si>
    <t xml:space="preserve">20928</t>
  </si>
  <si>
    <t xml:space="preserve">KATANA 3/8-50 Цепь</t>
  </si>
  <si>
    <t xml:space="preserve">20929</t>
  </si>
  <si>
    <t xml:space="preserve">KATANA 3/8-56 Цепь</t>
  </si>
  <si>
    <t xml:space="preserve">20930</t>
  </si>
  <si>
    <t xml:space="preserve">KATANA 3/8-57 Цепь</t>
  </si>
  <si>
    <t xml:space="preserve">20931</t>
  </si>
  <si>
    <t xml:space="preserve">KATANA 325-64 Цепь</t>
  </si>
  <si>
    <t xml:space="preserve">20932</t>
  </si>
  <si>
    <t xml:space="preserve">KATANA 325-72 Цепь</t>
  </si>
  <si>
    <t xml:space="preserve">20938</t>
  </si>
  <si>
    <t xml:space="preserve">KRONA 3/8-50 Цепь</t>
  </si>
  <si>
    <t xml:space="preserve">20933</t>
  </si>
  <si>
    <t xml:space="preserve">KRONA 3/8-50T Цепь</t>
  </si>
  <si>
    <t xml:space="preserve">20939</t>
  </si>
  <si>
    <t xml:space="preserve">KRONA 3/8-56 Цепь</t>
  </si>
  <si>
    <t xml:space="preserve">20934</t>
  </si>
  <si>
    <t xml:space="preserve">KRONA 3/8-56T Цепь</t>
  </si>
  <si>
    <t xml:space="preserve">20940</t>
  </si>
  <si>
    <t xml:space="preserve">KRONA 3/8-57 Цепь</t>
  </si>
  <si>
    <t xml:space="preserve">20935</t>
  </si>
  <si>
    <t xml:space="preserve">KRONA 3/8-57T Цепь</t>
  </si>
  <si>
    <t xml:space="preserve">20941</t>
  </si>
  <si>
    <t xml:space="preserve">KRONA 325-64 Цепь</t>
  </si>
  <si>
    <t xml:space="preserve">20936</t>
  </si>
  <si>
    <t xml:space="preserve">KRONA 325-64T Цепь</t>
  </si>
  <si>
    <t xml:space="preserve">20942</t>
  </si>
  <si>
    <t xml:space="preserve">KRONA 325-72 Цепь</t>
  </si>
  <si>
    <t xml:space="preserve">20937</t>
  </si>
  <si>
    <t xml:space="preserve">KRONA 325-72T Цепь</t>
  </si>
  <si>
    <t xml:space="preserve">19817</t>
  </si>
  <si>
    <t xml:space="preserve">REDBO 325-76 Цепь пильная .</t>
  </si>
  <si>
    <t xml:space="preserve">Шаг цепи: 0,325"
Толщина ведущего звена: 1.3 мм
Количество звеньев: 76</t>
  </si>
  <si>
    <t xml:space="preserve">20943</t>
  </si>
  <si>
    <t xml:space="preserve">TAKATSU 3/8-50S Цепь</t>
  </si>
  <si>
    <t xml:space="preserve">20949</t>
  </si>
  <si>
    <t xml:space="preserve">TAKATSU 3/8-56 Цепь</t>
  </si>
  <si>
    <t xml:space="preserve">20944</t>
  </si>
  <si>
    <t xml:space="preserve">TAKATSU 3/8-56S Цепь</t>
  </si>
  <si>
    <t xml:space="preserve">20950</t>
  </si>
  <si>
    <t xml:space="preserve">TAKATSU 3/8-57 Цепь</t>
  </si>
  <si>
    <t xml:space="preserve">20945</t>
  </si>
  <si>
    <t xml:space="preserve">TAKATSU 3/8-57S Цепь</t>
  </si>
  <si>
    <t xml:space="preserve">20951</t>
  </si>
  <si>
    <t xml:space="preserve">TAKATSU 325-64 Цепь</t>
  </si>
  <si>
    <t xml:space="preserve">20946</t>
  </si>
  <si>
    <t xml:space="preserve">TAKATSU 325-64S Цепь</t>
  </si>
  <si>
    <t xml:space="preserve">20947</t>
  </si>
  <si>
    <t xml:space="preserve">TAKATSU 325-72S Цепь</t>
  </si>
  <si>
    <t xml:space="preserve">15598</t>
  </si>
  <si>
    <t xml:space="preserve">Цепь Edon 3/8-1.3-50 </t>
  </si>
  <si>
    <t xml:space="preserve">3/8-50z</t>
  </si>
  <si>
    <t xml:space="preserve">6937888222696</t>
  </si>
  <si>
    <t xml:space="preserve">15599</t>
  </si>
  <si>
    <t xml:space="preserve">Цепь Edon 3/8-1.3-52 </t>
  </si>
  <si>
    <t xml:space="preserve">3/8-52z</t>
  </si>
  <si>
    <t xml:space="preserve">6937888222702</t>
  </si>
  <si>
    <t xml:space="preserve">15600</t>
  </si>
  <si>
    <t xml:space="preserve">Цепь Edon 3/8-1.3-55 </t>
  </si>
  <si>
    <t xml:space="preserve">3/8-55z</t>
  </si>
  <si>
    <t xml:space="preserve">6937888222719</t>
  </si>
  <si>
    <t xml:space="preserve">15601</t>
  </si>
  <si>
    <t xml:space="preserve">Цепь Edon 3/8-1.3-56</t>
  </si>
  <si>
    <t xml:space="preserve">3/8-56z</t>
  </si>
  <si>
    <t xml:space="preserve">6937888222726</t>
  </si>
  <si>
    <t xml:space="preserve">15602</t>
  </si>
  <si>
    <t xml:space="preserve">Цепь Edon 3/8-1.3-57 </t>
  </si>
  <si>
    <t xml:space="preserve">3/8-57z</t>
  </si>
  <si>
    <t xml:space="preserve">6937888222733</t>
  </si>
  <si>
    <t xml:space="preserve">15603</t>
  </si>
  <si>
    <t xml:space="preserve">Цепь Edon 3/8-1.3-62 </t>
  </si>
  <si>
    <t xml:space="preserve">3/8-62z</t>
  </si>
  <si>
    <t xml:space="preserve">6937888222740</t>
  </si>
  <si>
    <t xml:space="preserve">15604</t>
  </si>
  <si>
    <t xml:space="preserve">Цепь Edon 325-1.5-64 </t>
  </si>
  <si>
    <t xml:space="preserve">325-64z</t>
  </si>
  <si>
    <t xml:space="preserve">6937888222757</t>
  </si>
  <si>
    <t xml:space="preserve">21132</t>
  </si>
  <si>
    <t xml:space="preserve">Цепь Edon ASC-28-14-1.0 </t>
  </si>
  <si>
    <t xml:space="preserve">28-14-1.0</t>
  </si>
  <si>
    <t xml:space="preserve">35826</t>
  </si>
  <si>
    <t xml:space="preserve">Цепь Edon ASC-3/8-0.05-38</t>
  </si>
  <si>
    <t xml:space="preserve">3/8-0.05-38</t>
  </si>
  <si>
    <t xml:space="preserve">21134</t>
  </si>
  <si>
    <t xml:space="preserve">Цепь Edon ASC-3/8-0.05-40 </t>
  </si>
  <si>
    <t xml:space="preserve">3/8-0.05-40</t>
  </si>
  <si>
    <t xml:space="preserve">21133</t>
  </si>
  <si>
    <t xml:space="preserve">Цепь Edon ASC-37-18-1.0 </t>
  </si>
  <si>
    <t xml:space="preserve">37-18-1.0</t>
  </si>
  <si>
    <t xml:space="preserve">22666</t>
  </si>
  <si>
    <t xml:space="preserve">Цепь REDBO ACSC-3/8-1.3-52</t>
  </si>
  <si>
    <t xml:space="preserve">3/8-1.3-52z</t>
  </si>
  <si>
    <t xml:space="preserve">6937888229275</t>
  </si>
  <si>
    <t xml:space="preserve">22667</t>
  </si>
  <si>
    <t xml:space="preserve">Цепь REDBO ACSC-3/8-1.3-56</t>
  </si>
  <si>
    <t xml:space="preserve">3/8-1.3-56z</t>
  </si>
  <si>
    <t xml:space="preserve">6937888229282</t>
  </si>
  <si>
    <t xml:space="preserve">22668</t>
  </si>
  <si>
    <t xml:space="preserve">Цепь REDBO ACSC-3/8-1.3-64</t>
  </si>
  <si>
    <t xml:space="preserve">3/8-1.3-64z</t>
  </si>
  <si>
    <t xml:space="preserve">6937888229299</t>
  </si>
  <si>
    <t xml:space="preserve">22669</t>
  </si>
  <si>
    <t xml:space="preserve">Цепь REDBO ACSC-3/8-1.3-72</t>
  </si>
  <si>
    <t xml:space="preserve">325-1.3-72z</t>
  </si>
  <si>
    <t xml:space="preserve">6937888229305.</t>
  </si>
  <si>
    <t xml:space="preserve">24992</t>
  </si>
  <si>
    <t xml:space="preserve">Цепь REDBO ACSC-325-1.5-64</t>
  </si>
  <si>
    <t xml:space="preserve">325-1.5-64z</t>
  </si>
  <si>
    <t xml:space="preserve">24993</t>
  </si>
  <si>
    <t xml:space="preserve">Цепь REDBO ACSC-325-1.5-72</t>
  </si>
  <si>
    <t xml:space="preserve">325-1.5-72z</t>
  </si>
  <si>
    <t xml:space="preserve">22670</t>
  </si>
  <si>
    <t xml:space="preserve">Цепь пильная REDBO ACSC-325-1.3-76</t>
  </si>
  <si>
    <t xml:space="preserve">325-1.3-76z</t>
  </si>
  <si>
    <t xml:space="preserve">6937888229305</t>
  </si>
  <si>
    <t xml:space="preserve">24994</t>
  </si>
  <si>
    <t xml:space="preserve">Цепь пильная REDBO ACSC-325-1.5-76</t>
  </si>
  <si>
    <t xml:space="preserve">325-1.5-76z</t>
  </si>
  <si>
    <t xml:space="preserve">6937888229312</t>
  </si>
  <si>
    <t xml:space="preserve">другой</t>
  </si>
  <si>
    <t xml:space="preserve">Материал для маркетинга</t>
  </si>
  <si>
    <t xml:space="preserve">23170</t>
  </si>
  <si>
    <t xml:space="preserve">Edon стеллажи для сварки</t>
  </si>
  <si>
    <t xml:space="preserve">20288</t>
  </si>
  <si>
    <t xml:space="preserve">Флаг с логотипом Edon</t>
  </si>
  <si>
    <t xml:space="preserve">20287</t>
  </si>
  <si>
    <t xml:space="preserve">Флаг с логотипом REDBO Pro</t>
  </si>
  <si>
    <t xml:space="preserve">20290</t>
  </si>
  <si>
    <t xml:space="preserve">Шатер Edon</t>
  </si>
  <si>
    <t xml:space="preserve">20289</t>
  </si>
  <si>
    <t xml:space="preserve">Шатер REDBO Pro</t>
  </si>
  <si>
    <t xml:space="preserve">Запасные части</t>
  </si>
  <si>
    <t xml:space="preserve">80440041076</t>
  </si>
  <si>
    <t xml:space="preserve">Крышка редуктора DH-GL95A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</si>
</sst>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@"/>
    <numFmt numFmtId="167" formatCode="#,##0.00;[RED]#,##0.00"/>
    <numFmt numFmtId="168" formatCode="0%"/>
    <numFmt numFmtId="169" formatCode="#,##0.000"/>
    <numFmt numFmtId="170" formatCode="0.00_);[RED]\(0.00\)"/>
  </numFmts>
  <fonts count="10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"/>
      <color rgb="FF000000"/>
      <name val="Times New Roman"/>
      <family val="1"/>
      <charset val="1"/>
    </font>
    <font>
      <b val="true"/>
      <sz val="6"/>
      <color rgb="FF000000"/>
      <name val="Times New Roman"/>
      <family val="1"/>
      <charset val="1"/>
    </font>
    <font>
      <b val="true"/>
      <sz val="6"/>
      <color rgb="FF000000"/>
      <name val="Times New Roman"/>
      <family val="1"/>
      <charset val="204"/>
    </font>
    <font>
      <u val="single"/>
      <sz val="11"/>
      <color rgb="FF0000FF"/>
      <name val="Calibri"/>
      <family val="2"/>
      <charset val="204"/>
    </font>
    <font>
      <u val="single"/>
      <sz val="6"/>
      <color rgb="FF0000FF"/>
      <name val="Calibri"/>
      <family val="2"/>
      <charset val="204"/>
    </font>
    <font>
      <b val="true"/>
      <sz val="6"/>
      <color rgb="FF000000"/>
      <name val="WenQuanYi Micro He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2"/>
        <bgColor rgb="FFCCFFFF"/>
      </patternFill>
    </fill>
    <fill>
      <patternFill patternType="solid">
        <fgColor rgb="FFC5BE97"/>
        <bgColor rgb="FFC4BD97"/>
      </patternFill>
    </fill>
    <fill>
      <patternFill patternType="solid">
        <fgColor rgb="FFC4BD97"/>
        <bgColor rgb="FFC5BE97"/>
      </patternFill>
    </fill>
    <fill>
      <patternFill patternType="solid">
        <fgColor rgb="FF95B3D7"/>
        <bgColor rgb="FFA6A6A6"/>
      </patternFill>
    </fill>
    <fill>
      <patternFill patternType="solid">
        <fgColor rgb="FFA6A6A6"/>
        <bgColor rgb="FF95B3D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70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6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7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4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4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fgColor rgb="FFDCE6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C5BE97"/>
        </patternFill>
      </fill>
    </dxf>
    <dxf>
      <fill>
        <patternFill patternType="solid">
          <fgColor rgb="FFC4BD9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BE97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139680</xdr:colOff>
      <xdr:row>0</xdr:row>
      <xdr:rowOff>25200</xdr:rowOff>
    </xdr:from>
    <xdr:to>
      <xdr:col>9</xdr:col>
      <xdr:colOff>16560</xdr:colOff>
      <xdr:row>1</xdr:row>
      <xdr:rowOff>108360</xdr:rowOff>
    </xdr:to>
    <xdr:pic>
      <xdr:nvPicPr>
        <xdr:cNvPr id="0" name="图片 6" descr=""/>
        <xdr:cNvPicPr/>
      </xdr:nvPicPr>
      <xdr:blipFill>
        <a:blip r:embed="rId1"/>
        <a:stretch/>
      </xdr:blipFill>
      <xdr:spPr>
        <a:xfrm>
          <a:off x="6910560" y="25200"/>
          <a:ext cx="689760" cy="17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20520</xdr:colOff>
      <xdr:row>0</xdr:row>
      <xdr:rowOff>25200</xdr:rowOff>
    </xdr:from>
    <xdr:to>
      <xdr:col>2</xdr:col>
      <xdr:colOff>132840</xdr:colOff>
      <xdr:row>1</xdr:row>
      <xdr:rowOff>122040</xdr:rowOff>
    </xdr:to>
    <xdr:pic>
      <xdr:nvPicPr>
        <xdr:cNvPr id="1" name="图片 2" descr=""/>
        <xdr:cNvPicPr/>
      </xdr:nvPicPr>
      <xdr:blipFill>
        <a:blip r:embed="rId2"/>
        <a:stretch/>
      </xdr:blipFill>
      <xdr:spPr>
        <a:xfrm>
          <a:off x="20520" y="25200"/>
          <a:ext cx="667800" cy="1922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653"/>
  <sheetViews>
    <sheetView showFormulas="false" showGridLines="true" showRowColHeaders="true" showZeros="false" rightToLeft="false" tabSelected="true" showOutlineSymbols="true" defaultGridColor="true" view="normal" topLeftCell="A1" colorId="64" zoomScale="200" zoomScaleNormal="2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T4" activeCellId="0" sqref="T4:T1324"/>
    </sheetView>
  </sheetViews>
  <sheetFormatPr defaultColWidth="5.88671875" defaultRowHeight="7.5" zeroHeight="false" outlineLevelRow="2" outlineLevelCol="0"/>
  <cols>
    <col collapsed="false" customWidth="true" hidden="false" outlineLevel="0" max="1" min="1" style="1" width="3"/>
    <col collapsed="false" customWidth="true" hidden="false" outlineLevel="0" max="2" min="2" style="2" width="4.88"/>
    <col collapsed="false" customWidth="true" hidden="false" outlineLevel="0" max="3" min="3" style="3" width="22.67"/>
    <col collapsed="false" customWidth="true" hidden="false" outlineLevel="0" max="4" min="4" style="4" width="22.67"/>
    <col collapsed="false" customWidth="true" hidden="false" outlineLevel="0" max="5" min="5" style="5" width="13.9"/>
    <col collapsed="false" customWidth="false" hidden="false" outlineLevel="0" max="6" min="6" style="6" width="5.88"/>
    <col collapsed="false" customWidth="true" hidden="false" outlineLevel="0" max="7" min="7" style="7" width="11.53"/>
    <col collapsed="false" customWidth="true" hidden="false" outlineLevel="0" max="8" min="8" style="5" width="11.53"/>
    <col collapsed="false" customWidth="true" hidden="false" outlineLevel="0" max="9" min="9" style="8" width="11.53"/>
    <col collapsed="false" customWidth="true" hidden="false" outlineLevel="0" max="10" min="10" style="9" width="11.53"/>
    <col collapsed="false" customWidth="false" hidden="false" outlineLevel="0" max="11" min="11" style="8" width="5.88"/>
    <col collapsed="false" customWidth="false" hidden="false" outlineLevel="0" max="13" min="12" style="7" width="5.88"/>
    <col collapsed="false" customWidth="false" hidden="false" outlineLevel="0" max="15" min="14" style="10" width="5.88"/>
    <col collapsed="false" customWidth="true" hidden="false" outlineLevel="0" max="16" min="16" style="10" width="5.05"/>
    <col collapsed="false" customWidth="true" hidden="false" outlineLevel="0" max="17" min="17" style="10" width="3.94"/>
    <col collapsed="false" customWidth="true" hidden="false" outlineLevel="0" max="18" min="18" style="2" width="11.53"/>
    <col collapsed="false" customWidth="false" hidden="false" outlineLevel="0" max="19" min="19" style="7" width="5.88"/>
    <col collapsed="false" customWidth="false" hidden="false" outlineLevel="0" max="16384" min="20" style="11" width="5.88"/>
  </cols>
  <sheetData>
    <row r="1" customFormat="false" ht="7.5" hidden="false" customHeight="true" outlineLevel="0" collapsed="false">
      <c r="B1" s="7"/>
      <c r="C1" s="12" t="s">
        <v>0</v>
      </c>
      <c r="D1" s="13"/>
      <c r="E1" s="14" t="n">
        <v>36</v>
      </c>
      <c r="F1" s="11"/>
      <c r="G1" s="15" t="s">
        <v>1</v>
      </c>
      <c r="H1" s="16" t="n">
        <f aca="false">SUM(N4:N98312)</f>
        <v>0</v>
      </c>
      <c r="I1" s="11"/>
      <c r="J1" s="11"/>
      <c r="K1" s="11"/>
      <c r="L1" s="17" t="s">
        <v>2</v>
      </c>
      <c r="M1" s="11"/>
      <c r="N1" s="11"/>
    </row>
    <row r="2" customFormat="false" ht="10.5" hidden="false" customHeight="true" outlineLevel="0" collapsed="false">
      <c r="B2" s="7"/>
      <c r="C2" s="15" t="s">
        <v>3</v>
      </c>
      <c r="D2" s="13"/>
      <c r="E2" s="18" t="n">
        <f aca="false">SUM(H4:H98312)</f>
        <v>0</v>
      </c>
      <c r="F2" s="11"/>
      <c r="G2" s="15" t="s">
        <v>4</v>
      </c>
      <c r="H2" s="16" t="n">
        <f aca="false">SUM(O4:O98312)</f>
        <v>0</v>
      </c>
      <c r="I2" s="11"/>
      <c r="J2" s="11"/>
      <c r="K2" s="11"/>
      <c r="L2" s="17" t="s">
        <v>5</v>
      </c>
    </row>
    <row r="3" s="7" customFormat="true" ht="21.75" hidden="false" customHeight="true" outlineLevel="0" collapsed="false">
      <c r="A3" s="19" t="s">
        <v>6</v>
      </c>
      <c r="B3" s="20" t="s">
        <v>7</v>
      </c>
      <c r="C3" s="20" t="s">
        <v>8</v>
      </c>
      <c r="D3" s="20" t="s">
        <v>9</v>
      </c>
      <c r="E3" s="21" t="s">
        <v>10</v>
      </c>
      <c r="F3" s="22" t="s">
        <v>11</v>
      </c>
      <c r="G3" s="23" t="s">
        <v>12</v>
      </c>
      <c r="H3" s="21" t="s">
        <v>13</v>
      </c>
      <c r="I3" s="23" t="s">
        <v>14</v>
      </c>
      <c r="J3" s="24" t="s">
        <v>15</v>
      </c>
      <c r="K3" s="25" t="s">
        <v>16</v>
      </c>
      <c r="L3" s="25" t="s">
        <v>17</v>
      </c>
      <c r="M3" s="25" t="s">
        <v>18</v>
      </c>
      <c r="N3" s="26" t="s">
        <v>19</v>
      </c>
      <c r="O3" s="26" t="s">
        <v>20</v>
      </c>
      <c r="P3" s="26" t="s">
        <v>21</v>
      </c>
      <c r="Q3" s="26" t="s">
        <v>22</v>
      </c>
      <c r="R3" s="27" t="s">
        <v>23</v>
      </c>
      <c r="S3" s="25" t="s">
        <v>24</v>
      </c>
    </row>
    <row r="4" customFormat="false" ht="7.5" hidden="false" customHeight="true" outlineLevel="0" collapsed="false">
      <c r="A4" s="28"/>
      <c r="B4" s="29"/>
      <c r="C4" s="30" t="s">
        <v>25</v>
      </c>
      <c r="D4" s="31"/>
      <c r="E4" s="32"/>
      <c r="F4" s="33"/>
      <c r="G4" s="34"/>
      <c r="H4" s="32"/>
      <c r="I4" s="35"/>
      <c r="J4" s="36"/>
      <c r="K4" s="35"/>
      <c r="L4" s="34"/>
      <c r="M4" s="34"/>
      <c r="N4" s="37"/>
      <c r="O4" s="37"/>
      <c r="P4" s="37"/>
      <c r="Q4" s="37"/>
      <c r="R4" s="29"/>
      <c r="S4" s="34"/>
      <c r="T4" s="11" t="str">
        <f aca="false">"16.12.25"</f>
        <v>16.12.25</v>
      </c>
    </row>
    <row r="5" customFormat="false" ht="7.5" hidden="false" customHeight="true" outlineLevel="1" collapsed="false">
      <c r="A5" s="38"/>
      <c r="B5" s="39"/>
      <c r="C5" s="40" t="s">
        <v>26</v>
      </c>
      <c r="D5" s="41"/>
      <c r="E5" s="42"/>
      <c r="F5" s="43"/>
      <c r="G5" s="44"/>
      <c r="H5" s="42"/>
      <c r="I5" s="45"/>
      <c r="J5" s="46"/>
      <c r="K5" s="45"/>
      <c r="L5" s="44"/>
      <c r="M5" s="44"/>
      <c r="N5" s="47"/>
      <c r="O5" s="47"/>
      <c r="P5" s="47"/>
      <c r="Q5" s="47"/>
      <c r="R5" s="39"/>
      <c r="S5" s="44"/>
      <c r="T5" s="11" t="str">
        <f aca="false">"16.12.25"</f>
        <v>16.12.25</v>
      </c>
    </row>
    <row r="6" customFormat="false" ht="7.5" hidden="false" customHeight="true" outlineLevel="2" collapsed="false">
      <c r="A6" s="48"/>
      <c r="B6" s="49" t="s">
        <v>27</v>
      </c>
      <c r="C6" s="50" t="s">
        <v>28</v>
      </c>
      <c r="D6" s="51" t="s">
        <v>29</v>
      </c>
      <c r="E6" s="52" t="n">
        <f aca="false">I6*(1-J6)*(100-E1)/100</f>
        <v>2123.52</v>
      </c>
      <c r="F6" s="53"/>
      <c r="G6" s="54" t="n">
        <v>10</v>
      </c>
      <c r="H6" s="52" t="n">
        <f aca="false">E6*F6</f>
        <v>0</v>
      </c>
      <c r="I6" s="55" t="n">
        <v>4740</v>
      </c>
      <c r="J6" s="56" t="n">
        <v>0.3</v>
      </c>
      <c r="K6" s="57" t="n">
        <v>24</v>
      </c>
      <c r="L6" s="22" t="s">
        <v>30</v>
      </c>
      <c r="M6" s="22" t="s">
        <v>31</v>
      </c>
      <c r="N6" s="58" t="n">
        <f aca="false">F6*P6</f>
        <v>0</v>
      </c>
      <c r="O6" s="58" t="n">
        <f aca="false">F6*Q6</f>
        <v>0</v>
      </c>
      <c r="P6" s="58" t="n">
        <v>1.55</v>
      </c>
      <c r="Q6" s="58" t="n">
        <v>0.007</v>
      </c>
      <c r="R6" s="59"/>
      <c r="S6" s="22"/>
      <c r="T6" s="11" t="str">
        <f aca="false">"16.12.25"</f>
        <v>16.12.25</v>
      </c>
    </row>
    <row r="7" customFormat="false" ht="14.9" hidden="false" customHeight="false" outlineLevel="2" collapsed="false">
      <c r="A7" s="48"/>
      <c r="B7" s="49" t="s">
        <v>32</v>
      </c>
      <c r="C7" s="50" t="s">
        <v>33</v>
      </c>
      <c r="D7" s="51" t="s">
        <v>34</v>
      </c>
      <c r="E7" s="52" t="n">
        <f aca="false">I7*(1-J7)*(100-E1)/100</f>
        <v>1953.28</v>
      </c>
      <c r="F7" s="53"/>
      <c r="G7" s="54" t="n">
        <v>10</v>
      </c>
      <c r="H7" s="52" t="n">
        <f aca="false">E7*F7</f>
        <v>0</v>
      </c>
      <c r="I7" s="55" t="n">
        <v>4360</v>
      </c>
      <c r="J7" s="56" t="n">
        <v>0.3</v>
      </c>
      <c r="K7" s="57" t="n">
        <v>35</v>
      </c>
      <c r="L7" s="22" t="s">
        <v>30</v>
      </c>
      <c r="M7" s="22" t="s">
        <v>31</v>
      </c>
      <c r="N7" s="58" t="n">
        <f aca="false">F7*P7</f>
        <v>0</v>
      </c>
      <c r="O7" s="58" t="n">
        <f aca="false">F7*Q7</f>
        <v>0</v>
      </c>
      <c r="P7" s="58" t="n">
        <v>1.55</v>
      </c>
      <c r="Q7" s="58" t="n">
        <v>0.005</v>
      </c>
      <c r="R7" s="59"/>
      <c r="S7" s="22"/>
      <c r="T7" s="11" t="str">
        <f aca="false">"16.12.25"</f>
        <v>16.12.25</v>
      </c>
    </row>
    <row r="8" customFormat="false" ht="14.9" hidden="false" customHeight="false" outlineLevel="2" collapsed="false">
      <c r="A8" s="48"/>
      <c r="B8" s="49" t="s">
        <v>35</v>
      </c>
      <c r="C8" s="50" t="s">
        <v>36</v>
      </c>
      <c r="D8" s="51" t="s">
        <v>37</v>
      </c>
      <c r="E8" s="52" t="n">
        <f aca="false">I8*(1-J8)*(100-E1)/100</f>
        <v>1904</v>
      </c>
      <c r="F8" s="53"/>
      <c r="G8" s="54" t="n">
        <v>8</v>
      </c>
      <c r="H8" s="52" t="n">
        <f aca="false">E8*F8</f>
        <v>0</v>
      </c>
      <c r="I8" s="55" t="n">
        <v>4250</v>
      </c>
      <c r="J8" s="56" t="n">
        <v>0.3</v>
      </c>
      <c r="K8" s="57" t="n">
        <v>54</v>
      </c>
      <c r="L8" s="22" t="s">
        <v>30</v>
      </c>
      <c r="M8" s="22" t="s">
        <v>31</v>
      </c>
      <c r="N8" s="58" t="n">
        <f aca="false">F8*P8</f>
        <v>0</v>
      </c>
      <c r="O8" s="58" t="n">
        <f aca="false">F8*Q8</f>
        <v>0</v>
      </c>
      <c r="P8" s="58" t="n">
        <v>2.05</v>
      </c>
      <c r="Q8" s="58" t="n">
        <v>0.007</v>
      </c>
      <c r="R8" s="59"/>
      <c r="S8" s="22"/>
      <c r="T8" s="11" t="str">
        <f aca="false">"16.12.25"</f>
        <v>16.12.25</v>
      </c>
    </row>
    <row r="9" customFormat="false" ht="7.5" hidden="false" customHeight="true" outlineLevel="2" collapsed="false">
      <c r="A9" s="48"/>
      <c r="B9" s="49" t="s">
        <v>38</v>
      </c>
      <c r="C9" s="50" t="s">
        <v>39</v>
      </c>
      <c r="D9" s="51" t="s">
        <v>40</v>
      </c>
      <c r="E9" s="52" t="n">
        <f aca="false">I9*(1-J9)*(100-E1)/100</f>
        <v>1904</v>
      </c>
      <c r="F9" s="53"/>
      <c r="G9" s="54" t="n">
        <v>8</v>
      </c>
      <c r="H9" s="52" t="n">
        <f aca="false">E9*F9</f>
        <v>0</v>
      </c>
      <c r="I9" s="55" t="n">
        <v>4250</v>
      </c>
      <c r="J9" s="56" t="n">
        <v>0.3</v>
      </c>
      <c r="K9" s="57" t="n">
        <v>39</v>
      </c>
      <c r="L9" s="22" t="s">
        <v>30</v>
      </c>
      <c r="M9" s="22" t="s">
        <v>31</v>
      </c>
      <c r="N9" s="58" t="n">
        <f aca="false">F9*P9</f>
        <v>0</v>
      </c>
      <c r="O9" s="58" t="n">
        <f aca="false">F9*Q9</f>
        <v>0</v>
      </c>
      <c r="P9" s="58" t="n">
        <v>2.05</v>
      </c>
      <c r="Q9" s="58" t="n">
        <v>0.007</v>
      </c>
      <c r="R9" s="59"/>
      <c r="S9" s="22"/>
      <c r="T9" s="11" t="str">
        <f aca="false">"16.12.25"</f>
        <v>16.12.25</v>
      </c>
    </row>
    <row r="10" customFormat="false" ht="7.5" hidden="false" customHeight="true" outlineLevel="2" collapsed="false">
      <c r="A10" s="48"/>
      <c r="B10" s="49" t="s">
        <v>41</v>
      </c>
      <c r="C10" s="50" t="s">
        <v>42</v>
      </c>
      <c r="D10" s="51" t="s">
        <v>43</v>
      </c>
      <c r="E10" s="52" t="n">
        <f aca="false">I10*(1-J10)*(100-E1)/100</f>
        <v>1128</v>
      </c>
      <c r="F10" s="53"/>
      <c r="G10" s="54" t="n">
        <v>10</v>
      </c>
      <c r="H10" s="52" t="n">
        <f aca="false">E10*F10</f>
        <v>0</v>
      </c>
      <c r="I10" s="55" t="n">
        <v>2350</v>
      </c>
      <c r="J10" s="56" t="n">
        <v>0.25</v>
      </c>
      <c r="K10" s="57" t="n">
        <v>145</v>
      </c>
      <c r="L10" s="22" t="s">
        <v>44</v>
      </c>
      <c r="M10" s="22"/>
      <c r="N10" s="58" t="n">
        <f aca="false">F10*P10</f>
        <v>0</v>
      </c>
      <c r="O10" s="58" t="n">
        <f aca="false">F10*Q10</f>
        <v>0</v>
      </c>
      <c r="P10" s="58" t="n">
        <v>1.79</v>
      </c>
      <c r="Q10" s="58" t="n">
        <v>0.005</v>
      </c>
      <c r="R10" s="59" t="s">
        <v>45</v>
      </c>
      <c r="S10" s="22"/>
      <c r="T10" s="11" t="str">
        <f aca="false">"16.12.25"</f>
        <v>16.12.25</v>
      </c>
    </row>
    <row r="11" customFormat="false" ht="7.5" hidden="false" customHeight="true" outlineLevel="2" collapsed="false">
      <c r="A11" s="48"/>
      <c r="B11" s="49" t="s">
        <v>46</v>
      </c>
      <c r="C11" s="50" t="s">
        <v>47</v>
      </c>
      <c r="D11" s="51" t="s">
        <v>48</v>
      </c>
      <c r="E11" s="52" t="n">
        <f aca="false">I11*(1-J11)*(100-E1)/100</f>
        <v>1574.4</v>
      </c>
      <c r="F11" s="53"/>
      <c r="G11" s="54" t="n">
        <v>10</v>
      </c>
      <c r="H11" s="52" t="n">
        <f aca="false">E11*F11</f>
        <v>0</v>
      </c>
      <c r="I11" s="55" t="n">
        <v>2460</v>
      </c>
      <c r="J11" s="56"/>
      <c r="K11" s="57" t="n">
        <v>-2</v>
      </c>
      <c r="L11" s="22" t="s">
        <v>44</v>
      </c>
      <c r="M11" s="22"/>
      <c r="N11" s="58" t="n">
        <f aca="false">F11*P11</f>
        <v>0</v>
      </c>
      <c r="O11" s="58" t="n">
        <f aca="false">F11*Q11</f>
        <v>0</v>
      </c>
      <c r="P11" s="58" t="n">
        <v>2.1</v>
      </c>
      <c r="Q11" s="58" t="n">
        <v>0.005</v>
      </c>
      <c r="R11" s="59" t="s">
        <v>49</v>
      </c>
      <c r="S11" s="22"/>
      <c r="T11" s="11" t="str">
        <f aca="false">"16.12.25"</f>
        <v>16.12.25</v>
      </c>
    </row>
    <row r="12" customFormat="false" ht="7.5" hidden="false" customHeight="true" outlineLevel="2" collapsed="false">
      <c r="A12" s="60" t="str">
        <f aca="false">HYPERLINK("https://disk.360.yandex.ru/d/oRmh1sGK2N35Dw","фото")</f>
        <v>фото</v>
      </c>
      <c r="B12" s="49" t="s">
        <v>50</v>
      </c>
      <c r="C12" s="50" t="s">
        <v>51</v>
      </c>
      <c r="D12" s="51" t="s">
        <v>52</v>
      </c>
      <c r="E12" s="52" t="n">
        <f aca="false">I12*(1-J12)*(100-E1)/100</f>
        <v>1285.12</v>
      </c>
      <c r="F12" s="53"/>
      <c r="G12" s="54" t="n">
        <v>10</v>
      </c>
      <c r="H12" s="52" t="n">
        <f aca="false">E12*F12</f>
        <v>0</v>
      </c>
      <c r="I12" s="55" t="n">
        <v>2510</v>
      </c>
      <c r="J12" s="56" t="n">
        <v>0.2</v>
      </c>
      <c r="K12" s="57" t="n">
        <v>88</v>
      </c>
      <c r="L12" s="22" t="s">
        <v>53</v>
      </c>
      <c r="M12" s="22" t="s">
        <v>31</v>
      </c>
      <c r="N12" s="58" t="n">
        <f aca="false">F12*P12</f>
        <v>0</v>
      </c>
      <c r="O12" s="58" t="n">
        <f aca="false">F12*Q12</f>
        <v>0</v>
      </c>
      <c r="P12" s="58" t="n">
        <v>1.6</v>
      </c>
      <c r="Q12" s="58" t="n">
        <v>0.005</v>
      </c>
      <c r="R12" s="59" t="s">
        <v>54</v>
      </c>
      <c r="S12" s="22"/>
      <c r="T12" s="11" t="str">
        <f aca="false">"16.12.25"</f>
        <v>16.12.25</v>
      </c>
    </row>
    <row r="13" customFormat="false" ht="7.5" hidden="false" customHeight="true" outlineLevel="1" collapsed="false">
      <c r="A13" s="38"/>
      <c r="B13" s="39"/>
      <c r="C13" s="40" t="s">
        <v>55</v>
      </c>
      <c r="D13" s="41"/>
      <c r="E13" s="42"/>
      <c r="F13" s="43"/>
      <c r="G13" s="44"/>
      <c r="H13" s="42"/>
      <c r="I13" s="45"/>
      <c r="J13" s="46"/>
      <c r="K13" s="45"/>
      <c r="L13" s="44"/>
      <c r="M13" s="44"/>
      <c r="N13" s="47"/>
      <c r="O13" s="47"/>
      <c r="P13" s="47"/>
      <c r="Q13" s="47"/>
      <c r="R13" s="39"/>
      <c r="S13" s="44"/>
      <c r="T13" s="11" t="str">
        <f aca="false">"16.12.25"</f>
        <v>16.12.25</v>
      </c>
    </row>
    <row r="14" customFormat="false" ht="7.5" hidden="false" customHeight="true" outlineLevel="2" collapsed="false">
      <c r="A14" s="60" t="str">
        <f aca="false">HYPERLINK("https://disk.360.yandex.ru/d/JpoYO-7qxprPVw","фото")</f>
        <v>фото</v>
      </c>
      <c r="B14" s="49" t="s">
        <v>56</v>
      </c>
      <c r="C14" s="50" t="s">
        <v>57</v>
      </c>
      <c r="D14" s="51" t="s">
        <v>58</v>
      </c>
      <c r="E14" s="52" t="n">
        <f aca="false">I14*(1-J14)*(100-E1)/100</f>
        <v>2182.4</v>
      </c>
      <c r="F14" s="53"/>
      <c r="G14" s="54" t="n">
        <v>10</v>
      </c>
      <c r="H14" s="52" t="n">
        <f aca="false">E14*F14</f>
        <v>0</v>
      </c>
      <c r="I14" s="55" t="n">
        <v>3410</v>
      </c>
      <c r="J14" s="56"/>
      <c r="K14" s="57" t="n">
        <v>404</v>
      </c>
      <c r="L14" s="22" t="s">
        <v>44</v>
      </c>
      <c r="M14" s="22"/>
      <c r="N14" s="58" t="n">
        <f aca="false">F14*P14</f>
        <v>0</v>
      </c>
      <c r="O14" s="58" t="n">
        <f aca="false">F14*Q14</f>
        <v>0</v>
      </c>
      <c r="P14" s="58" t="n">
        <v>2.245</v>
      </c>
      <c r="Q14" s="58" t="n">
        <v>0.006</v>
      </c>
      <c r="R14" s="59" t="s">
        <v>59</v>
      </c>
      <c r="S14" s="22"/>
      <c r="T14" s="11" t="str">
        <f aca="false">"16.12.25"</f>
        <v>16.12.25</v>
      </c>
    </row>
    <row r="15" customFormat="false" ht="7.5" hidden="false" customHeight="true" outlineLevel="2" collapsed="false">
      <c r="A15" s="60" t="str">
        <f aca="false">HYPERLINK("https://disk.yandex.ru/d/qrqWGX5KuxJb0Q","фото")</f>
        <v>фото</v>
      </c>
      <c r="B15" s="49" t="s">
        <v>60</v>
      </c>
      <c r="C15" s="50" t="s">
        <v>61</v>
      </c>
      <c r="D15" s="51" t="s">
        <v>62</v>
      </c>
      <c r="E15" s="52" t="n">
        <f aca="false">I15*(1-J15)*(100-E1)/100</f>
        <v>1321.92</v>
      </c>
      <c r="F15" s="53"/>
      <c r="G15" s="54" t="n">
        <v>10</v>
      </c>
      <c r="H15" s="52" t="n">
        <f aca="false">E15*F15</f>
        <v>0</v>
      </c>
      <c r="I15" s="55" t="n">
        <v>2430</v>
      </c>
      <c r="J15" s="56" t="n">
        <v>0.15</v>
      </c>
      <c r="K15" s="57" t="n">
        <v>194</v>
      </c>
      <c r="L15" s="22" t="s">
        <v>44</v>
      </c>
      <c r="M15" s="22" t="s">
        <v>15</v>
      </c>
      <c r="N15" s="58" t="n">
        <f aca="false">F15*P15</f>
        <v>0</v>
      </c>
      <c r="O15" s="58" t="n">
        <f aca="false">F15*Q15</f>
        <v>0</v>
      </c>
      <c r="P15" s="58" t="n">
        <v>1.98</v>
      </c>
      <c r="Q15" s="58" t="n">
        <v>0.006</v>
      </c>
      <c r="R15" s="59" t="s">
        <v>63</v>
      </c>
      <c r="S15" s="22"/>
      <c r="T15" s="11" t="str">
        <f aca="false">"16.12.25"</f>
        <v>16.12.25</v>
      </c>
    </row>
    <row r="16" customFormat="false" ht="7.5" hidden="false" customHeight="true" outlineLevel="2" collapsed="false">
      <c r="A16" s="60" t="str">
        <f aca="false">HYPERLINK("https://disk.yandex.ru/d/4qhLqtQZFE66Ng","фото")</f>
        <v>фото</v>
      </c>
      <c r="B16" s="49" t="s">
        <v>64</v>
      </c>
      <c r="C16" s="50" t="s">
        <v>65</v>
      </c>
      <c r="D16" s="51" t="s">
        <v>66</v>
      </c>
      <c r="E16" s="52" t="n">
        <f aca="false">I16*(1-J16)*(100-E1)/100</f>
        <v>1517.76</v>
      </c>
      <c r="F16" s="53"/>
      <c r="G16" s="54" t="n">
        <v>10</v>
      </c>
      <c r="H16" s="52" t="n">
        <f aca="false">E16*F16</f>
        <v>0</v>
      </c>
      <c r="I16" s="55" t="n">
        <v>2790</v>
      </c>
      <c r="J16" s="56" t="n">
        <v>0.15</v>
      </c>
      <c r="K16" s="57" t="n">
        <v>3248</v>
      </c>
      <c r="L16" s="22" t="s">
        <v>44</v>
      </c>
      <c r="M16" s="22" t="s">
        <v>15</v>
      </c>
      <c r="N16" s="58" t="n">
        <f aca="false">F16*P16</f>
        <v>0</v>
      </c>
      <c r="O16" s="58" t="n">
        <f aca="false">F16*Q16</f>
        <v>0</v>
      </c>
      <c r="P16" s="58" t="n">
        <v>2.25</v>
      </c>
      <c r="Q16" s="58" t="n">
        <v>0.007</v>
      </c>
      <c r="R16" s="59" t="s">
        <v>67</v>
      </c>
      <c r="S16" s="22"/>
      <c r="T16" s="11" t="str">
        <f aca="false">"16.12.25"</f>
        <v>16.12.25</v>
      </c>
    </row>
    <row r="17" customFormat="false" ht="7.5" hidden="false" customHeight="true" outlineLevel="2" collapsed="false">
      <c r="A17" s="60" t="str">
        <f aca="false">HYPERLINK("https://disk.360.yandex.ru/d/ba2gnuiAaHcg8g","фото")</f>
        <v>фото</v>
      </c>
      <c r="B17" s="49" t="s">
        <v>68</v>
      </c>
      <c r="C17" s="50" t="s">
        <v>69</v>
      </c>
      <c r="D17" s="51" t="s">
        <v>70</v>
      </c>
      <c r="E17" s="52" t="n">
        <f aca="false">I17*(1-J17)*(100-E1)/100</f>
        <v>2348.8</v>
      </c>
      <c r="F17" s="53"/>
      <c r="G17" s="54" t="n">
        <v>5</v>
      </c>
      <c r="H17" s="52" t="n">
        <f aca="false">E17*F17</f>
        <v>0</v>
      </c>
      <c r="I17" s="55" t="n">
        <v>3670</v>
      </c>
      <c r="J17" s="56"/>
      <c r="K17" s="57" t="n">
        <v>355</v>
      </c>
      <c r="L17" s="22" t="s">
        <v>44</v>
      </c>
      <c r="M17" s="22"/>
      <c r="N17" s="58" t="n">
        <f aca="false">F17*P17</f>
        <v>0</v>
      </c>
      <c r="O17" s="58" t="n">
        <f aca="false">F17*Q17</f>
        <v>0</v>
      </c>
      <c r="P17" s="58" t="n">
        <v>2.22</v>
      </c>
      <c r="Q17" s="58" t="n">
        <v>0.006</v>
      </c>
      <c r="R17" s="59" t="s">
        <v>71</v>
      </c>
      <c r="S17" s="22"/>
      <c r="T17" s="11" t="str">
        <f aca="false">"16.12.25"</f>
        <v>16.12.25</v>
      </c>
    </row>
    <row r="18" customFormat="false" ht="7.5" hidden="false" customHeight="true" outlineLevel="2" collapsed="false">
      <c r="A18" s="60" t="str">
        <f aca="false">HYPERLINK("https://disk.yandex.ru/d/iNJ7caHrNTJQgQ","фото")</f>
        <v>фото</v>
      </c>
      <c r="B18" s="49" t="s">
        <v>72</v>
      </c>
      <c r="C18" s="50" t="s">
        <v>73</v>
      </c>
      <c r="D18" s="51" t="s">
        <v>74</v>
      </c>
      <c r="E18" s="52" t="n">
        <f aca="false">I18*(1-J18)*(100-E1)/100</f>
        <v>2470.4</v>
      </c>
      <c r="F18" s="53"/>
      <c r="G18" s="54" t="n">
        <v>10</v>
      </c>
      <c r="H18" s="52" t="n">
        <f aca="false">E18*F18</f>
        <v>0</v>
      </c>
      <c r="I18" s="55" t="n">
        <v>3860</v>
      </c>
      <c r="J18" s="56"/>
      <c r="K18" s="57" t="n">
        <v>0</v>
      </c>
      <c r="L18" s="22" t="s">
        <v>44</v>
      </c>
      <c r="M18" s="22"/>
      <c r="N18" s="58" t="n">
        <f aca="false">F18*P18</f>
        <v>0</v>
      </c>
      <c r="O18" s="58" t="n">
        <f aca="false">F18*Q18</f>
        <v>0</v>
      </c>
      <c r="P18" s="58" t="n">
        <v>3.5</v>
      </c>
      <c r="Q18" s="58" t="n">
        <v>0.009</v>
      </c>
      <c r="R18" s="59" t="s">
        <v>75</v>
      </c>
      <c r="S18" s="22"/>
      <c r="T18" s="11" t="str">
        <f aca="false">"16.12.25"</f>
        <v>16.12.25</v>
      </c>
    </row>
    <row r="19" customFormat="false" ht="7.5" hidden="false" customHeight="true" outlineLevel="2" collapsed="false">
      <c r="A19" s="60" t="str">
        <f aca="false">HYPERLINK("https://disk.yandex.ru/d/vnz8lRkcNCEgdg","фото")</f>
        <v>фото</v>
      </c>
      <c r="B19" s="49" t="s">
        <v>76</v>
      </c>
      <c r="C19" s="50" t="s">
        <v>77</v>
      </c>
      <c r="D19" s="51" t="s">
        <v>78</v>
      </c>
      <c r="E19" s="52" t="n">
        <f aca="false">I19*(1-J19)*(100-E1)/100</f>
        <v>1414.4</v>
      </c>
      <c r="F19" s="53"/>
      <c r="G19" s="54" t="n">
        <v>10</v>
      </c>
      <c r="H19" s="52" t="n">
        <f aca="false">E19*F19</f>
        <v>0</v>
      </c>
      <c r="I19" s="55" t="n">
        <v>2210</v>
      </c>
      <c r="J19" s="56"/>
      <c r="K19" s="57" t="n">
        <v>420</v>
      </c>
      <c r="L19" s="22" t="s">
        <v>44</v>
      </c>
      <c r="M19" s="22"/>
      <c r="N19" s="58" t="n">
        <f aca="false">F19*P19</f>
        <v>0</v>
      </c>
      <c r="O19" s="58" t="n">
        <f aca="false">F19*Q19</f>
        <v>0</v>
      </c>
      <c r="P19" s="58" t="n">
        <v>1.744</v>
      </c>
      <c r="Q19" s="58" t="n">
        <v>0.005</v>
      </c>
      <c r="R19" s="59" t="s">
        <v>79</v>
      </c>
      <c r="S19" s="22"/>
      <c r="T19" s="11" t="str">
        <f aca="false">"16.12.25"</f>
        <v>16.12.25</v>
      </c>
    </row>
    <row r="20" customFormat="false" ht="7.5" hidden="false" customHeight="true" outlineLevel="1" collapsed="false">
      <c r="A20" s="38"/>
      <c r="B20" s="39"/>
      <c r="C20" s="40" t="s">
        <v>80</v>
      </c>
      <c r="D20" s="41"/>
      <c r="E20" s="42"/>
      <c r="F20" s="43"/>
      <c r="G20" s="44"/>
      <c r="H20" s="42"/>
      <c r="I20" s="45"/>
      <c r="J20" s="46"/>
      <c r="K20" s="45"/>
      <c r="L20" s="44"/>
      <c r="M20" s="44"/>
      <c r="N20" s="47"/>
      <c r="O20" s="47"/>
      <c r="P20" s="47"/>
      <c r="Q20" s="47"/>
      <c r="R20" s="39"/>
      <c r="S20" s="44"/>
      <c r="T20" s="11" t="str">
        <f aca="false">"16.12.25"</f>
        <v>16.12.25</v>
      </c>
    </row>
    <row r="21" customFormat="false" ht="7.5" hidden="false" customHeight="true" outlineLevel="2" collapsed="false">
      <c r="A21" s="60" t="str">
        <f aca="false">HYPERLINK("https://disk.yandex.ru/d/8Fhi-atmEXWBjA","фото")</f>
        <v>фото</v>
      </c>
      <c r="B21" s="49" t="s">
        <v>81</v>
      </c>
      <c r="C21" s="50" t="s">
        <v>82</v>
      </c>
      <c r="D21" s="51" t="s">
        <v>83</v>
      </c>
      <c r="E21" s="52" t="n">
        <f aca="false">I21*(1-J21)*(100-E1)/100</f>
        <v>1504</v>
      </c>
      <c r="F21" s="53"/>
      <c r="G21" s="54" t="n">
        <v>10</v>
      </c>
      <c r="H21" s="52" t="n">
        <f aca="false">E21*F21</f>
        <v>0</v>
      </c>
      <c r="I21" s="55" t="n">
        <v>2350</v>
      </c>
      <c r="J21" s="56"/>
      <c r="K21" s="57" t="n">
        <v>202</v>
      </c>
      <c r="L21" s="22" t="s">
        <v>44</v>
      </c>
      <c r="M21" s="22"/>
      <c r="N21" s="58" t="n">
        <f aca="false">F21*P21</f>
        <v>0</v>
      </c>
      <c r="O21" s="58" t="n">
        <f aca="false">F21*Q21</f>
        <v>0</v>
      </c>
      <c r="P21" s="58" t="n">
        <v>1.35</v>
      </c>
      <c r="Q21" s="58" t="n">
        <v>0.003</v>
      </c>
      <c r="R21" s="59" t="s">
        <v>84</v>
      </c>
      <c r="S21" s="22"/>
      <c r="T21" s="11" t="str">
        <f aca="false">"16.12.25"</f>
        <v>16.12.25</v>
      </c>
    </row>
    <row r="22" customFormat="false" ht="7.5" hidden="false" customHeight="true" outlineLevel="2" collapsed="false">
      <c r="A22" s="60" t="str">
        <f aca="false">HYPERLINK("https://disk.360.yandex.ru/d/VKopSijKTSPWEQ","фото")</f>
        <v>фото</v>
      </c>
      <c r="B22" s="49" t="s">
        <v>85</v>
      </c>
      <c r="C22" s="50" t="s">
        <v>86</v>
      </c>
      <c r="D22" s="51" t="s">
        <v>87</v>
      </c>
      <c r="E22" s="52" t="n">
        <f aca="false">I22*(1-J22)*(100-E1)/100</f>
        <v>1664</v>
      </c>
      <c r="F22" s="53"/>
      <c r="G22" s="54" t="n">
        <v>10</v>
      </c>
      <c r="H22" s="52" t="n">
        <f aca="false">E22*F22</f>
        <v>0</v>
      </c>
      <c r="I22" s="55" t="n">
        <v>2600</v>
      </c>
      <c r="J22" s="56"/>
      <c r="K22" s="57" t="n">
        <v>0</v>
      </c>
      <c r="L22" s="22" t="s">
        <v>44</v>
      </c>
      <c r="M22" s="22"/>
      <c r="N22" s="58" t="n">
        <f aca="false">F22*P22</f>
        <v>0</v>
      </c>
      <c r="O22" s="58" t="n">
        <f aca="false">F22*Q22</f>
        <v>0</v>
      </c>
      <c r="P22" s="58" t="n">
        <v>1.366</v>
      </c>
      <c r="Q22" s="58" t="n">
        <v>0.004</v>
      </c>
      <c r="R22" s="59" t="s">
        <v>88</v>
      </c>
      <c r="S22" s="22"/>
      <c r="T22" s="11" t="str">
        <f aca="false">"16.12.25"</f>
        <v>16.12.25</v>
      </c>
    </row>
    <row r="23" customFormat="false" ht="7.5" hidden="false" customHeight="true" outlineLevel="2" collapsed="false">
      <c r="A23" s="60" t="str">
        <f aca="false">HYPERLINK("https://disk.yandex.ru/d/w0RDONMTelZ9uA","фото")</f>
        <v>фото</v>
      </c>
      <c r="B23" s="49" t="s">
        <v>89</v>
      </c>
      <c r="C23" s="50" t="s">
        <v>90</v>
      </c>
      <c r="D23" s="51" t="s">
        <v>91</v>
      </c>
      <c r="E23" s="52" t="n">
        <f aca="false">I23*(1-J23)*(100-E1)/100</f>
        <v>2265.6</v>
      </c>
      <c r="F23" s="53"/>
      <c r="G23" s="54" t="n">
        <v>10</v>
      </c>
      <c r="H23" s="52" t="n">
        <f aca="false">E23*F23</f>
        <v>0</v>
      </c>
      <c r="I23" s="55" t="n">
        <v>3540</v>
      </c>
      <c r="J23" s="56"/>
      <c r="K23" s="57" t="n">
        <v>310</v>
      </c>
      <c r="L23" s="22" t="s">
        <v>44</v>
      </c>
      <c r="M23" s="22"/>
      <c r="N23" s="58" t="n">
        <f aca="false">F23*P23</f>
        <v>0</v>
      </c>
      <c r="O23" s="58" t="n">
        <f aca="false">F23*Q23</f>
        <v>0</v>
      </c>
      <c r="P23" s="58" t="n">
        <v>1.4</v>
      </c>
      <c r="Q23" s="58" t="n">
        <v>0.004</v>
      </c>
      <c r="R23" s="59" t="s">
        <v>92</v>
      </c>
      <c r="S23" s="22"/>
      <c r="T23" s="11" t="str">
        <f aca="false">"16.12.25"</f>
        <v>16.12.25</v>
      </c>
    </row>
    <row r="24" customFormat="false" ht="7.5" hidden="false" customHeight="true" outlineLevel="1" collapsed="false">
      <c r="A24" s="38"/>
      <c r="B24" s="39"/>
      <c r="C24" s="40" t="s">
        <v>93</v>
      </c>
      <c r="D24" s="41"/>
      <c r="E24" s="42"/>
      <c r="F24" s="43"/>
      <c r="G24" s="44"/>
      <c r="H24" s="42"/>
      <c r="I24" s="45"/>
      <c r="J24" s="46"/>
      <c r="K24" s="45"/>
      <c r="L24" s="44"/>
      <c r="M24" s="44"/>
      <c r="N24" s="47"/>
      <c r="O24" s="47"/>
      <c r="P24" s="47"/>
      <c r="Q24" s="47"/>
      <c r="R24" s="39"/>
      <c r="S24" s="44"/>
      <c r="T24" s="11" t="str">
        <f aca="false">"16.12.25"</f>
        <v>16.12.25</v>
      </c>
    </row>
    <row r="25" customFormat="false" ht="7.5" hidden="false" customHeight="true" outlineLevel="2" collapsed="false">
      <c r="A25" s="60" t="str">
        <f aca="false">HYPERLINK("https://disk.360.yandex.ru/d/bPk6UNgMmd0xyg","фото")</f>
        <v>фото</v>
      </c>
      <c r="B25" s="49" t="s">
        <v>94</v>
      </c>
      <c r="C25" s="50" t="s">
        <v>95</v>
      </c>
      <c r="D25" s="51" t="s">
        <v>96</v>
      </c>
      <c r="E25" s="52" t="n">
        <f aca="false">I25*(1-J25)*(100-E1)/100</f>
        <v>1930.24</v>
      </c>
      <c r="F25" s="53"/>
      <c r="G25" s="54" t="n">
        <v>10</v>
      </c>
      <c r="H25" s="52" t="n">
        <f aca="false">E25*F25</f>
        <v>0</v>
      </c>
      <c r="I25" s="55" t="n">
        <v>3770</v>
      </c>
      <c r="J25" s="56" t="n">
        <v>0.2</v>
      </c>
      <c r="K25" s="57" t="n">
        <v>258</v>
      </c>
      <c r="L25" s="22" t="s">
        <v>44</v>
      </c>
      <c r="M25" s="22" t="s">
        <v>31</v>
      </c>
      <c r="N25" s="58" t="n">
        <f aca="false">F25*P25</f>
        <v>0</v>
      </c>
      <c r="O25" s="58" t="n">
        <f aca="false">F25*Q25</f>
        <v>0</v>
      </c>
      <c r="P25" s="58" t="n">
        <v>2.1</v>
      </c>
      <c r="Q25" s="58" t="n">
        <v>0.004</v>
      </c>
      <c r="R25" s="59" t="s">
        <v>97</v>
      </c>
      <c r="S25" s="22"/>
      <c r="T25" s="11" t="str">
        <f aca="false">"16.12.25"</f>
        <v>16.12.25</v>
      </c>
    </row>
    <row r="26" customFormat="false" ht="7.5" hidden="false" customHeight="true" outlineLevel="2" collapsed="false">
      <c r="A26" s="60" t="str">
        <f aca="false">HYPERLINK("https://disk.yandex.ru/d/RvEqPOAGTktbQg","фото")</f>
        <v>фото</v>
      </c>
      <c r="B26" s="49" t="s">
        <v>98</v>
      </c>
      <c r="C26" s="50" t="s">
        <v>99</v>
      </c>
      <c r="D26" s="51" t="s">
        <v>100</v>
      </c>
      <c r="E26" s="52" t="n">
        <f aca="false">I26*(1-J26)*(100-E1)/100</f>
        <v>1536</v>
      </c>
      <c r="F26" s="53"/>
      <c r="G26" s="54" t="n">
        <v>10</v>
      </c>
      <c r="H26" s="52" t="n">
        <f aca="false">E26*F26</f>
        <v>0</v>
      </c>
      <c r="I26" s="55" t="n">
        <v>3000</v>
      </c>
      <c r="J26" s="56" t="n">
        <v>0.2</v>
      </c>
      <c r="K26" s="57" t="n">
        <v>771</v>
      </c>
      <c r="L26" s="22" t="s">
        <v>44</v>
      </c>
      <c r="M26" s="22" t="s">
        <v>31</v>
      </c>
      <c r="N26" s="58" t="n">
        <f aca="false">F26*P26</f>
        <v>0</v>
      </c>
      <c r="O26" s="58" t="n">
        <f aca="false">F26*Q26</f>
        <v>0</v>
      </c>
      <c r="P26" s="58" t="n">
        <v>2.313</v>
      </c>
      <c r="Q26" s="58" t="n">
        <v>0.01</v>
      </c>
      <c r="R26" s="59" t="s">
        <v>101</v>
      </c>
      <c r="S26" s="22"/>
      <c r="T26" s="11" t="str">
        <f aca="false">"16.12.25"</f>
        <v>16.12.25</v>
      </c>
    </row>
    <row r="27" customFormat="false" ht="7.5" hidden="false" customHeight="true" outlineLevel="2" collapsed="false">
      <c r="A27" s="60" t="str">
        <f aca="false">HYPERLINK("https://disk.360.yandex.ru/d/8LlKuYKwSIDXaw","фото")</f>
        <v>фото</v>
      </c>
      <c r="B27" s="49" t="s">
        <v>102</v>
      </c>
      <c r="C27" s="50" t="s">
        <v>103</v>
      </c>
      <c r="D27" s="51" t="s">
        <v>104</v>
      </c>
      <c r="E27" s="52" t="n">
        <f aca="false">I27*(1-J27)*(100-E1)/100</f>
        <v>1812.48</v>
      </c>
      <c r="F27" s="53"/>
      <c r="G27" s="54" t="n">
        <v>10</v>
      </c>
      <c r="H27" s="52" t="n">
        <f aca="false">E27*F27</f>
        <v>0</v>
      </c>
      <c r="I27" s="55" t="n">
        <v>3540</v>
      </c>
      <c r="J27" s="56" t="n">
        <v>0.2</v>
      </c>
      <c r="K27" s="57" t="n">
        <v>2120</v>
      </c>
      <c r="L27" s="22" t="s">
        <v>44</v>
      </c>
      <c r="M27" s="22" t="s">
        <v>31</v>
      </c>
      <c r="N27" s="58" t="n">
        <f aca="false">F27*P27</f>
        <v>0</v>
      </c>
      <c r="O27" s="58" t="n">
        <f aca="false">F27*Q27</f>
        <v>0</v>
      </c>
      <c r="P27" s="58" t="n">
        <v>2.31</v>
      </c>
      <c r="Q27" s="58" t="n">
        <v>0.004</v>
      </c>
      <c r="R27" s="59" t="s">
        <v>105</v>
      </c>
      <c r="S27" s="22"/>
      <c r="T27" s="11" t="str">
        <f aca="false">"16.12.25"</f>
        <v>16.12.25</v>
      </c>
    </row>
    <row r="28" customFormat="false" ht="7.5" hidden="false" customHeight="true" outlineLevel="2" collapsed="false">
      <c r="A28" s="60" t="str">
        <f aca="false">HYPERLINK("https://disk.yandex.ru/d/m4Dp75FyDvCNnw","фото")</f>
        <v>фото</v>
      </c>
      <c r="B28" s="49" t="s">
        <v>106</v>
      </c>
      <c r="C28" s="50" t="s">
        <v>107</v>
      </c>
      <c r="D28" s="51" t="s">
        <v>108</v>
      </c>
      <c r="E28" s="52" t="n">
        <f aca="false">I28*(1-J28)*(100-E1)/100</f>
        <v>2150.4</v>
      </c>
      <c r="F28" s="53"/>
      <c r="G28" s="54" t="n">
        <v>10</v>
      </c>
      <c r="H28" s="52" t="n">
        <f aca="false">E28*F28</f>
        <v>0</v>
      </c>
      <c r="I28" s="55" t="n">
        <v>3360</v>
      </c>
      <c r="J28" s="56"/>
      <c r="K28" s="57" t="n">
        <v>581</v>
      </c>
      <c r="L28" s="22" t="s">
        <v>44</v>
      </c>
      <c r="M28" s="22"/>
      <c r="N28" s="58" t="n">
        <f aca="false">F28*P28</f>
        <v>0</v>
      </c>
      <c r="O28" s="58" t="n">
        <f aca="false">F28*Q28</f>
        <v>0</v>
      </c>
      <c r="P28" s="58" t="n">
        <v>2.2</v>
      </c>
      <c r="Q28" s="58" t="n">
        <v>0.005</v>
      </c>
      <c r="R28" s="59" t="s">
        <v>109</v>
      </c>
      <c r="S28" s="22"/>
      <c r="T28" s="11" t="str">
        <f aca="false">"16.12.25"</f>
        <v>16.12.25</v>
      </c>
    </row>
    <row r="29" customFormat="false" ht="7.5" hidden="false" customHeight="true" outlineLevel="2" collapsed="false">
      <c r="A29" s="60" t="str">
        <f aca="false">HYPERLINK("https://disk.yandex.ru/d/49TxD5P0u4YsoA","фото")</f>
        <v>фото</v>
      </c>
      <c r="B29" s="49" t="s">
        <v>110</v>
      </c>
      <c r="C29" s="50" t="s">
        <v>111</v>
      </c>
      <c r="D29" s="51" t="s">
        <v>112</v>
      </c>
      <c r="E29" s="52" t="n">
        <f aca="false">I29*(1-J29)*(100-E1)/100</f>
        <v>1674.24</v>
      </c>
      <c r="F29" s="53"/>
      <c r="G29" s="54" t="n">
        <v>10</v>
      </c>
      <c r="H29" s="52" t="n">
        <f aca="false">E29*F29</f>
        <v>0</v>
      </c>
      <c r="I29" s="55" t="n">
        <v>3270</v>
      </c>
      <c r="J29" s="56" t="n">
        <v>0.2</v>
      </c>
      <c r="K29" s="57" t="n">
        <v>466</v>
      </c>
      <c r="L29" s="22" t="s">
        <v>44</v>
      </c>
      <c r="M29" s="22" t="s">
        <v>31</v>
      </c>
      <c r="N29" s="58" t="n">
        <f aca="false">F29*P29</f>
        <v>0</v>
      </c>
      <c r="O29" s="58" t="n">
        <f aca="false">F29*Q29</f>
        <v>0</v>
      </c>
      <c r="P29" s="58" t="n">
        <v>2.435</v>
      </c>
      <c r="Q29" s="58" t="n">
        <v>0.01</v>
      </c>
      <c r="R29" s="59" t="s">
        <v>113</v>
      </c>
      <c r="S29" s="22"/>
      <c r="T29" s="11" t="str">
        <f aca="false">"16.12.25"</f>
        <v>16.12.25</v>
      </c>
    </row>
    <row r="30" customFormat="false" ht="7.5" hidden="false" customHeight="true" outlineLevel="2" collapsed="false">
      <c r="A30" s="60" t="str">
        <f aca="false">HYPERLINK("https://disk.yandex.ru/d/scu4grOeuspoZA","фото")</f>
        <v>фото</v>
      </c>
      <c r="B30" s="49" t="s">
        <v>114</v>
      </c>
      <c r="C30" s="50" t="s">
        <v>115</v>
      </c>
      <c r="D30" s="51" t="s">
        <v>112</v>
      </c>
      <c r="E30" s="52" t="n">
        <f aca="false">I30*(1-J30)*(100-E1)/100</f>
        <v>2092.8</v>
      </c>
      <c r="F30" s="53"/>
      <c r="G30" s="54" t="n">
        <v>10</v>
      </c>
      <c r="H30" s="52" t="n">
        <f aca="false">E30*F30</f>
        <v>0</v>
      </c>
      <c r="I30" s="55" t="n">
        <v>3270</v>
      </c>
      <c r="J30" s="56"/>
      <c r="K30" s="57" t="n">
        <v>2964</v>
      </c>
      <c r="L30" s="22" t="s">
        <v>44</v>
      </c>
      <c r="M30" s="22"/>
      <c r="N30" s="58" t="n">
        <f aca="false">F30*P30</f>
        <v>0</v>
      </c>
      <c r="O30" s="58" t="n">
        <f aca="false">F30*Q30</f>
        <v>0</v>
      </c>
      <c r="P30" s="58" t="n">
        <v>2.47</v>
      </c>
      <c r="Q30" s="58" t="n">
        <v>0.005</v>
      </c>
      <c r="R30" s="59" t="s">
        <v>116</v>
      </c>
      <c r="S30" s="22"/>
      <c r="T30" s="11" t="str">
        <f aca="false">"16.12.25"</f>
        <v>16.12.25</v>
      </c>
    </row>
    <row r="31" customFormat="false" ht="7.5" hidden="false" customHeight="true" outlineLevel="2" collapsed="false">
      <c r="A31" s="60" t="str">
        <f aca="false">HYPERLINK("https://disk.360.yandex.ru/d/ORy85hB9wCTAfg","фото")</f>
        <v>фото</v>
      </c>
      <c r="B31" s="49" t="s">
        <v>117</v>
      </c>
      <c r="C31" s="50" t="s">
        <v>118</v>
      </c>
      <c r="D31" s="51" t="s">
        <v>119</v>
      </c>
      <c r="E31" s="52" t="n">
        <f aca="false">I31*(1-J31)*(100-E1)/100</f>
        <v>1491.2</v>
      </c>
      <c r="F31" s="53"/>
      <c r="G31" s="54" t="n">
        <v>10</v>
      </c>
      <c r="H31" s="52" t="n">
        <f aca="false">E31*F31</f>
        <v>0</v>
      </c>
      <c r="I31" s="55" t="n">
        <v>2330</v>
      </c>
      <c r="J31" s="56"/>
      <c r="K31" s="57" t="n">
        <v>0</v>
      </c>
      <c r="L31" s="22" t="s">
        <v>44</v>
      </c>
      <c r="M31" s="22"/>
      <c r="N31" s="58" t="n">
        <f aca="false">F31*P31</f>
        <v>0</v>
      </c>
      <c r="O31" s="58" t="n">
        <f aca="false">F31*Q31</f>
        <v>0</v>
      </c>
      <c r="P31" s="58" t="n">
        <v>1.8</v>
      </c>
      <c r="Q31" s="58" t="n">
        <v>0.003</v>
      </c>
      <c r="R31" s="59" t="s">
        <v>120</v>
      </c>
      <c r="S31" s="22"/>
      <c r="T31" s="11" t="str">
        <f aca="false">"16.12.25"</f>
        <v>16.12.25</v>
      </c>
    </row>
    <row r="32" customFormat="false" ht="7.5" hidden="false" customHeight="true" outlineLevel="2" collapsed="false">
      <c r="A32" s="60" t="str">
        <f aca="false">HYPERLINK("https://disk.yandex.ru/d/mVIffwvKw2xFSA","фото")</f>
        <v>фото</v>
      </c>
      <c r="B32" s="49" t="s">
        <v>121</v>
      </c>
      <c r="C32" s="50" t="s">
        <v>122</v>
      </c>
      <c r="D32" s="51" t="s">
        <v>123</v>
      </c>
      <c r="E32" s="52" t="n">
        <f aca="false">I32*(1-J32)*(100-E1)/100</f>
        <v>1760</v>
      </c>
      <c r="F32" s="53"/>
      <c r="G32" s="54" t="n">
        <v>10</v>
      </c>
      <c r="H32" s="52" t="n">
        <f aca="false">E32*F32</f>
        <v>0</v>
      </c>
      <c r="I32" s="55" t="n">
        <v>2750</v>
      </c>
      <c r="J32" s="56"/>
      <c r="K32" s="57" t="n">
        <v>0</v>
      </c>
      <c r="L32" s="22" t="s">
        <v>44</v>
      </c>
      <c r="M32" s="22"/>
      <c r="N32" s="58" t="n">
        <f aca="false">F32*P32</f>
        <v>0</v>
      </c>
      <c r="O32" s="58" t="n">
        <f aca="false">F32*Q32</f>
        <v>0</v>
      </c>
      <c r="P32" s="58" t="n">
        <v>2.144</v>
      </c>
      <c r="Q32" s="58" t="n">
        <v>0.01</v>
      </c>
      <c r="R32" s="59" t="s">
        <v>124</v>
      </c>
      <c r="S32" s="22"/>
      <c r="T32" s="11" t="str">
        <f aca="false">"16.12.25"</f>
        <v>16.12.25</v>
      </c>
    </row>
    <row r="33" customFormat="false" ht="7.5" hidden="false" customHeight="true" outlineLevel="2" collapsed="false">
      <c r="A33" s="60" t="str">
        <f aca="false">HYPERLINK("https://disk.360.yandex.ru/d/Dh4-Xz7YPs6YrA","фото")</f>
        <v>фото</v>
      </c>
      <c r="B33" s="49" t="s">
        <v>125</v>
      </c>
      <c r="C33" s="50" t="s">
        <v>126</v>
      </c>
      <c r="D33" s="51" t="s">
        <v>127</v>
      </c>
      <c r="E33" s="52" t="n">
        <f aca="false">I33*(1-J33)*(100-E1)/100</f>
        <v>1542.4</v>
      </c>
      <c r="F33" s="53"/>
      <c r="G33" s="54" t="n">
        <v>10</v>
      </c>
      <c r="H33" s="52" t="n">
        <f aca="false">E33*F33</f>
        <v>0</v>
      </c>
      <c r="I33" s="55" t="n">
        <v>2410</v>
      </c>
      <c r="J33" s="56"/>
      <c r="K33" s="57" t="n">
        <v>671</v>
      </c>
      <c r="L33" s="22" t="s">
        <v>44</v>
      </c>
      <c r="M33" s="22"/>
      <c r="N33" s="58" t="n">
        <f aca="false">F33*P33</f>
        <v>0</v>
      </c>
      <c r="O33" s="58" t="n">
        <f aca="false">F33*Q33</f>
        <v>0</v>
      </c>
      <c r="P33" s="58" t="n">
        <v>1.8</v>
      </c>
      <c r="Q33" s="58" t="n">
        <v>0.003</v>
      </c>
      <c r="R33" s="59" t="s">
        <v>128</v>
      </c>
      <c r="S33" s="22"/>
      <c r="T33" s="11" t="str">
        <f aca="false">"16.12.25"</f>
        <v>16.12.25</v>
      </c>
    </row>
    <row r="34" customFormat="false" ht="7.5" hidden="false" customHeight="true" outlineLevel="2" collapsed="false">
      <c r="A34" s="60" t="str">
        <f aca="false">HYPERLINK("https://disk.360.yandex.ru/d/GyYQpohrAbugDA","фото")</f>
        <v>фото</v>
      </c>
      <c r="B34" s="49" t="s">
        <v>129</v>
      </c>
      <c r="C34" s="50" t="s">
        <v>130</v>
      </c>
      <c r="D34" s="51" t="s">
        <v>131</v>
      </c>
      <c r="E34" s="52" t="n">
        <f aca="false">I34*(1-J34)*(100-E1)/100</f>
        <v>1626.56</v>
      </c>
      <c r="F34" s="53"/>
      <c r="G34" s="54" t="n">
        <v>10</v>
      </c>
      <c r="H34" s="52" t="n">
        <f aca="false">E34*F34</f>
        <v>0</v>
      </c>
      <c r="I34" s="55" t="n">
        <v>2990</v>
      </c>
      <c r="J34" s="56" t="n">
        <v>0.15</v>
      </c>
      <c r="K34" s="57" t="n">
        <v>5216</v>
      </c>
      <c r="L34" s="22" t="s">
        <v>44</v>
      </c>
      <c r="M34" s="22"/>
      <c r="N34" s="58" t="n">
        <f aca="false">F34*P34</f>
        <v>0</v>
      </c>
      <c r="O34" s="58" t="n">
        <f aca="false">F34*Q34</f>
        <v>0</v>
      </c>
      <c r="P34" s="58" t="n">
        <v>2.078</v>
      </c>
      <c r="Q34" s="58" t="n">
        <v>0.004</v>
      </c>
      <c r="R34" s="59" t="s">
        <v>132</v>
      </c>
      <c r="S34" s="22"/>
      <c r="T34" s="11" t="str">
        <f aca="false">"16.12.25"</f>
        <v>16.12.25</v>
      </c>
    </row>
    <row r="35" customFormat="false" ht="7.5" hidden="false" customHeight="true" outlineLevel="2" collapsed="false">
      <c r="A35" s="60" t="str">
        <f aca="false">HYPERLINK("https://disk.yandex.ru/d/TC49peG5Jf7rAw","фото")</f>
        <v>фото</v>
      </c>
      <c r="B35" s="49" t="s">
        <v>133</v>
      </c>
      <c r="C35" s="50" t="s">
        <v>134</v>
      </c>
      <c r="D35" s="51" t="s">
        <v>135</v>
      </c>
      <c r="E35" s="52" t="n">
        <f aca="false">I35*(1-J35)*(100-E1)/100</f>
        <v>1913.6</v>
      </c>
      <c r="F35" s="53"/>
      <c r="G35" s="54" t="n">
        <v>10</v>
      </c>
      <c r="H35" s="52" t="n">
        <f aca="false">E35*F35</f>
        <v>0</v>
      </c>
      <c r="I35" s="55" t="n">
        <v>2990</v>
      </c>
      <c r="J35" s="56"/>
      <c r="K35" s="57" t="n">
        <v>0</v>
      </c>
      <c r="L35" s="22" t="s">
        <v>44</v>
      </c>
      <c r="M35" s="22"/>
      <c r="N35" s="58" t="n">
        <f aca="false">F35*P35</f>
        <v>0</v>
      </c>
      <c r="O35" s="58" t="n">
        <f aca="false">F35*Q35</f>
        <v>0</v>
      </c>
      <c r="P35" s="58" t="n">
        <v>2.144</v>
      </c>
      <c r="Q35" s="58" t="n">
        <v>0.01</v>
      </c>
      <c r="R35" s="59" t="s">
        <v>136</v>
      </c>
      <c r="S35" s="22"/>
      <c r="T35" s="11" t="str">
        <f aca="false">"16.12.25"</f>
        <v>16.12.25</v>
      </c>
    </row>
    <row r="36" customFormat="false" ht="7.5" hidden="false" customHeight="true" outlineLevel="2" collapsed="false">
      <c r="A36" s="60" t="str">
        <f aca="false">HYPERLINK("https://disk.yandex.ru/d/QlWlKWh8USDP3Q","фото")</f>
        <v>фото</v>
      </c>
      <c r="B36" s="49" t="s">
        <v>137</v>
      </c>
      <c r="C36" s="50" t="s">
        <v>138</v>
      </c>
      <c r="D36" s="51" t="s">
        <v>139</v>
      </c>
      <c r="E36" s="52" t="n">
        <f aca="false">I36*(1-J36)*(100-E1)/100</f>
        <v>2035.2</v>
      </c>
      <c r="F36" s="53"/>
      <c r="G36" s="54" t="n">
        <v>10</v>
      </c>
      <c r="H36" s="52" t="n">
        <f aca="false">E36*F36</f>
        <v>0</v>
      </c>
      <c r="I36" s="55" t="n">
        <v>3180</v>
      </c>
      <c r="J36" s="56"/>
      <c r="K36" s="57" t="n">
        <v>1416</v>
      </c>
      <c r="L36" s="22" t="s">
        <v>44</v>
      </c>
      <c r="M36" s="22"/>
      <c r="N36" s="58" t="n">
        <f aca="false">F36*P36</f>
        <v>0</v>
      </c>
      <c r="O36" s="58" t="n">
        <f aca="false">F36*Q36</f>
        <v>0</v>
      </c>
      <c r="P36" s="58" t="n">
        <v>2.37</v>
      </c>
      <c r="Q36" s="58" t="n">
        <v>0.01</v>
      </c>
      <c r="R36" s="59" t="s">
        <v>140</v>
      </c>
      <c r="S36" s="22"/>
      <c r="T36" s="11" t="str">
        <f aca="false">"16.12.25"</f>
        <v>16.12.25</v>
      </c>
    </row>
    <row r="37" customFormat="false" ht="7.5" hidden="false" customHeight="true" outlineLevel="2" collapsed="false">
      <c r="A37" s="60" t="str">
        <f aca="false">HYPERLINK("https://disk.yandex.ru/d/zMm3MSlvUZ065w","фото")</f>
        <v>фото</v>
      </c>
      <c r="B37" s="49" t="s">
        <v>141</v>
      </c>
      <c r="C37" s="50" t="s">
        <v>142</v>
      </c>
      <c r="D37" s="51" t="s">
        <v>143</v>
      </c>
      <c r="E37" s="52" t="n">
        <f aca="false">I37*(1-J37)*(100-E1)/100</f>
        <v>3200</v>
      </c>
      <c r="F37" s="53"/>
      <c r="G37" s="54" t="n">
        <v>6</v>
      </c>
      <c r="H37" s="52" t="n">
        <f aca="false">E37*F37</f>
        <v>0</v>
      </c>
      <c r="I37" s="55" t="n">
        <v>5000</v>
      </c>
      <c r="J37" s="56"/>
      <c r="K37" s="57" t="n">
        <v>1504</v>
      </c>
      <c r="L37" s="22" t="s">
        <v>44</v>
      </c>
      <c r="M37" s="22"/>
      <c r="N37" s="58" t="n">
        <f aca="false">F37*P37</f>
        <v>0</v>
      </c>
      <c r="O37" s="58" t="n">
        <f aca="false">F37*Q37</f>
        <v>0</v>
      </c>
      <c r="P37" s="58" t="n">
        <v>2.75</v>
      </c>
      <c r="Q37" s="58" t="n">
        <v>0.01</v>
      </c>
      <c r="R37" s="59" t="s">
        <v>144</v>
      </c>
      <c r="S37" s="22"/>
      <c r="T37" s="11" t="str">
        <f aca="false">"16.12.25"</f>
        <v>16.12.25</v>
      </c>
    </row>
    <row r="38" customFormat="false" ht="7.5" hidden="false" customHeight="true" outlineLevel="2" collapsed="false">
      <c r="A38" s="60" t="str">
        <f aca="false">HYPERLINK("https://disk.yandex.ru/d/VVZPLy7JeuTqZg","фото")</f>
        <v>фото</v>
      </c>
      <c r="B38" s="49" t="s">
        <v>145</v>
      </c>
      <c r="C38" s="50" t="s">
        <v>146</v>
      </c>
      <c r="D38" s="51" t="s">
        <v>147</v>
      </c>
      <c r="E38" s="52" t="n">
        <f aca="false">I38*(1-J38)*(100-E1)/100</f>
        <v>4057.6</v>
      </c>
      <c r="F38" s="53"/>
      <c r="G38" s="54" t="n">
        <v>4</v>
      </c>
      <c r="H38" s="52" t="n">
        <f aca="false">E38*F38</f>
        <v>0</v>
      </c>
      <c r="I38" s="55" t="n">
        <v>6340</v>
      </c>
      <c r="J38" s="56"/>
      <c r="K38" s="57" t="n">
        <v>1000</v>
      </c>
      <c r="L38" s="22" t="s">
        <v>44</v>
      </c>
      <c r="M38" s="22"/>
      <c r="N38" s="58" t="n">
        <f aca="false">F38*P38</f>
        <v>0</v>
      </c>
      <c r="O38" s="58" t="n">
        <f aca="false">F38*Q38</f>
        <v>0</v>
      </c>
      <c r="P38" s="58" t="n">
        <v>2.6</v>
      </c>
      <c r="Q38" s="58" t="n">
        <v>0.008</v>
      </c>
      <c r="R38" s="59" t="s">
        <v>148</v>
      </c>
      <c r="S38" s="22"/>
      <c r="T38" s="11" t="str">
        <f aca="false">"16.12.25"</f>
        <v>16.12.25</v>
      </c>
    </row>
    <row r="39" customFormat="false" ht="7.5" hidden="false" customHeight="true" outlineLevel="2" collapsed="false">
      <c r="A39" s="60" t="str">
        <f aca="false">HYPERLINK("https://disk.360.yandex.ru/d/D7Jf5GYSc2_Seg","фото")</f>
        <v>фото</v>
      </c>
      <c r="B39" s="49" t="s">
        <v>149</v>
      </c>
      <c r="C39" s="50" t="s">
        <v>150</v>
      </c>
      <c r="D39" s="51" t="s">
        <v>151</v>
      </c>
      <c r="E39" s="52" t="n">
        <f aca="false">I39*(1-J39)*(100-E1)/100</f>
        <v>6112</v>
      </c>
      <c r="F39" s="53"/>
      <c r="G39" s="54" t="n">
        <v>2</v>
      </c>
      <c r="H39" s="52" t="n">
        <f aca="false">E39*F39</f>
        <v>0</v>
      </c>
      <c r="I39" s="55" t="n">
        <v>9550</v>
      </c>
      <c r="J39" s="56"/>
      <c r="K39" s="57" t="n">
        <v>1500</v>
      </c>
      <c r="L39" s="22" t="s">
        <v>44</v>
      </c>
      <c r="M39" s="22" t="s">
        <v>152</v>
      </c>
      <c r="N39" s="58" t="n">
        <f aca="false">F39*P39</f>
        <v>0</v>
      </c>
      <c r="O39" s="58" t="n">
        <f aca="false">F39*Q39</f>
        <v>0</v>
      </c>
      <c r="P39" s="58" t="n">
        <v>6.05</v>
      </c>
      <c r="Q39" s="58" t="n">
        <v>0.011</v>
      </c>
      <c r="R39" s="59" t="s">
        <v>153</v>
      </c>
      <c r="S39" s="22"/>
      <c r="T39" s="11" t="str">
        <f aca="false">"16.12.25"</f>
        <v>16.12.25</v>
      </c>
    </row>
    <row r="40" customFormat="false" ht="7.5" hidden="false" customHeight="true" outlineLevel="2" collapsed="false">
      <c r="A40" s="60" t="str">
        <f aca="false">HYPERLINK("https://disk.360.yandex.ru/d/ePqgTOcb_GybVg","фото")</f>
        <v>фото</v>
      </c>
      <c r="B40" s="49" t="s">
        <v>154</v>
      </c>
      <c r="C40" s="50" t="s">
        <v>155</v>
      </c>
      <c r="D40" s="51" t="s">
        <v>156</v>
      </c>
      <c r="E40" s="52" t="n">
        <f aca="false">I40*(1-J40)*(100-E1)/100</f>
        <v>1536</v>
      </c>
      <c r="F40" s="53"/>
      <c r="G40" s="54" t="n">
        <v>10</v>
      </c>
      <c r="H40" s="52" t="n">
        <f aca="false">E40*F40</f>
        <v>0</v>
      </c>
      <c r="I40" s="55" t="n">
        <v>3000</v>
      </c>
      <c r="J40" s="56" t="n">
        <v>0.2</v>
      </c>
      <c r="K40" s="57" t="n">
        <v>0</v>
      </c>
      <c r="L40" s="22" t="s">
        <v>157</v>
      </c>
      <c r="M40" s="22" t="s">
        <v>31</v>
      </c>
      <c r="N40" s="58" t="n">
        <f aca="false">F40*P40</f>
        <v>0</v>
      </c>
      <c r="O40" s="58" t="n">
        <f aca="false">F40*Q40</f>
        <v>0</v>
      </c>
      <c r="P40" s="58" t="n">
        <v>2.33</v>
      </c>
      <c r="Q40" s="58" t="n">
        <v>0.01</v>
      </c>
      <c r="R40" s="59" t="s">
        <v>158</v>
      </c>
      <c r="S40" s="22"/>
      <c r="T40" s="11" t="str">
        <f aca="false">"16.12.25"</f>
        <v>16.12.25</v>
      </c>
    </row>
    <row r="41" customFormat="false" ht="7.5" hidden="false" customHeight="true" outlineLevel="2" collapsed="false">
      <c r="A41" s="60" t="str">
        <f aca="false">HYPERLINK("https://disk.360.yandex.ru/d/B2_sMBGaL1l8Zg","фото")</f>
        <v>фото</v>
      </c>
      <c r="B41" s="49" t="s">
        <v>159</v>
      </c>
      <c r="C41" s="50" t="s">
        <v>160</v>
      </c>
      <c r="D41" s="51" t="s">
        <v>161</v>
      </c>
      <c r="E41" s="52" t="n">
        <f aca="false">I41*(1-J41)*(100-E1)/100</f>
        <v>1674.24</v>
      </c>
      <c r="F41" s="53"/>
      <c r="G41" s="54" t="n">
        <v>10</v>
      </c>
      <c r="H41" s="52" t="n">
        <f aca="false">E41*F41</f>
        <v>0</v>
      </c>
      <c r="I41" s="55" t="n">
        <v>3270</v>
      </c>
      <c r="J41" s="56" t="n">
        <v>0.2</v>
      </c>
      <c r="K41" s="57" t="n">
        <v>149</v>
      </c>
      <c r="L41" s="22" t="s">
        <v>157</v>
      </c>
      <c r="M41" s="22" t="s">
        <v>31</v>
      </c>
      <c r="N41" s="58" t="n">
        <f aca="false">F41*P41</f>
        <v>0</v>
      </c>
      <c r="O41" s="58" t="n">
        <f aca="false">F41*Q41</f>
        <v>0</v>
      </c>
      <c r="P41" s="58" t="n">
        <v>2.425</v>
      </c>
      <c r="Q41" s="58" t="n">
        <v>0.01</v>
      </c>
      <c r="R41" s="59" t="s">
        <v>162</v>
      </c>
      <c r="S41" s="22"/>
      <c r="T41" s="11" t="str">
        <f aca="false">"16.12.25"</f>
        <v>16.12.25</v>
      </c>
    </row>
    <row r="42" customFormat="false" ht="7.5" hidden="false" customHeight="true" outlineLevel="2" collapsed="false">
      <c r="A42" s="60" t="str">
        <f aca="false">HYPERLINK("https://disk.360.yandex.ru/d/dhLELT-mLccYXA","фото")</f>
        <v>фото</v>
      </c>
      <c r="B42" s="49" t="s">
        <v>163</v>
      </c>
      <c r="C42" s="50" t="s">
        <v>164</v>
      </c>
      <c r="D42" s="51" t="s">
        <v>165</v>
      </c>
      <c r="E42" s="52" t="n">
        <f aca="false">I42*(1-J42)*(100-E1)/100</f>
        <v>1530.88</v>
      </c>
      <c r="F42" s="53"/>
      <c r="G42" s="54" t="n">
        <v>10</v>
      </c>
      <c r="H42" s="52" t="n">
        <f aca="false">E42*F42</f>
        <v>0</v>
      </c>
      <c r="I42" s="55" t="n">
        <v>2990</v>
      </c>
      <c r="J42" s="56" t="n">
        <v>0.2</v>
      </c>
      <c r="K42" s="57" t="n">
        <v>380</v>
      </c>
      <c r="L42" s="22" t="s">
        <v>157</v>
      </c>
      <c r="M42" s="22" t="s">
        <v>31</v>
      </c>
      <c r="N42" s="58" t="n">
        <f aca="false">F42*P42</f>
        <v>0</v>
      </c>
      <c r="O42" s="58" t="n">
        <f aca="false">F42*Q42</f>
        <v>0</v>
      </c>
      <c r="P42" s="58" t="n">
        <v>2.14</v>
      </c>
      <c r="Q42" s="58" t="n">
        <v>0.01</v>
      </c>
      <c r="R42" s="59" t="s">
        <v>166</v>
      </c>
      <c r="S42" s="22"/>
      <c r="T42" s="11" t="str">
        <f aca="false">"16.12.25"</f>
        <v>16.12.25</v>
      </c>
    </row>
    <row r="43" customFormat="false" ht="7.5" hidden="false" customHeight="true" outlineLevel="2" collapsed="false">
      <c r="A43" s="60" t="str">
        <f aca="false">HYPERLINK("https://disk.360.yandex.ru/d/RI5hpJr_mRxesw","фото")</f>
        <v>фото</v>
      </c>
      <c r="B43" s="49" t="s">
        <v>167</v>
      </c>
      <c r="C43" s="50" t="s">
        <v>168</v>
      </c>
      <c r="D43" s="51" t="s">
        <v>169</v>
      </c>
      <c r="E43" s="52" t="n">
        <f aca="false">I43*(1-J43)*(100-E1)/100</f>
        <v>2796.8</v>
      </c>
      <c r="F43" s="53"/>
      <c r="G43" s="54" t="n">
        <v>10</v>
      </c>
      <c r="H43" s="52" t="n">
        <f aca="false">E43*F43</f>
        <v>0</v>
      </c>
      <c r="I43" s="55" t="n">
        <v>4370</v>
      </c>
      <c r="J43" s="56"/>
      <c r="K43" s="57" t="n">
        <v>0</v>
      </c>
      <c r="L43" s="22" t="s">
        <v>53</v>
      </c>
      <c r="M43" s="22"/>
      <c r="N43" s="58" t="n">
        <f aca="false">F43*P43</f>
        <v>0</v>
      </c>
      <c r="O43" s="58" t="n">
        <f aca="false">F43*Q43</f>
        <v>0</v>
      </c>
      <c r="P43" s="58" t="n">
        <v>2.312</v>
      </c>
      <c r="Q43" s="58" t="n">
        <v>0.004</v>
      </c>
      <c r="R43" s="59" t="s">
        <v>170</v>
      </c>
      <c r="S43" s="22"/>
      <c r="T43" s="11" t="str">
        <f aca="false">"16.12.25"</f>
        <v>16.12.25</v>
      </c>
    </row>
    <row r="44" customFormat="false" ht="7.5" hidden="false" customHeight="true" outlineLevel="2" collapsed="false">
      <c r="A44" s="60" t="str">
        <f aca="false">HYPERLINK("https://disk.360.yandex.ru/d/s0BiD--1tBK2GQ","фото")</f>
        <v>фото</v>
      </c>
      <c r="B44" s="49" t="s">
        <v>171</v>
      </c>
      <c r="C44" s="50" t="s">
        <v>172</v>
      </c>
      <c r="D44" s="51" t="s">
        <v>173</v>
      </c>
      <c r="E44" s="52" t="n">
        <f aca="false">I44*(1-J44)*(100-E1)/100</f>
        <v>2764.8</v>
      </c>
      <c r="F44" s="53"/>
      <c r="G44" s="54" t="n">
        <v>10</v>
      </c>
      <c r="H44" s="52" t="n">
        <f aca="false">E44*F44</f>
        <v>0</v>
      </c>
      <c r="I44" s="55" t="n">
        <v>4320</v>
      </c>
      <c r="J44" s="56"/>
      <c r="K44" s="57" t="n">
        <v>1258</v>
      </c>
      <c r="L44" s="22" t="s">
        <v>53</v>
      </c>
      <c r="M44" s="22"/>
      <c r="N44" s="58" t="n">
        <f aca="false">F44*P44</f>
        <v>0</v>
      </c>
      <c r="O44" s="58" t="n">
        <f aca="false">F44*Q44</f>
        <v>0</v>
      </c>
      <c r="P44" s="58" t="n">
        <v>2.566</v>
      </c>
      <c r="Q44" s="58" t="n">
        <v>0.004</v>
      </c>
      <c r="R44" s="59" t="s">
        <v>174</v>
      </c>
      <c r="S44" s="22"/>
      <c r="T44" s="11" t="str">
        <f aca="false">"16.12.25"</f>
        <v>16.12.25</v>
      </c>
    </row>
    <row r="45" customFormat="false" ht="7.5" hidden="false" customHeight="true" outlineLevel="2" collapsed="false">
      <c r="A45" s="60" t="str">
        <f aca="false">HYPERLINK("https://disk.360.yandex.ru/d/v2k3YV3oRRffyw","фото")</f>
        <v>фото</v>
      </c>
      <c r="B45" s="49" t="s">
        <v>175</v>
      </c>
      <c r="C45" s="50" t="s">
        <v>176</v>
      </c>
      <c r="D45" s="51" t="s">
        <v>177</v>
      </c>
      <c r="E45" s="52" t="n">
        <f aca="false">I45*(1-J45)*(100-E1)/100</f>
        <v>3596.8</v>
      </c>
      <c r="F45" s="53"/>
      <c r="G45" s="54" t="n">
        <v>6</v>
      </c>
      <c r="H45" s="52" t="n">
        <f aca="false">E45*F45</f>
        <v>0</v>
      </c>
      <c r="I45" s="55" t="n">
        <v>5620</v>
      </c>
      <c r="J45" s="56"/>
      <c r="K45" s="57" t="n">
        <v>758</v>
      </c>
      <c r="L45" s="22" t="s">
        <v>53</v>
      </c>
      <c r="M45" s="22"/>
      <c r="N45" s="58" t="n">
        <f aca="false">F45*P45</f>
        <v>0</v>
      </c>
      <c r="O45" s="58" t="n">
        <f aca="false">F45*Q45</f>
        <v>0</v>
      </c>
      <c r="P45" s="58" t="n">
        <v>2.58</v>
      </c>
      <c r="Q45" s="58" t="n">
        <v>0.005</v>
      </c>
      <c r="R45" s="59" t="s">
        <v>178</v>
      </c>
      <c r="S45" s="22"/>
      <c r="T45" s="11" t="str">
        <f aca="false">"16.12.25"</f>
        <v>16.12.25</v>
      </c>
    </row>
    <row r="46" customFormat="false" ht="7.5" hidden="false" customHeight="true" outlineLevel="2" collapsed="false">
      <c r="A46" s="60" t="str">
        <f aca="false">HYPERLINK("https://disk.360.yandex.ru/d/FQQbGQfteTjeZw","фото")</f>
        <v>фото</v>
      </c>
      <c r="B46" s="49" t="s">
        <v>179</v>
      </c>
      <c r="C46" s="50" t="s">
        <v>180</v>
      </c>
      <c r="D46" s="51" t="s">
        <v>181</v>
      </c>
      <c r="E46" s="52" t="n">
        <f aca="false">I46*(1-J46)*(100-E1)/100</f>
        <v>3110.4</v>
      </c>
      <c r="F46" s="53"/>
      <c r="G46" s="54" t="n">
        <v>6</v>
      </c>
      <c r="H46" s="52" t="n">
        <f aca="false">E46*F46</f>
        <v>0</v>
      </c>
      <c r="I46" s="55" t="n">
        <v>4860</v>
      </c>
      <c r="J46" s="56"/>
      <c r="K46" s="57" t="n">
        <v>0</v>
      </c>
      <c r="L46" s="22" t="s">
        <v>53</v>
      </c>
      <c r="M46" s="22"/>
      <c r="N46" s="58" t="n">
        <f aca="false">F46*P46</f>
        <v>0</v>
      </c>
      <c r="O46" s="58" t="n">
        <f aca="false">F46*Q46</f>
        <v>0</v>
      </c>
      <c r="P46" s="58" t="n">
        <v>2.4</v>
      </c>
      <c r="Q46" s="58" t="n">
        <v>0.005</v>
      </c>
      <c r="R46" s="59" t="s">
        <v>182</v>
      </c>
      <c r="S46" s="22"/>
      <c r="T46" s="11" t="str">
        <f aca="false">"16.12.25"</f>
        <v>16.12.25</v>
      </c>
    </row>
    <row r="47" customFormat="false" ht="7.5" hidden="false" customHeight="true" outlineLevel="2" collapsed="false">
      <c r="A47" s="60" t="str">
        <f aca="false">HYPERLINK("https://disk.360.yandex.ru/d/AhvWWaDvAM3icg","фото")</f>
        <v>фото</v>
      </c>
      <c r="B47" s="49" t="s">
        <v>183</v>
      </c>
      <c r="C47" s="50" t="s">
        <v>184</v>
      </c>
      <c r="D47" s="51" t="s">
        <v>185</v>
      </c>
      <c r="E47" s="52" t="n">
        <f aca="false">I47*(1-J47)*(100-E1)/100</f>
        <v>2336</v>
      </c>
      <c r="F47" s="53"/>
      <c r="G47" s="54" t="n">
        <v>10</v>
      </c>
      <c r="H47" s="52" t="n">
        <f aca="false">E47*F47</f>
        <v>0</v>
      </c>
      <c r="I47" s="55" t="n">
        <v>3650</v>
      </c>
      <c r="J47" s="56"/>
      <c r="K47" s="57" t="n">
        <v>113</v>
      </c>
      <c r="L47" s="22" t="s">
        <v>53</v>
      </c>
      <c r="M47" s="22"/>
      <c r="N47" s="58" t="n">
        <f aca="false">F47*P47</f>
        <v>0</v>
      </c>
      <c r="O47" s="58" t="n">
        <f aca="false">F47*Q47</f>
        <v>0</v>
      </c>
      <c r="P47" s="58" t="n">
        <v>2</v>
      </c>
      <c r="Q47" s="58" t="n">
        <v>0.004</v>
      </c>
      <c r="R47" s="59" t="s">
        <v>186</v>
      </c>
      <c r="S47" s="22"/>
      <c r="T47" s="11" t="str">
        <f aca="false">"16.12.25"</f>
        <v>16.12.25</v>
      </c>
    </row>
    <row r="48" customFormat="false" ht="7.5" hidden="false" customHeight="true" outlineLevel="2" collapsed="false">
      <c r="A48" s="60" t="str">
        <f aca="false">HYPERLINK("https://disk.360.yandex.ru/d/0sFFnOw5tFODXQ","фото")</f>
        <v>фото</v>
      </c>
      <c r="B48" s="49" t="s">
        <v>187</v>
      </c>
      <c r="C48" s="50" t="s">
        <v>188</v>
      </c>
      <c r="D48" s="51" t="s">
        <v>185</v>
      </c>
      <c r="E48" s="52" t="n">
        <f aca="false">I48*(1-J48)*(100-E1)/100</f>
        <v>2156.8</v>
      </c>
      <c r="F48" s="53"/>
      <c r="G48" s="54" t="n">
        <v>10</v>
      </c>
      <c r="H48" s="52" t="n">
        <f aca="false">E48*F48</f>
        <v>0</v>
      </c>
      <c r="I48" s="55" t="n">
        <v>3370</v>
      </c>
      <c r="J48" s="56"/>
      <c r="K48" s="57" t="n">
        <v>1946</v>
      </c>
      <c r="L48" s="22" t="s">
        <v>53</v>
      </c>
      <c r="M48" s="22"/>
      <c r="N48" s="58" t="n">
        <f aca="false">F48*P48</f>
        <v>0</v>
      </c>
      <c r="O48" s="58" t="n">
        <f aca="false">F48*Q48</f>
        <v>0</v>
      </c>
      <c r="P48" s="58" t="n">
        <v>2</v>
      </c>
      <c r="Q48" s="58" t="n">
        <v>0.004</v>
      </c>
      <c r="R48" s="59" t="s">
        <v>189</v>
      </c>
      <c r="S48" s="22"/>
      <c r="T48" s="11" t="str">
        <f aca="false">"16.12.25"</f>
        <v>16.12.25</v>
      </c>
    </row>
    <row r="49" customFormat="false" ht="7.5" hidden="false" customHeight="true" outlineLevel="2" collapsed="false">
      <c r="A49" s="60" t="str">
        <f aca="false">HYPERLINK("https://disk.360.yandex.ru/d/gXamd9MMhfYBLQ","фото")</f>
        <v>фото</v>
      </c>
      <c r="B49" s="49" t="s">
        <v>190</v>
      </c>
      <c r="C49" s="50" t="s">
        <v>191</v>
      </c>
      <c r="D49" s="51" t="s">
        <v>192</v>
      </c>
      <c r="E49" s="52" t="n">
        <f aca="false">I49*(1-J49)*(100-E1)/100</f>
        <v>2393.6</v>
      </c>
      <c r="F49" s="53"/>
      <c r="G49" s="54" t="n">
        <v>10</v>
      </c>
      <c r="H49" s="52" t="n">
        <f aca="false">E49*F49</f>
        <v>0</v>
      </c>
      <c r="I49" s="55" t="n">
        <v>3740</v>
      </c>
      <c r="J49" s="56"/>
      <c r="K49" s="57" t="n">
        <v>2936</v>
      </c>
      <c r="L49" s="22" t="s">
        <v>53</v>
      </c>
      <c r="M49" s="22"/>
      <c r="N49" s="58" t="n">
        <f aca="false">F49*P49</f>
        <v>0</v>
      </c>
      <c r="O49" s="58" t="n">
        <f aca="false">F49*Q49</f>
        <v>0</v>
      </c>
      <c r="P49" s="58" t="n">
        <v>2</v>
      </c>
      <c r="Q49" s="58" t="n">
        <v>0.004</v>
      </c>
      <c r="R49" s="59" t="s">
        <v>193</v>
      </c>
      <c r="S49" s="22"/>
      <c r="T49" s="11" t="str">
        <f aca="false">"16.12.25"</f>
        <v>16.12.25</v>
      </c>
    </row>
    <row r="50" customFormat="false" ht="7.5" hidden="false" customHeight="true" outlineLevel="2" collapsed="false">
      <c r="A50" s="60" t="str">
        <f aca="false">HYPERLINK("https://disk.360.yandex.ru/d/PVe_uWmUJyQPIw","фото")</f>
        <v>фото</v>
      </c>
      <c r="B50" s="49" t="s">
        <v>194</v>
      </c>
      <c r="C50" s="50" t="s">
        <v>195</v>
      </c>
      <c r="D50" s="51" t="s">
        <v>196</v>
      </c>
      <c r="E50" s="52" t="n">
        <f aca="false">I50*(1-J50)*(100-E1)/100</f>
        <v>4883.2</v>
      </c>
      <c r="F50" s="53"/>
      <c r="G50" s="54" t="n">
        <v>4</v>
      </c>
      <c r="H50" s="52" t="n">
        <f aca="false">E50*F50</f>
        <v>0</v>
      </c>
      <c r="I50" s="55" t="n">
        <v>7630</v>
      </c>
      <c r="J50" s="56"/>
      <c r="K50" s="57" t="n">
        <v>130</v>
      </c>
      <c r="L50" s="22" t="s">
        <v>53</v>
      </c>
      <c r="M50" s="22"/>
      <c r="N50" s="58" t="n">
        <f aca="false">F50*P50</f>
        <v>0</v>
      </c>
      <c r="O50" s="58" t="n">
        <f aca="false">F50*Q50</f>
        <v>0</v>
      </c>
      <c r="P50" s="58" t="n">
        <v>3.8</v>
      </c>
      <c r="Q50" s="58" t="n">
        <v>0.008</v>
      </c>
      <c r="R50" s="59" t="s">
        <v>197</v>
      </c>
      <c r="S50" s="22"/>
      <c r="T50" s="11" t="str">
        <f aca="false">"16.12.25"</f>
        <v>16.12.25</v>
      </c>
    </row>
    <row r="51" customFormat="false" ht="7.5" hidden="false" customHeight="true" outlineLevel="2" collapsed="false">
      <c r="A51" s="60" t="str">
        <f aca="false">HYPERLINK("https://disk.360.yandex.ru/d/sUNh9-au39je8g","фото")</f>
        <v>фото</v>
      </c>
      <c r="B51" s="49" t="s">
        <v>198</v>
      </c>
      <c r="C51" s="50" t="s">
        <v>199</v>
      </c>
      <c r="D51" s="51" t="s">
        <v>200</v>
      </c>
      <c r="E51" s="52" t="n">
        <f aca="false">I51*(1-J51)*(100-E1)/100</f>
        <v>5030.4</v>
      </c>
      <c r="F51" s="53"/>
      <c r="G51" s="54" t="n">
        <v>4</v>
      </c>
      <c r="H51" s="52" t="n">
        <f aca="false">E51*F51</f>
        <v>0</v>
      </c>
      <c r="I51" s="55" t="n">
        <v>7860</v>
      </c>
      <c r="J51" s="56"/>
      <c r="K51" s="57" t="n">
        <v>0</v>
      </c>
      <c r="L51" s="22" t="s">
        <v>53</v>
      </c>
      <c r="M51" s="22"/>
      <c r="N51" s="58" t="n">
        <f aca="false">F51*P51</f>
        <v>0</v>
      </c>
      <c r="O51" s="58" t="n">
        <f aca="false">F51*Q51</f>
        <v>0</v>
      </c>
      <c r="P51" s="58" t="n">
        <v>4</v>
      </c>
      <c r="Q51" s="58" t="n">
        <v>0.008</v>
      </c>
      <c r="R51" s="59" t="s">
        <v>201</v>
      </c>
      <c r="S51" s="22"/>
      <c r="T51" s="11" t="str">
        <f aca="false">"16.12.25"</f>
        <v>16.12.25</v>
      </c>
    </row>
    <row r="52" customFormat="false" ht="7.5" hidden="false" customHeight="true" outlineLevel="2" collapsed="false">
      <c r="A52" s="60" t="str">
        <f aca="false">HYPERLINK("https://disk.360.yandex.ru/d/tSg4XIV7fhFuIQ","фото")</f>
        <v>фото</v>
      </c>
      <c r="B52" s="49" t="s">
        <v>202</v>
      </c>
      <c r="C52" s="50" t="s">
        <v>203</v>
      </c>
      <c r="D52" s="51" t="s">
        <v>204</v>
      </c>
      <c r="E52" s="52" t="n">
        <f aca="false">I52*(1-J52)*(100-E1)/100</f>
        <v>7056</v>
      </c>
      <c r="F52" s="53"/>
      <c r="G52" s="54" t="n">
        <v>2</v>
      </c>
      <c r="H52" s="52" t="n">
        <f aca="false">E52*F52</f>
        <v>0</v>
      </c>
      <c r="I52" s="55" t="n">
        <v>12250</v>
      </c>
      <c r="J52" s="56" t="n">
        <v>0.1</v>
      </c>
      <c r="K52" s="57" t="n">
        <v>152</v>
      </c>
      <c r="L52" s="22" t="s">
        <v>53</v>
      </c>
      <c r="M52" s="22" t="s">
        <v>15</v>
      </c>
      <c r="N52" s="58" t="n">
        <f aca="false">F52*P52</f>
        <v>0</v>
      </c>
      <c r="O52" s="58" t="n">
        <f aca="false">F52*Q52</f>
        <v>0</v>
      </c>
      <c r="P52" s="58" t="n">
        <v>4</v>
      </c>
      <c r="Q52" s="58" t="n">
        <v>0.008</v>
      </c>
      <c r="R52" s="59" t="s">
        <v>205</v>
      </c>
      <c r="S52" s="22"/>
      <c r="T52" s="11" t="str">
        <f aca="false">"16.12.25"</f>
        <v>16.12.25</v>
      </c>
    </row>
    <row r="53" customFormat="false" ht="7.5" hidden="false" customHeight="true" outlineLevel="1" collapsed="false">
      <c r="A53" s="38"/>
      <c r="B53" s="39"/>
      <c r="C53" s="40" t="s">
        <v>206</v>
      </c>
      <c r="D53" s="41"/>
      <c r="E53" s="42"/>
      <c r="F53" s="43"/>
      <c r="G53" s="44"/>
      <c r="H53" s="42"/>
      <c r="I53" s="45"/>
      <c r="J53" s="46"/>
      <c r="K53" s="45"/>
      <c r="L53" s="44"/>
      <c r="M53" s="44"/>
      <c r="N53" s="47"/>
      <c r="O53" s="47"/>
      <c r="P53" s="47"/>
      <c r="Q53" s="47"/>
      <c r="R53" s="39"/>
      <c r="S53" s="44"/>
      <c r="T53" s="11" t="str">
        <f aca="false">"16.12.25"</f>
        <v>16.12.25</v>
      </c>
    </row>
    <row r="54" customFormat="false" ht="7.5" hidden="false" customHeight="true" outlineLevel="2" collapsed="false">
      <c r="A54" s="60" t="str">
        <f aca="false">HYPERLINK("https://disk.yandex.ru/d/5P3PlbwaYlNa5Q","фото")</f>
        <v>фото</v>
      </c>
      <c r="B54" s="49" t="s">
        <v>207</v>
      </c>
      <c r="C54" s="50" t="s">
        <v>208</v>
      </c>
      <c r="D54" s="51" t="s">
        <v>209</v>
      </c>
      <c r="E54" s="52" t="n">
        <f aca="false">I54*(1-J54)*(100-E1)/100</f>
        <v>3942.4</v>
      </c>
      <c r="F54" s="53"/>
      <c r="G54" s="54" t="n">
        <v>4</v>
      </c>
      <c r="H54" s="52" t="n">
        <f aca="false">E54*F54</f>
        <v>0</v>
      </c>
      <c r="I54" s="55" t="n">
        <v>7700</v>
      </c>
      <c r="J54" s="56" t="n">
        <v>0.2</v>
      </c>
      <c r="K54" s="57" t="n">
        <v>74</v>
      </c>
      <c r="L54" s="22" t="s">
        <v>44</v>
      </c>
      <c r="M54" s="22" t="s">
        <v>31</v>
      </c>
      <c r="N54" s="58" t="n">
        <f aca="false">F54*P54</f>
        <v>0</v>
      </c>
      <c r="O54" s="58" t="n">
        <f aca="false">F54*Q54</f>
        <v>0</v>
      </c>
      <c r="P54" s="58" t="n">
        <v>4.85</v>
      </c>
      <c r="Q54" s="58" t="n">
        <v>0.012</v>
      </c>
      <c r="R54" s="59" t="s">
        <v>210</v>
      </c>
      <c r="S54" s="22"/>
      <c r="T54" s="11" t="str">
        <f aca="false">"16.12.25"</f>
        <v>16.12.25</v>
      </c>
    </row>
    <row r="55" customFormat="false" ht="7.5" hidden="false" customHeight="true" outlineLevel="1" collapsed="false">
      <c r="A55" s="38"/>
      <c r="B55" s="39"/>
      <c r="C55" s="40" t="s">
        <v>211</v>
      </c>
      <c r="D55" s="41"/>
      <c r="E55" s="42"/>
      <c r="F55" s="43"/>
      <c r="G55" s="44"/>
      <c r="H55" s="42"/>
      <c r="I55" s="45"/>
      <c r="J55" s="46"/>
      <c r="K55" s="45"/>
      <c r="L55" s="44"/>
      <c r="M55" s="44"/>
      <c r="N55" s="47"/>
      <c r="O55" s="47"/>
      <c r="P55" s="47"/>
      <c r="Q55" s="47"/>
      <c r="R55" s="39"/>
      <c r="S55" s="44"/>
      <c r="T55" s="11" t="str">
        <f aca="false">"16.12.25"</f>
        <v>16.12.25</v>
      </c>
    </row>
    <row r="56" customFormat="false" ht="7.5" hidden="false" customHeight="true" outlineLevel="2" collapsed="false">
      <c r="A56" s="48"/>
      <c r="B56" s="49" t="s">
        <v>212</v>
      </c>
      <c r="C56" s="50" t="s">
        <v>213</v>
      </c>
      <c r="D56" s="51" t="s">
        <v>214</v>
      </c>
      <c r="E56" s="52" t="n">
        <f aca="false">I56*(1-J56)*(100-E1)/100</f>
        <v>4184.32</v>
      </c>
      <c r="F56" s="53"/>
      <c r="G56" s="54" t="n">
        <v>6</v>
      </c>
      <c r="H56" s="52" t="n">
        <f aca="false">E56*F56</f>
        <v>0</v>
      </c>
      <c r="I56" s="55" t="n">
        <v>9340</v>
      </c>
      <c r="J56" s="56" t="n">
        <v>0.3</v>
      </c>
      <c r="K56" s="57" t="n">
        <v>26</v>
      </c>
      <c r="L56" s="22" t="s">
        <v>30</v>
      </c>
      <c r="M56" s="22" t="s">
        <v>31</v>
      </c>
      <c r="N56" s="58" t="n">
        <f aca="false">F56*P56</f>
        <v>0</v>
      </c>
      <c r="O56" s="58" t="n">
        <f aca="false">F56*Q56</f>
        <v>0</v>
      </c>
      <c r="P56" s="58" t="n">
        <v>3.25</v>
      </c>
      <c r="Q56" s="58" t="n">
        <v>0.009</v>
      </c>
      <c r="R56" s="59"/>
      <c r="S56" s="22"/>
      <c r="T56" s="11" t="str">
        <f aca="false">"16.12.25"</f>
        <v>16.12.25</v>
      </c>
    </row>
    <row r="57" customFormat="false" ht="7.5" hidden="false" customHeight="true" outlineLevel="2" collapsed="false">
      <c r="A57" s="60" t="str">
        <f aca="false">HYPERLINK("https://disk.360.yandex.ru/d/VzZl1DIFKBCVgg","фото")</f>
        <v>фото</v>
      </c>
      <c r="B57" s="49" t="s">
        <v>215</v>
      </c>
      <c r="C57" s="50" t="s">
        <v>216</v>
      </c>
      <c r="D57" s="51" t="s">
        <v>217</v>
      </c>
      <c r="E57" s="52" t="n">
        <f aca="false">I57*(1-J57)*(100-E1)/100</f>
        <v>2660.16</v>
      </c>
      <c r="F57" s="53"/>
      <c r="G57" s="54" t="n">
        <v>5</v>
      </c>
      <c r="H57" s="52" t="n">
        <f aca="false">E57*F57</f>
        <v>0</v>
      </c>
      <c r="I57" s="55" t="n">
        <v>4890</v>
      </c>
      <c r="J57" s="56" t="n">
        <v>0.15</v>
      </c>
      <c r="K57" s="57" t="n">
        <v>665</v>
      </c>
      <c r="L57" s="22" t="s">
        <v>44</v>
      </c>
      <c r="M57" s="22" t="s">
        <v>15</v>
      </c>
      <c r="N57" s="58" t="n">
        <f aca="false">F57*P57</f>
        <v>0</v>
      </c>
      <c r="O57" s="58" t="n">
        <f aca="false">F57*Q57</f>
        <v>0</v>
      </c>
      <c r="P57" s="58" t="n">
        <v>2.86</v>
      </c>
      <c r="Q57" s="58"/>
      <c r="R57" s="59" t="s">
        <v>218</v>
      </c>
      <c r="S57" s="22"/>
      <c r="T57" s="11" t="str">
        <f aca="false">"16.12.25"</f>
        <v>16.12.25</v>
      </c>
    </row>
    <row r="58" customFormat="false" ht="7.5" hidden="false" customHeight="true" outlineLevel="2" collapsed="false">
      <c r="A58" s="60" t="str">
        <f aca="false">HYPERLINK("https://disk.360.yandex.ru/d/E4IsXiapj7HcUw","фото")</f>
        <v>фото</v>
      </c>
      <c r="B58" s="49" t="s">
        <v>219</v>
      </c>
      <c r="C58" s="50" t="s">
        <v>220</v>
      </c>
      <c r="D58" s="51" t="s">
        <v>221</v>
      </c>
      <c r="E58" s="52" t="n">
        <f aca="false">I58*(1-J58)*(100-E1)/100</f>
        <v>1049.92</v>
      </c>
      <c r="F58" s="53"/>
      <c r="G58" s="54" t="n">
        <v>10</v>
      </c>
      <c r="H58" s="52" t="n">
        <f aca="false">E58*F58</f>
        <v>0</v>
      </c>
      <c r="I58" s="55" t="n">
        <v>1930</v>
      </c>
      <c r="J58" s="56" t="n">
        <v>0.15</v>
      </c>
      <c r="K58" s="57" t="n">
        <v>514</v>
      </c>
      <c r="L58" s="22" t="s">
        <v>44</v>
      </c>
      <c r="M58" s="22" t="s">
        <v>15</v>
      </c>
      <c r="N58" s="58" t="n">
        <f aca="false">F58*P58</f>
        <v>0</v>
      </c>
      <c r="O58" s="58" t="n">
        <f aca="false">F58*Q58</f>
        <v>0</v>
      </c>
      <c r="P58" s="58" t="n">
        <v>1.65</v>
      </c>
      <c r="Q58" s="58" t="n">
        <v>0.004</v>
      </c>
      <c r="R58" s="59" t="s">
        <v>222</v>
      </c>
      <c r="S58" s="22"/>
      <c r="T58" s="11" t="str">
        <f aca="false">"16.12.25"</f>
        <v>16.12.25</v>
      </c>
    </row>
    <row r="59" customFormat="false" ht="7.5" hidden="false" customHeight="true" outlineLevel="2" collapsed="false">
      <c r="A59" s="60" t="str">
        <f aca="false">HYPERLINK("https://disk.360.yandex.ru/d/dVAzAmsXT670pw","фото")</f>
        <v>фото</v>
      </c>
      <c r="B59" s="49" t="s">
        <v>223</v>
      </c>
      <c r="C59" s="50" t="s">
        <v>224</v>
      </c>
      <c r="D59" s="51" t="s">
        <v>225</v>
      </c>
      <c r="E59" s="52" t="n">
        <f aca="false">I59*(1-J59)*(100-E1)/100</f>
        <v>1914.88</v>
      </c>
      <c r="F59" s="53"/>
      <c r="G59" s="54" t="n">
        <v>5</v>
      </c>
      <c r="H59" s="52" t="n">
        <f aca="false">E59*F59</f>
        <v>0</v>
      </c>
      <c r="I59" s="55" t="n">
        <v>3520</v>
      </c>
      <c r="J59" s="56" t="n">
        <v>0.15</v>
      </c>
      <c r="K59" s="57" t="n">
        <v>1020</v>
      </c>
      <c r="L59" s="22" t="s">
        <v>44</v>
      </c>
      <c r="M59" s="22" t="s">
        <v>15</v>
      </c>
      <c r="N59" s="58" t="n">
        <f aca="false">F59*P59</f>
        <v>0</v>
      </c>
      <c r="O59" s="58" t="n">
        <f aca="false">F59*Q59</f>
        <v>0</v>
      </c>
      <c r="P59" s="58" t="n">
        <v>2.46</v>
      </c>
      <c r="Q59" s="58" t="n">
        <v>0.005</v>
      </c>
      <c r="R59" s="59" t="s">
        <v>226</v>
      </c>
      <c r="S59" s="22"/>
      <c r="T59" s="11" t="str">
        <f aca="false">"16.12.25"</f>
        <v>16.12.25</v>
      </c>
    </row>
    <row r="60" customFormat="false" ht="7.5" hidden="false" customHeight="true" outlineLevel="1" collapsed="false">
      <c r="A60" s="38"/>
      <c r="B60" s="39"/>
      <c r="C60" s="40" t="s">
        <v>227</v>
      </c>
      <c r="D60" s="41"/>
      <c r="E60" s="42"/>
      <c r="F60" s="43"/>
      <c r="G60" s="44"/>
      <c r="H60" s="42"/>
      <c r="I60" s="45"/>
      <c r="J60" s="46"/>
      <c r="K60" s="45"/>
      <c r="L60" s="44"/>
      <c r="M60" s="44"/>
      <c r="N60" s="47"/>
      <c r="O60" s="47"/>
      <c r="P60" s="47"/>
      <c r="Q60" s="47"/>
      <c r="R60" s="39"/>
      <c r="S60" s="44"/>
      <c r="T60" s="11" t="str">
        <f aca="false">"16.12.25"</f>
        <v>16.12.25</v>
      </c>
    </row>
    <row r="61" customFormat="false" ht="7.5" hidden="false" customHeight="true" outlineLevel="2" collapsed="false">
      <c r="A61" s="60" t="str">
        <f aca="false">HYPERLINK("https://disk.360.yandex.ru/d/pxG7kZlDEtOi_Q","фото")</f>
        <v>фото</v>
      </c>
      <c r="B61" s="49" t="s">
        <v>228</v>
      </c>
      <c r="C61" s="50" t="s">
        <v>229</v>
      </c>
      <c r="D61" s="51" t="s">
        <v>230</v>
      </c>
      <c r="E61" s="52" t="n">
        <f aca="false">I61*(1-J61)*(100-E1)/100</f>
        <v>2323.2</v>
      </c>
      <c r="F61" s="53"/>
      <c r="G61" s="54" t="n">
        <v>10</v>
      </c>
      <c r="H61" s="52" t="n">
        <f aca="false">E61*F61</f>
        <v>0</v>
      </c>
      <c r="I61" s="55" t="n">
        <v>3630</v>
      </c>
      <c r="J61" s="56"/>
      <c r="K61" s="57" t="n">
        <v>0</v>
      </c>
      <c r="L61" s="22" t="s">
        <v>44</v>
      </c>
      <c r="M61" s="22"/>
      <c r="N61" s="58" t="n">
        <f aca="false">F61*P61</f>
        <v>0</v>
      </c>
      <c r="O61" s="58" t="n">
        <f aca="false">F61*Q61</f>
        <v>0</v>
      </c>
      <c r="P61" s="58" t="n">
        <v>1.8</v>
      </c>
      <c r="Q61" s="58" t="n">
        <v>0.005</v>
      </c>
      <c r="R61" s="59" t="s">
        <v>231</v>
      </c>
      <c r="S61" s="22"/>
      <c r="T61" s="11" t="str">
        <f aca="false">"16.12.25"</f>
        <v>16.12.25</v>
      </c>
    </row>
    <row r="62" customFormat="false" ht="7.5" hidden="false" customHeight="true" outlineLevel="2" collapsed="false">
      <c r="A62" s="60" t="str">
        <f aca="false">HYPERLINK("https://disk.360.yandex.ru/d/ckLw-wll00mCwA","фото")</f>
        <v>фото</v>
      </c>
      <c r="B62" s="49" t="s">
        <v>232</v>
      </c>
      <c r="C62" s="50" t="s">
        <v>233</v>
      </c>
      <c r="D62" s="51" t="s">
        <v>234</v>
      </c>
      <c r="E62" s="52" t="n">
        <f aca="false">I62*(1-J62)*(100-E1)/100</f>
        <v>1347.84</v>
      </c>
      <c r="F62" s="53"/>
      <c r="G62" s="54" t="n">
        <v>10</v>
      </c>
      <c r="H62" s="52" t="n">
        <f aca="false">E62*F62</f>
        <v>0</v>
      </c>
      <c r="I62" s="55" t="n">
        <v>2340</v>
      </c>
      <c r="J62" s="56" t="n">
        <v>0.1</v>
      </c>
      <c r="K62" s="57" t="n">
        <v>257</v>
      </c>
      <c r="L62" s="22" t="s">
        <v>44</v>
      </c>
      <c r="M62" s="22" t="s">
        <v>152</v>
      </c>
      <c r="N62" s="58" t="n">
        <f aca="false">F62*P62</f>
        <v>0</v>
      </c>
      <c r="O62" s="58" t="n">
        <f aca="false">F62*Q62</f>
        <v>0</v>
      </c>
      <c r="P62" s="58" t="n">
        <v>1.45</v>
      </c>
      <c r="Q62" s="58" t="n">
        <v>0.004</v>
      </c>
      <c r="R62" s="59" t="s">
        <v>235</v>
      </c>
      <c r="S62" s="22"/>
      <c r="T62" s="11" t="str">
        <f aca="false">"16.12.25"</f>
        <v>16.12.25</v>
      </c>
    </row>
    <row r="63" customFormat="false" ht="7.5" hidden="false" customHeight="true" outlineLevel="2" collapsed="false">
      <c r="A63" s="60" t="str">
        <f aca="false">HYPERLINK("https://disk.360.yandex.ru/d/YrTvOfMyU6OPwA","фото")</f>
        <v>фото</v>
      </c>
      <c r="B63" s="49" t="s">
        <v>236</v>
      </c>
      <c r="C63" s="50" t="s">
        <v>237</v>
      </c>
      <c r="D63" s="51" t="s">
        <v>238</v>
      </c>
      <c r="E63" s="52" t="n">
        <f aca="false">I63*(1-J63)*(100-E1)/100</f>
        <v>1612.8</v>
      </c>
      <c r="F63" s="53"/>
      <c r="G63" s="54" t="n">
        <v>10</v>
      </c>
      <c r="H63" s="52" t="n">
        <f aca="false">E63*F63</f>
        <v>0</v>
      </c>
      <c r="I63" s="55" t="n">
        <v>2800</v>
      </c>
      <c r="J63" s="56" t="n">
        <v>0.1</v>
      </c>
      <c r="K63" s="57" t="n">
        <v>539</v>
      </c>
      <c r="L63" s="22" t="s">
        <v>44</v>
      </c>
      <c r="M63" s="22" t="s">
        <v>152</v>
      </c>
      <c r="N63" s="58" t="n">
        <f aca="false">F63*P63</f>
        <v>0</v>
      </c>
      <c r="O63" s="58" t="n">
        <f aca="false">F63*Q63</f>
        <v>0</v>
      </c>
      <c r="P63" s="58" t="n">
        <v>1.45</v>
      </c>
      <c r="Q63" s="58" t="n">
        <v>0.004</v>
      </c>
      <c r="R63" s="59" t="s">
        <v>239</v>
      </c>
      <c r="S63" s="22"/>
      <c r="T63" s="11" t="str">
        <f aca="false">"16.12.25"</f>
        <v>16.12.25</v>
      </c>
    </row>
    <row r="64" customFormat="false" ht="7.5" hidden="false" customHeight="true" outlineLevel="2" collapsed="false">
      <c r="A64" s="60" t="str">
        <f aca="false">HYPERLINK("https://disk.360.yandex.ru/d/S83ICNhRMvoEdQ","фото")</f>
        <v>фото</v>
      </c>
      <c r="B64" s="49" t="s">
        <v>240</v>
      </c>
      <c r="C64" s="50" t="s">
        <v>241</v>
      </c>
      <c r="D64" s="51" t="s">
        <v>234</v>
      </c>
      <c r="E64" s="52" t="n">
        <f aca="false">I64*(1-J64)*(100-E1)/100</f>
        <v>2206.08</v>
      </c>
      <c r="F64" s="53"/>
      <c r="G64" s="54" t="n">
        <v>10</v>
      </c>
      <c r="H64" s="52" t="n">
        <f aca="false">E64*F64</f>
        <v>0</v>
      </c>
      <c r="I64" s="55" t="n">
        <v>3830</v>
      </c>
      <c r="J64" s="56" t="n">
        <v>0.1</v>
      </c>
      <c r="K64" s="57" t="n">
        <v>855</v>
      </c>
      <c r="L64" s="22" t="s">
        <v>53</v>
      </c>
      <c r="M64" s="22" t="s">
        <v>152</v>
      </c>
      <c r="N64" s="58" t="n">
        <f aca="false">F64*P64</f>
        <v>0</v>
      </c>
      <c r="O64" s="58" t="n">
        <f aca="false">F64*Q64</f>
        <v>0</v>
      </c>
      <c r="P64" s="58" t="n">
        <v>2.1</v>
      </c>
      <c r="Q64" s="58" t="n">
        <v>0.004</v>
      </c>
      <c r="R64" s="59" t="s">
        <v>242</v>
      </c>
      <c r="S64" s="22"/>
      <c r="T64" s="11" t="str">
        <f aca="false">"16.12.25"</f>
        <v>16.12.25</v>
      </c>
    </row>
    <row r="65" customFormat="false" ht="7.5" hidden="false" customHeight="true" outlineLevel="2" collapsed="false">
      <c r="A65" s="60" t="str">
        <f aca="false">HYPERLINK("https://disk.360.yandex.ru/d/srPsO3zGkXpxsg","фото")</f>
        <v>фото</v>
      </c>
      <c r="B65" s="49" t="s">
        <v>243</v>
      </c>
      <c r="C65" s="50" t="s">
        <v>244</v>
      </c>
      <c r="D65" s="51" t="s">
        <v>234</v>
      </c>
      <c r="E65" s="52" t="n">
        <f aca="false">I65*(1-J65)*(100-E1)/100</f>
        <v>2321.28</v>
      </c>
      <c r="F65" s="53"/>
      <c r="G65" s="54" t="n">
        <v>10</v>
      </c>
      <c r="H65" s="52" t="n">
        <f aca="false">E65*F65</f>
        <v>0</v>
      </c>
      <c r="I65" s="55" t="n">
        <v>4030</v>
      </c>
      <c r="J65" s="56" t="n">
        <v>0.1</v>
      </c>
      <c r="K65" s="57" t="n">
        <v>843</v>
      </c>
      <c r="L65" s="22" t="s">
        <v>53</v>
      </c>
      <c r="M65" s="22" t="s">
        <v>152</v>
      </c>
      <c r="N65" s="58" t="n">
        <f aca="false">F65*P65</f>
        <v>0</v>
      </c>
      <c r="O65" s="58" t="n">
        <f aca="false">F65*Q65</f>
        <v>0</v>
      </c>
      <c r="P65" s="58" t="n">
        <v>1.95</v>
      </c>
      <c r="Q65" s="58" t="n">
        <v>0.006</v>
      </c>
      <c r="R65" s="59" t="s">
        <v>245</v>
      </c>
      <c r="S65" s="22"/>
      <c r="T65" s="11" t="str">
        <f aca="false">"16.12.25"</f>
        <v>16.12.25</v>
      </c>
    </row>
    <row r="66" customFormat="false" ht="7.5" hidden="false" customHeight="true" outlineLevel="1" collapsed="false">
      <c r="A66" s="38"/>
      <c r="B66" s="39"/>
      <c r="C66" s="40" t="s">
        <v>246</v>
      </c>
      <c r="D66" s="41"/>
      <c r="E66" s="42"/>
      <c r="F66" s="43"/>
      <c r="G66" s="44"/>
      <c r="H66" s="42"/>
      <c r="I66" s="45"/>
      <c r="J66" s="46"/>
      <c r="K66" s="45"/>
      <c r="L66" s="44"/>
      <c r="M66" s="44"/>
      <c r="N66" s="47"/>
      <c r="O66" s="47"/>
      <c r="P66" s="47"/>
      <c r="Q66" s="47"/>
      <c r="R66" s="39"/>
      <c r="S66" s="44"/>
      <c r="T66" s="11" t="str">
        <f aca="false">"16.12.25"</f>
        <v>16.12.25</v>
      </c>
    </row>
    <row r="67" customFormat="false" ht="7.5" hidden="false" customHeight="true" outlineLevel="2" collapsed="false">
      <c r="A67" s="60" t="str">
        <f aca="false">HYPERLINK("https://disk.360.yandex.ru/d/oNUZqQFlrrC8kw","фото")</f>
        <v>фото</v>
      </c>
      <c r="B67" s="49" t="s">
        <v>247</v>
      </c>
      <c r="C67" s="50" t="s">
        <v>248</v>
      </c>
      <c r="D67" s="51" t="s">
        <v>249</v>
      </c>
      <c r="E67" s="52" t="n">
        <f aca="false">I67*(1-J67)*(100-E1)/100</f>
        <v>3193.6</v>
      </c>
      <c r="F67" s="53"/>
      <c r="G67" s="54" t="n">
        <v>10</v>
      </c>
      <c r="H67" s="52" t="n">
        <f aca="false">E67*F67</f>
        <v>0</v>
      </c>
      <c r="I67" s="55" t="n">
        <v>4990</v>
      </c>
      <c r="J67" s="56"/>
      <c r="K67" s="57" t="n">
        <v>195</v>
      </c>
      <c r="L67" s="22" t="s">
        <v>44</v>
      </c>
      <c r="M67" s="22"/>
      <c r="N67" s="58" t="n">
        <f aca="false">F67*P67</f>
        <v>0</v>
      </c>
      <c r="O67" s="58" t="n">
        <f aca="false">F67*Q67</f>
        <v>0</v>
      </c>
      <c r="P67" s="58" t="n">
        <v>1.7</v>
      </c>
      <c r="Q67" s="58" t="n">
        <v>0.05</v>
      </c>
      <c r="R67" s="59" t="s">
        <v>250</v>
      </c>
      <c r="S67" s="22"/>
      <c r="T67" s="11" t="str">
        <f aca="false">"16.12.25"</f>
        <v>16.12.25</v>
      </c>
    </row>
    <row r="68" customFormat="false" ht="7.5" hidden="false" customHeight="true" outlineLevel="1" collapsed="false">
      <c r="A68" s="38"/>
      <c r="B68" s="39"/>
      <c r="C68" s="40" t="s">
        <v>251</v>
      </c>
      <c r="D68" s="41"/>
      <c r="E68" s="42"/>
      <c r="F68" s="43"/>
      <c r="G68" s="44"/>
      <c r="H68" s="42"/>
      <c r="I68" s="45"/>
      <c r="J68" s="46"/>
      <c r="K68" s="45"/>
      <c r="L68" s="44"/>
      <c r="M68" s="44"/>
      <c r="N68" s="47"/>
      <c r="O68" s="47"/>
      <c r="P68" s="47"/>
      <c r="Q68" s="47"/>
      <c r="R68" s="39"/>
      <c r="S68" s="44"/>
      <c r="T68" s="11" t="str">
        <f aca="false">"16.12.25"</f>
        <v>16.12.25</v>
      </c>
    </row>
    <row r="69" customFormat="false" ht="7.5" hidden="false" customHeight="true" outlineLevel="2" collapsed="false">
      <c r="A69" s="60" t="str">
        <f aca="false">HYPERLINK("https://disk.yandex.ru/d/BmbfRcRpGef2vQ","фото")</f>
        <v>фото</v>
      </c>
      <c r="B69" s="49" t="s">
        <v>252</v>
      </c>
      <c r="C69" s="50" t="s">
        <v>253</v>
      </c>
      <c r="D69" s="51" t="s">
        <v>254</v>
      </c>
      <c r="E69" s="52" t="n">
        <f aca="false">I69*(1-J69)*(100-E1)/100</f>
        <v>1926.4</v>
      </c>
      <c r="F69" s="53"/>
      <c r="G69" s="54" t="n">
        <v>10</v>
      </c>
      <c r="H69" s="52" t="n">
        <f aca="false">E69*F69</f>
        <v>0</v>
      </c>
      <c r="I69" s="55" t="n">
        <v>3010</v>
      </c>
      <c r="J69" s="56"/>
      <c r="K69" s="57" t="n">
        <v>1871</v>
      </c>
      <c r="L69" s="22" t="s">
        <v>44</v>
      </c>
      <c r="M69" s="22"/>
      <c r="N69" s="58" t="n">
        <f aca="false">F69*P69</f>
        <v>0</v>
      </c>
      <c r="O69" s="58" t="n">
        <f aca="false">F69*Q69</f>
        <v>0</v>
      </c>
      <c r="P69" s="58" t="n">
        <v>1.492</v>
      </c>
      <c r="Q69" s="58" t="n">
        <v>0.01</v>
      </c>
      <c r="R69" s="59" t="s">
        <v>255</v>
      </c>
      <c r="S69" s="22"/>
      <c r="T69" s="11" t="str">
        <f aca="false">"16.12.25"</f>
        <v>16.12.25</v>
      </c>
    </row>
    <row r="70" customFormat="false" ht="7.5" hidden="false" customHeight="true" outlineLevel="2" collapsed="false">
      <c r="A70" s="60" t="str">
        <f aca="false">HYPERLINK("https://disk.360.yandex.ru/d/szMid0LoTAa7pQ","фото")</f>
        <v>фото</v>
      </c>
      <c r="B70" s="49" t="s">
        <v>256</v>
      </c>
      <c r="C70" s="50" t="s">
        <v>257</v>
      </c>
      <c r="D70" s="51" t="s">
        <v>258</v>
      </c>
      <c r="E70" s="52" t="n">
        <f aca="false">I70*(1-J70)*(100-E1)/100</f>
        <v>2176</v>
      </c>
      <c r="F70" s="53"/>
      <c r="G70" s="54" t="n">
        <v>4</v>
      </c>
      <c r="H70" s="52" t="n">
        <f aca="false">E70*F70</f>
        <v>0</v>
      </c>
      <c r="I70" s="55" t="n">
        <v>3400</v>
      </c>
      <c r="J70" s="56"/>
      <c r="K70" s="57" t="n">
        <v>1137</v>
      </c>
      <c r="L70" s="22" t="s">
        <v>44</v>
      </c>
      <c r="M70" s="22"/>
      <c r="N70" s="58" t="n">
        <f aca="false">F70*P70</f>
        <v>0</v>
      </c>
      <c r="O70" s="58" t="n">
        <f aca="false">F70*Q70</f>
        <v>0</v>
      </c>
      <c r="P70" s="58" t="n">
        <v>2.205</v>
      </c>
      <c r="Q70" s="58" t="n">
        <v>0.017</v>
      </c>
      <c r="R70" s="59" t="s">
        <v>259</v>
      </c>
      <c r="S70" s="22"/>
      <c r="T70" s="11" t="str">
        <f aca="false">"16.12.25"</f>
        <v>16.12.25</v>
      </c>
    </row>
    <row r="71" customFormat="false" ht="7.5" hidden="false" customHeight="true" outlineLevel="1" collapsed="false">
      <c r="A71" s="38"/>
      <c r="B71" s="39"/>
      <c r="C71" s="40" t="s">
        <v>260</v>
      </c>
      <c r="D71" s="41"/>
      <c r="E71" s="42"/>
      <c r="F71" s="43"/>
      <c r="G71" s="44"/>
      <c r="H71" s="42"/>
      <c r="I71" s="45"/>
      <c r="J71" s="46"/>
      <c r="K71" s="45"/>
      <c r="L71" s="44"/>
      <c r="M71" s="44"/>
      <c r="N71" s="47"/>
      <c r="O71" s="47"/>
      <c r="P71" s="47"/>
      <c r="Q71" s="47"/>
      <c r="R71" s="39"/>
      <c r="S71" s="44"/>
      <c r="T71" s="11" t="str">
        <f aca="false">"16.12.25"</f>
        <v>16.12.25</v>
      </c>
    </row>
    <row r="72" customFormat="false" ht="7.5" hidden="false" customHeight="true" outlineLevel="2" collapsed="false">
      <c r="A72" s="60" t="str">
        <f aca="false">HYPERLINK("https://disk.360.yandex.ru/d/pMcNzZIOhM5O5g","фото")</f>
        <v>фото</v>
      </c>
      <c r="B72" s="49" t="s">
        <v>261</v>
      </c>
      <c r="C72" s="50" t="s">
        <v>262</v>
      </c>
      <c r="D72" s="51" t="s">
        <v>263</v>
      </c>
      <c r="E72" s="52" t="n">
        <f aca="false">I72*(1-J72)*(100-E1)/100</f>
        <v>4505.6</v>
      </c>
      <c r="F72" s="53"/>
      <c r="G72" s="54" t="n">
        <v>12</v>
      </c>
      <c r="H72" s="52" t="n">
        <f aca="false">E72*F72</f>
        <v>0</v>
      </c>
      <c r="I72" s="55" t="n">
        <v>7040</v>
      </c>
      <c r="J72" s="56"/>
      <c r="K72" s="57" t="n">
        <v>1031</v>
      </c>
      <c r="L72" s="22" t="s">
        <v>44</v>
      </c>
      <c r="M72" s="22"/>
      <c r="N72" s="58" t="n">
        <f aca="false">F72*P72</f>
        <v>0</v>
      </c>
      <c r="O72" s="58" t="n">
        <f aca="false">F72*Q72</f>
        <v>0</v>
      </c>
      <c r="P72" s="58" t="n">
        <v>3.59</v>
      </c>
      <c r="Q72" s="58" t="n">
        <v>0.021</v>
      </c>
      <c r="R72" s="59" t="s">
        <v>264</v>
      </c>
      <c r="S72" s="22"/>
      <c r="T72" s="11" t="str">
        <f aca="false">"16.12.25"</f>
        <v>16.12.25</v>
      </c>
    </row>
    <row r="73" customFormat="false" ht="7.5" hidden="false" customHeight="true" outlineLevel="2" collapsed="false">
      <c r="A73" s="60" t="str">
        <f aca="false">HYPERLINK("https://disk.360.yandex.ru/d/hrr3fDwNnmGhkg","фото")</f>
        <v>фото</v>
      </c>
      <c r="B73" s="49" t="s">
        <v>265</v>
      </c>
      <c r="C73" s="50" t="s">
        <v>266</v>
      </c>
      <c r="D73" s="51" t="s">
        <v>267</v>
      </c>
      <c r="E73" s="52" t="n">
        <f aca="false">I73*(1-J73)*(100-E1)/100</f>
        <v>3360</v>
      </c>
      <c r="F73" s="53"/>
      <c r="G73" s="54" t="n">
        <v>12</v>
      </c>
      <c r="H73" s="52" t="n">
        <f aca="false">E73*F73</f>
        <v>0</v>
      </c>
      <c r="I73" s="55" t="n">
        <v>5250</v>
      </c>
      <c r="J73" s="56"/>
      <c r="K73" s="57" t="n">
        <v>1750</v>
      </c>
      <c r="L73" s="22" t="s">
        <v>44</v>
      </c>
      <c r="M73" s="22"/>
      <c r="N73" s="58" t="n">
        <f aca="false">F73*P73</f>
        <v>0</v>
      </c>
      <c r="O73" s="58" t="n">
        <f aca="false">F73*Q73</f>
        <v>0</v>
      </c>
      <c r="P73" s="58" t="n">
        <v>1.7</v>
      </c>
      <c r="Q73" s="58" t="n">
        <v>0.001</v>
      </c>
      <c r="R73" s="59" t="s">
        <v>268</v>
      </c>
      <c r="S73" s="22"/>
      <c r="T73" s="11" t="str">
        <f aca="false">"16.12.25"</f>
        <v>16.12.25</v>
      </c>
    </row>
    <row r="74" customFormat="false" ht="7.5" hidden="false" customHeight="true" outlineLevel="2" collapsed="false">
      <c r="A74" s="60" t="str">
        <f aca="false">HYPERLINK("https://disk.360.yandex.ru/d/KdrW4Nm_XY0AxQ","фото")</f>
        <v>фото</v>
      </c>
      <c r="B74" s="49" t="s">
        <v>269</v>
      </c>
      <c r="C74" s="50" t="s">
        <v>270</v>
      </c>
      <c r="D74" s="51" t="s">
        <v>267</v>
      </c>
      <c r="E74" s="52" t="n">
        <f aca="false">I74*(1-J74)*(100-E1)/100</f>
        <v>2688</v>
      </c>
      <c r="F74" s="53"/>
      <c r="G74" s="54" t="n">
        <v>12</v>
      </c>
      <c r="H74" s="52" t="n">
        <f aca="false">E74*F74</f>
        <v>0</v>
      </c>
      <c r="I74" s="55" t="n">
        <v>5250</v>
      </c>
      <c r="J74" s="56" t="n">
        <v>0.2</v>
      </c>
      <c r="K74" s="57" t="n">
        <v>1177</v>
      </c>
      <c r="L74" s="22" t="s">
        <v>44</v>
      </c>
      <c r="M74" s="22" t="s">
        <v>31</v>
      </c>
      <c r="N74" s="58" t="n">
        <f aca="false">F74*P74</f>
        <v>0</v>
      </c>
      <c r="O74" s="58" t="n">
        <f aca="false">F74*Q74</f>
        <v>0</v>
      </c>
      <c r="P74" s="58" t="n">
        <v>1.7</v>
      </c>
      <c r="Q74" s="58" t="n">
        <v>0.001</v>
      </c>
      <c r="R74" s="59" t="s">
        <v>271</v>
      </c>
      <c r="S74" s="22"/>
      <c r="T74" s="11" t="str">
        <f aca="false">"16.12.25"</f>
        <v>16.12.25</v>
      </c>
    </row>
    <row r="75" customFormat="false" ht="7.5" hidden="false" customHeight="true" outlineLevel="2" collapsed="false">
      <c r="A75" s="60" t="str">
        <f aca="false">HYPERLINK("https://disk.360.yandex.ru/d/c-EY1Lq9T5EMXA","фото")</f>
        <v>фото</v>
      </c>
      <c r="B75" s="49" t="s">
        <v>272</v>
      </c>
      <c r="C75" s="50" t="s">
        <v>273</v>
      </c>
      <c r="D75" s="51" t="s">
        <v>267</v>
      </c>
      <c r="E75" s="52" t="n">
        <f aca="false">I75*(1-J75)*(100-E1)/100</f>
        <v>2688</v>
      </c>
      <c r="F75" s="53"/>
      <c r="G75" s="54" t="n">
        <v>12</v>
      </c>
      <c r="H75" s="52" t="n">
        <f aca="false">E75*F75</f>
        <v>0</v>
      </c>
      <c r="I75" s="55" t="n">
        <v>5250</v>
      </c>
      <c r="J75" s="56" t="n">
        <v>0.2</v>
      </c>
      <c r="K75" s="57" t="n">
        <v>721</v>
      </c>
      <c r="L75" s="22" t="s">
        <v>44</v>
      </c>
      <c r="M75" s="22" t="s">
        <v>31</v>
      </c>
      <c r="N75" s="58" t="n">
        <f aca="false">F75*P75</f>
        <v>0</v>
      </c>
      <c r="O75" s="58" t="n">
        <f aca="false">F75*Q75</f>
        <v>0</v>
      </c>
      <c r="P75" s="58" t="n">
        <v>1.7</v>
      </c>
      <c r="Q75" s="58" t="n">
        <v>0.001</v>
      </c>
      <c r="R75" s="59" t="s">
        <v>274</v>
      </c>
      <c r="S75" s="22"/>
      <c r="T75" s="11" t="str">
        <f aca="false">"16.12.25"</f>
        <v>16.12.25</v>
      </c>
    </row>
    <row r="76" customFormat="false" ht="7.5" hidden="false" customHeight="true" outlineLevel="2" collapsed="false">
      <c r="A76" s="60" t="str">
        <f aca="false">HYPERLINK("https://disk.360.yandex.ru/d/iXsJ4mHdQdTc7g","фото")</f>
        <v>фото</v>
      </c>
      <c r="B76" s="49" t="s">
        <v>275</v>
      </c>
      <c r="C76" s="50" t="s">
        <v>276</v>
      </c>
      <c r="D76" s="51" t="s">
        <v>263</v>
      </c>
      <c r="E76" s="52" t="n">
        <f aca="false">I76*(1-J76)*(100-E1)/100</f>
        <v>5292.8</v>
      </c>
      <c r="F76" s="53"/>
      <c r="G76" s="54" t="n">
        <v>12</v>
      </c>
      <c r="H76" s="52" t="n">
        <f aca="false">E76*F76</f>
        <v>0</v>
      </c>
      <c r="I76" s="55" t="n">
        <v>8270</v>
      </c>
      <c r="J76" s="56"/>
      <c r="K76" s="57" t="n">
        <v>783</v>
      </c>
      <c r="L76" s="22" t="s">
        <v>53</v>
      </c>
      <c r="M76" s="22"/>
      <c r="N76" s="58" t="n">
        <f aca="false">F76*P76</f>
        <v>0</v>
      </c>
      <c r="O76" s="58" t="n">
        <f aca="false">F76*Q76</f>
        <v>0</v>
      </c>
      <c r="P76" s="58" t="n">
        <v>4.3</v>
      </c>
      <c r="Q76" s="58" t="n">
        <v>0.1</v>
      </c>
      <c r="R76" s="59" t="s">
        <v>277</v>
      </c>
      <c r="S76" s="22"/>
      <c r="T76" s="11" t="str">
        <f aca="false">"16.12.25"</f>
        <v>16.12.25</v>
      </c>
    </row>
    <row r="77" customFormat="false" ht="7.5" hidden="false" customHeight="true" outlineLevel="2" collapsed="false">
      <c r="A77" s="60" t="str">
        <f aca="false">HYPERLINK("https://disk.360.yandex.ru/d/T5UHB-8sI6VKPQ","фото")</f>
        <v>фото</v>
      </c>
      <c r="B77" s="49" t="s">
        <v>278</v>
      </c>
      <c r="C77" s="50" t="s">
        <v>279</v>
      </c>
      <c r="D77" s="51" t="s">
        <v>267</v>
      </c>
      <c r="E77" s="52" t="n">
        <f aca="false">I77*(1-J77)*(100-E1)/100</f>
        <v>3360</v>
      </c>
      <c r="F77" s="53"/>
      <c r="G77" s="54" t="n">
        <v>12</v>
      </c>
      <c r="H77" s="52" t="n">
        <f aca="false">E77*F77</f>
        <v>0</v>
      </c>
      <c r="I77" s="55" t="n">
        <v>5250</v>
      </c>
      <c r="J77" s="56"/>
      <c r="K77" s="57" t="n">
        <v>1803</v>
      </c>
      <c r="L77" s="22" t="s">
        <v>53</v>
      </c>
      <c r="M77" s="22"/>
      <c r="N77" s="58" t="n">
        <f aca="false">F77*P77</f>
        <v>0</v>
      </c>
      <c r="O77" s="58" t="n">
        <f aca="false">F77*Q77</f>
        <v>0</v>
      </c>
      <c r="P77" s="58" t="n">
        <v>1.7</v>
      </c>
      <c r="Q77" s="58" t="n">
        <v>0.001</v>
      </c>
      <c r="R77" s="59" t="s">
        <v>280</v>
      </c>
      <c r="S77" s="22"/>
      <c r="T77" s="11" t="str">
        <f aca="false">"16.12.25"</f>
        <v>16.12.25</v>
      </c>
    </row>
    <row r="78" customFormat="false" ht="7.5" hidden="false" customHeight="true" outlineLevel="1" collapsed="false">
      <c r="A78" s="38"/>
      <c r="B78" s="39"/>
      <c r="C78" s="40" t="s">
        <v>281</v>
      </c>
      <c r="D78" s="41"/>
      <c r="E78" s="42"/>
      <c r="F78" s="43"/>
      <c r="G78" s="44"/>
      <c r="H78" s="42"/>
      <c r="I78" s="45"/>
      <c r="J78" s="46"/>
      <c r="K78" s="45"/>
      <c r="L78" s="44"/>
      <c r="M78" s="44"/>
      <c r="N78" s="47"/>
      <c r="O78" s="47"/>
      <c r="P78" s="47"/>
      <c r="Q78" s="47"/>
      <c r="R78" s="39"/>
      <c r="S78" s="44"/>
      <c r="T78" s="11" t="str">
        <f aca="false">"16.12.25"</f>
        <v>16.12.25</v>
      </c>
    </row>
    <row r="79" customFormat="false" ht="7.5" hidden="false" customHeight="true" outlineLevel="2" collapsed="false">
      <c r="A79" s="60" t="str">
        <f aca="false">HYPERLINK("https://disk.360.yandex.ru/d/Uvpzz62Y0skdeg","фото")</f>
        <v>фото</v>
      </c>
      <c r="B79" s="49" t="s">
        <v>282</v>
      </c>
      <c r="C79" s="50" t="s">
        <v>283</v>
      </c>
      <c r="D79" s="51" t="s">
        <v>284</v>
      </c>
      <c r="E79" s="52" t="n">
        <f aca="false">I79*(1-J79)*(100-E1)/100</f>
        <v>3091.2</v>
      </c>
      <c r="F79" s="53"/>
      <c r="G79" s="54" t="n">
        <v>4</v>
      </c>
      <c r="H79" s="52" t="n">
        <f aca="false">E79*F79</f>
        <v>0</v>
      </c>
      <c r="I79" s="55" t="n">
        <v>4830</v>
      </c>
      <c r="J79" s="56"/>
      <c r="K79" s="57" t="n">
        <v>948</v>
      </c>
      <c r="L79" s="22" t="s">
        <v>44</v>
      </c>
      <c r="M79" s="22" t="s">
        <v>152</v>
      </c>
      <c r="N79" s="58" t="n">
        <f aca="false">F79*P79</f>
        <v>0</v>
      </c>
      <c r="O79" s="58" t="n">
        <f aca="false">F79*Q79</f>
        <v>0</v>
      </c>
      <c r="P79" s="58" t="n">
        <v>4.1</v>
      </c>
      <c r="Q79" s="58" t="n">
        <v>0.015</v>
      </c>
      <c r="R79" s="59" t="s">
        <v>285</v>
      </c>
      <c r="S79" s="22"/>
      <c r="T79" s="11" t="str">
        <f aca="false">"16.12.25"</f>
        <v>16.12.25</v>
      </c>
    </row>
    <row r="80" customFormat="false" ht="7.5" hidden="false" customHeight="true" outlineLevel="2" collapsed="false">
      <c r="A80" s="60" t="str">
        <f aca="false">HYPERLINK("https://disk.360.yandex.ru/d/K8DOoMjw01L5Hw","фото")</f>
        <v>фото</v>
      </c>
      <c r="B80" s="49" t="s">
        <v>286</v>
      </c>
      <c r="C80" s="50" t="s">
        <v>287</v>
      </c>
      <c r="D80" s="51" t="s">
        <v>288</v>
      </c>
      <c r="E80" s="52" t="n">
        <f aca="false">I80*(1-J80)*(100-E1)/100</f>
        <v>3686.4</v>
      </c>
      <c r="F80" s="53"/>
      <c r="G80" s="54" t="n">
        <v>6</v>
      </c>
      <c r="H80" s="52" t="n">
        <f aca="false">E80*F80</f>
        <v>0</v>
      </c>
      <c r="I80" s="55" t="n">
        <v>5760</v>
      </c>
      <c r="J80" s="56"/>
      <c r="K80" s="57" t="n">
        <v>2</v>
      </c>
      <c r="L80" s="22" t="s">
        <v>44</v>
      </c>
      <c r="M80" s="22"/>
      <c r="N80" s="58" t="n">
        <f aca="false">F80*P80</f>
        <v>0</v>
      </c>
      <c r="O80" s="58" t="n">
        <f aca="false">F80*Q80</f>
        <v>0</v>
      </c>
      <c r="P80" s="58" t="n">
        <v>4</v>
      </c>
      <c r="Q80" s="58" t="n">
        <v>0.015</v>
      </c>
      <c r="R80" s="59" t="s">
        <v>289</v>
      </c>
      <c r="S80" s="22"/>
      <c r="T80" s="11" t="str">
        <f aca="false">"16.12.25"</f>
        <v>16.12.25</v>
      </c>
    </row>
    <row r="81" customFormat="false" ht="7.5" hidden="false" customHeight="true" outlineLevel="2" collapsed="false">
      <c r="A81" s="60" t="str">
        <f aca="false">HYPERLINK("https://disk.360.yandex.ru/d/fznNf8GoFG-nvA","фото")</f>
        <v>фото</v>
      </c>
      <c r="B81" s="49" t="s">
        <v>290</v>
      </c>
      <c r="C81" s="50" t="s">
        <v>291</v>
      </c>
      <c r="D81" s="51" t="s">
        <v>292</v>
      </c>
      <c r="E81" s="52" t="n">
        <f aca="false">I81*(1-J81)*(100-E1)/100</f>
        <v>3686.4</v>
      </c>
      <c r="F81" s="53"/>
      <c r="G81" s="54" t="n">
        <v>6</v>
      </c>
      <c r="H81" s="52" t="n">
        <f aca="false">E81*F81</f>
        <v>0</v>
      </c>
      <c r="I81" s="55" t="n">
        <v>5760</v>
      </c>
      <c r="J81" s="56"/>
      <c r="K81" s="57" t="n">
        <v>61</v>
      </c>
      <c r="L81" s="22" t="s">
        <v>44</v>
      </c>
      <c r="M81" s="22"/>
      <c r="N81" s="58" t="n">
        <f aca="false">F81*P81</f>
        <v>0</v>
      </c>
      <c r="O81" s="58" t="n">
        <f aca="false">F81*Q81</f>
        <v>0</v>
      </c>
      <c r="P81" s="58" t="n">
        <v>4.5</v>
      </c>
      <c r="Q81" s="58" t="n">
        <v>0.015</v>
      </c>
      <c r="R81" s="59" t="s">
        <v>293</v>
      </c>
      <c r="S81" s="22"/>
      <c r="T81" s="11" t="str">
        <f aca="false">"16.12.25"</f>
        <v>16.12.25</v>
      </c>
    </row>
    <row r="82" customFormat="false" ht="7.5" hidden="false" customHeight="true" outlineLevel="2" collapsed="false">
      <c r="A82" s="60" t="str">
        <f aca="false">HYPERLINK("https://disk.360.yandex.ru/d/Rd-euUpSvEYFjQ","фото")</f>
        <v>фото</v>
      </c>
      <c r="B82" s="49" t="s">
        <v>294</v>
      </c>
      <c r="C82" s="50" t="s">
        <v>295</v>
      </c>
      <c r="D82" s="51" t="s">
        <v>296</v>
      </c>
      <c r="E82" s="52" t="n">
        <f aca="false">I82*(1-J82)*(100-E1)/100</f>
        <v>3724.8</v>
      </c>
      <c r="F82" s="53"/>
      <c r="G82" s="54" t="n">
        <v>4</v>
      </c>
      <c r="H82" s="52" t="n">
        <f aca="false">E82*F82</f>
        <v>0</v>
      </c>
      <c r="I82" s="55" t="n">
        <v>5820</v>
      </c>
      <c r="J82" s="56"/>
      <c r="K82" s="57" t="n">
        <v>3127</v>
      </c>
      <c r="L82" s="22" t="s">
        <v>44</v>
      </c>
      <c r="M82" s="22"/>
      <c r="N82" s="58" t="n">
        <f aca="false">F82*P82</f>
        <v>0</v>
      </c>
      <c r="O82" s="58" t="n">
        <f aca="false">F82*Q82</f>
        <v>0</v>
      </c>
      <c r="P82" s="58" t="n">
        <v>4.5</v>
      </c>
      <c r="Q82" s="58" t="n">
        <v>0.016</v>
      </c>
      <c r="R82" s="59" t="s">
        <v>297</v>
      </c>
      <c r="S82" s="22"/>
      <c r="T82" s="11" t="str">
        <f aca="false">"16.12.25"</f>
        <v>16.12.25</v>
      </c>
    </row>
    <row r="83" customFormat="false" ht="7.5" hidden="false" customHeight="true" outlineLevel="1" collapsed="false">
      <c r="A83" s="38"/>
      <c r="B83" s="39"/>
      <c r="C83" s="40" t="s">
        <v>298</v>
      </c>
      <c r="D83" s="41"/>
      <c r="E83" s="42"/>
      <c r="F83" s="43"/>
      <c r="G83" s="44"/>
      <c r="H83" s="42"/>
      <c r="I83" s="45"/>
      <c r="J83" s="46"/>
      <c r="K83" s="45"/>
      <c r="L83" s="44"/>
      <c r="M83" s="44"/>
      <c r="N83" s="47"/>
      <c r="O83" s="47"/>
      <c r="P83" s="47"/>
      <c r="Q83" s="47"/>
      <c r="R83" s="39"/>
      <c r="S83" s="44"/>
      <c r="T83" s="11" t="str">
        <f aca="false">"16.12.25"</f>
        <v>16.12.25</v>
      </c>
    </row>
    <row r="84" customFormat="false" ht="7.5" hidden="false" customHeight="true" outlineLevel="2" collapsed="false">
      <c r="A84" s="60" t="str">
        <f aca="false">HYPERLINK("https://disk.yandex.ru/d/PrirQkQzoIqebg","фото")</f>
        <v>фото</v>
      </c>
      <c r="B84" s="49" t="s">
        <v>299</v>
      </c>
      <c r="C84" s="50" t="s">
        <v>300</v>
      </c>
      <c r="D84" s="51" t="s">
        <v>301</v>
      </c>
      <c r="E84" s="52" t="n">
        <f aca="false">I84*(1-J84)*(100-E1)/100</f>
        <v>4851.2</v>
      </c>
      <c r="F84" s="53"/>
      <c r="G84" s="54" t="n">
        <v>4</v>
      </c>
      <c r="H84" s="52" t="n">
        <f aca="false">E84*F84</f>
        <v>0</v>
      </c>
      <c r="I84" s="55" t="n">
        <v>7580</v>
      </c>
      <c r="J84" s="56"/>
      <c r="K84" s="57" t="n">
        <v>225</v>
      </c>
      <c r="L84" s="22" t="s">
        <v>44</v>
      </c>
      <c r="M84" s="22"/>
      <c r="N84" s="58" t="n">
        <f aca="false">F84*P84</f>
        <v>0</v>
      </c>
      <c r="O84" s="58" t="n">
        <f aca="false">F84*Q84</f>
        <v>0</v>
      </c>
      <c r="P84" s="58" t="n">
        <v>5.08</v>
      </c>
      <c r="Q84" s="58" t="n">
        <v>0.014</v>
      </c>
      <c r="R84" s="59" t="s">
        <v>302</v>
      </c>
      <c r="S84" s="22"/>
      <c r="T84" s="11" t="str">
        <f aca="false">"16.12.25"</f>
        <v>16.12.25</v>
      </c>
    </row>
    <row r="85" customFormat="false" ht="7.5" hidden="false" customHeight="true" outlineLevel="2" collapsed="false">
      <c r="A85" s="60" t="str">
        <f aca="false">HYPERLINK("https://disk.yandex.ru/d/6kx8qu38WP0KUA","фото")</f>
        <v>фото</v>
      </c>
      <c r="B85" s="49" t="s">
        <v>303</v>
      </c>
      <c r="C85" s="50" t="s">
        <v>304</v>
      </c>
      <c r="D85" s="51" t="s">
        <v>305</v>
      </c>
      <c r="E85" s="52" t="n">
        <f aca="false">I85*(1-J85)*(100-E1)/100</f>
        <v>2540.8</v>
      </c>
      <c r="F85" s="53"/>
      <c r="G85" s="54" t="n">
        <v>6</v>
      </c>
      <c r="H85" s="52" t="n">
        <f aca="false">E85*F85</f>
        <v>0</v>
      </c>
      <c r="I85" s="55" t="n">
        <v>3970</v>
      </c>
      <c r="J85" s="56"/>
      <c r="K85" s="57" t="n">
        <v>244</v>
      </c>
      <c r="L85" s="22" t="s">
        <v>44</v>
      </c>
      <c r="M85" s="22"/>
      <c r="N85" s="58" t="n">
        <f aca="false">F85*P85</f>
        <v>0</v>
      </c>
      <c r="O85" s="58" t="n">
        <f aca="false">F85*Q85</f>
        <v>0</v>
      </c>
      <c r="P85" s="58" t="n">
        <v>2.92</v>
      </c>
      <c r="Q85" s="58" t="n">
        <v>0.008</v>
      </c>
      <c r="R85" s="59" t="s">
        <v>306</v>
      </c>
      <c r="S85" s="22"/>
      <c r="T85" s="11" t="str">
        <f aca="false">"16.12.25"</f>
        <v>16.12.25</v>
      </c>
    </row>
    <row r="86" customFormat="false" ht="7.5" hidden="false" customHeight="true" outlineLevel="1" collapsed="false">
      <c r="A86" s="38"/>
      <c r="B86" s="39"/>
      <c r="C86" s="40" t="s">
        <v>307</v>
      </c>
      <c r="D86" s="41"/>
      <c r="E86" s="42"/>
      <c r="F86" s="43"/>
      <c r="G86" s="44"/>
      <c r="H86" s="42"/>
      <c r="I86" s="45"/>
      <c r="J86" s="46"/>
      <c r="K86" s="45"/>
      <c r="L86" s="44"/>
      <c r="M86" s="44"/>
      <c r="N86" s="47"/>
      <c r="O86" s="47"/>
      <c r="P86" s="47"/>
      <c r="Q86" s="47"/>
      <c r="R86" s="39"/>
      <c r="S86" s="44"/>
      <c r="T86" s="11" t="str">
        <f aca="false">"16.12.25"</f>
        <v>16.12.25</v>
      </c>
    </row>
    <row r="87" customFormat="false" ht="7.5" hidden="false" customHeight="true" outlineLevel="2" collapsed="false">
      <c r="A87" s="60" t="str">
        <f aca="false">HYPERLINK("https://disk.360.yandex.ru/d/VQmbmOn2HZLMCg","фото")</f>
        <v>фото</v>
      </c>
      <c r="B87" s="49" t="s">
        <v>308</v>
      </c>
      <c r="C87" s="50" t="s">
        <v>309</v>
      </c>
      <c r="D87" s="51" t="s">
        <v>310</v>
      </c>
      <c r="E87" s="52" t="n">
        <f aca="false">I87*(1-J87)*(100-E1)/100</f>
        <v>5318.4</v>
      </c>
      <c r="F87" s="53"/>
      <c r="G87" s="54" t="n">
        <v>4</v>
      </c>
      <c r="H87" s="52" t="n">
        <f aca="false">E87*F87</f>
        <v>0</v>
      </c>
      <c r="I87" s="55" t="n">
        <v>8310</v>
      </c>
      <c r="J87" s="56"/>
      <c r="K87" s="57" t="n">
        <v>1271</v>
      </c>
      <c r="L87" s="22" t="s">
        <v>44</v>
      </c>
      <c r="M87" s="22"/>
      <c r="N87" s="58" t="n">
        <f aca="false">F87*P87</f>
        <v>0</v>
      </c>
      <c r="O87" s="58" t="n">
        <f aca="false">F87*Q87</f>
        <v>0</v>
      </c>
      <c r="P87" s="58" t="n">
        <v>5.525</v>
      </c>
      <c r="Q87" s="58" t="n">
        <v>0.013</v>
      </c>
      <c r="R87" s="59" t="s">
        <v>311</v>
      </c>
      <c r="S87" s="22"/>
      <c r="T87" s="11" t="str">
        <f aca="false">"16.12.25"</f>
        <v>16.12.25</v>
      </c>
    </row>
    <row r="88" customFormat="false" ht="7.5" hidden="false" customHeight="true" outlineLevel="2" collapsed="false">
      <c r="A88" s="60" t="str">
        <f aca="false">HYPERLINK("https://disk.360.yandex.ru/d/D22JMLLZ0aNoiQ","фото")</f>
        <v>фото</v>
      </c>
      <c r="B88" s="49" t="s">
        <v>312</v>
      </c>
      <c r="C88" s="50" t="s">
        <v>313</v>
      </c>
      <c r="D88" s="51" t="s">
        <v>314</v>
      </c>
      <c r="E88" s="52" t="n">
        <f aca="false">I88*(1-J88)*(100-E1)/100</f>
        <v>1734.4</v>
      </c>
      <c r="F88" s="53"/>
      <c r="G88" s="54" t="n">
        <v>10</v>
      </c>
      <c r="H88" s="52" t="n">
        <f aca="false">E88*F88</f>
        <v>0</v>
      </c>
      <c r="I88" s="55" t="n">
        <v>2710</v>
      </c>
      <c r="J88" s="56"/>
      <c r="K88" s="57" t="n">
        <v>0</v>
      </c>
      <c r="L88" s="22" t="s">
        <v>44</v>
      </c>
      <c r="M88" s="22"/>
      <c r="N88" s="58" t="n">
        <f aca="false">F88*P88</f>
        <v>0</v>
      </c>
      <c r="O88" s="58" t="n">
        <f aca="false">F88*Q88</f>
        <v>0</v>
      </c>
      <c r="P88" s="58" t="n">
        <v>2.05</v>
      </c>
      <c r="Q88" s="58" t="n">
        <v>0.004</v>
      </c>
      <c r="R88" s="59" t="s">
        <v>315</v>
      </c>
      <c r="S88" s="22"/>
      <c r="T88" s="11" t="str">
        <f aca="false">"16.12.25"</f>
        <v>16.12.25</v>
      </c>
    </row>
    <row r="89" customFormat="false" ht="7.5" hidden="false" customHeight="true" outlineLevel="2" collapsed="false">
      <c r="A89" s="60" t="str">
        <f aca="false">HYPERLINK("https://disk.360.yandex.ru/d/1rVRBYKLBLvzqw","фото")</f>
        <v>фото</v>
      </c>
      <c r="B89" s="49" t="s">
        <v>316</v>
      </c>
      <c r="C89" s="50" t="s">
        <v>317</v>
      </c>
      <c r="D89" s="51" t="s">
        <v>318</v>
      </c>
      <c r="E89" s="52" t="n">
        <f aca="false">I89*(1-J89)*(100-E1)/100</f>
        <v>4019.2</v>
      </c>
      <c r="F89" s="53"/>
      <c r="G89" s="54" t="n">
        <v>5</v>
      </c>
      <c r="H89" s="52" t="n">
        <f aca="false">E89*F89</f>
        <v>0</v>
      </c>
      <c r="I89" s="55" t="n">
        <v>6280</v>
      </c>
      <c r="J89" s="56"/>
      <c r="K89" s="57" t="n">
        <v>1309</v>
      </c>
      <c r="L89" s="22" t="s">
        <v>44</v>
      </c>
      <c r="M89" s="22"/>
      <c r="N89" s="58" t="n">
        <f aca="false">F89*P89</f>
        <v>0</v>
      </c>
      <c r="O89" s="58" t="n">
        <f aca="false">F89*Q89</f>
        <v>0</v>
      </c>
      <c r="P89" s="58" t="n">
        <v>4.4</v>
      </c>
      <c r="Q89" s="58" t="n">
        <v>0.009</v>
      </c>
      <c r="R89" s="59" t="s">
        <v>319</v>
      </c>
      <c r="S89" s="22"/>
      <c r="T89" s="11" t="str">
        <f aca="false">"16.12.25"</f>
        <v>16.12.25</v>
      </c>
    </row>
    <row r="90" customFormat="false" ht="7.5" hidden="false" customHeight="true" outlineLevel="1" collapsed="false">
      <c r="A90" s="38"/>
      <c r="B90" s="39"/>
      <c r="C90" s="40" t="s">
        <v>320</v>
      </c>
      <c r="D90" s="41"/>
      <c r="E90" s="42"/>
      <c r="F90" s="43"/>
      <c r="G90" s="44"/>
      <c r="H90" s="42"/>
      <c r="I90" s="45"/>
      <c r="J90" s="46"/>
      <c r="K90" s="45"/>
      <c r="L90" s="44"/>
      <c r="M90" s="44"/>
      <c r="N90" s="47"/>
      <c r="O90" s="47"/>
      <c r="P90" s="47"/>
      <c r="Q90" s="47"/>
      <c r="R90" s="39"/>
      <c r="S90" s="44"/>
      <c r="T90" s="11" t="str">
        <f aca="false">"16.12.25"</f>
        <v>16.12.25</v>
      </c>
    </row>
    <row r="91" customFormat="false" ht="7.5" hidden="false" customHeight="true" outlineLevel="2" collapsed="false">
      <c r="A91" s="60" t="str">
        <f aca="false">HYPERLINK("https://disk.360.yandex.ru/d/fK16Q2Qv2G6_QA","фото")</f>
        <v>фото</v>
      </c>
      <c r="B91" s="49" t="s">
        <v>321</v>
      </c>
      <c r="C91" s="50" t="s">
        <v>322</v>
      </c>
      <c r="D91" s="51"/>
      <c r="E91" s="52" t="n">
        <f aca="false">I91*(1-J91)*(100-E1)/100</f>
        <v>3875.84</v>
      </c>
      <c r="F91" s="53"/>
      <c r="G91" s="54" t="n">
        <v>5</v>
      </c>
      <c r="H91" s="52" t="n">
        <f aca="false">E91*F91</f>
        <v>0</v>
      </c>
      <c r="I91" s="55" t="n">
        <v>7570</v>
      </c>
      <c r="J91" s="56" t="n">
        <v>0.2</v>
      </c>
      <c r="K91" s="57" t="n">
        <v>178</v>
      </c>
      <c r="L91" s="22" t="s">
        <v>44</v>
      </c>
      <c r="M91" s="22" t="s">
        <v>31</v>
      </c>
      <c r="N91" s="58" t="n">
        <f aca="false">F91*P91</f>
        <v>0</v>
      </c>
      <c r="O91" s="58" t="n">
        <f aca="false">F91*Q91</f>
        <v>0</v>
      </c>
      <c r="P91" s="58" t="n">
        <v>5.395</v>
      </c>
      <c r="Q91" s="58" t="n">
        <v>0.016</v>
      </c>
      <c r="R91" s="59" t="s">
        <v>323</v>
      </c>
      <c r="S91" s="22"/>
      <c r="T91" s="11" t="str">
        <f aca="false">"16.12.25"</f>
        <v>16.12.25</v>
      </c>
    </row>
    <row r="92" customFormat="false" ht="7.5" hidden="false" customHeight="true" outlineLevel="2" collapsed="false">
      <c r="A92" s="60" t="str">
        <f aca="false">HYPERLINK("https://disk.360.yandex.ru/d/HoGBRmEkYpqiww","фото")</f>
        <v>фото</v>
      </c>
      <c r="B92" s="49" t="s">
        <v>324</v>
      </c>
      <c r="C92" s="50" t="s">
        <v>325</v>
      </c>
      <c r="D92" s="51"/>
      <c r="E92" s="52" t="n">
        <f aca="false">I92*(1-J92)*(100-E1)/100</f>
        <v>4623.36</v>
      </c>
      <c r="F92" s="53"/>
      <c r="G92" s="54" t="n">
        <v>5</v>
      </c>
      <c r="H92" s="52" t="n">
        <f aca="false">E92*F92</f>
        <v>0</v>
      </c>
      <c r="I92" s="55" t="n">
        <v>9030</v>
      </c>
      <c r="J92" s="56" t="n">
        <v>0.2</v>
      </c>
      <c r="K92" s="57" t="n">
        <v>853</v>
      </c>
      <c r="L92" s="22" t="s">
        <v>44</v>
      </c>
      <c r="M92" s="22" t="s">
        <v>31</v>
      </c>
      <c r="N92" s="58" t="n">
        <f aca="false">F92*P92</f>
        <v>0</v>
      </c>
      <c r="O92" s="58" t="n">
        <f aca="false">F92*Q92</f>
        <v>0</v>
      </c>
      <c r="P92" s="58" t="n">
        <v>5.15</v>
      </c>
      <c r="Q92" s="58" t="n">
        <v>0.013</v>
      </c>
      <c r="R92" s="59" t="s">
        <v>326</v>
      </c>
      <c r="S92" s="22"/>
      <c r="T92" s="11" t="str">
        <f aca="false">"16.12.25"</f>
        <v>16.12.25</v>
      </c>
    </row>
    <row r="93" customFormat="false" ht="7.5" hidden="false" customHeight="true" outlineLevel="2" collapsed="false">
      <c r="A93" s="60" t="str">
        <f aca="false">HYPERLINK("https://disk.360.yandex.ru/d/v_AKjjkDf_tz4Q","фото")</f>
        <v>фото</v>
      </c>
      <c r="B93" s="49" t="s">
        <v>327</v>
      </c>
      <c r="C93" s="50" t="s">
        <v>328</v>
      </c>
      <c r="D93" s="51"/>
      <c r="E93" s="52" t="n">
        <f aca="false">I93*(1-J93)*(100-E1)/100</f>
        <v>4008.96</v>
      </c>
      <c r="F93" s="53"/>
      <c r="G93" s="54" t="n">
        <v>5</v>
      </c>
      <c r="H93" s="52" t="n">
        <f aca="false">E93*F93</f>
        <v>0</v>
      </c>
      <c r="I93" s="55" t="n">
        <v>7830</v>
      </c>
      <c r="J93" s="56" t="n">
        <v>0.2</v>
      </c>
      <c r="K93" s="57" t="n">
        <v>493</v>
      </c>
      <c r="L93" s="22" t="s">
        <v>44</v>
      </c>
      <c r="M93" s="22" t="s">
        <v>31</v>
      </c>
      <c r="N93" s="58" t="n">
        <f aca="false">F93*P93</f>
        <v>0</v>
      </c>
      <c r="O93" s="58" t="n">
        <f aca="false">F93*Q93</f>
        <v>0</v>
      </c>
      <c r="P93" s="58" t="n">
        <v>5.1</v>
      </c>
      <c r="Q93" s="58" t="n">
        <v>0.013</v>
      </c>
      <c r="R93" s="59" t="s">
        <v>329</v>
      </c>
      <c r="S93" s="22"/>
      <c r="T93" s="11" t="str">
        <f aca="false">"16.12.25"</f>
        <v>16.12.25</v>
      </c>
    </row>
    <row r="94" customFormat="false" ht="7.5" hidden="false" customHeight="true" outlineLevel="2" collapsed="false">
      <c r="A94" s="60" t="str">
        <f aca="false">HYPERLINK("https://disk.360.yandex.ru/d/9qSq7qq-r3v1eg","фото")</f>
        <v>фото</v>
      </c>
      <c r="B94" s="49" t="s">
        <v>330</v>
      </c>
      <c r="C94" s="50" t="s">
        <v>331</v>
      </c>
      <c r="D94" s="51" t="s">
        <v>332</v>
      </c>
      <c r="E94" s="52" t="n">
        <f aca="false">I94*(1-J94)*(100-E1)/100</f>
        <v>2959.36</v>
      </c>
      <c r="F94" s="53"/>
      <c r="G94" s="54" t="n">
        <v>5</v>
      </c>
      <c r="H94" s="52" t="n">
        <f aca="false">E94*F94</f>
        <v>0</v>
      </c>
      <c r="I94" s="55" t="n">
        <v>5780</v>
      </c>
      <c r="J94" s="56" t="n">
        <v>0.2</v>
      </c>
      <c r="K94" s="57" t="n">
        <v>482</v>
      </c>
      <c r="L94" s="22" t="s">
        <v>44</v>
      </c>
      <c r="M94" s="22" t="s">
        <v>31</v>
      </c>
      <c r="N94" s="58" t="n">
        <f aca="false">F94*P94</f>
        <v>0</v>
      </c>
      <c r="O94" s="58" t="n">
        <f aca="false">F94*Q94</f>
        <v>0</v>
      </c>
      <c r="P94" s="58" t="n">
        <v>5</v>
      </c>
      <c r="Q94" s="58" t="n">
        <v>0.013</v>
      </c>
      <c r="R94" s="59" t="s">
        <v>333</v>
      </c>
      <c r="S94" s="22"/>
      <c r="T94" s="11" t="str">
        <f aca="false">"16.12.25"</f>
        <v>16.12.25</v>
      </c>
    </row>
    <row r="95" customFormat="false" ht="7.5" hidden="false" customHeight="true" outlineLevel="2" collapsed="false">
      <c r="A95" s="60" t="str">
        <f aca="false">HYPERLINK("https://disk.360.yandex.ru/d/JpgyopCDrGyWjQ","фото")</f>
        <v>фото</v>
      </c>
      <c r="B95" s="49" t="s">
        <v>334</v>
      </c>
      <c r="C95" s="50" t="s">
        <v>335</v>
      </c>
      <c r="D95" s="51" t="s">
        <v>336</v>
      </c>
      <c r="E95" s="52" t="n">
        <f aca="false">I95*(1-J95)*(100-E1)/100</f>
        <v>3196.8</v>
      </c>
      <c r="F95" s="53"/>
      <c r="G95" s="54" t="n">
        <v>5</v>
      </c>
      <c r="H95" s="52" t="n">
        <f aca="false">E95*F95</f>
        <v>0</v>
      </c>
      <c r="I95" s="55" t="n">
        <v>6660</v>
      </c>
      <c r="J95" s="56" t="n">
        <v>0.25</v>
      </c>
      <c r="K95" s="57" t="n">
        <v>533</v>
      </c>
      <c r="L95" s="22" t="s">
        <v>44</v>
      </c>
      <c r="M95" s="22"/>
      <c r="N95" s="58" t="n">
        <f aca="false">F95*P95</f>
        <v>0</v>
      </c>
      <c r="O95" s="58" t="n">
        <f aca="false">F95*Q95</f>
        <v>0</v>
      </c>
      <c r="P95" s="58" t="n">
        <v>5.04</v>
      </c>
      <c r="Q95" s="58" t="n">
        <v>0.016</v>
      </c>
      <c r="R95" s="59" t="s">
        <v>337</v>
      </c>
      <c r="S95" s="22"/>
      <c r="T95" s="11" t="str">
        <f aca="false">"16.12.25"</f>
        <v>16.12.25</v>
      </c>
    </row>
    <row r="96" customFormat="false" ht="7.5" hidden="false" customHeight="true" outlineLevel="2" collapsed="false">
      <c r="A96" s="60" t="str">
        <f aca="false">HYPERLINK("https://disk.yandex.ru/d/iCH_N_KAKsJcOw","фото")</f>
        <v>фото</v>
      </c>
      <c r="B96" s="49" t="s">
        <v>338</v>
      </c>
      <c r="C96" s="50" t="s">
        <v>339</v>
      </c>
      <c r="D96" s="51" t="s">
        <v>340</v>
      </c>
      <c r="E96" s="52" t="n">
        <f aca="false">I96*(1-J96)*(100-E1)/100</f>
        <v>3364.8</v>
      </c>
      <c r="F96" s="53"/>
      <c r="G96" s="54" t="n">
        <v>5</v>
      </c>
      <c r="H96" s="52" t="n">
        <f aca="false">E96*F96</f>
        <v>0</v>
      </c>
      <c r="I96" s="55" t="n">
        <v>7010</v>
      </c>
      <c r="J96" s="56" t="n">
        <v>0.25</v>
      </c>
      <c r="K96" s="57" t="n">
        <v>5</v>
      </c>
      <c r="L96" s="22" t="s">
        <v>44</v>
      </c>
      <c r="M96" s="22"/>
      <c r="N96" s="58" t="n">
        <f aca="false">F96*P96</f>
        <v>0</v>
      </c>
      <c r="O96" s="58" t="n">
        <f aca="false">F96*Q96</f>
        <v>0</v>
      </c>
      <c r="P96" s="58" t="n">
        <v>5.1</v>
      </c>
      <c r="Q96" s="58" t="n">
        <v>0.015</v>
      </c>
      <c r="R96" s="59" t="s">
        <v>341</v>
      </c>
      <c r="S96" s="22"/>
      <c r="T96" s="11" t="str">
        <f aca="false">"16.12.25"</f>
        <v>16.12.25</v>
      </c>
    </row>
    <row r="97" customFormat="false" ht="7.5" hidden="false" customHeight="true" outlineLevel="2" collapsed="false">
      <c r="A97" s="60" t="str">
        <f aca="false">HYPERLINK("https://disk.360.yandex.ru/d/VBjujvJpPH9CTQ","фото")</f>
        <v>фото</v>
      </c>
      <c r="B97" s="49" t="s">
        <v>342</v>
      </c>
      <c r="C97" s="50" t="s">
        <v>343</v>
      </c>
      <c r="D97" s="51" t="s">
        <v>344</v>
      </c>
      <c r="E97" s="52" t="n">
        <f aca="false">I97*(1-J97)*(100-E1)/100</f>
        <v>3355.2</v>
      </c>
      <c r="F97" s="53"/>
      <c r="G97" s="54" t="n">
        <v>5</v>
      </c>
      <c r="H97" s="52" t="n">
        <f aca="false">E97*F97</f>
        <v>0</v>
      </c>
      <c r="I97" s="55" t="n">
        <v>6990</v>
      </c>
      <c r="J97" s="56" t="n">
        <v>0.25</v>
      </c>
      <c r="K97" s="57" t="n">
        <v>0</v>
      </c>
      <c r="L97" s="22" t="s">
        <v>44</v>
      </c>
      <c r="M97" s="22"/>
      <c r="N97" s="58" t="n">
        <f aca="false">F97*P97</f>
        <v>0</v>
      </c>
      <c r="O97" s="58" t="n">
        <f aca="false">F97*Q97</f>
        <v>0</v>
      </c>
      <c r="P97" s="58"/>
      <c r="Q97" s="58" t="n">
        <v>0.015</v>
      </c>
      <c r="R97" s="59" t="s">
        <v>345</v>
      </c>
      <c r="S97" s="22"/>
      <c r="T97" s="11" t="str">
        <f aca="false">"16.12.25"</f>
        <v>16.12.25</v>
      </c>
    </row>
    <row r="98" customFormat="false" ht="7.5" hidden="false" customHeight="true" outlineLevel="2" collapsed="false">
      <c r="A98" s="60" t="str">
        <f aca="false">HYPERLINK("https://disk.360.yandex.ru/d/MNBL7ArUKXZRlg","фото")</f>
        <v>фото</v>
      </c>
      <c r="B98" s="49" t="s">
        <v>346</v>
      </c>
      <c r="C98" s="50" t="s">
        <v>347</v>
      </c>
      <c r="D98" s="51" t="s">
        <v>348</v>
      </c>
      <c r="E98" s="52" t="n">
        <f aca="false">I98*(1-J98)*(100-E1)/100</f>
        <v>3595.2</v>
      </c>
      <c r="F98" s="53"/>
      <c r="G98" s="54" t="n">
        <v>5</v>
      </c>
      <c r="H98" s="52" t="n">
        <f aca="false">E98*F98</f>
        <v>0</v>
      </c>
      <c r="I98" s="55" t="n">
        <v>7490</v>
      </c>
      <c r="J98" s="56" t="n">
        <v>0.25</v>
      </c>
      <c r="K98" s="57" t="n">
        <v>0</v>
      </c>
      <c r="L98" s="22" t="s">
        <v>44</v>
      </c>
      <c r="M98" s="22"/>
      <c r="N98" s="58" t="n">
        <f aca="false">F98*P98</f>
        <v>0</v>
      </c>
      <c r="O98" s="58" t="n">
        <f aca="false">F98*Q98</f>
        <v>0</v>
      </c>
      <c r="P98" s="58" t="n">
        <v>5.31</v>
      </c>
      <c r="Q98" s="58" t="n">
        <v>0.015</v>
      </c>
      <c r="R98" s="59" t="s">
        <v>349</v>
      </c>
      <c r="S98" s="22"/>
      <c r="T98" s="11" t="str">
        <f aca="false">"16.12.25"</f>
        <v>16.12.25</v>
      </c>
    </row>
    <row r="99" customFormat="false" ht="7.5" hidden="false" customHeight="true" outlineLevel="2" collapsed="false">
      <c r="A99" s="60" t="str">
        <f aca="false">HYPERLINK("https://disk.360.yandex.ru/d/5_KDh3dy7yUBXA","фото")</f>
        <v>фото</v>
      </c>
      <c r="B99" s="49" t="s">
        <v>350</v>
      </c>
      <c r="C99" s="50" t="s">
        <v>351</v>
      </c>
      <c r="D99" s="51" t="s">
        <v>352</v>
      </c>
      <c r="E99" s="52" t="n">
        <f aca="false">I99*(1-J99)*(100-E1)/100</f>
        <v>3929.6</v>
      </c>
      <c r="F99" s="53"/>
      <c r="G99" s="54" t="n">
        <v>5</v>
      </c>
      <c r="H99" s="52" t="n">
        <f aca="false">E99*F99</f>
        <v>0</v>
      </c>
      <c r="I99" s="55" t="n">
        <v>6140</v>
      </c>
      <c r="J99" s="56"/>
      <c r="K99" s="57" t="n">
        <v>243</v>
      </c>
      <c r="L99" s="22" t="s">
        <v>44</v>
      </c>
      <c r="M99" s="22"/>
      <c r="N99" s="58" t="n">
        <f aca="false">F99*P99</f>
        <v>0</v>
      </c>
      <c r="O99" s="58" t="n">
        <f aca="false">F99*Q99</f>
        <v>0</v>
      </c>
      <c r="P99" s="58" t="n">
        <v>5.06</v>
      </c>
      <c r="Q99" s="58" t="n">
        <v>0.016</v>
      </c>
      <c r="R99" s="59" t="s">
        <v>353</v>
      </c>
      <c r="S99" s="22"/>
      <c r="T99" s="11" t="str">
        <f aca="false">"16.12.25"</f>
        <v>16.12.25</v>
      </c>
    </row>
    <row r="100" customFormat="false" ht="7.5" hidden="false" customHeight="true" outlineLevel="2" collapsed="false">
      <c r="A100" s="60" t="str">
        <f aca="false">HYPERLINK("https://disk.360.yandex.ru/d/SqHgVb97BB1LLw","фото")</f>
        <v>фото</v>
      </c>
      <c r="B100" s="49" t="s">
        <v>354</v>
      </c>
      <c r="C100" s="50" t="s">
        <v>355</v>
      </c>
      <c r="D100" s="51" t="s">
        <v>356</v>
      </c>
      <c r="E100" s="52" t="n">
        <f aca="false">I100*(1-J100)*(100-E1)/100</f>
        <v>4368</v>
      </c>
      <c r="F100" s="53"/>
      <c r="G100" s="54" t="n">
        <v>5</v>
      </c>
      <c r="H100" s="52" t="n">
        <f aca="false">E100*F100</f>
        <v>0</v>
      </c>
      <c r="I100" s="55" t="n">
        <v>9100</v>
      </c>
      <c r="J100" s="56" t="n">
        <v>0.25</v>
      </c>
      <c r="K100" s="57" t="n">
        <v>345</v>
      </c>
      <c r="L100" s="22" t="s">
        <v>44</v>
      </c>
      <c r="M100" s="22"/>
      <c r="N100" s="58" t="n">
        <f aca="false">F100*P100</f>
        <v>0</v>
      </c>
      <c r="O100" s="58" t="n">
        <f aca="false">F100*Q100</f>
        <v>0</v>
      </c>
      <c r="P100" s="58" t="n">
        <v>5.36</v>
      </c>
      <c r="Q100" s="58" t="n">
        <v>0.018</v>
      </c>
      <c r="R100" s="59" t="s">
        <v>357</v>
      </c>
      <c r="S100" s="22"/>
      <c r="T100" s="11" t="str">
        <f aca="false">"16.12.25"</f>
        <v>16.12.25</v>
      </c>
    </row>
    <row r="101" customFormat="false" ht="7.5" hidden="false" customHeight="true" outlineLevel="2" collapsed="false">
      <c r="A101" s="60" t="str">
        <f aca="false">HYPERLINK("https://disk.360.yandex.ru/d/A7ehrMusTKOwzg","фото")</f>
        <v>фото</v>
      </c>
      <c r="B101" s="49" t="s">
        <v>358</v>
      </c>
      <c r="C101" s="50" t="s">
        <v>359</v>
      </c>
      <c r="D101" s="51" t="s">
        <v>360</v>
      </c>
      <c r="E101" s="52" t="n">
        <f aca="false">I101*(1-J101)*(100-E1)/100</f>
        <v>4334.4</v>
      </c>
      <c r="F101" s="53"/>
      <c r="G101" s="54" t="n">
        <v>5</v>
      </c>
      <c r="H101" s="52" t="n">
        <f aca="false">E101*F101</f>
        <v>0</v>
      </c>
      <c r="I101" s="55" t="n">
        <v>9030</v>
      </c>
      <c r="J101" s="56" t="n">
        <v>0.25</v>
      </c>
      <c r="K101" s="57" t="n">
        <v>88</v>
      </c>
      <c r="L101" s="22" t="s">
        <v>44</v>
      </c>
      <c r="M101" s="22"/>
      <c r="N101" s="58" t="n">
        <f aca="false">F101*P101</f>
        <v>0</v>
      </c>
      <c r="O101" s="58" t="n">
        <f aca="false">F101*Q101</f>
        <v>0</v>
      </c>
      <c r="P101" s="58" t="n">
        <v>5.8</v>
      </c>
      <c r="Q101" s="58" t="n">
        <v>0.015</v>
      </c>
      <c r="R101" s="59" t="s">
        <v>361</v>
      </c>
      <c r="S101" s="22"/>
      <c r="T101" s="11" t="str">
        <f aca="false">"16.12.25"</f>
        <v>16.12.25</v>
      </c>
    </row>
    <row r="102" customFormat="false" ht="7.5" hidden="false" customHeight="true" outlineLevel="2" collapsed="false">
      <c r="A102" s="48"/>
      <c r="B102" s="49" t="s">
        <v>362</v>
      </c>
      <c r="C102" s="50" t="s">
        <v>363</v>
      </c>
      <c r="D102" s="51"/>
      <c r="E102" s="52" t="n">
        <f aca="false">I102*(1-J102)*(100-E1)/100</f>
        <v>4045.44</v>
      </c>
      <c r="F102" s="53"/>
      <c r="G102" s="54" t="n">
        <v>5</v>
      </c>
      <c r="H102" s="52" t="n">
        <f aca="false">E102*F102</f>
        <v>0</v>
      </c>
      <c r="I102" s="55" t="n">
        <v>9030</v>
      </c>
      <c r="J102" s="56" t="n">
        <v>0.3</v>
      </c>
      <c r="K102" s="57" t="n">
        <v>50</v>
      </c>
      <c r="L102" s="22" t="s">
        <v>364</v>
      </c>
      <c r="M102" s="22"/>
      <c r="N102" s="58" t="n">
        <f aca="false">F102*P102</f>
        <v>0</v>
      </c>
      <c r="O102" s="58" t="n">
        <f aca="false">F102*Q102</f>
        <v>0</v>
      </c>
      <c r="P102" s="58" t="n">
        <v>5.1</v>
      </c>
      <c r="Q102" s="58" t="n">
        <v>0.016</v>
      </c>
      <c r="R102" s="59" t="s">
        <v>365</v>
      </c>
      <c r="S102" s="22"/>
      <c r="T102" s="11" t="str">
        <f aca="false">"16.12.25"</f>
        <v>16.12.25</v>
      </c>
    </row>
    <row r="103" customFormat="false" ht="7.5" hidden="false" customHeight="true" outlineLevel="2" collapsed="false">
      <c r="A103" s="48"/>
      <c r="B103" s="49" t="s">
        <v>366</v>
      </c>
      <c r="C103" s="50" t="s">
        <v>367</v>
      </c>
      <c r="D103" s="51"/>
      <c r="E103" s="52" t="n">
        <f aca="false">I103*(1-J103)*(100-E1)/100</f>
        <v>4045.44</v>
      </c>
      <c r="F103" s="53"/>
      <c r="G103" s="54" t="n">
        <v>5</v>
      </c>
      <c r="H103" s="52" t="n">
        <f aca="false">E103*F103</f>
        <v>0</v>
      </c>
      <c r="I103" s="55" t="n">
        <v>9030</v>
      </c>
      <c r="J103" s="56" t="n">
        <v>0.3</v>
      </c>
      <c r="K103" s="57" t="n">
        <v>216</v>
      </c>
      <c r="L103" s="22" t="s">
        <v>368</v>
      </c>
      <c r="M103" s="22"/>
      <c r="N103" s="58" t="n">
        <f aca="false">F103*P103</f>
        <v>0</v>
      </c>
      <c r="O103" s="58" t="n">
        <f aca="false">F103*Q103</f>
        <v>0</v>
      </c>
      <c r="P103" s="58" t="n">
        <v>5.15</v>
      </c>
      <c r="Q103" s="58" t="n">
        <v>0.016</v>
      </c>
      <c r="R103" s="59" t="s">
        <v>369</v>
      </c>
      <c r="S103" s="22"/>
      <c r="T103" s="11" t="str">
        <f aca="false">"16.12.25"</f>
        <v>16.12.25</v>
      </c>
    </row>
    <row r="104" customFormat="false" ht="7.5" hidden="false" customHeight="true" outlineLevel="2" collapsed="false">
      <c r="A104" s="48"/>
      <c r="B104" s="49" t="s">
        <v>370</v>
      </c>
      <c r="C104" s="50" t="s">
        <v>371</v>
      </c>
      <c r="D104" s="51"/>
      <c r="E104" s="52" t="n">
        <f aca="false">I104*(1-J104)*(100-E1)/100</f>
        <v>3386.88</v>
      </c>
      <c r="F104" s="53"/>
      <c r="G104" s="54" t="n">
        <v>5</v>
      </c>
      <c r="H104" s="52" t="n">
        <f aca="false">E104*F104</f>
        <v>0</v>
      </c>
      <c r="I104" s="55" t="n">
        <v>7560</v>
      </c>
      <c r="J104" s="56" t="n">
        <v>0.3</v>
      </c>
      <c r="K104" s="57" t="n">
        <v>0</v>
      </c>
      <c r="L104" s="22" t="s">
        <v>372</v>
      </c>
      <c r="M104" s="22"/>
      <c r="N104" s="58" t="n">
        <f aca="false">F104*P104</f>
        <v>0</v>
      </c>
      <c r="O104" s="58" t="n">
        <f aca="false">F104*Q104</f>
        <v>0</v>
      </c>
      <c r="P104" s="58" t="n">
        <v>5.5</v>
      </c>
      <c r="Q104" s="58" t="n">
        <v>0.016</v>
      </c>
      <c r="R104" s="59" t="s">
        <v>373</v>
      </c>
      <c r="S104" s="22"/>
      <c r="T104" s="11" t="str">
        <f aca="false">"16.12.25"</f>
        <v>16.12.25</v>
      </c>
    </row>
    <row r="105" customFormat="false" ht="7.5" hidden="false" customHeight="true" outlineLevel="2" collapsed="false">
      <c r="A105" s="48"/>
      <c r="B105" s="49" t="s">
        <v>374</v>
      </c>
      <c r="C105" s="50" t="s">
        <v>375</v>
      </c>
      <c r="D105" s="51"/>
      <c r="E105" s="52" t="n">
        <f aca="false">I105*(1-J105)*(100-E1)/100</f>
        <v>4045.44</v>
      </c>
      <c r="F105" s="53"/>
      <c r="G105" s="54" t="n">
        <v>5</v>
      </c>
      <c r="H105" s="52" t="n">
        <f aca="false">E105*F105</f>
        <v>0</v>
      </c>
      <c r="I105" s="55" t="n">
        <v>9030</v>
      </c>
      <c r="J105" s="56" t="n">
        <v>0.3</v>
      </c>
      <c r="K105" s="57" t="n">
        <v>210</v>
      </c>
      <c r="L105" s="22" t="s">
        <v>372</v>
      </c>
      <c r="M105" s="22"/>
      <c r="N105" s="58" t="n">
        <f aca="false">F105*P105</f>
        <v>0</v>
      </c>
      <c r="O105" s="58" t="n">
        <f aca="false">F105*Q105</f>
        <v>0</v>
      </c>
      <c r="P105" s="58" t="n">
        <v>5.15</v>
      </c>
      <c r="Q105" s="58" t="n">
        <v>0.016</v>
      </c>
      <c r="R105" s="59" t="s">
        <v>376</v>
      </c>
      <c r="S105" s="22"/>
      <c r="T105" s="11" t="str">
        <f aca="false">"16.12.25"</f>
        <v>16.12.25</v>
      </c>
    </row>
    <row r="106" customFormat="false" ht="7.5" hidden="false" customHeight="true" outlineLevel="2" collapsed="false">
      <c r="A106" s="60" t="str">
        <f aca="false">HYPERLINK("https://disk.360.yandex.ru/d/tKvDATCbI97wpA","фото")</f>
        <v>фото</v>
      </c>
      <c r="B106" s="49" t="s">
        <v>377</v>
      </c>
      <c r="C106" s="50" t="s">
        <v>378</v>
      </c>
      <c r="D106" s="51" t="s">
        <v>379</v>
      </c>
      <c r="E106" s="52" t="n">
        <f aca="false">I106*(1-J106)*(100-E1)/100</f>
        <v>1887.68</v>
      </c>
      <c r="F106" s="53"/>
      <c r="G106" s="54"/>
      <c r="H106" s="52" t="n">
        <f aca="false">E106*F106</f>
        <v>0</v>
      </c>
      <c r="I106" s="55" t="n">
        <v>3470</v>
      </c>
      <c r="J106" s="56" t="n">
        <v>0.15</v>
      </c>
      <c r="K106" s="57" t="n">
        <v>476</v>
      </c>
      <c r="L106" s="22" t="s">
        <v>380</v>
      </c>
      <c r="M106" s="22" t="s">
        <v>31</v>
      </c>
      <c r="N106" s="58" t="n">
        <f aca="false">F106*P106</f>
        <v>0</v>
      </c>
      <c r="O106" s="58" t="n">
        <f aca="false">F106*Q106</f>
        <v>0</v>
      </c>
      <c r="P106" s="58" t="n">
        <v>5.16</v>
      </c>
      <c r="Q106" s="58" t="n">
        <v>0.015</v>
      </c>
      <c r="R106" s="59"/>
      <c r="S106" s="22"/>
      <c r="T106" s="11" t="str">
        <f aca="false">"16.12.25"</f>
        <v>16.12.25</v>
      </c>
    </row>
    <row r="107" customFormat="false" ht="7.5" hidden="false" customHeight="true" outlineLevel="2" collapsed="false">
      <c r="A107" s="60" t="str">
        <f aca="false">HYPERLINK("https://disk.360.yandex.ru/d/GRQ97yagHPVgyQ","фото")</f>
        <v>фото</v>
      </c>
      <c r="B107" s="49" t="s">
        <v>381</v>
      </c>
      <c r="C107" s="50" t="s">
        <v>382</v>
      </c>
      <c r="D107" s="51"/>
      <c r="E107" s="52" t="n">
        <f aca="false">I107*(1-J107)*(100-E1)/100</f>
        <v>3095.36</v>
      </c>
      <c r="F107" s="53"/>
      <c r="G107" s="54" t="n">
        <v>5</v>
      </c>
      <c r="H107" s="52" t="n">
        <f aca="false">E107*F107</f>
        <v>0</v>
      </c>
      <c r="I107" s="55" t="n">
        <v>5690</v>
      </c>
      <c r="J107" s="56" t="n">
        <v>0.15</v>
      </c>
      <c r="K107" s="57" t="n">
        <v>342</v>
      </c>
      <c r="L107" s="22" t="s">
        <v>53</v>
      </c>
      <c r="M107" s="22" t="s">
        <v>15</v>
      </c>
      <c r="N107" s="58" t="n">
        <f aca="false">F107*P107</f>
        <v>0</v>
      </c>
      <c r="O107" s="58" t="n">
        <f aca="false">F107*Q107</f>
        <v>0</v>
      </c>
      <c r="P107" s="58" t="n">
        <v>4.39</v>
      </c>
      <c r="Q107" s="58" t="n">
        <v>0.016</v>
      </c>
      <c r="R107" s="59" t="s">
        <v>383</v>
      </c>
      <c r="S107" s="22"/>
      <c r="T107" s="11" t="str">
        <f aca="false">"16.12.25"</f>
        <v>16.12.25</v>
      </c>
    </row>
    <row r="108" customFormat="false" ht="7.5" hidden="false" customHeight="true" outlineLevel="2" collapsed="false">
      <c r="A108" s="60" t="str">
        <f aca="false">HYPERLINK("https://disk.360.yandex.ru/d/D0d7OWOcxsQKnw","фото")</f>
        <v>фото</v>
      </c>
      <c r="B108" s="49" t="s">
        <v>384</v>
      </c>
      <c r="C108" s="50" t="s">
        <v>385</v>
      </c>
      <c r="D108" s="51"/>
      <c r="E108" s="52" t="n">
        <f aca="false">I108*(1-J108)*(100-E1)/100</f>
        <v>3574.08</v>
      </c>
      <c r="F108" s="53"/>
      <c r="G108" s="54" t="n">
        <v>5</v>
      </c>
      <c r="H108" s="52" t="n">
        <f aca="false">E108*F108</f>
        <v>0</v>
      </c>
      <c r="I108" s="55" t="n">
        <v>6570</v>
      </c>
      <c r="J108" s="56" t="n">
        <v>0.15</v>
      </c>
      <c r="K108" s="57" t="n">
        <v>192</v>
      </c>
      <c r="L108" s="22" t="s">
        <v>53</v>
      </c>
      <c r="M108" s="22" t="s">
        <v>15</v>
      </c>
      <c r="N108" s="58" t="n">
        <f aca="false">F108*P108</f>
        <v>0</v>
      </c>
      <c r="O108" s="58" t="n">
        <f aca="false">F108*Q108</f>
        <v>0</v>
      </c>
      <c r="P108" s="58" t="n">
        <v>5.11</v>
      </c>
      <c r="Q108" s="58" t="n">
        <v>0.016</v>
      </c>
      <c r="R108" s="59" t="s">
        <v>386</v>
      </c>
      <c r="S108" s="22"/>
      <c r="T108" s="11" t="str">
        <f aca="false">"16.12.25"</f>
        <v>16.12.25</v>
      </c>
    </row>
    <row r="109" customFormat="false" ht="7.5" hidden="false" customHeight="true" outlineLevel="2" collapsed="false">
      <c r="A109" s="60" t="str">
        <f aca="false">HYPERLINK("https://disk.360.yandex.ru/d/uzk4UUz7t8lSbA","фото")</f>
        <v>фото</v>
      </c>
      <c r="B109" s="49" t="s">
        <v>387</v>
      </c>
      <c r="C109" s="50" t="s">
        <v>388</v>
      </c>
      <c r="D109" s="51"/>
      <c r="E109" s="52" t="n">
        <f aca="false">I109*(1-J109)*(100-E1)/100</f>
        <v>4281.28</v>
      </c>
      <c r="F109" s="53"/>
      <c r="G109" s="54" t="n">
        <v>5</v>
      </c>
      <c r="H109" s="52" t="n">
        <f aca="false">E109*F109</f>
        <v>0</v>
      </c>
      <c r="I109" s="55" t="n">
        <v>7870</v>
      </c>
      <c r="J109" s="56" t="n">
        <v>0.15</v>
      </c>
      <c r="K109" s="57" t="n">
        <v>191</v>
      </c>
      <c r="L109" s="22" t="s">
        <v>53</v>
      </c>
      <c r="M109" s="22" t="s">
        <v>15</v>
      </c>
      <c r="N109" s="58" t="n">
        <f aca="false">F109*P109</f>
        <v>0</v>
      </c>
      <c r="O109" s="58" t="n">
        <f aca="false">F109*Q109</f>
        <v>0</v>
      </c>
      <c r="P109" s="58" t="n">
        <v>5.23</v>
      </c>
      <c r="Q109" s="58" t="n">
        <v>0.016</v>
      </c>
      <c r="R109" s="59" t="s">
        <v>389</v>
      </c>
      <c r="S109" s="22"/>
      <c r="T109" s="11" t="str">
        <f aca="false">"16.12.25"</f>
        <v>16.12.25</v>
      </c>
    </row>
    <row r="110" customFormat="false" ht="7.5" hidden="false" customHeight="true" outlineLevel="2" collapsed="false">
      <c r="A110" s="60" t="str">
        <f aca="false">HYPERLINK("https://disk.360.yandex.ru/d/6p5jJvKN025vmw","фото")</f>
        <v>фото</v>
      </c>
      <c r="B110" s="49" t="s">
        <v>390</v>
      </c>
      <c r="C110" s="50" t="s">
        <v>391</v>
      </c>
      <c r="D110" s="51" t="s">
        <v>392</v>
      </c>
      <c r="E110" s="52" t="n">
        <f aca="false">I110*(1-J110)*(100-E1)/100</f>
        <v>6924.8</v>
      </c>
      <c r="F110" s="53"/>
      <c r="G110" s="54" t="n">
        <v>3</v>
      </c>
      <c r="H110" s="52" t="n">
        <f aca="false">E110*F110</f>
        <v>0</v>
      </c>
      <c r="I110" s="55" t="n">
        <v>10820</v>
      </c>
      <c r="J110" s="56"/>
      <c r="K110" s="57" t="n">
        <v>243</v>
      </c>
      <c r="L110" s="22" t="s">
        <v>53</v>
      </c>
      <c r="M110" s="22"/>
      <c r="N110" s="58" t="n">
        <f aca="false">F110*P110</f>
        <v>0</v>
      </c>
      <c r="O110" s="58" t="n">
        <f aca="false">F110*Q110</f>
        <v>0</v>
      </c>
      <c r="P110" s="58" t="n">
        <v>7.65</v>
      </c>
      <c r="Q110" s="58" t="n">
        <v>0.022</v>
      </c>
      <c r="R110" s="59" t="s">
        <v>393</v>
      </c>
      <c r="S110" s="22"/>
      <c r="T110" s="11" t="str">
        <f aca="false">"16.12.25"</f>
        <v>16.12.25</v>
      </c>
    </row>
    <row r="111" customFormat="false" ht="7.5" hidden="false" customHeight="true" outlineLevel="2" collapsed="false">
      <c r="A111" s="60" t="str">
        <f aca="false">HYPERLINK("https://disk.360.yandex.ru/d/cw4y3PV12NmTrg","фото")</f>
        <v>фото</v>
      </c>
      <c r="B111" s="49" t="s">
        <v>394</v>
      </c>
      <c r="C111" s="50" t="s">
        <v>395</v>
      </c>
      <c r="D111" s="51" t="s">
        <v>396</v>
      </c>
      <c r="E111" s="52" t="n">
        <f aca="false">I111*(1-J111)*(100-E1)/100</f>
        <v>4743.68</v>
      </c>
      <c r="F111" s="53"/>
      <c r="G111" s="54" t="n">
        <v>5</v>
      </c>
      <c r="H111" s="52" t="n">
        <f aca="false">E111*F111</f>
        <v>0</v>
      </c>
      <c r="I111" s="55" t="n">
        <v>8720</v>
      </c>
      <c r="J111" s="56" t="n">
        <v>0.15</v>
      </c>
      <c r="K111" s="57" t="n">
        <v>202</v>
      </c>
      <c r="L111" s="22" t="s">
        <v>53</v>
      </c>
      <c r="M111" s="22" t="s">
        <v>15</v>
      </c>
      <c r="N111" s="58" t="n">
        <f aca="false">F111*P111</f>
        <v>0</v>
      </c>
      <c r="O111" s="58" t="n">
        <f aca="false">F111*Q111</f>
        <v>0</v>
      </c>
      <c r="P111" s="58" t="n">
        <v>5.67</v>
      </c>
      <c r="Q111" s="58" t="n">
        <v>0.018</v>
      </c>
      <c r="R111" s="59" t="s">
        <v>397</v>
      </c>
      <c r="S111" s="22"/>
      <c r="T111" s="11" t="str">
        <f aca="false">"16.12.25"</f>
        <v>16.12.25</v>
      </c>
    </row>
    <row r="112" customFormat="false" ht="7.5" hidden="false" customHeight="true" outlineLevel="2" collapsed="false">
      <c r="A112" s="60" t="str">
        <f aca="false">HYPERLINK("https://disk.360.yandex.ru/d/yam9JVuUOj8Aqw","фото")</f>
        <v>фото</v>
      </c>
      <c r="B112" s="49" t="s">
        <v>398</v>
      </c>
      <c r="C112" s="50" t="s">
        <v>399</v>
      </c>
      <c r="D112" s="51" t="s">
        <v>400</v>
      </c>
      <c r="E112" s="52" t="n">
        <f aca="false">I112*(1-J112)*(100-E1)/100</f>
        <v>7532.8</v>
      </c>
      <c r="F112" s="53"/>
      <c r="G112" s="54" t="n">
        <v>2</v>
      </c>
      <c r="H112" s="52" t="n">
        <f aca="false">E112*F112</f>
        <v>0</v>
      </c>
      <c r="I112" s="55" t="n">
        <v>11770</v>
      </c>
      <c r="J112" s="56"/>
      <c r="K112" s="57" t="n">
        <v>143</v>
      </c>
      <c r="L112" s="22" t="s">
        <v>53</v>
      </c>
      <c r="M112" s="22"/>
      <c r="N112" s="58" t="n">
        <f aca="false">F112*P112</f>
        <v>0</v>
      </c>
      <c r="O112" s="58" t="n">
        <f aca="false">F112*Q112</f>
        <v>0</v>
      </c>
      <c r="P112" s="58" t="n">
        <v>8</v>
      </c>
      <c r="Q112" s="58" t="n">
        <v>0.022</v>
      </c>
      <c r="R112" s="59" t="s">
        <v>401</v>
      </c>
      <c r="S112" s="22"/>
      <c r="T112" s="11" t="str">
        <f aca="false">"16.12.25"</f>
        <v>16.12.25</v>
      </c>
    </row>
    <row r="113" customFormat="false" ht="7.5" hidden="false" customHeight="true" outlineLevel="2" collapsed="false">
      <c r="A113" s="60" t="str">
        <f aca="false">HYPERLINK("https://disk.360.yandex.ru/d/dg1i-HdmJkbXVA","фото")</f>
        <v>фото</v>
      </c>
      <c r="B113" s="49" t="s">
        <v>402</v>
      </c>
      <c r="C113" s="50" t="s">
        <v>403</v>
      </c>
      <c r="D113" s="51" t="s">
        <v>404</v>
      </c>
      <c r="E113" s="52" t="n">
        <f aca="false">I113*(1-J113)*(100-E1)/100</f>
        <v>9952.96</v>
      </c>
      <c r="F113" s="53"/>
      <c r="G113" s="54" t="n">
        <v>2</v>
      </c>
      <c r="H113" s="52" t="n">
        <f aca="false">E113*F113</f>
        <v>0</v>
      </c>
      <c r="I113" s="55" t="n">
        <v>16370</v>
      </c>
      <c r="J113" s="56" t="n">
        <v>0.05</v>
      </c>
      <c r="K113" s="57" t="n">
        <v>485</v>
      </c>
      <c r="L113" s="22" t="s">
        <v>53</v>
      </c>
      <c r="M113" s="22" t="s">
        <v>152</v>
      </c>
      <c r="N113" s="58" t="n">
        <f aca="false">F113*P113</f>
        <v>0</v>
      </c>
      <c r="O113" s="58" t="n">
        <f aca="false">F113*Q113</f>
        <v>0</v>
      </c>
      <c r="P113" s="58" t="n">
        <v>11.025</v>
      </c>
      <c r="Q113" s="58" t="n">
        <v>0.02</v>
      </c>
      <c r="R113" s="59" t="s">
        <v>405</v>
      </c>
      <c r="S113" s="22"/>
      <c r="T113" s="11" t="str">
        <f aca="false">"16.12.25"</f>
        <v>16.12.25</v>
      </c>
    </row>
    <row r="114" customFormat="false" ht="7.5" hidden="false" customHeight="true" outlineLevel="2" collapsed="false">
      <c r="A114" s="60" t="str">
        <f aca="false">HYPERLINK("https://disk.360.yandex.ru/d/ONegEsW-fotrSw","фото")</f>
        <v>фото</v>
      </c>
      <c r="B114" s="49" t="s">
        <v>406</v>
      </c>
      <c r="C114" s="50" t="s">
        <v>407</v>
      </c>
      <c r="D114" s="51" t="s">
        <v>408</v>
      </c>
      <c r="E114" s="52" t="n">
        <f aca="false">I114*(1-J114)*(100-E1)/100</f>
        <v>17953.92</v>
      </c>
      <c r="F114" s="53"/>
      <c r="G114" s="54" t="n">
        <v>1</v>
      </c>
      <c r="H114" s="52" t="n">
        <f aca="false">E114*F114</f>
        <v>0</v>
      </c>
      <c r="I114" s="55" t="n">
        <v>31170</v>
      </c>
      <c r="J114" s="56" t="n">
        <v>0.1</v>
      </c>
      <c r="K114" s="57" t="n">
        <v>241</v>
      </c>
      <c r="L114" s="22" t="s">
        <v>53</v>
      </c>
      <c r="M114" s="22" t="s">
        <v>152</v>
      </c>
      <c r="N114" s="58" t="n">
        <f aca="false">F114*P114</f>
        <v>0</v>
      </c>
      <c r="O114" s="58" t="n">
        <f aca="false">F114*Q114</f>
        <v>0</v>
      </c>
      <c r="P114" s="58" t="n">
        <v>18</v>
      </c>
      <c r="Q114" s="58" t="n">
        <v>0.036</v>
      </c>
      <c r="R114" s="59" t="s">
        <v>409</v>
      </c>
      <c r="S114" s="22"/>
      <c r="T114" s="11" t="str">
        <f aca="false">"16.12.25"</f>
        <v>16.12.25</v>
      </c>
    </row>
    <row r="115" customFormat="false" ht="7.5" hidden="false" customHeight="true" outlineLevel="1" collapsed="false">
      <c r="A115" s="38"/>
      <c r="B115" s="39"/>
      <c r="C115" s="40" t="s">
        <v>410</v>
      </c>
      <c r="D115" s="41"/>
      <c r="E115" s="42"/>
      <c r="F115" s="43"/>
      <c r="G115" s="44"/>
      <c r="H115" s="42"/>
      <c r="I115" s="45"/>
      <c r="J115" s="46"/>
      <c r="K115" s="45"/>
      <c r="L115" s="44"/>
      <c r="M115" s="44"/>
      <c r="N115" s="47"/>
      <c r="O115" s="47"/>
      <c r="P115" s="47"/>
      <c r="Q115" s="47"/>
      <c r="R115" s="39"/>
      <c r="S115" s="44"/>
      <c r="T115" s="11" t="str">
        <f aca="false">"16.12.25"</f>
        <v>16.12.25</v>
      </c>
    </row>
    <row r="116" customFormat="false" ht="7.5" hidden="false" customHeight="true" outlineLevel="2" collapsed="false">
      <c r="A116" s="60" t="str">
        <f aca="false">HYPERLINK("https://disk.360.yandex.ru/d/lb8SczLlOcDpAQ","фото")</f>
        <v>фото</v>
      </c>
      <c r="B116" s="49" t="s">
        <v>411</v>
      </c>
      <c r="C116" s="50" t="s">
        <v>412</v>
      </c>
      <c r="D116" s="51" t="s">
        <v>413</v>
      </c>
      <c r="E116" s="52" t="n">
        <f aca="false">I116*(1-J116)*(100-E1)/100</f>
        <v>760.32</v>
      </c>
      <c r="F116" s="53"/>
      <c r="G116" s="54" t="n">
        <v>20</v>
      </c>
      <c r="H116" s="52" t="n">
        <f aca="false">E116*F116</f>
        <v>0</v>
      </c>
      <c r="I116" s="55" t="n">
        <v>1320</v>
      </c>
      <c r="J116" s="56" t="n">
        <v>0.1</v>
      </c>
      <c r="K116" s="57" t="n">
        <v>3654</v>
      </c>
      <c r="L116" s="22" t="s">
        <v>44</v>
      </c>
      <c r="M116" s="22" t="s">
        <v>152</v>
      </c>
      <c r="N116" s="58" t="n">
        <f aca="false">F116*P116</f>
        <v>0</v>
      </c>
      <c r="O116" s="58" t="n">
        <f aca="false">F116*Q116</f>
        <v>0</v>
      </c>
      <c r="P116" s="58" t="n">
        <v>0.65</v>
      </c>
      <c r="Q116" s="58" t="n">
        <v>0.004</v>
      </c>
      <c r="R116" s="59" t="s">
        <v>414</v>
      </c>
      <c r="S116" s="22"/>
      <c r="T116" s="11" t="str">
        <f aca="false">"16.12.25"</f>
        <v>16.12.25</v>
      </c>
    </row>
    <row r="117" customFormat="false" ht="7.5" hidden="false" customHeight="true" outlineLevel="2" collapsed="false">
      <c r="A117" s="60" t="str">
        <f aca="false">HYPERLINK("https://disk.360.yandex.ru/d/XaAaJEzsvaYFFg","фото")</f>
        <v>фото</v>
      </c>
      <c r="B117" s="49" t="s">
        <v>415</v>
      </c>
      <c r="C117" s="50" t="s">
        <v>416</v>
      </c>
      <c r="D117" s="51" t="s">
        <v>417</v>
      </c>
      <c r="E117" s="52" t="n">
        <f aca="false">I117*(1-J117)*(100-E1)/100</f>
        <v>810.56</v>
      </c>
      <c r="F117" s="53"/>
      <c r="G117" s="54" t="n">
        <v>10</v>
      </c>
      <c r="H117" s="52" t="n">
        <f aca="false">E117*F117</f>
        <v>0</v>
      </c>
      <c r="I117" s="55" t="n">
        <v>1490</v>
      </c>
      <c r="J117" s="56" t="n">
        <v>0.15</v>
      </c>
      <c r="K117" s="57" t="n">
        <v>285</v>
      </c>
      <c r="L117" s="22" t="s">
        <v>44</v>
      </c>
      <c r="M117" s="22"/>
      <c r="N117" s="58" t="n">
        <f aca="false">F117*P117</f>
        <v>0</v>
      </c>
      <c r="O117" s="58" t="n">
        <f aca="false">F117*Q117</f>
        <v>0</v>
      </c>
      <c r="P117" s="58" t="n">
        <v>0.9</v>
      </c>
      <c r="Q117" s="58" t="n">
        <v>0.005</v>
      </c>
      <c r="R117" s="59" t="s">
        <v>418</v>
      </c>
      <c r="S117" s="22"/>
      <c r="T117" s="11" t="str">
        <f aca="false">"16.12.25"</f>
        <v>16.12.25</v>
      </c>
    </row>
    <row r="118" customFormat="false" ht="7.5" hidden="false" customHeight="true" outlineLevel="2" collapsed="false">
      <c r="A118" s="60" t="str">
        <f aca="false">HYPERLINK("https://disk.yandex.ru/d/8QWKp9i0LPR0zQ","фото")</f>
        <v>фото</v>
      </c>
      <c r="B118" s="49" t="s">
        <v>419</v>
      </c>
      <c r="C118" s="50" t="s">
        <v>420</v>
      </c>
      <c r="D118" s="51" t="s">
        <v>421</v>
      </c>
      <c r="E118" s="52" t="n">
        <f aca="false">I118*(1-J118)*(100-E1)/100</f>
        <v>1574.464</v>
      </c>
      <c r="F118" s="53"/>
      <c r="G118" s="54" t="n">
        <v>10</v>
      </c>
      <c r="H118" s="52" t="n">
        <f aca="false">E118*F118</f>
        <v>0</v>
      </c>
      <c r="I118" s="55" t="n">
        <v>3370</v>
      </c>
      <c r="J118" s="56" t="n">
        <v>0.27</v>
      </c>
      <c r="K118" s="57" t="n">
        <v>164</v>
      </c>
      <c r="L118" s="22" t="s">
        <v>44</v>
      </c>
      <c r="M118" s="22"/>
      <c r="N118" s="58" t="n">
        <f aca="false">F118*P118</f>
        <v>0</v>
      </c>
      <c r="O118" s="58" t="n">
        <f aca="false">F118*Q118</f>
        <v>0</v>
      </c>
      <c r="P118" s="58" t="n">
        <v>1.007</v>
      </c>
      <c r="Q118" s="58" t="n">
        <v>0.006</v>
      </c>
      <c r="R118" s="59" t="s">
        <v>422</v>
      </c>
      <c r="S118" s="22"/>
      <c r="T118" s="11" t="str">
        <f aca="false">"16.12.25"</f>
        <v>16.12.25</v>
      </c>
    </row>
    <row r="119" customFormat="false" ht="7.5" hidden="false" customHeight="true" outlineLevel="2" collapsed="false">
      <c r="A119" s="60" t="str">
        <f aca="false">HYPERLINK("https://disk.360.yandex.ru/d/J08Fg-7pfhK3bg","фото")</f>
        <v>фото</v>
      </c>
      <c r="B119" s="49" t="s">
        <v>423</v>
      </c>
      <c r="C119" s="50" t="s">
        <v>424</v>
      </c>
      <c r="D119" s="51" t="s">
        <v>425</v>
      </c>
      <c r="E119" s="52" t="n">
        <f aca="false">I119*(1-J119)*(100-E1)/100</f>
        <v>788.8</v>
      </c>
      <c r="F119" s="53"/>
      <c r="G119" s="54" t="n">
        <v>10</v>
      </c>
      <c r="H119" s="52" t="n">
        <f aca="false">E119*F119</f>
        <v>0</v>
      </c>
      <c r="I119" s="55" t="n">
        <v>1450</v>
      </c>
      <c r="J119" s="56" t="n">
        <v>0.15</v>
      </c>
      <c r="K119" s="57" t="n">
        <v>0</v>
      </c>
      <c r="L119" s="22" t="s">
        <v>53</v>
      </c>
      <c r="M119" s="22" t="s">
        <v>152</v>
      </c>
      <c r="N119" s="58" t="n">
        <f aca="false">F119*P119</f>
        <v>0</v>
      </c>
      <c r="O119" s="58" t="n">
        <f aca="false">F119*Q119</f>
        <v>0</v>
      </c>
      <c r="P119" s="58" t="n">
        <v>1</v>
      </c>
      <c r="Q119" s="58" t="n">
        <v>0.006</v>
      </c>
      <c r="R119" s="59" t="s">
        <v>426</v>
      </c>
      <c r="S119" s="22"/>
      <c r="T119" s="11" t="str">
        <f aca="false">"16.12.25"</f>
        <v>16.12.25</v>
      </c>
    </row>
    <row r="120" customFormat="false" ht="7.5" hidden="false" customHeight="true" outlineLevel="2" collapsed="false">
      <c r="A120" s="60" t="str">
        <f aca="false">HYPERLINK("https://disk.360.yandex.ru/d/zj3m3qkbqkwymQ","фото")</f>
        <v>фото</v>
      </c>
      <c r="B120" s="49" t="s">
        <v>427</v>
      </c>
      <c r="C120" s="50" t="s">
        <v>428</v>
      </c>
      <c r="D120" s="51" t="s">
        <v>429</v>
      </c>
      <c r="E120" s="52" t="n">
        <f aca="false">I120*(1-J120)*(100-E1)/100</f>
        <v>903.04</v>
      </c>
      <c r="F120" s="53"/>
      <c r="G120" s="54" t="n">
        <v>10</v>
      </c>
      <c r="H120" s="52" t="n">
        <f aca="false">E120*F120</f>
        <v>0</v>
      </c>
      <c r="I120" s="55" t="n">
        <v>1660</v>
      </c>
      <c r="J120" s="56" t="n">
        <v>0.15</v>
      </c>
      <c r="K120" s="57" t="n">
        <v>79</v>
      </c>
      <c r="L120" s="22" t="s">
        <v>53</v>
      </c>
      <c r="M120" s="22" t="s">
        <v>152</v>
      </c>
      <c r="N120" s="58" t="n">
        <f aca="false">F120*P120</f>
        <v>0</v>
      </c>
      <c r="O120" s="58" t="n">
        <f aca="false">F120*Q120</f>
        <v>0</v>
      </c>
      <c r="P120" s="58" t="n">
        <v>0.9</v>
      </c>
      <c r="Q120" s="58" t="n">
        <v>0.006</v>
      </c>
      <c r="R120" s="59" t="s">
        <v>430</v>
      </c>
      <c r="S120" s="22"/>
      <c r="T120" s="11" t="str">
        <f aca="false">"16.12.25"</f>
        <v>16.12.25</v>
      </c>
    </row>
    <row r="121" customFormat="false" ht="7.5" hidden="false" customHeight="true" outlineLevel="2" collapsed="false">
      <c r="A121" s="60" t="str">
        <f aca="false">HYPERLINK("https://disk.360.yandex.ru/d/gVDqyv527fy_NA","фото")</f>
        <v>фото</v>
      </c>
      <c r="B121" s="49" t="s">
        <v>431</v>
      </c>
      <c r="C121" s="50" t="s">
        <v>432</v>
      </c>
      <c r="D121" s="51" t="s">
        <v>433</v>
      </c>
      <c r="E121" s="52" t="n">
        <f aca="false">I121*(1-J121)*(100-E1)/100</f>
        <v>2023.68</v>
      </c>
      <c r="F121" s="53"/>
      <c r="G121" s="54" t="n">
        <v>10</v>
      </c>
      <c r="H121" s="52" t="n">
        <f aca="false">E121*F121</f>
        <v>0</v>
      </c>
      <c r="I121" s="55" t="n">
        <v>3720</v>
      </c>
      <c r="J121" s="56" t="n">
        <v>0.15</v>
      </c>
      <c r="K121" s="57" t="n">
        <v>249</v>
      </c>
      <c r="L121" s="22" t="s">
        <v>53</v>
      </c>
      <c r="M121" s="22" t="s">
        <v>152</v>
      </c>
      <c r="N121" s="58" t="n">
        <f aca="false">F121*P121</f>
        <v>0</v>
      </c>
      <c r="O121" s="58" t="n">
        <f aca="false">F121*Q121</f>
        <v>0</v>
      </c>
      <c r="P121" s="58" t="n">
        <v>1</v>
      </c>
      <c r="Q121" s="58" t="n">
        <v>0.006</v>
      </c>
      <c r="R121" s="59" t="s">
        <v>434</v>
      </c>
      <c r="S121" s="22"/>
      <c r="T121" s="11" t="str">
        <f aca="false">"16.12.25"</f>
        <v>16.12.25</v>
      </c>
    </row>
    <row r="122" customFormat="false" ht="7.5" hidden="false" customHeight="true" outlineLevel="1" collapsed="false">
      <c r="A122" s="38"/>
      <c r="B122" s="39"/>
      <c r="C122" s="40" t="s">
        <v>435</v>
      </c>
      <c r="D122" s="41"/>
      <c r="E122" s="42"/>
      <c r="F122" s="43"/>
      <c r="G122" s="44"/>
      <c r="H122" s="42"/>
      <c r="I122" s="45"/>
      <c r="J122" s="46"/>
      <c r="K122" s="45"/>
      <c r="L122" s="44"/>
      <c r="M122" s="44"/>
      <c r="N122" s="47"/>
      <c r="O122" s="47"/>
      <c r="P122" s="47"/>
      <c r="Q122" s="47"/>
      <c r="R122" s="39"/>
      <c r="S122" s="44"/>
      <c r="T122" s="11" t="str">
        <f aca="false">"16.12.25"</f>
        <v>16.12.25</v>
      </c>
    </row>
    <row r="123" customFormat="false" ht="7.5" hidden="false" customHeight="true" outlineLevel="2" collapsed="false">
      <c r="A123" s="60" t="str">
        <f aca="false">HYPERLINK("https://disk.yandex.ru/d/k--6Wh-WzWu8tg","фото")</f>
        <v>фото</v>
      </c>
      <c r="B123" s="49" t="s">
        <v>436</v>
      </c>
      <c r="C123" s="50" t="s">
        <v>437</v>
      </c>
      <c r="D123" s="51" t="s">
        <v>438</v>
      </c>
      <c r="E123" s="52" t="n">
        <f aca="false">I123*(1-J123)*(100-E1)/100</f>
        <v>7340.8</v>
      </c>
      <c r="F123" s="53"/>
      <c r="G123" s="54" t="n">
        <v>3</v>
      </c>
      <c r="H123" s="52" t="n">
        <f aca="false">E123*F123</f>
        <v>0</v>
      </c>
      <c r="I123" s="55" t="n">
        <v>11470</v>
      </c>
      <c r="J123" s="56"/>
      <c r="K123" s="57" t="n">
        <v>0</v>
      </c>
      <c r="L123" s="22" t="s">
        <v>44</v>
      </c>
      <c r="M123" s="22"/>
      <c r="N123" s="58" t="n">
        <f aca="false">F123*P123</f>
        <v>0</v>
      </c>
      <c r="O123" s="58" t="n">
        <f aca="false">F123*Q123</f>
        <v>0</v>
      </c>
      <c r="P123" s="58" t="n">
        <v>9.5</v>
      </c>
      <c r="Q123" s="58" t="n">
        <v>0.02</v>
      </c>
      <c r="R123" s="59" t="s">
        <v>439</v>
      </c>
      <c r="S123" s="22"/>
      <c r="T123" s="11" t="str">
        <f aca="false">"16.12.25"</f>
        <v>16.12.25</v>
      </c>
    </row>
    <row r="124" customFormat="false" ht="7.5" hidden="false" customHeight="true" outlineLevel="2" collapsed="false">
      <c r="A124" s="60" t="str">
        <f aca="false">HYPERLINK("https://disk.360.yandex.ru/d/GJOIynFzdel7wA","фото")</f>
        <v>фото</v>
      </c>
      <c r="B124" s="49" t="s">
        <v>440</v>
      </c>
      <c r="C124" s="50" t="s">
        <v>441</v>
      </c>
      <c r="D124" s="51" t="s">
        <v>442</v>
      </c>
      <c r="E124" s="52" t="n">
        <f aca="false">I124*(1-J124)*(100-E1)/100</f>
        <v>10547.2</v>
      </c>
      <c r="F124" s="53"/>
      <c r="G124" s="54" t="n">
        <v>1</v>
      </c>
      <c r="H124" s="52" t="n">
        <f aca="false">E124*F124</f>
        <v>0</v>
      </c>
      <c r="I124" s="55" t="n">
        <v>16480</v>
      </c>
      <c r="J124" s="56"/>
      <c r="K124" s="57" t="n">
        <v>0</v>
      </c>
      <c r="L124" s="22" t="s">
        <v>44</v>
      </c>
      <c r="M124" s="22"/>
      <c r="N124" s="58" t="n">
        <f aca="false">F124*P124</f>
        <v>0</v>
      </c>
      <c r="O124" s="58" t="n">
        <f aca="false">F124*Q124</f>
        <v>0</v>
      </c>
      <c r="P124" s="58" t="n">
        <v>20.5</v>
      </c>
      <c r="Q124" s="58" t="n">
        <v>0.036</v>
      </c>
      <c r="R124" s="59" t="s">
        <v>443</v>
      </c>
      <c r="S124" s="22"/>
      <c r="T124" s="11" t="str">
        <f aca="false">"16.12.25"</f>
        <v>16.12.25</v>
      </c>
    </row>
    <row r="125" customFormat="false" ht="7.5" hidden="false" customHeight="true" outlineLevel="2" collapsed="false">
      <c r="A125" s="60" t="str">
        <f aca="false">HYPERLINK("https://disk.360.yandex.ru/d/DrJtvwCE0Sa5iQ","фото")</f>
        <v>фото</v>
      </c>
      <c r="B125" s="49" t="s">
        <v>444</v>
      </c>
      <c r="C125" s="50" t="s">
        <v>445</v>
      </c>
      <c r="D125" s="51" t="s">
        <v>446</v>
      </c>
      <c r="E125" s="52" t="n">
        <f aca="false">I125*(1-J125)*(100-E1)/100</f>
        <v>11366.4</v>
      </c>
      <c r="F125" s="53"/>
      <c r="G125" s="54" t="n">
        <v>1</v>
      </c>
      <c r="H125" s="52" t="n">
        <f aca="false">E125*F125</f>
        <v>0</v>
      </c>
      <c r="I125" s="55" t="n">
        <v>17760</v>
      </c>
      <c r="J125" s="56"/>
      <c r="K125" s="57" t="n">
        <v>0</v>
      </c>
      <c r="L125" s="22" t="s">
        <v>44</v>
      </c>
      <c r="M125" s="22"/>
      <c r="N125" s="58" t="n">
        <f aca="false">F125*P125</f>
        <v>0</v>
      </c>
      <c r="O125" s="58" t="n">
        <f aca="false">F125*Q125</f>
        <v>0</v>
      </c>
      <c r="P125" s="58" t="n">
        <v>22.5</v>
      </c>
      <c r="Q125" s="58" t="n">
        <v>0.038</v>
      </c>
      <c r="R125" s="59" t="s">
        <v>447</v>
      </c>
      <c r="S125" s="22"/>
      <c r="T125" s="11" t="str">
        <f aca="false">"16.12.25"</f>
        <v>16.12.25</v>
      </c>
    </row>
    <row r="126" customFormat="false" ht="7.5" hidden="false" customHeight="true" outlineLevel="2" collapsed="false">
      <c r="A126" s="60" t="str">
        <f aca="false">HYPERLINK("https://disk.360.yandex.ru/d/drnRGIDqxPRZ3w","фото")</f>
        <v>фото</v>
      </c>
      <c r="B126" s="49" t="s">
        <v>448</v>
      </c>
      <c r="C126" s="50" t="s">
        <v>449</v>
      </c>
      <c r="D126" s="51" t="s">
        <v>450</v>
      </c>
      <c r="E126" s="52" t="n">
        <f aca="false">I126*(1-J126)*(100-E1)/100</f>
        <v>5792</v>
      </c>
      <c r="F126" s="53"/>
      <c r="G126" s="54" t="n">
        <v>3</v>
      </c>
      <c r="H126" s="52" t="n">
        <f aca="false">E126*F126</f>
        <v>0</v>
      </c>
      <c r="I126" s="55" t="n">
        <v>9050</v>
      </c>
      <c r="J126" s="56"/>
      <c r="K126" s="57" t="n">
        <v>0</v>
      </c>
      <c r="L126" s="22" t="s">
        <v>44</v>
      </c>
      <c r="M126" s="22"/>
      <c r="N126" s="58" t="n">
        <f aca="false">F126*P126</f>
        <v>0</v>
      </c>
      <c r="O126" s="58" t="n">
        <f aca="false">F126*Q126</f>
        <v>0</v>
      </c>
      <c r="P126" s="58" t="n">
        <v>8.833</v>
      </c>
      <c r="Q126" s="58" t="n">
        <v>0.014</v>
      </c>
      <c r="R126" s="59" t="s">
        <v>451</v>
      </c>
      <c r="S126" s="22"/>
      <c r="T126" s="11" t="str">
        <f aca="false">"16.12.25"</f>
        <v>16.12.25</v>
      </c>
    </row>
    <row r="127" customFormat="false" ht="7.5" hidden="false" customHeight="true" outlineLevel="2" collapsed="false">
      <c r="A127" s="60" t="str">
        <f aca="false">HYPERLINK("https://disk.yandex.ru/d/Z-40FEL1An714A","фото")</f>
        <v>фото</v>
      </c>
      <c r="B127" s="49" t="s">
        <v>452</v>
      </c>
      <c r="C127" s="50" t="s">
        <v>453</v>
      </c>
      <c r="D127" s="51"/>
      <c r="E127" s="52" t="n">
        <f aca="false">I127*(1-J127)*(100-E1)/100</f>
        <v>10547.2</v>
      </c>
      <c r="F127" s="53"/>
      <c r="G127" s="54" t="n">
        <v>1</v>
      </c>
      <c r="H127" s="52" t="n">
        <f aca="false">E127*F127</f>
        <v>0</v>
      </c>
      <c r="I127" s="55" t="n">
        <v>16480</v>
      </c>
      <c r="J127" s="56"/>
      <c r="K127" s="57" t="n">
        <v>0</v>
      </c>
      <c r="L127" s="22" t="s">
        <v>44</v>
      </c>
      <c r="M127" s="22"/>
      <c r="N127" s="58" t="n">
        <f aca="false">F127*P127</f>
        <v>0</v>
      </c>
      <c r="O127" s="58" t="n">
        <f aca="false">F127*Q127</f>
        <v>0</v>
      </c>
      <c r="P127" s="58" t="n">
        <v>19.4</v>
      </c>
      <c r="Q127" s="58" t="n">
        <v>0.035</v>
      </c>
      <c r="R127" s="59" t="s">
        <v>454</v>
      </c>
      <c r="S127" s="22"/>
      <c r="T127" s="11" t="str">
        <f aca="false">"16.12.25"</f>
        <v>16.12.25</v>
      </c>
    </row>
    <row r="128" customFormat="false" ht="7.5" hidden="false" customHeight="true" outlineLevel="2" collapsed="false">
      <c r="A128" s="60" t="str">
        <f aca="false">HYPERLINK("https://disk.360.yandex.ru/d/s8kUGDxTu847XA","фото")</f>
        <v>фото</v>
      </c>
      <c r="B128" s="49" t="s">
        <v>455</v>
      </c>
      <c r="C128" s="50" t="s">
        <v>456</v>
      </c>
      <c r="D128" s="51" t="s">
        <v>457</v>
      </c>
      <c r="E128" s="52" t="n">
        <f aca="false">I128*(1-J128)*(100-E1)/100</f>
        <v>14764.8</v>
      </c>
      <c r="F128" s="53"/>
      <c r="G128" s="54" t="n">
        <v>1</v>
      </c>
      <c r="H128" s="52" t="n">
        <f aca="false">E128*F128</f>
        <v>0</v>
      </c>
      <c r="I128" s="55" t="n">
        <v>23070</v>
      </c>
      <c r="J128" s="56"/>
      <c r="K128" s="57" t="n">
        <v>0</v>
      </c>
      <c r="L128" s="22" t="s">
        <v>53</v>
      </c>
      <c r="M128" s="22"/>
      <c r="N128" s="58" t="n">
        <f aca="false">F128*P128</f>
        <v>0</v>
      </c>
      <c r="O128" s="58" t="n">
        <f aca="false">F128*Q128</f>
        <v>0</v>
      </c>
      <c r="P128" s="58" t="n">
        <v>21.4</v>
      </c>
      <c r="Q128" s="58" t="n">
        <v>0.052</v>
      </c>
      <c r="R128" s="59" t="s">
        <v>458</v>
      </c>
      <c r="S128" s="22"/>
      <c r="T128" s="11" t="str">
        <f aca="false">"16.12.25"</f>
        <v>16.12.25</v>
      </c>
    </row>
    <row r="129" customFormat="false" ht="7.5" hidden="false" customHeight="true" outlineLevel="2" collapsed="false">
      <c r="A129" s="60" t="str">
        <f aca="false">HYPERLINK("https://disk.360.yandex.ru/d/zCL4Di93X6oAog","фото")</f>
        <v>фото</v>
      </c>
      <c r="B129" s="49" t="s">
        <v>459</v>
      </c>
      <c r="C129" s="50" t="s">
        <v>460</v>
      </c>
      <c r="D129" s="51" t="s">
        <v>461</v>
      </c>
      <c r="E129" s="52" t="n">
        <f aca="false">I129*(1-J129)*(100-E1)/100</f>
        <v>17164.8</v>
      </c>
      <c r="F129" s="53"/>
      <c r="G129" s="54" t="n">
        <v>1</v>
      </c>
      <c r="H129" s="52" t="n">
        <f aca="false">E129*F129</f>
        <v>0</v>
      </c>
      <c r="I129" s="55" t="n">
        <v>26820</v>
      </c>
      <c r="J129" s="56"/>
      <c r="K129" s="57" t="n">
        <v>0</v>
      </c>
      <c r="L129" s="22" t="s">
        <v>53</v>
      </c>
      <c r="M129" s="22"/>
      <c r="N129" s="58" t="n">
        <f aca="false">F129*P129</f>
        <v>0</v>
      </c>
      <c r="O129" s="58" t="n">
        <f aca="false">F129*Q129</f>
        <v>0</v>
      </c>
      <c r="P129" s="58" t="n">
        <v>21.8</v>
      </c>
      <c r="Q129" s="58" t="n">
        <v>0.052</v>
      </c>
      <c r="R129" s="59" t="s">
        <v>462</v>
      </c>
      <c r="S129" s="22"/>
      <c r="T129" s="11" t="str">
        <f aca="false">"16.12.25"</f>
        <v>16.12.25</v>
      </c>
    </row>
    <row r="130" customFormat="false" ht="7.5" hidden="false" customHeight="true" outlineLevel="1" collapsed="false">
      <c r="A130" s="38"/>
      <c r="B130" s="39"/>
      <c r="C130" s="40" t="s">
        <v>463</v>
      </c>
      <c r="D130" s="41"/>
      <c r="E130" s="42"/>
      <c r="F130" s="43"/>
      <c r="G130" s="44"/>
      <c r="H130" s="42"/>
      <c r="I130" s="45"/>
      <c r="J130" s="46"/>
      <c r="K130" s="45"/>
      <c r="L130" s="44"/>
      <c r="M130" s="44"/>
      <c r="N130" s="47"/>
      <c r="O130" s="47"/>
      <c r="P130" s="47"/>
      <c r="Q130" s="47"/>
      <c r="R130" s="39"/>
      <c r="S130" s="44"/>
      <c r="T130" s="11" t="str">
        <f aca="false">"16.12.25"</f>
        <v>16.12.25</v>
      </c>
    </row>
    <row r="131" customFormat="false" ht="7.5" hidden="false" customHeight="true" outlineLevel="2" collapsed="false">
      <c r="A131" s="60" t="str">
        <f aca="false">HYPERLINK("https://disk.yandex.ru/d/bS9OTOgL4_oJIg","фото")</f>
        <v>фото</v>
      </c>
      <c r="B131" s="49" t="s">
        <v>464</v>
      </c>
      <c r="C131" s="50" t="s">
        <v>465</v>
      </c>
      <c r="D131" s="51" t="s">
        <v>466</v>
      </c>
      <c r="E131" s="52" t="n">
        <f aca="false">I131*(1-J131)*(100-E1)/100</f>
        <v>4211.2</v>
      </c>
      <c r="F131" s="53"/>
      <c r="G131" s="54" t="n">
        <v>6</v>
      </c>
      <c r="H131" s="52" t="n">
        <f aca="false">E131*F131</f>
        <v>0</v>
      </c>
      <c r="I131" s="55" t="n">
        <v>6580</v>
      </c>
      <c r="J131" s="56"/>
      <c r="K131" s="57" t="n">
        <v>192</v>
      </c>
      <c r="L131" s="22" t="s">
        <v>44</v>
      </c>
      <c r="M131" s="22"/>
      <c r="N131" s="58" t="n">
        <f aca="false">F131*P131</f>
        <v>0</v>
      </c>
      <c r="O131" s="58" t="n">
        <f aca="false">F131*Q131</f>
        <v>0</v>
      </c>
      <c r="P131" s="58" t="n">
        <v>3.95</v>
      </c>
      <c r="Q131" s="58" t="n">
        <v>0.012</v>
      </c>
      <c r="R131" s="59" t="s">
        <v>467</v>
      </c>
      <c r="S131" s="22"/>
      <c r="T131" s="11" t="str">
        <f aca="false">"16.12.25"</f>
        <v>16.12.25</v>
      </c>
    </row>
    <row r="132" customFormat="false" ht="7.5" hidden="false" customHeight="true" outlineLevel="2" collapsed="false">
      <c r="A132" s="60" t="str">
        <f aca="false">HYPERLINK("https://disk.360.yandex.ru/d/Vxmd8HEzai8IXA","фото")</f>
        <v>фото</v>
      </c>
      <c r="B132" s="49" t="s">
        <v>468</v>
      </c>
      <c r="C132" s="50" t="s">
        <v>469</v>
      </c>
      <c r="D132" s="51" t="s">
        <v>470</v>
      </c>
      <c r="E132" s="52" t="n">
        <f aca="false">I132*(1-J132)*(100-E1)/100</f>
        <v>3302.08</v>
      </c>
      <c r="F132" s="53"/>
      <c r="G132" s="54" t="n">
        <v>6</v>
      </c>
      <c r="H132" s="52" t="n">
        <f aca="false">E132*F132</f>
        <v>0</v>
      </c>
      <c r="I132" s="55" t="n">
        <v>6070</v>
      </c>
      <c r="J132" s="56" t="n">
        <v>0.15</v>
      </c>
      <c r="K132" s="57" t="n">
        <v>1139</v>
      </c>
      <c r="L132" s="22" t="s">
        <v>44</v>
      </c>
      <c r="M132" s="22" t="s">
        <v>152</v>
      </c>
      <c r="N132" s="58" t="n">
        <f aca="false">F132*P132</f>
        <v>0</v>
      </c>
      <c r="O132" s="58" t="n">
        <f aca="false">F132*Q132</f>
        <v>0</v>
      </c>
      <c r="P132" s="58" t="n">
        <v>3.13</v>
      </c>
      <c r="Q132" s="58" t="n">
        <v>0.009</v>
      </c>
      <c r="R132" s="59" t="s">
        <v>471</v>
      </c>
      <c r="S132" s="22"/>
      <c r="T132" s="11" t="str">
        <f aca="false">"16.12.25"</f>
        <v>16.12.25</v>
      </c>
    </row>
    <row r="133" customFormat="false" ht="7.5" hidden="false" customHeight="true" outlineLevel="2" collapsed="false">
      <c r="A133" s="60" t="str">
        <f aca="false">HYPERLINK("https://disk.360.yandex.ru/d/9RpJfpqx8pxKAg","фото")</f>
        <v>фото</v>
      </c>
      <c r="B133" s="49" t="s">
        <v>472</v>
      </c>
      <c r="C133" s="50" t="s">
        <v>473</v>
      </c>
      <c r="D133" s="51" t="s">
        <v>474</v>
      </c>
      <c r="E133" s="52" t="n">
        <f aca="false">I133*(1-J133)*(100-E1)/100</f>
        <v>3595.84</v>
      </c>
      <c r="F133" s="53"/>
      <c r="G133" s="54" t="n">
        <v>4</v>
      </c>
      <c r="H133" s="52" t="n">
        <f aca="false">E133*F133</f>
        <v>0</v>
      </c>
      <c r="I133" s="55" t="n">
        <v>6610</v>
      </c>
      <c r="J133" s="56" t="n">
        <v>0.15</v>
      </c>
      <c r="K133" s="57" t="n">
        <v>962</v>
      </c>
      <c r="L133" s="22" t="s">
        <v>44</v>
      </c>
      <c r="M133" s="22" t="s">
        <v>152</v>
      </c>
      <c r="N133" s="58" t="n">
        <f aca="false">F133*P133</f>
        <v>0</v>
      </c>
      <c r="O133" s="58" t="n">
        <f aca="false">F133*Q133</f>
        <v>0</v>
      </c>
      <c r="P133" s="58" t="n">
        <v>3.75</v>
      </c>
      <c r="Q133" s="58" t="n">
        <v>0.011</v>
      </c>
      <c r="R133" s="59" t="s">
        <v>475</v>
      </c>
      <c r="S133" s="22"/>
      <c r="T133" s="11" t="str">
        <f aca="false">"16.12.25"</f>
        <v>16.12.25</v>
      </c>
    </row>
    <row r="134" customFormat="false" ht="7.5" hidden="false" customHeight="true" outlineLevel="2" collapsed="false">
      <c r="A134" s="60" t="str">
        <f aca="false">HYPERLINK("https://disk.360.yandex.ru/d/SgamJm2ba6DZBQ","фото")</f>
        <v>фото</v>
      </c>
      <c r="B134" s="49" t="s">
        <v>476</v>
      </c>
      <c r="C134" s="50" t="s">
        <v>477</v>
      </c>
      <c r="D134" s="51" t="s">
        <v>478</v>
      </c>
      <c r="E134" s="52" t="n">
        <f aca="false">I134*(1-J134)*(100-E1)/100</f>
        <v>3410.88</v>
      </c>
      <c r="F134" s="53"/>
      <c r="G134" s="54" t="n">
        <v>4</v>
      </c>
      <c r="H134" s="52" t="n">
        <f aca="false">E134*F134</f>
        <v>0</v>
      </c>
      <c r="I134" s="55" t="n">
        <v>6270</v>
      </c>
      <c r="J134" s="56" t="n">
        <v>0.15</v>
      </c>
      <c r="K134" s="57" t="n">
        <v>469</v>
      </c>
      <c r="L134" s="22" t="s">
        <v>53</v>
      </c>
      <c r="M134" s="22" t="s">
        <v>152</v>
      </c>
      <c r="N134" s="58" t="n">
        <f aca="false">F134*P134</f>
        <v>0</v>
      </c>
      <c r="O134" s="58" t="n">
        <f aca="false">F134*Q134</f>
        <v>0</v>
      </c>
      <c r="P134" s="58" t="n">
        <v>4</v>
      </c>
      <c r="Q134" s="58" t="n">
        <v>0.011</v>
      </c>
      <c r="R134" s="59" t="s">
        <v>479</v>
      </c>
      <c r="S134" s="22"/>
      <c r="T134" s="11" t="str">
        <f aca="false">"16.12.25"</f>
        <v>16.12.25</v>
      </c>
    </row>
    <row r="135" customFormat="false" ht="7.5" hidden="false" customHeight="true" outlineLevel="2" collapsed="false">
      <c r="A135" s="60" t="str">
        <f aca="false">HYPERLINK("https://disk.360.yandex.ru/d/5IiPMjvcedbe1A","фото")</f>
        <v>фото</v>
      </c>
      <c r="B135" s="49" t="s">
        <v>480</v>
      </c>
      <c r="C135" s="50" t="s">
        <v>481</v>
      </c>
      <c r="D135" s="51" t="s">
        <v>482</v>
      </c>
      <c r="E135" s="52" t="n">
        <f aca="false">I135*(1-J135)*(100-E1)/100</f>
        <v>3633.92</v>
      </c>
      <c r="F135" s="53"/>
      <c r="G135" s="54" t="n">
        <v>4</v>
      </c>
      <c r="H135" s="52" t="n">
        <f aca="false">E135*F135</f>
        <v>0</v>
      </c>
      <c r="I135" s="55" t="n">
        <v>6680</v>
      </c>
      <c r="J135" s="56" t="n">
        <v>0.15</v>
      </c>
      <c r="K135" s="57" t="n">
        <v>415</v>
      </c>
      <c r="L135" s="22" t="s">
        <v>53</v>
      </c>
      <c r="M135" s="22" t="s">
        <v>152</v>
      </c>
      <c r="N135" s="58" t="n">
        <f aca="false">F135*P135</f>
        <v>0</v>
      </c>
      <c r="O135" s="58" t="n">
        <f aca="false">F135*Q135</f>
        <v>0</v>
      </c>
      <c r="P135" s="58" t="n">
        <v>4</v>
      </c>
      <c r="Q135" s="58" t="n">
        <v>0.011</v>
      </c>
      <c r="R135" s="59" t="s">
        <v>483</v>
      </c>
      <c r="S135" s="22"/>
      <c r="T135" s="11" t="str">
        <f aca="false">"16.12.25"</f>
        <v>16.12.25</v>
      </c>
    </row>
    <row r="136" customFormat="false" ht="7.5" hidden="false" customHeight="true" outlineLevel="1" collapsed="false">
      <c r="A136" s="38"/>
      <c r="B136" s="39"/>
      <c r="C136" s="40" t="s">
        <v>484</v>
      </c>
      <c r="D136" s="41"/>
      <c r="E136" s="42"/>
      <c r="F136" s="43"/>
      <c r="G136" s="44"/>
      <c r="H136" s="42"/>
      <c r="I136" s="45"/>
      <c r="J136" s="46"/>
      <c r="K136" s="45"/>
      <c r="L136" s="44"/>
      <c r="M136" s="44"/>
      <c r="N136" s="47"/>
      <c r="O136" s="47"/>
      <c r="P136" s="47"/>
      <c r="Q136" s="47"/>
      <c r="R136" s="39"/>
      <c r="S136" s="44"/>
      <c r="T136" s="11" t="str">
        <f aca="false">"16.12.25"</f>
        <v>16.12.25</v>
      </c>
    </row>
    <row r="137" customFormat="false" ht="7.5" hidden="false" customHeight="true" outlineLevel="2" collapsed="false">
      <c r="A137" s="60" t="str">
        <f aca="false">HYPERLINK("https://disk.yandex.ru/d/1wfbgzZ9AgpioQ","фото")</f>
        <v>фото</v>
      </c>
      <c r="B137" s="49" t="s">
        <v>485</v>
      </c>
      <c r="C137" s="50" t="s">
        <v>486</v>
      </c>
      <c r="D137" s="51" t="s">
        <v>487</v>
      </c>
      <c r="E137" s="52" t="n">
        <f aca="false">I137*(1-J137)*(100-E1)/100</f>
        <v>1751.68</v>
      </c>
      <c r="F137" s="53"/>
      <c r="G137" s="54" t="n">
        <v>12</v>
      </c>
      <c r="H137" s="52" t="n">
        <f aca="false">E137*F137</f>
        <v>0</v>
      </c>
      <c r="I137" s="55" t="n">
        <v>3220</v>
      </c>
      <c r="J137" s="56" t="n">
        <v>0.15</v>
      </c>
      <c r="K137" s="57" t="n">
        <v>3488</v>
      </c>
      <c r="L137" s="22" t="s">
        <v>44</v>
      </c>
      <c r="M137" s="22" t="s">
        <v>15</v>
      </c>
      <c r="N137" s="58" t="n">
        <f aca="false">F137*P137</f>
        <v>0</v>
      </c>
      <c r="O137" s="58" t="n">
        <f aca="false">F137*Q137</f>
        <v>0</v>
      </c>
      <c r="P137" s="58" t="n">
        <v>1.74</v>
      </c>
      <c r="Q137" s="58" t="n">
        <v>0.004</v>
      </c>
      <c r="R137" s="59" t="s">
        <v>488</v>
      </c>
      <c r="S137" s="22"/>
      <c r="T137" s="11" t="str">
        <f aca="false">"16.12.25"</f>
        <v>16.12.25</v>
      </c>
    </row>
    <row r="138" customFormat="false" ht="7.5" hidden="false" customHeight="true" outlineLevel="1" collapsed="false">
      <c r="A138" s="38"/>
      <c r="B138" s="39"/>
      <c r="C138" s="40" t="s">
        <v>489</v>
      </c>
      <c r="D138" s="41"/>
      <c r="E138" s="42"/>
      <c r="F138" s="43"/>
      <c r="G138" s="44"/>
      <c r="H138" s="42"/>
      <c r="I138" s="45"/>
      <c r="J138" s="46"/>
      <c r="K138" s="45"/>
      <c r="L138" s="44"/>
      <c r="M138" s="44"/>
      <c r="N138" s="47"/>
      <c r="O138" s="47"/>
      <c r="P138" s="47"/>
      <c r="Q138" s="47"/>
      <c r="R138" s="39"/>
      <c r="S138" s="44"/>
      <c r="T138" s="11" t="str">
        <f aca="false">"16.12.25"</f>
        <v>16.12.25</v>
      </c>
    </row>
    <row r="139" customFormat="false" ht="7.5" hidden="false" customHeight="true" outlineLevel="2" collapsed="false">
      <c r="A139" s="60" t="str">
        <f aca="false">HYPERLINK("https://disk.360.yandex.ru/d/QYLvW2GgEjKuww","фото")</f>
        <v>фото</v>
      </c>
      <c r="B139" s="49" t="s">
        <v>490</v>
      </c>
      <c r="C139" s="50" t="s">
        <v>491</v>
      </c>
      <c r="D139" s="51" t="s">
        <v>492</v>
      </c>
      <c r="E139" s="52" t="n">
        <f aca="false">I139*(1-J139)*(100-E1)/100</f>
        <v>1468.8</v>
      </c>
      <c r="F139" s="53"/>
      <c r="G139" s="54" t="n">
        <v>10</v>
      </c>
      <c r="H139" s="52" t="n">
        <f aca="false">E139*F139</f>
        <v>0</v>
      </c>
      <c r="I139" s="55" t="n">
        <v>2700</v>
      </c>
      <c r="J139" s="56" t="n">
        <v>0.15</v>
      </c>
      <c r="K139" s="57" t="n">
        <v>791</v>
      </c>
      <c r="L139" s="22" t="s">
        <v>44</v>
      </c>
      <c r="M139" s="22" t="s">
        <v>31</v>
      </c>
      <c r="N139" s="58" t="n">
        <f aca="false">F139*P139</f>
        <v>0</v>
      </c>
      <c r="O139" s="58" t="n">
        <f aca="false">F139*Q139</f>
        <v>0</v>
      </c>
      <c r="P139" s="58" t="n">
        <v>1.4</v>
      </c>
      <c r="Q139" s="58" t="n">
        <v>0.005</v>
      </c>
      <c r="R139" s="59" t="s">
        <v>493</v>
      </c>
      <c r="S139" s="22"/>
      <c r="T139" s="11" t="str">
        <f aca="false">"16.12.25"</f>
        <v>16.12.25</v>
      </c>
    </row>
    <row r="140" customFormat="false" ht="7.5" hidden="false" customHeight="true" outlineLevel="2" collapsed="false">
      <c r="A140" s="60" t="str">
        <f aca="false">HYPERLINK("https://disk.360.yandex.ru/d/_DEYh38YHt8wlg","фото")</f>
        <v>фото</v>
      </c>
      <c r="B140" s="49" t="s">
        <v>494</v>
      </c>
      <c r="C140" s="50" t="s">
        <v>495</v>
      </c>
      <c r="D140" s="51" t="s">
        <v>496</v>
      </c>
      <c r="E140" s="52" t="n">
        <f aca="false">I140*(1-J140)*(100-E1)/100</f>
        <v>1642.88</v>
      </c>
      <c r="F140" s="53"/>
      <c r="G140" s="54" t="n">
        <v>10</v>
      </c>
      <c r="H140" s="52" t="n">
        <f aca="false">E140*F140</f>
        <v>0</v>
      </c>
      <c r="I140" s="55" t="n">
        <v>3020</v>
      </c>
      <c r="J140" s="56" t="n">
        <v>0.15</v>
      </c>
      <c r="K140" s="57" t="n">
        <v>402</v>
      </c>
      <c r="L140" s="22" t="s">
        <v>53</v>
      </c>
      <c r="M140" s="22" t="s">
        <v>152</v>
      </c>
      <c r="N140" s="58" t="n">
        <f aca="false">F140*P140</f>
        <v>0</v>
      </c>
      <c r="O140" s="58" t="n">
        <f aca="false">F140*Q140</f>
        <v>0</v>
      </c>
      <c r="P140" s="58" t="n">
        <v>1.6</v>
      </c>
      <c r="Q140" s="58" t="n">
        <v>0.005</v>
      </c>
      <c r="R140" s="59" t="s">
        <v>497</v>
      </c>
      <c r="S140" s="22"/>
      <c r="T140" s="11" t="str">
        <f aca="false">"16.12.25"</f>
        <v>16.12.25</v>
      </c>
    </row>
    <row r="141" customFormat="false" ht="7.5" hidden="false" customHeight="true" outlineLevel="2" collapsed="false">
      <c r="A141" s="60" t="str">
        <f aca="false">HYPERLINK("https://disk.360.yandex.ru/d/-Fm0bT8uo2lURg","фото")</f>
        <v>фото</v>
      </c>
      <c r="B141" s="49" t="s">
        <v>498</v>
      </c>
      <c r="C141" s="50" t="s">
        <v>499</v>
      </c>
      <c r="D141" s="51" t="s">
        <v>500</v>
      </c>
      <c r="E141" s="52" t="n">
        <f aca="false">I141*(1-J141)*(100-E1)/100</f>
        <v>2388.16</v>
      </c>
      <c r="F141" s="53"/>
      <c r="G141" s="54" t="n">
        <v>10</v>
      </c>
      <c r="H141" s="52" t="n">
        <f aca="false">E141*F141</f>
        <v>0</v>
      </c>
      <c r="I141" s="55" t="n">
        <v>4390</v>
      </c>
      <c r="J141" s="56" t="n">
        <v>0.15</v>
      </c>
      <c r="K141" s="57" t="n">
        <v>441</v>
      </c>
      <c r="L141" s="22" t="s">
        <v>53</v>
      </c>
      <c r="M141" s="22" t="s">
        <v>152</v>
      </c>
      <c r="N141" s="58" t="n">
        <f aca="false">F141*P141</f>
        <v>0</v>
      </c>
      <c r="O141" s="58" t="n">
        <f aca="false">F141*Q141</f>
        <v>0</v>
      </c>
      <c r="P141" s="58" t="n">
        <v>1.6</v>
      </c>
      <c r="Q141" s="58" t="n">
        <v>0.005</v>
      </c>
      <c r="R141" s="59" t="s">
        <v>501</v>
      </c>
      <c r="S141" s="22"/>
      <c r="T141" s="11" t="str">
        <f aca="false">"16.12.25"</f>
        <v>16.12.25</v>
      </c>
    </row>
    <row r="142" customFormat="false" ht="7.5" hidden="false" customHeight="true" outlineLevel="1" collapsed="false">
      <c r="A142" s="38"/>
      <c r="B142" s="39"/>
      <c r="C142" s="40" t="s">
        <v>502</v>
      </c>
      <c r="D142" s="41"/>
      <c r="E142" s="42"/>
      <c r="F142" s="43"/>
      <c r="G142" s="44"/>
      <c r="H142" s="42"/>
      <c r="I142" s="45"/>
      <c r="J142" s="46"/>
      <c r="K142" s="45"/>
      <c r="L142" s="44"/>
      <c r="M142" s="44"/>
      <c r="N142" s="47"/>
      <c r="O142" s="47"/>
      <c r="P142" s="47"/>
      <c r="Q142" s="47"/>
      <c r="R142" s="39"/>
      <c r="S142" s="44"/>
      <c r="T142" s="11" t="str">
        <f aca="false">"16.12.25"</f>
        <v>16.12.25</v>
      </c>
    </row>
    <row r="143" customFormat="false" ht="7.5" hidden="false" customHeight="true" outlineLevel="2" collapsed="false">
      <c r="A143" s="60" t="str">
        <f aca="false">HYPERLINK("https://disk.yandex.ru/d/_FFqf3DnQ_cmiA","фото")</f>
        <v>фото</v>
      </c>
      <c r="B143" s="49" t="s">
        <v>503</v>
      </c>
      <c r="C143" s="50" t="s">
        <v>504</v>
      </c>
      <c r="D143" s="51" t="s">
        <v>505</v>
      </c>
      <c r="E143" s="52" t="n">
        <f aca="false">I143*(1-J143)*(100-E1)/100</f>
        <v>2839.68</v>
      </c>
      <c r="F143" s="53"/>
      <c r="G143" s="54" t="n">
        <v>4</v>
      </c>
      <c r="H143" s="52" t="n">
        <f aca="false">E143*F143</f>
        <v>0</v>
      </c>
      <c r="I143" s="55" t="n">
        <v>4930</v>
      </c>
      <c r="J143" s="56" t="n">
        <v>0.1</v>
      </c>
      <c r="K143" s="57" t="n">
        <v>290</v>
      </c>
      <c r="L143" s="22" t="s">
        <v>44</v>
      </c>
      <c r="M143" s="22" t="s">
        <v>15</v>
      </c>
      <c r="N143" s="58" t="n">
        <f aca="false">F143*P143</f>
        <v>0</v>
      </c>
      <c r="O143" s="58" t="n">
        <f aca="false">F143*Q143</f>
        <v>0</v>
      </c>
      <c r="P143" s="58" t="n">
        <v>3.7</v>
      </c>
      <c r="Q143" s="58" t="n">
        <v>0.009</v>
      </c>
      <c r="R143" s="59" t="s">
        <v>506</v>
      </c>
      <c r="S143" s="22"/>
      <c r="T143" s="11" t="str">
        <f aca="false">"16.12.25"</f>
        <v>16.12.25</v>
      </c>
    </row>
    <row r="144" customFormat="false" ht="7.5" hidden="false" customHeight="true" outlineLevel="1" collapsed="false">
      <c r="A144" s="38"/>
      <c r="B144" s="39"/>
      <c r="C144" s="40" t="s">
        <v>507</v>
      </c>
      <c r="D144" s="41"/>
      <c r="E144" s="42"/>
      <c r="F144" s="43"/>
      <c r="G144" s="44"/>
      <c r="H144" s="42"/>
      <c r="I144" s="45"/>
      <c r="J144" s="46"/>
      <c r="K144" s="45"/>
      <c r="L144" s="44"/>
      <c r="M144" s="44"/>
      <c r="N144" s="47"/>
      <c r="O144" s="47"/>
      <c r="P144" s="47"/>
      <c r="Q144" s="47"/>
      <c r="R144" s="39"/>
      <c r="S144" s="44"/>
      <c r="T144" s="11" t="str">
        <f aca="false">"16.12.25"</f>
        <v>16.12.25</v>
      </c>
    </row>
    <row r="145" customFormat="false" ht="7.5" hidden="false" customHeight="true" outlineLevel="2" collapsed="false">
      <c r="A145" s="60" t="str">
        <f aca="false">HYPERLINK("https://disk.yandex.ru/d/wu-T0JMDqn5g4A","фото")</f>
        <v>фото</v>
      </c>
      <c r="B145" s="49" t="s">
        <v>508</v>
      </c>
      <c r="C145" s="50" t="s">
        <v>509</v>
      </c>
      <c r="D145" s="51" t="s">
        <v>510</v>
      </c>
      <c r="E145" s="52" t="n">
        <f aca="false">I145*(1-J145)*(100-E1)/100</f>
        <v>2208</v>
      </c>
      <c r="F145" s="53"/>
      <c r="G145" s="54" t="n">
        <v>10</v>
      </c>
      <c r="H145" s="52" t="n">
        <f aca="false">E145*F145</f>
        <v>0</v>
      </c>
      <c r="I145" s="55" t="n">
        <v>3450</v>
      </c>
      <c r="J145" s="56"/>
      <c r="K145" s="57" t="n">
        <v>0</v>
      </c>
      <c r="L145" s="22" t="s">
        <v>44</v>
      </c>
      <c r="M145" s="22"/>
      <c r="N145" s="58" t="n">
        <f aca="false">F145*P145</f>
        <v>0</v>
      </c>
      <c r="O145" s="58" t="n">
        <f aca="false">F145*Q145</f>
        <v>0</v>
      </c>
      <c r="P145" s="58" t="n">
        <v>1.5</v>
      </c>
      <c r="Q145" s="58" t="n">
        <v>0.004</v>
      </c>
      <c r="R145" s="59" t="s">
        <v>511</v>
      </c>
      <c r="S145" s="22"/>
      <c r="T145" s="11" t="str">
        <f aca="false">"16.12.25"</f>
        <v>16.12.25</v>
      </c>
    </row>
    <row r="146" customFormat="false" ht="7.5" hidden="false" customHeight="true" outlineLevel="1" collapsed="false">
      <c r="A146" s="38"/>
      <c r="B146" s="39"/>
      <c r="C146" s="40" t="s">
        <v>512</v>
      </c>
      <c r="D146" s="41"/>
      <c r="E146" s="42"/>
      <c r="F146" s="43"/>
      <c r="G146" s="44"/>
      <c r="H146" s="42"/>
      <c r="I146" s="45"/>
      <c r="J146" s="46"/>
      <c r="K146" s="45"/>
      <c r="L146" s="44"/>
      <c r="M146" s="44"/>
      <c r="N146" s="47"/>
      <c r="O146" s="47"/>
      <c r="P146" s="47"/>
      <c r="Q146" s="47"/>
      <c r="R146" s="39"/>
      <c r="S146" s="44"/>
      <c r="T146" s="11" t="str">
        <f aca="false">"16.12.25"</f>
        <v>16.12.25</v>
      </c>
    </row>
    <row r="147" customFormat="false" ht="7.5" hidden="false" customHeight="true" outlineLevel="2" collapsed="false">
      <c r="A147" s="60" t="str">
        <f aca="false">HYPERLINK("https://disk.360.yandex.ru/d/lrwXdtWip9XYlQ","фото")</f>
        <v>фото</v>
      </c>
      <c r="B147" s="49" t="s">
        <v>513</v>
      </c>
      <c r="C147" s="50" t="s">
        <v>514</v>
      </c>
      <c r="D147" s="51" t="s">
        <v>515</v>
      </c>
      <c r="E147" s="52" t="n">
        <f aca="false">I147*(1-J147)*(100-E1)/100</f>
        <v>1055.36</v>
      </c>
      <c r="F147" s="53"/>
      <c r="G147" s="54" t="n">
        <v>10</v>
      </c>
      <c r="H147" s="52" t="n">
        <f aca="false">E147*F147</f>
        <v>0</v>
      </c>
      <c r="I147" s="55" t="n">
        <v>1940</v>
      </c>
      <c r="J147" s="56" t="n">
        <v>0.15</v>
      </c>
      <c r="K147" s="57" t="n">
        <v>0</v>
      </c>
      <c r="L147" s="22" t="s">
        <v>44</v>
      </c>
      <c r="M147" s="22" t="s">
        <v>152</v>
      </c>
      <c r="N147" s="58" t="n">
        <f aca="false">F147*P147</f>
        <v>0</v>
      </c>
      <c r="O147" s="58" t="n">
        <f aca="false">F147*Q147</f>
        <v>0</v>
      </c>
      <c r="P147" s="58" t="n">
        <v>2</v>
      </c>
      <c r="Q147" s="58" t="n">
        <v>0.006</v>
      </c>
      <c r="R147" s="59" t="s">
        <v>516</v>
      </c>
      <c r="S147" s="22"/>
      <c r="T147" s="11" t="str">
        <f aca="false">"16.12.25"</f>
        <v>16.12.25</v>
      </c>
    </row>
    <row r="148" customFormat="false" ht="7.5" hidden="false" customHeight="true" outlineLevel="2" collapsed="false">
      <c r="A148" s="60" t="str">
        <f aca="false">HYPERLINK("https://disk.360.yandex.ru/d/mUgCPLOCPBGgJw","фото")</f>
        <v>фото</v>
      </c>
      <c r="B148" s="49" t="s">
        <v>517</v>
      </c>
      <c r="C148" s="50" t="s">
        <v>518</v>
      </c>
      <c r="D148" s="51" t="s">
        <v>519</v>
      </c>
      <c r="E148" s="52" t="n">
        <f aca="false">I148*(1-J148)*(100-E1)/100</f>
        <v>4901.44</v>
      </c>
      <c r="F148" s="53"/>
      <c r="G148" s="54" t="n">
        <v>2</v>
      </c>
      <c r="H148" s="52" t="n">
        <f aca="false">E148*F148</f>
        <v>0</v>
      </c>
      <c r="I148" s="55" t="n">
        <v>9010</v>
      </c>
      <c r="J148" s="56" t="n">
        <v>0.15</v>
      </c>
      <c r="K148" s="57" t="n">
        <v>275</v>
      </c>
      <c r="L148" s="22" t="s">
        <v>44</v>
      </c>
      <c r="M148" s="22" t="s">
        <v>152</v>
      </c>
      <c r="N148" s="58" t="n">
        <f aca="false">F148*P148</f>
        <v>0</v>
      </c>
      <c r="O148" s="58" t="n">
        <f aca="false">F148*Q148</f>
        <v>0</v>
      </c>
      <c r="P148" s="58" t="n">
        <v>8</v>
      </c>
      <c r="Q148" s="58" t="n">
        <v>0.028</v>
      </c>
      <c r="R148" s="59" t="s">
        <v>520</v>
      </c>
      <c r="S148" s="22"/>
      <c r="T148" s="11" t="str">
        <f aca="false">"16.12.25"</f>
        <v>16.12.25</v>
      </c>
    </row>
    <row r="149" customFormat="false" ht="7.5" hidden="false" customHeight="true" outlineLevel="2" collapsed="false">
      <c r="A149" s="60" t="str">
        <f aca="false">HYPERLINK("https://disk.360.yandex.ru/d/Inf9F8hRxBOQLA","фото")</f>
        <v>фото</v>
      </c>
      <c r="B149" s="49" t="s">
        <v>521</v>
      </c>
      <c r="C149" s="50" t="s">
        <v>522</v>
      </c>
      <c r="D149" s="51" t="s">
        <v>523</v>
      </c>
      <c r="E149" s="52" t="n">
        <f aca="false">I149*(1-J149)*(100-E1)/100</f>
        <v>1024</v>
      </c>
      <c r="F149" s="53"/>
      <c r="G149" s="54" t="n">
        <v>10</v>
      </c>
      <c r="H149" s="52" t="n">
        <f aca="false">E149*F149</f>
        <v>0</v>
      </c>
      <c r="I149" s="55" t="n">
        <v>1600</v>
      </c>
      <c r="J149" s="56"/>
      <c r="K149" s="57" t="n">
        <v>1414</v>
      </c>
      <c r="L149" s="22" t="s">
        <v>44</v>
      </c>
      <c r="M149" s="22" t="s">
        <v>152</v>
      </c>
      <c r="N149" s="58" t="n">
        <f aca="false">F149*P149</f>
        <v>0</v>
      </c>
      <c r="O149" s="58" t="n">
        <f aca="false">F149*Q149</f>
        <v>0</v>
      </c>
      <c r="P149" s="58" t="n">
        <v>1</v>
      </c>
      <c r="Q149" s="58" t="n">
        <v>0.005</v>
      </c>
      <c r="R149" s="59" t="s">
        <v>524</v>
      </c>
      <c r="S149" s="22"/>
      <c r="T149" s="11" t="str">
        <f aca="false">"16.12.25"</f>
        <v>16.12.25</v>
      </c>
    </row>
    <row r="150" customFormat="false" ht="7.5" hidden="false" customHeight="true" outlineLevel="2" collapsed="false">
      <c r="A150" s="60" t="str">
        <f aca="false">HYPERLINK("https://disk.360.yandex.ru/d/WA7O3oRc1DA3MA","фото")</f>
        <v>фото</v>
      </c>
      <c r="B150" s="49" t="s">
        <v>525</v>
      </c>
      <c r="C150" s="50" t="s">
        <v>526</v>
      </c>
      <c r="D150" s="51" t="s">
        <v>527</v>
      </c>
      <c r="E150" s="52" t="n">
        <f aca="false">I150*(1-J150)*(100-E1)/100</f>
        <v>1446.4</v>
      </c>
      <c r="F150" s="53"/>
      <c r="G150" s="54" t="n">
        <v>6</v>
      </c>
      <c r="H150" s="52" t="n">
        <f aca="false">E150*F150</f>
        <v>0</v>
      </c>
      <c r="I150" s="55" t="n">
        <v>2260</v>
      </c>
      <c r="J150" s="56"/>
      <c r="K150" s="57" t="n">
        <v>1425</v>
      </c>
      <c r="L150" s="22" t="s">
        <v>44</v>
      </c>
      <c r="M150" s="22" t="s">
        <v>152</v>
      </c>
      <c r="N150" s="58" t="n">
        <f aca="false">F150*P150</f>
        <v>0</v>
      </c>
      <c r="O150" s="58" t="n">
        <f aca="false">F150*Q150</f>
        <v>0</v>
      </c>
      <c r="P150" s="58" t="n">
        <v>1.7</v>
      </c>
      <c r="Q150" s="58" t="n">
        <v>0.061</v>
      </c>
      <c r="R150" s="59" t="s">
        <v>528</v>
      </c>
      <c r="S150" s="22"/>
      <c r="T150" s="11" t="str">
        <f aca="false">"16.12.25"</f>
        <v>16.12.25</v>
      </c>
    </row>
    <row r="151" customFormat="false" ht="7.5" hidden="false" customHeight="true" outlineLevel="2" collapsed="false">
      <c r="A151" s="60" t="str">
        <f aca="false">HYPERLINK("https://disk.360.yandex.ru/d/qxiOp8taJCVaHw","фото")</f>
        <v>фото</v>
      </c>
      <c r="B151" s="49" t="s">
        <v>529</v>
      </c>
      <c r="C151" s="50" t="s">
        <v>530</v>
      </c>
      <c r="D151" s="51" t="s">
        <v>531</v>
      </c>
      <c r="E151" s="52" t="n">
        <f aca="false">I151*(1-J151)*(100-E1)/100</f>
        <v>2273.92</v>
      </c>
      <c r="F151" s="53"/>
      <c r="G151" s="54" t="n">
        <v>6</v>
      </c>
      <c r="H151" s="52" t="n">
        <f aca="false">E151*F151</f>
        <v>0</v>
      </c>
      <c r="I151" s="55" t="n">
        <v>4180</v>
      </c>
      <c r="J151" s="56" t="n">
        <v>0.15</v>
      </c>
      <c r="K151" s="57" t="n">
        <v>1433</v>
      </c>
      <c r="L151" s="22" t="s">
        <v>44</v>
      </c>
      <c r="M151" s="22" t="s">
        <v>152</v>
      </c>
      <c r="N151" s="58" t="n">
        <f aca="false">F151*P151</f>
        <v>0</v>
      </c>
      <c r="O151" s="58" t="n">
        <f aca="false">F151*Q151</f>
        <v>0</v>
      </c>
      <c r="P151" s="58" t="n">
        <v>2.8</v>
      </c>
      <c r="Q151" s="58" t="n">
        <v>0.007</v>
      </c>
      <c r="R151" s="59" t="s">
        <v>532</v>
      </c>
      <c r="S151" s="22"/>
      <c r="T151" s="11" t="str">
        <f aca="false">"16.12.25"</f>
        <v>16.12.25</v>
      </c>
    </row>
    <row r="152" customFormat="false" ht="7.5" hidden="false" customHeight="true" outlineLevel="2" collapsed="false">
      <c r="A152" s="60" t="str">
        <f aca="false">HYPERLINK("https://disk.360.yandex.ru/d/ncvVGpFCMtYqJQ","фото")</f>
        <v>фото</v>
      </c>
      <c r="B152" s="49" t="s">
        <v>533</v>
      </c>
      <c r="C152" s="50" t="s">
        <v>534</v>
      </c>
      <c r="D152" s="51" t="s">
        <v>535</v>
      </c>
      <c r="E152" s="52" t="n">
        <f aca="false">I152*(1-J152)*(100-E1)/100</f>
        <v>787.2</v>
      </c>
      <c r="F152" s="53"/>
      <c r="G152" s="54" t="n">
        <v>10</v>
      </c>
      <c r="H152" s="52" t="n">
        <f aca="false">E152*F152</f>
        <v>0</v>
      </c>
      <c r="I152" s="55" t="n">
        <v>1230</v>
      </c>
      <c r="J152" s="56"/>
      <c r="K152" s="57" t="n">
        <v>0</v>
      </c>
      <c r="L152" s="22" t="s">
        <v>44</v>
      </c>
      <c r="M152" s="22"/>
      <c r="N152" s="58" t="n">
        <f aca="false">F152*P152</f>
        <v>0</v>
      </c>
      <c r="O152" s="58" t="n">
        <f aca="false">F152*Q152</f>
        <v>0</v>
      </c>
      <c r="P152" s="58" t="n">
        <v>0.893</v>
      </c>
      <c r="Q152" s="58" t="n">
        <v>0.01</v>
      </c>
      <c r="R152" s="59" t="s">
        <v>536</v>
      </c>
      <c r="S152" s="22"/>
      <c r="T152" s="11" t="str">
        <f aca="false">"16.12.25"</f>
        <v>16.12.25</v>
      </c>
    </row>
    <row r="153" customFormat="false" ht="7.5" hidden="false" customHeight="true" outlineLevel="2" collapsed="false">
      <c r="A153" s="60" t="str">
        <f aca="false">HYPERLINK("https://disk.360.yandex.ru/d/hE-nnXA_vORRvQ","фото")</f>
        <v>фото</v>
      </c>
      <c r="B153" s="49" t="s">
        <v>537</v>
      </c>
      <c r="C153" s="50" t="s">
        <v>538</v>
      </c>
      <c r="D153" s="51" t="s">
        <v>539</v>
      </c>
      <c r="E153" s="52" t="n">
        <f aca="false">I153*(1-J153)*(100-E1)/100</f>
        <v>3539.2</v>
      </c>
      <c r="F153" s="53"/>
      <c r="G153" s="54" t="n">
        <v>5</v>
      </c>
      <c r="H153" s="52" t="n">
        <f aca="false">E153*F153</f>
        <v>0</v>
      </c>
      <c r="I153" s="55" t="n">
        <v>5530</v>
      </c>
      <c r="J153" s="56"/>
      <c r="K153" s="57" t="n">
        <v>1114</v>
      </c>
      <c r="L153" s="22" t="s">
        <v>44</v>
      </c>
      <c r="M153" s="22"/>
      <c r="N153" s="58" t="n">
        <f aca="false">F153*P153</f>
        <v>0</v>
      </c>
      <c r="O153" s="58" t="n">
        <f aca="false">F153*Q153</f>
        <v>0</v>
      </c>
      <c r="P153" s="58" t="n">
        <v>4.968</v>
      </c>
      <c r="Q153" s="58" t="n">
        <v>0.013</v>
      </c>
      <c r="R153" s="59" t="s">
        <v>540</v>
      </c>
      <c r="S153" s="22"/>
      <c r="T153" s="11" t="str">
        <f aca="false">"16.12.25"</f>
        <v>16.12.25</v>
      </c>
    </row>
    <row r="154" customFormat="false" ht="7.5" hidden="false" customHeight="true" outlineLevel="2" collapsed="false">
      <c r="A154" s="60" t="str">
        <f aca="false">HYPERLINK("https://disk.360.yandex.ru/d/VfT0-XlnZ-XDaA","фото")</f>
        <v>фото</v>
      </c>
      <c r="B154" s="49" t="s">
        <v>541</v>
      </c>
      <c r="C154" s="50" t="s">
        <v>542</v>
      </c>
      <c r="D154" s="51" t="s">
        <v>543</v>
      </c>
      <c r="E154" s="52" t="n">
        <f aca="false">I154*(1-J154)*(100-E1)/100</f>
        <v>2758.4</v>
      </c>
      <c r="F154" s="53"/>
      <c r="G154" s="54" t="n">
        <v>10</v>
      </c>
      <c r="H154" s="52" t="n">
        <f aca="false">E154*F154</f>
        <v>0</v>
      </c>
      <c r="I154" s="55" t="n">
        <v>4310</v>
      </c>
      <c r="J154" s="56"/>
      <c r="K154" s="57" t="n">
        <v>22</v>
      </c>
      <c r="L154" s="22" t="s">
        <v>53</v>
      </c>
      <c r="M154" s="22"/>
      <c r="N154" s="58" t="n">
        <f aca="false">F154*P154</f>
        <v>0</v>
      </c>
      <c r="O154" s="58" t="n">
        <f aca="false">F154*Q154</f>
        <v>0</v>
      </c>
      <c r="P154" s="58" t="n">
        <v>3.498</v>
      </c>
      <c r="Q154" s="58" t="n">
        <v>0.01</v>
      </c>
      <c r="R154" s="59" t="s">
        <v>544</v>
      </c>
      <c r="S154" s="22"/>
      <c r="T154" s="11" t="str">
        <f aca="false">"16.12.25"</f>
        <v>16.12.25</v>
      </c>
    </row>
    <row r="155" customFormat="false" ht="7.5" hidden="false" customHeight="true" outlineLevel="2" collapsed="false">
      <c r="A155" s="60" t="str">
        <f aca="false">HYPERLINK("https://disk.360.yandex.ru/d/vvyGBHWkqtXDHA","фото")</f>
        <v>фото</v>
      </c>
      <c r="B155" s="49" t="s">
        <v>545</v>
      </c>
      <c r="C155" s="50" t="s">
        <v>546</v>
      </c>
      <c r="D155" s="51" t="s">
        <v>547</v>
      </c>
      <c r="E155" s="52" t="n">
        <f aca="false">I155*(1-J155)*(100-E1)/100</f>
        <v>2848</v>
      </c>
      <c r="F155" s="53"/>
      <c r="G155" s="54" t="n">
        <v>10</v>
      </c>
      <c r="H155" s="52" t="n">
        <f aca="false">E155*F155</f>
        <v>0</v>
      </c>
      <c r="I155" s="55" t="n">
        <v>4450</v>
      </c>
      <c r="J155" s="56"/>
      <c r="K155" s="57" t="n">
        <v>0</v>
      </c>
      <c r="L155" s="22" t="s">
        <v>53</v>
      </c>
      <c r="M155" s="22"/>
      <c r="N155" s="58" t="n">
        <f aca="false">F155*P155</f>
        <v>0</v>
      </c>
      <c r="O155" s="58" t="n">
        <f aca="false">F155*Q155</f>
        <v>0</v>
      </c>
      <c r="P155" s="58" t="n">
        <v>3.45</v>
      </c>
      <c r="Q155" s="58" t="n">
        <v>0.01</v>
      </c>
      <c r="R155" s="59" t="s">
        <v>548</v>
      </c>
      <c r="S155" s="22"/>
      <c r="T155" s="11" t="str">
        <f aca="false">"16.12.25"</f>
        <v>16.12.25</v>
      </c>
    </row>
    <row r="156" customFormat="false" ht="7.5" hidden="false" customHeight="true" outlineLevel="1" collapsed="false">
      <c r="A156" s="38"/>
      <c r="B156" s="39"/>
      <c r="C156" s="40" t="s">
        <v>549</v>
      </c>
      <c r="D156" s="41"/>
      <c r="E156" s="42"/>
      <c r="F156" s="43"/>
      <c r="G156" s="44"/>
      <c r="H156" s="42"/>
      <c r="I156" s="45"/>
      <c r="J156" s="46"/>
      <c r="K156" s="45"/>
      <c r="L156" s="44"/>
      <c r="M156" s="44"/>
      <c r="N156" s="47"/>
      <c r="O156" s="47"/>
      <c r="P156" s="47"/>
      <c r="Q156" s="47"/>
      <c r="R156" s="39"/>
      <c r="S156" s="44"/>
      <c r="T156" s="11" t="str">
        <f aca="false">"16.12.25"</f>
        <v>16.12.25</v>
      </c>
    </row>
    <row r="157" customFormat="false" ht="7.5" hidden="false" customHeight="true" outlineLevel="2" collapsed="false">
      <c r="A157" s="60" t="str">
        <f aca="false">HYPERLINK("https://disk.360.yandex.ru/d/i7mSx5ylVgAA0Q","фото")</f>
        <v>фото</v>
      </c>
      <c r="B157" s="49" t="s">
        <v>550</v>
      </c>
      <c r="C157" s="50" t="s">
        <v>551</v>
      </c>
      <c r="D157" s="51"/>
      <c r="E157" s="52" t="n">
        <f aca="false">I157*(1-J157)*(100-E1)/100</f>
        <v>7610.56</v>
      </c>
      <c r="F157" s="53"/>
      <c r="G157" s="54" t="n">
        <v>2</v>
      </c>
      <c r="H157" s="52" t="n">
        <f aca="false">E157*F157</f>
        <v>0</v>
      </c>
      <c r="I157" s="55" t="n">
        <v>13990</v>
      </c>
      <c r="J157" s="56" t="n">
        <v>0.15</v>
      </c>
      <c r="K157" s="57" t="n">
        <v>5</v>
      </c>
      <c r="L157" s="22" t="s">
        <v>44</v>
      </c>
      <c r="M157" s="22"/>
      <c r="N157" s="58" t="n">
        <f aca="false">F157*P157</f>
        <v>0</v>
      </c>
      <c r="O157" s="58" t="n">
        <f aca="false">F157*Q157</f>
        <v>0</v>
      </c>
      <c r="P157" s="58" t="n">
        <v>8.4</v>
      </c>
      <c r="Q157" s="58" t="n">
        <v>0.047</v>
      </c>
      <c r="R157" s="59" t="s">
        <v>552</v>
      </c>
      <c r="S157" s="22"/>
      <c r="T157" s="11" t="str">
        <f aca="false">"16.12.25"</f>
        <v>16.12.25</v>
      </c>
    </row>
    <row r="158" customFormat="false" ht="7.5" hidden="false" customHeight="true" outlineLevel="2" collapsed="false">
      <c r="A158" s="60" t="str">
        <f aca="false">HYPERLINK("https://disk.360.yandex.ru/d/0EVUUdiEpWFIzw","фото")</f>
        <v>фото</v>
      </c>
      <c r="B158" s="49" t="s">
        <v>553</v>
      </c>
      <c r="C158" s="50" t="s">
        <v>554</v>
      </c>
      <c r="D158" s="51" t="s">
        <v>555</v>
      </c>
      <c r="E158" s="52" t="n">
        <f aca="false">I158*(1-J158)*(100-E1)/100</f>
        <v>7610.56</v>
      </c>
      <c r="F158" s="53"/>
      <c r="G158" s="54" t="n">
        <v>2</v>
      </c>
      <c r="H158" s="52" t="n">
        <f aca="false">E158*F158</f>
        <v>0</v>
      </c>
      <c r="I158" s="55" t="n">
        <v>13990</v>
      </c>
      <c r="J158" s="56" t="n">
        <v>0.15</v>
      </c>
      <c r="K158" s="57" t="n">
        <v>12</v>
      </c>
      <c r="L158" s="22" t="s">
        <v>44</v>
      </c>
      <c r="M158" s="22"/>
      <c r="N158" s="58" t="n">
        <f aca="false">F158*P158</f>
        <v>0</v>
      </c>
      <c r="O158" s="58" t="n">
        <f aca="false">F158*Q158</f>
        <v>0</v>
      </c>
      <c r="P158" s="58" t="n">
        <v>7.92</v>
      </c>
      <c r="Q158" s="58" t="n">
        <v>0.047</v>
      </c>
      <c r="R158" s="59" t="s">
        <v>556</v>
      </c>
      <c r="S158" s="22"/>
      <c r="T158" s="11" t="str">
        <f aca="false">"16.12.25"</f>
        <v>16.12.25</v>
      </c>
    </row>
    <row r="159" customFormat="false" ht="7.5" hidden="false" customHeight="true" outlineLevel="2" collapsed="false">
      <c r="A159" s="60" t="str">
        <f aca="false">HYPERLINK("https://disk.360.yandex.ru/d/8oSBYIe3kez4kQ","фото")</f>
        <v>фото</v>
      </c>
      <c r="B159" s="49" t="s">
        <v>557</v>
      </c>
      <c r="C159" s="50" t="s">
        <v>558</v>
      </c>
      <c r="D159" s="51" t="s">
        <v>559</v>
      </c>
      <c r="E159" s="52" t="n">
        <f aca="false">I159*(1-J159)*(100-E1)/100</f>
        <v>5048.32</v>
      </c>
      <c r="F159" s="53"/>
      <c r="G159" s="54" t="n">
        <v>2</v>
      </c>
      <c r="H159" s="52" t="n">
        <f aca="false">E159*F159</f>
        <v>0</v>
      </c>
      <c r="I159" s="55" t="n">
        <v>9280</v>
      </c>
      <c r="J159" s="56" t="n">
        <v>0.15</v>
      </c>
      <c r="K159" s="57" t="n">
        <v>146</v>
      </c>
      <c r="L159" s="22" t="s">
        <v>53</v>
      </c>
      <c r="M159" s="22" t="s">
        <v>152</v>
      </c>
      <c r="N159" s="58" t="n">
        <f aca="false">F159*P159</f>
        <v>0</v>
      </c>
      <c r="O159" s="58" t="n">
        <f aca="false">F159*Q159</f>
        <v>0</v>
      </c>
      <c r="P159" s="58" t="n">
        <v>6.25</v>
      </c>
      <c r="Q159" s="58" t="n">
        <v>0.024</v>
      </c>
      <c r="R159" s="59" t="s">
        <v>560</v>
      </c>
      <c r="S159" s="22"/>
      <c r="T159" s="11" t="str">
        <f aca="false">"16.12.25"</f>
        <v>16.12.25</v>
      </c>
    </row>
    <row r="160" customFormat="false" ht="7.5" hidden="false" customHeight="true" outlineLevel="1" collapsed="false">
      <c r="A160" s="38"/>
      <c r="B160" s="39"/>
      <c r="C160" s="40" t="s">
        <v>561</v>
      </c>
      <c r="D160" s="41"/>
      <c r="E160" s="42"/>
      <c r="F160" s="43"/>
      <c r="G160" s="44"/>
      <c r="H160" s="42"/>
      <c r="I160" s="45"/>
      <c r="J160" s="46"/>
      <c r="K160" s="45"/>
      <c r="L160" s="44"/>
      <c r="M160" s="44"/>
      <c r="N160" s="47"/>
      <c r="O160" s="47"/>
      <c r="P160" s="47"/>
      <c r="Q160" s="47"/>
      <c r="R160" s="39"/>
      <c r="S160" s="44"/>
      <c r="T160" s="11" t="str">
        <f aca="false">"16.12.25"</f>
        <v>16.12.25</v>
      </c>
    </row>
    <row r="161" customFormat="false" ht="7.5" hidden="false" customHeight="true" outlineLevel="2" collapsed="false">
      <c r="A161" s="60" t="str">
        <f aca="false">HYPERLINK("https://disk.360.yandex.ru/d/3XDnChCSwA4dsg","фото")</f>
        <v>фото</v>
      </c>
      <c r="B161" s="49" t="s">
        <v>562</v>
      </c>
      <c r="C161" s="50" t="s">
        <v>563</v>
      </c>
      <c r="D161" s="51" t="s">
        <v>564</v>
      </c>
      <c r="E161" s="52" t="n">
        <f aca="false">I161*(1-J161)*(100-E1)/100</f>
        <v>3788.8</v>
      </c>
      <c r="F161" s="53"/>
      <c r="G161" s="54" t="n">
        <v>4</v>
      </c>
      <c r="H161" s="52" t="n">
        <f aca="false">E161*F161</f>
        <v>0</v>
      </c>
      <c r="I161" s="55" t="n">
        <v>5920</v>
      </c>
      <c r="J161" s="56"/>
      <c r="K161" s="57" t="n">
        <v>80</v>
      </c>
      <c r="L161" s="22" t="s">
        <v>53</v>
      </c>
      <c r="M161" s="22"/>
      <c r="N161" s="58" t="n">
        <f aca="false">F161*P161</f>
        <v>0</v>
      </c>
      <c r="O161" s="58" t="n">
        <f aca="false">F161*Q161</f>
        <v>0</v>
      </c>
      <c r="P161" s="58" t="n">
        <v>3.6</v>
      </c>
      <c r="Q161" s="58" t="n">
        <v>0.011</v>
      </c>
      <c r="R161" s="59" t="s">
        <v>565</v>
      </c>
      <c r="S161" s="22"/>
      <c r="T161" s="11" t="str">
        <f aca="false">"16.12.25"</f>
        <v>16.12.25</v>
      </c>
    </row>
    <row r="162" customFormat="false" ht="7.5" hidden="false" customHeight="true" outlineLevel="1" collapsed="false">
      <c r="A162" s="38"/>
      <c r="B162" s="39"/>
      <c r="C162" s="40" t="s">
        <v>566</v>
      </c>
      <c r="D162" s="41"/>
      <c r="E162" s="42"/>
      <c r="F162" s="43"/>
      <c r="G162" s="44"/>
      <c r="H162" s="42"/>
      <c r="I162" s="45"/>
      <c r="J162" s="46"/>
      <c r="K162" s="45"/>
      <c r="L162" s="44"/>
      <c r="M162" s="44"/>
      <c r="N162" s="47"/>
      <c r="O162" s="47"/>
      <c r="P162" s="47"/>
      <c r="Q162" s="47"/>
      <c r="R162" s="39"/>
      <c r="S162" s="44"/>
      <c r="T162" s="11" t="str">
        <f aca="false">"16.12.25"</f>
        <v>16.12.25</v>
      </c>
    </row>
    <row r="163" customFormat="false" ht="7.5" hidden="false" customHeight="true" outlineLevel="2" collapsed="false">
      <c r="A163" s="60" t="str">
        <f aca="false">HYPERLINK("https://disk.360.yandex.ru/d/rEgkG7s2he8XYA","фото")</f>
        <v>фото</v>
      </c>
      <c r="B163" s="49" t="s">
        <v>567</v>
      </c>
      <c r="C163" s="50" t="s">
        <v>568</v>
      </c>
      <c r="D163" s="51" t="s">
        <v>569</v>
      </c>
      <c r="E163" s="52" t="n">
        <f aca="false">I163*(1-J163)*(100-E1)/100</f>
        <v>7225.6</v>
      </c>
      <c r="F163" s="53"/>
      <c r="G163" s="54" t="n">
        <v>1</v>
      </c>
      <c r="H163" s="52" t="n">
        <f aca="false">E163*F163</f>
        <v>0</v>
      </c>
      <c r="I163" s="55" t="n">
        <v>11290</v>
      </c>
      <c r="J163" s="56"/>
      <c r="K163" s="57" t="n">
        <v>0</v>
      </c>
      <c r="L163" s="22" t="s">
        <v>44</v>
      </c>
      <c r="M163" s="22"/>
      <c r="N163" s="58" t="n">
        <f aca="false">F163*P163</f>
        <v>0</v>
      </c>
      <c r="O163" s="58" t="n">
        <f aca="false">F163*Q163</f>
        <v>0</v>
      </c>
      <c r="P163" s="58" t="n">
        <v>12.2</v>
      </c>
      <c r="Q163" s="58" t="n">
        <v>0.06</v>
      </c>
      <c r="R163" s="59" t="s">
        <v>570</v>
      </c>
      <c r="S163" s="22"/>
      <c r="T163" s="11" t="str">
        <f aca="false">"16.12.25"</f>
        <v>16.12.25</v>
      </c>
    </row>
    <row r="164" customFormat="false" ht="7.5" hidden="false" customHeight="true" outlineLevel="1" collapsed="false">
      <c r="A164" s="38"/>
      <c r="B164" s="39"/>
      <c r="C164" s="40" t="s">
        <v>571</v>
      </c>
      <c r="D164" s="41"/>
      <c r="E164" s="42"/>
      <c r="F164" s="43"/>
      <c r="G164" s="44"/>
      <c r="H164" s="42"/>
      <c r="I164" s="45"/>
      <c r="J164" s="46"/>
      <c r="K164" s="45"/>
      <c r="L164" s="44"/>
      <c r="M164" s="44"/>
      <c r="N164" s="47"/>
      <c r="O164" s="47"/>
      <c r="P164" s="47"/>
      <c r="Q164" s="47"/>
      <c r="R164" s="39"/>
      <c r="S164" s="44"/>
      <c r="T164" s="11" t="str">
        <f aca="false">"16.12.25"</f>
        <v>16.12.25</v>
      </c>
    </row>
    <row r="165" customFormat="false" ht="7.5" hidden="false" customHeight="true" outlineLevel="2" collapsed="false">
      <c r="A165" s="60" t="str">
        <f aca="false">HYPERLINK("https://disk.360.yandex.ru/d/Mg6YXTYfnYOOEg","фото")</f>
        <v>фото</v>
      </c>
      <c r="B165" s="49" t="s">
        <v>572</v>
      </c>
      <c r="C165" s="50" t="s">
        <v>573</v>
      </c>
      <c r="D165" s="51" t="s">
        <v>574</v>
      </c>
      <c r="E165" s="52" t="n">
        <f aca="false">I165*(1-J165)*(100-E1)/100</f>
        <v>2796.8</v>
      </c>
      <c r="F165" s="53"/>
      <c r="G165" s="54" t="n">
        <v>6</v>
      </c>
      <c r="H165" s="52" t="n">
        <f aca="false">E165*F165</f>
        <v>0</v>
      </c>
      <c r="I165" s="55" t="n">
        <v>4370</v>
      </c>
      <c r="J165" s="56"/>
      <c r="K165" s="57" t="n">
        <v>804</v>
      </c>
      <c r="L165" s="22" t="s">
        <v>44</v>
      </c>
      <c r="M165" s="22" t="s">
        <v>152</v>
      </c>
      <c r="N165" s="58" t="n">
        <f aca="false">F165*P165</f>
        <v>0</v>
      </c>
      <c r="O165" s="58" t="n">
        <f aca="false">F165*Q165</f>
        <v>0</v>
      </c>
      <c r="P165" s="58" t="n">
        <v>2.5</v>
      </c>
      <c r="Q165" s="58" t="n">
        <v>0.003</v>
      </c>
      <c r="R165" s="59" t="s">
        <v>575</v>
      </c>
      <c r="S165" s="22"/>
      <c r="T165" s="11" t="str">
        <f aca="false">"16.12.25"</f>
        <v>16.12.25</v>
      </c>
    </row>
    <row r="166" customFormat="false" ht="7.5" hidden="false" customHeight="true" outlineLevel="2" collapsed="false">
      <c r="A166" s="60" t="str">
        <f aca="false">HYPERLINK("https://disk.360.yandex.ru/d/TKZ1Izninzkbeg","фото")</f>
        <v>фото</v>
      </c>
      <c r="B166" s="49" t="s">
        <v>576</v>
      </c>
      <c r="C166" s="50" t="s">
        <v>577</v>
      </c>
      <c r="D166" s="51" t="s">
        <v>578</v>
      </c>
      <c r="E166" s="52" t="n">
        <f aca="false">I166*(1-J166)*(100-E1)/100</f>
        <v>3481.6</v>
      </c>
      <c r="F166" s="53"/>
      <c r="G166" s="54" t="n">
        <v>5</v>
      </c>
      <c r="H166" s="52" t="n">
        <f aca="false">E166*F166</f>
        <v>0</v>
      </c>
      <c r="I166" s="55" t="n">
        <v>5440</v>
      </c>
      <c r="J166" s="56"/>
      <c r="K166" s="57" t="n">
        <v>0</v>
      </c>
      <c r="L166" s="22" t="s">
        <v>44</v>
      </c>
      <c r="M166" s="22"/>
      <c r="N166" s="58" t="n">
        <f aca="false">F166*P166</f>
        <v>0</v>
      </c>
      <c r="O166" s="58" t="n">
        <f aca="false">F166*Q166</f>
        <v>0</v>
      </c>
      <c r="P166" s="58" t="n">
        <v>3</v>
      </c>
      <c r="Q166" s="58" t="n">
        <v>0.01</v>
      </c>
      <c r="R166" s="59" t="s">
        <v>579</v>
      </c>
      <c r="S166" s="22"/>
      <c r="T166" s="11" t="str">
        <f aca="false">"16.12.25"</f>
        <v>16.12.25</v>
      </c>
    </row>
    <row r="167" customFormat="false" ht="7.5" hidden="false" customHeight="true" outlineLevel="1" collapsed="false">
      <c r="A167" s="38"/>
      <c r="B167" s="39"/>
      <c r="C167" s="40" t="s">
        <v>580</v>
      </c>
      <c r="D167" s="41"/>
      <c r="E167" s="42"/>
      <c r="F167" s="43"/>
      <c r="G167" s="44"/>
      <c r="H167" s="42"/>
      <c r="I167" s="45"/>
      <c r="J167" s="46"/>
      <c r="K167" s="45"/>
      <c r="L167" s="44"/>
      <c r="M167" s="44"/>
      <c r="N167" s="47"/>
      <c r="O167" s="47"/>
      <c r="P167" s="47"/>
      <c r="Q167" s="47"/>
      <c r="R167" s="39"/>
      <c r="S167" s="44"/>
      <c r="T167" s="11" t="str">
        <f aca="false">"16.12.25"</f>
        <v>16.12.25</v>
      </c>
    </row>
    <row r="168" customFormat="false" ht="7.5" hidden="false" customHeight="true" outlineLevel="2" collapsed="false">
      <c r="A168" s="60" t="str">
        <f aca="false">HYPERLINK("https://disk.yandex.ru/d/lPI-WGZh7aHAAw","фото")</f>
        <v>фото</v>
      </c>
      <c r="B168" s="49" t="s">
        <v>581</v>
      </c>
      <c r="C168" s="50" t="s">
        <v>582</v>
      </c>
      <c r="D168" s="51" t="s">
        <v>583</v>
      </c>
      <c r="E168" s="52" t="n">
        <f aca="false">I168*(1-J168)*(100-E1)/100</f>
        <v>4400.96</v>
      </c>
      <c r="F168" s="53"/>
      <c r="G168" s="54" t="n">
        <v>1</v>
      </c>
      <c r="H168" s="52" t="n">
        <f aca="false">E168*F168</f>
        <v>0</v>
      </c>
      <c r="I168" s="55" t="n">
        <v>8090</v>
      </c>
      <c r="J168" s="56" t="n">
        <v>0.15</v>
      </c>
      <c r="K168" s="57" t="n">
        <v>1</v>
      </c>
      <c r="L168" s="22" t="s">
        <v>44</v>
      </c>
      <c r="M168" s="22" t="s">
        <v>15</v>
      </c>
      <c r="N168" s="58" t="n">
        <f aca="false">F168*P168</f>
        <v>0</v>
      </c>
      <c r="O168" s="58" t="n">
        <f aca="false">F168*Q168</f>
        <v>0</v>
      </c>
      <c r="P168" s="58" t="n">
        <v>7</v>
      </c>
      <c r="Q168" s="58" t="n">
        <v>0.07</v>
      </c>
      <c r="R168" s="59" t="s">
        <v>584</v>
      </c>
      <c r="S168" s="22"/>
      <c r="T168" s="11" t="str">
        <f aca="false">"16.12.25"</f>
        <v>16.12.25</v>
      </c>
    </row>
    <row r="169" customFormat="false" ht="7.5" hidden="false" customHeight="true" outlineLevel="2" collapsed="false">
      <c r="A169" s="60" t="str">
        <f aca="false">HYPERLINK("https://disk.360.yandex.ru/d/nV7KCvL3hLE3hg","фото")</f>
        <v>фото</v>
      </c>
      <c r="B169" s="49" t="s">
        <v>585</v>
      </c>
      <c r="C169" s="50" t="s">
        <v>586</v>
      </c>
      <c r="D169" s="51" t="s">
        <v>587</v>
      </c>
      <c r="E169" s="52" t="n">
        <f aca="false">I169*(1-J169)*(100-E1)/100</f>
        <v>5042.88</v>
      </c>
      <c r="F169" s="53"/>
      <c r="G169" s="54" t="n">
        <v>1</v>
      </c>
      <c r="H169" s="52" t="n">
        <f aca="false">E169*F169</f>
        <v>0</v>
      </c>
      <c r="I169" s="55" t="n">
        <v>9270</v>
      </c>
      <c r="J169" s="56" t="n">
        <v>0.15</v>
      </c>
      <c r="K169" s="57" t="n">
        <v>637</v>
      </c>
      <c r="L169" s="22" t="s">
        <v>44</v>
      </c>
      <c r="M169" s="22" t="s">
        <v>15</v>
      </c>
      <c r="N169" s="58" t="n">
        <f aca="false">F169*P169</f>
        <v>0</v>
      </c>
      <c r="O169" s="58" t="n">
        <f aca="false">F169*Q169</f>
        <v>0</v>
      </c>
      <c r="P169" s="58" t="n">
        <v>7</v>
      </c>
      <c r="Q169" s="58" t="n">
        <v>0.08</v>
      </c>
      <c r="R169" s="59" t="s">
        <v>588</v>
      </c>
      <c r="S169" s="22"/>
      <c r="T169" s="11" t="str">
        <f aca="false">"16.12.25"</f>
        <v>16.12.25</v>
      </c>
    </row>
    <row r="170" customFormat="false" ht="7.5" hidden="false" customHeight="true" outlineLevel="2" collapsed="false">
      <c r="A170" s="60" t="str">
        <f aca="false">HYPERLINK("https://disk.360.yandex.ru/d/NC7Q7xZKhE75XQ","фото")</f>
        <v>фото</v>
      </c>
      <c r="B170" s="49" t="s">
        <v>589</v>
      </c>
      <c r="C170" s="50" t="s">
        <v>590</v>
      </c>
      <c r="D170" s="51" t="s">
        <v>591</v>
      </c>
      <c r="E170" s="52" t="n">
        <f aca="false">I170*(1-J170)*(100-E1)/100</f>
        <v>4400.96</v>
      </c>
      <c r="F170" s="53"/>
      <c r="G170" s="54" t="n">
        <v>1</v>
      </c>
      <c r="H170" s="52" t="n">
        <f aca="false">E170*F170</f>
        <v>0</v>
      </c>
      <c r="I170" s="55" t="n">
        <v>8090</v>
      </c>
      <c r="J170" s="56" t="n">
        <v>0.15</v>
      </c>
      <c r="K170" s="57" t="n">
        <v>774</v>
      </c>
      <c r="L170" s="22" t="s">
        <v>53</v>
      </c>
      <c r="M170" s="22" t="s">
        <v>152</v>
      </c>
      <c r="N170" s="58" t="n">
        <f aca="false">F170*P170</f>
        <v>0</v>
      </c>
      <c r="O170" s="58" t="n">
        <f aca="false">F170*Q170</f>
        <v>0</v>
      </c>
      <c r="P170" s="58" t="n">
        <v>7</v>
      </c>
      <c r="Q170" s="58" t="n">
        <v>0.048</v>
      </c>
      <c r="R170" s="59" t="s">
        <v>592</v>
      </c>
      <c r="S170" s="22"/>
      <c r="T170" s="11" t="str">
        <f aca="false">"16.12.25"</f>
        <v>16.12.25</v>
      </c>
    </row>
    <row r="171" customFormat="false" ht="7.5" hidden="false" customHeight="true" outlineLevel="2" collapsed="false">
      <c r="A171" s="60" t="str">
        <f aca="false">HYPERLINK("https://disk.360.yandex.ru/d/2Dy9ENc6dGGlXg","фото")</f>
        <v>фото</v>
      </c>
      <c r="B171" s="49" t="s">
        <v>593</v>
      </c>
      <c r="C171" s="50" t="s">
        <v>594</v>
      </c>
      <c r="D171" s="51" t="s">
        <v>587</v>
      </c>
      <c r="E171" s="52" t="n">
        <f aca="false">I171*(1-J171)*(100-E1)/100</f>
        <v>5042.88</v>
      </c>
      <c r="F171" s="53"/>
      <c r="G171" s="54" t="n">
        <v>1</v>
      </c>
      <c r="H171" s="52" t="n">
        <f aca="false">E171*F171</f>
        <v>0</v>
      </c>
      <c r="I171" s="55" t="n">
        <v>9270</v>
      </c>
      <c r="J171" s="56" t="n">
        <v>0.15</v>
      </c>
      <c r="K171" s="57" t="n">
        <v>2490</v>
      </c>
      <c r="L171" s="22" t="s">
        <v>53</v>
      </c>
      <c r="M171" s="22" t="s">
        <v>152</v>
      </c>
      <c r="N171" s="58" t="n">
        <f aca="false">F171*P171</f>
        <v>0</v>
      </c>
      <c r="O171" s="58" t="n">
        <f aca="false">F171*Q171</f>
        <v>0</v>
      </c>
      <c r="P171" s="58" t="n">
        <v>8.5</v>
      </c>
      <c r="Q171" s="58" t="n">
        <v>0.067</v>
      </c>
      <c r="R171" s="59" t="s">
        <v>595</v>
      </c>
      <c r="S171" s="22"/>
      <c r="T171" s="11" t="str">
        <f aca="false">"16.12.25"</f>
        <v>16.12.25</v>
      </c>
    </row>
    <row r="172" customFormat="false" ht="7.5" hidden="false" customHeight="true" outlineLevel="0" collapsed="false">
      <c r="A172" s="28"/>
      <c r="B172" s="29"/>
      <c r="C172" s="30" t="s">
        <v>596</v>
      </c>
      <c r="D172" s="31"/>
      <c r="E172" s="32"/>
      <c r="F172" s="33"/>
      <c r="G172" s="34"/>
      <c r="H172" s="32"/>
      <c r="I172" s="35"/>
      <c r="J172" s="36"/>
      <c r="K172" s="35"/>
      <c r="L172" s="34"/>
      <c r="M172" s="34"/>
      <c r="N172" s="37"/>
      <c r="O172" s="37"/>
      <c r="P172" s="37"/>
      <c r="Q172" s="37"/>
      <c r="R172" s="29"/>
      <c r="S172" s="34"/>
      <c r="T172" s="11" t="str">
        <f aca="false">"16.12.25"</f>
        <v>16.12.25</v>
      </c>
    </row>
    <row r="173" customFormat="false" ht="7.5" hidden="false" customHeight="true" outlineLevel="1" collapsed="false">
      <c r="A173" s="38"/>
      <c r="B173" s="39"/>
      <c r="C173" s="40" t="s">
        <v>597</v>
      </c>
      <c r="D173" s="41"/>
      <c r="E173" s="42"/>
      <c r="F173" s="43"/>
      <c r="G173" s="44"/>
      <c r="H173" s="42"/>
      <c r="I173" s="45"/>
      <c r="J173" s="46"/>
      <c r="K173" s="45"/>
      <c r="L173" s="44"/>
      <c r="M173" s="44"/>
      <c r="N173" s="47"/>
      <c r="O173" s="47"/>
      <c r="P173" s="47"/>
      <c r="Q173" s="47"/>
      <c r="R173" s="39"/>
      <c r="S173" s="44"/>
      <c r="T173" s="11" t="str">
        <f aca="false">"16.12.25"</f>
        <v>16.12.25</v>
      </c>
    </row>
    <row r="174" customFormat="false" ht="7.5" hidden="false" customHeight="true" outlineLevel="2" collapsed="false">
      <c r="A174" s="60" t="str">
        <f aca="false">HYPERLINK("https://disk.360.yandex.ru/d/9WCSUUOThVjSzQ","фото")</f>
        <v>фото</v>
      </c>
      <c r="B174" s="49" t="s">
        <v>598</v>
      </c>
      <c r="C174" s="50" t="s">
        <v>599</v>
      </c>
      <c r="D174" s="51" t="s">
        <v>600</v>
      </c>
      <c r="E174" s="52" t="n">
        <f aca="false">I174*(1-J174)*(100-E1)/100</f>
        <v>5171.2</v>
      </c>
      <c r="F174" s="53"/>
      <c r="G174" s="54" t="n">
        <v>4</v>
      </c>
      <c r="H174" s="52" t="n">
        <f aca="false">E174*F174</f>
        <v>0</v>
      </c>
      <c r="I174" s="55" t="n">
        <v>8080</v>
      </c>
      <c r="J174" s="56"/>
      <c r="K174" s="57" t="n">
        <v>500</v>
      </c>
      <c r="L174" s="22" t="s">
        <v>44</v>
      </c>
      <c r="M174" s="22" t="s">
        <v>152</v>
      </c>
      <c r="N174" s="58" t="n">
        <f aca="false">F174*P174</f>
        <v>0</v>
      </c>
      <c r="O174" s="58" t="n">
        <f aca="false">F174*Q174</f>
        <v>0</v>
      </c>
      <c r="P174" s="58" t="n">
        <v>3.6</v>
      </c>
      <c r="Q174" s="58" t="n">
        <v>0.008</v>
      </c>
      <c r="R174" s="59" t="s">
        <v>601</v>
      </c>
      <c r="S174" s="22"/>
      <c r="T174" s="11" t="str">
        <f aca="false">"16.12.25"</f>
        <v>16.12.25</v>
      </c>
    </row>
    <row r="175" customFormat="false" ht="7.5" hidden="false" customHeight="true" outlineLevel="1" collapsed="false">
      <c r="A175" s="38"/>
      <c r="B175" s="39"/>
      <c r="C175" s="40" t="s">
        <v>602</v>
      </c>
      <c r="D175" s="41"/>
      <c r="E175" s="42"/>
      <c r="F175" s="43"/>
      <c r="G175" s="44"/>
      <c r="H175" s="42"/>
      <c r="I175" s="45"/>
      <c r="J175" s="46"/>
      <c r="K175" s="45"/>
      <c r="L175" s="44"/>
      <c r="M175" s="44"/>
      <c r="N175" s="47"/>
      <c r="O175" s="47"/>
      <c r="P175" s="47"/>
      <c r="Q175" s="47"/>
      <c r="R175" s="39"/>
      <c r="S175" s="44"/>
      <c r="T175" s="11" t="str">
        <f aca="false">"16.12.25"</f>
        <v>16.12.25</v>
      </c>
    </row>
    <row r="176" customFormat="false" ht="7.5" hidden="false" customHeight="true" outlineLevel="2" collapsed="false">
      <c r="A176" s="48"/>
      <c r="B176" s="49" t="s">
        <v>603</v>
      </c>
      <c r="C176" s="50" t="s">
        <v>604</v>
      </c>
      <c r="D176" s="51" t="s">
        <v>605</v>
      </c>
      <c r="E176" s="52" t="n">
        <f aca="false">I176*(1-J176)*(100-E1)/100</f>
        <v>1056</v>
      </c>
      <c r="F176" s="53"/>
      <c r="G176" s="54" t="n">
        <v>10</v>
      </c>
      <c r="H176" s="52" t="n">
        <f aca="false">E176*F176</f>
        <v>0</v>
      </c>
      <c r="I176" s="55" t="n">
        <v>3300</v>
      </c>
      <c r="J176" s="56" t="n">
        <v>0.5</v>
      </c>
      <c r="K176" s="57" t="n">
        <v>0</v>
      </c>
      <c r="L176" s="22" t="s">
        <v>44</v>
      </c>
      <c r="M176" s="22"/>
      <c r="N176" s="58" t="n">
        <f aca="false">F176*P176</f>
        <v>0</v>
      </c>
      <c r="O176" s="58" t="n">
        <f aca="false">F176*Q176</f>
        <v>0</v>
      </c>
      <c r="P176" s="58" t="n">
        <v>2</v>
      </c>
      <c r="Q176" s="58" t="n">
        <v>0.01</v>
      </c>
      <c r="R176" s="59" t="s">
        <v>606</v>
      </c>
      <c r="S176" s="22"/>
      <c r="T176" s="11" t="str">
        <f aca="false">"16.12.25"</f>
        <v>16.12.25</v>
      </c>
    </row>
    <row r="177" customFormat="false" ht="7.5" hidden="false" customHeight="true" outlineLevel="2" collapsed="false">
      <c r="A177" s="60" t="str">
        <f aca="false">HYPERLINK("https://disk.360.yandex.ru/d/uHiuMrS0DIwR4A","фото")</f>
        <v>фото</v>
      </c>
      <c r="B177" s="49" t="s">
        <v>607</v>
      </c>
      <c r="C177" s="50" t="s">
        <v>608</v>
      </c>
      <c r="D177" s="51" t="s">
        <v>609</v>
      </c>
      <c r="E177" s="52" t="n">
        <f aca="false">I177*(1-J177)*(100-E1)/100</f>
        <v>652.8</v>
      </c>
      <c r="F177" s="53"/>
      <c r="G177" s="54" t="n">
        <v>10</v>
      </c>
      <c r="H177" s="52" t="n">
        <f aca="false">E177*F177</f>
        <v>0</v>
      </c>
      <c r="I177" s="55" t="n">
        <v>1200</v>
      </c>
      <c r="J177" s="56" t="n">
        <v>0.15</v>
      </c>
      <c r="K177" s="57" t="n">
        <v>0</v>
      </c>
      <c r="L177" s="22" t="s">
        <v>44</v>
      </c>
      <c r="M177" s="22" t="s">
        <v>15</v>
      </c>
      <c r="N177" s="58" t="n">
        <f aca="false">F177*P177</f>
        <v>0</v>
      </c>
      <c r="O177" s="58" t="n">
        <f aca="false">F177*Q177</f>
        <v>0</v>
      </c>
      <c r="P177" s="58" t="n">
        <v>1.1</v>
      </c>
      <c r="Q177" s="58" t="n">
        <v>0.005</v>
      </c>
      <c r="R177" s="59" t="s">
        <v>610</v>
      </c>
      <c r="S177" s="22"/>
      <c r="T177" s="11" t="str">
        <f aca="false">"16.12.25"</f>
        <v>16.12.25</v>
      </c>
    </row>
    <row r="178" customFormat="false" ht="7.5" hidden="false" customHeight="true" outlineLevel="2" collapsed="false">
      <c r="A178" s="60" t="str">
        <f aca="false">HYPERLINK("https://disk.360.yandex.ru/d/Hu6gsSvVzHsWeQ","фото")</f>
        <v>фото</v>
      </c>
      <c r="B178" s="49" t="s">
        <v>611</v>
      </c>
      <c r="C178" s="50" t="s">
        <v>612</v>
      </c>
      <c r="D178" s="51" t="s">
        <v>613</v>
      </c>
      <c r="E178" s="52" t="n">
        <f aca="false">I178*(1-J178)*(100-E1)/100</f>
        <v>2214.4</v>
      </c>
      <c r="F178" s="53"/>
      <c r="G178" s="54" t="n">
        <v>10</v>
      </c>
      <c r="H178" s="52" t="n">
        <f aca="false">E178*F178</f>
        <v>0</v>
      </c>
      <c r="I178" s="55" t="n">
        <v>3460</v>
      </c>
      <c r="J178" s="56"/>
      <c r="K178" s="57" t="n">
        <v>0</v>
      </c>
      <c r="L178" s="22" t="s">
        <v>44</v>
      </c>
      <c r="M178" s="22"/>
      <c r="N178" s="58" t="n">
        <f aca="false">F178*P178</f>
        <v>0</v>
      </c>
      <c r="O178" s="58" t="n">
        <f aca="false">F178*Q178</f>
        <v>0</v>
      </c>
      <c r="P178" s="58" t="n">
        <v>2</v>
      </c>
      <c r="Q178" s="58" t="n">
        <v>0.005</v>
      </c>
      <c r="R178" s="59" t="s">
        <v>614</v>
      </c>
      <c r="S178" s="22"/>
      <c r="T178" s="11" t="str">
        <f aca="false">"16.12.25"</f>
        <v>16.12.25</v>
      </c>
    </row>
    <row r="179" customFormat="false" ht="7.5" hidden="false" customHeight="true" outlineLevel="2" collapsed="false">
      <c r="A179" s="60" t="str">
        <f aca="false">HYPERLINK("https://disk.360.yandex.ru/d/bfWLtqKhA91ZOw","фото")</f>
        <v>фото</v>
      </c>
      <c r="B179" s="49" t="s">
        <v>615</v>
      </c>
      <c r="C179" s="50" t="s">
        <v>616</v>
      </c>
      <c r="D179" s="51" t="s">
        <v>617</v>
      </c>
      <c r="E179" s="52" t="n">
        <f aca="false">I179*(1-J179)*(100-E1)/100</f>
        <v>1370.88</v>
      </c>
      <c r="F179" s="53"/>
      <c r="G179" s="54" t="n">
        <v>10</v>
      </c>
      <c r="H179" s="52" t="n">
        <f aca="false">E179*F179</f>
        <v>0</v>
      </c>
      <c r="I179" s="55" t="n">
        <v>2520</v>
      </c>
      <c r="J179" s="56" t="n">
        <v>0.15</v>
      </c>
      <c r="K179" s="57" t="n">
        <v>2010</v>
      </c>
      <c r="L179" s="22" t="s">
        <v>44</v>
      </c>
      <c r="M179" s="22" t="s">
        <v>15</v>
      </c>
      <c r="N179" s="58" t="n">
        <f aca="false">F179*P179</f>
        <v>0</v>
      </c>
      <c r="O179" s="58" t="n">
        <f aca="false">F179*Q179</f>
        <v>0</v>
      </c>
      <c r="P179" s="58" t="n">
        <v>1.85</v>
      </c>
      <c r="Q179" s="58" t="n">
        <v>0.01</v>
      </c>
      <c r="R179" s="59" t="s">
        <v>618</v>
      </c>
      <c r="S179" s="22"/>
      <c r="T179" s="11" t="str">
        <f aca="false">"16.12.25"</f>
        <v>16.12.25</v>
      </c>
    </row>
    <row r="180" customFormat="false" ht="7.5" hidden="false" customHeight="true" outlineLevel="2" collapsed="false">
      <c r="A180" s="60" t="str">
        <f aca="false">HYPERLINK("https://disk.360.yandex.ru/d/QAgkwwlgHZ2jPA","фото")</f>
        <v>фото</v>
      </c>
      <c r="B180" s="49" t="s">
        <v>619</v>
      </c>
      <c r="C180" s="50" t="s">
        <v>620</v>
      </c>
      <c r="D180" s="51" t="s">
        <v>621</v>
      </c>
      <c r="E180" s="52" t="n">
        <f aca="false">I180*(1-J180)*(100-E1)/100</f>
        <v>1691.84</v>
      </c>
      <c r="F180" s="53"/>
      <c r="G180" s="54" t="n">
        <v>10</v>
      </c>
      <c r="H180" s="52" t="n">
        <f aca="false">E180*F180</f>
        <v>0</v>
      </c>
      <c r="I180" s="55" t="n">
        <v>3110</v>
      </c>
      <c r="J180" s="56" t="n">
        <v>0.15</v>
      </c>
      <c r="K180" s="57" t="n">
        <v>824</v>
      </c>
      <c r="L180" s="22" t="s">
        <v>44</v>
      </c>
      <c r="M180" s="22" t="s">
        <v>15</v>
      </c>
      <c r="N180" s="58" t="n">
        <f aca="false">F180*P180</f>
        <v>0</v>
      </c>
      <c r="O180" s="58" t="n">
        <f aca="false">F180*Q180</f>
        <v>0</v>
      </c>
      <c r="P180" s="58" t="n">
        <v>2</v>
      </c>
      <c r="Q180" s="58" t="n">
        <v>0.01</v>
      </c>
      <c r="R180" s="59" t="s">
        <v>622</v>
      </c>
      <c r="S180" s="22"/>
      <c r="T180" s="11" t="str">
        <f aca="false">"16.12.25"</f>
        <v>16.12.25</v>
      </c>
    </row>
    <row r="181" customFormat="false" ht="7.5" hidden="false" customHeight="true" outlineLevel="2" collapsed="false">
      <c r="A181" s="60" t="str">
        <f aca="false">HYPERLINK("https://disk.yandex.ru/d/H5xLvr5NaIcSQw","фото")</f>
        <v>фото</v>
      </c>
      <c r="B181" s="49" t="s">
        <v>623</v>
      </c>
      <c r="C181" s="50" t="s">
        <v>624</v>
      </c>
      <c r="D181" s="51" t="s">
        <v>625</v>
      </c>
      <c r="E181" s="52" t="n">
        <f aca="false">I181*(1-J181)*(100-E1)/100</f>
        <v>1971.2</v>
      </c>
      <c r="F181" s="53"/>
      <c r="G181" s="54" t="n">
        <v>10</v>
      </c>
      <c r="H181" s="52" t="n">
        <f aca="false">E181*F181</f>
        <v>0</v>
      </c>
      <c r="I181" s="55" t="n">
        <v>3080</v>
      </c>
      <c r="J181" s="56"/>
      <c r="K181" s="57" t="n">
        <v>10</v>
      </c>
      <c r="L181" s="22" t="s">
        <v>44</v>
      </c>
      <c r="M181" s="22"/>
      <c r="N181" s="58" t="n">
        <f aca="false">F181*P181</f>
        <v>0</v>
      </c>
      <c r="O181" s="58" t="n">
        <f aca="false">F181*Q181</f>
        <v>0</v>
      </c>
      <c r="P181" s="58" t="n">
        <v>2</v>
      </c>
      <c r="Q181" s="58" t="n">
        <v>0.01</v>
      </c>
      <c r="R181" s="59" t="s">
        <v>626</v>
      </c>
      <c r="S181" s="22"/>
      <c r="T181" s="11" t="str">
        <f aca="false">"16.12.25"</f>
        <v>16.12.25</v>
      </c>
    </row>
    <row r="182" customFormat="false" ht="7.5" hidden="false" customHeight="true" outlineLevel="2" collapsed="false">
      <c r="A182" s="60" t="str">
        <f aca="false">HYPERLINK("https://disk.yandex.ru/d/VAoxRI-ALkoMrg","фото")</f>
        <v>фото</v>
      </c>
      <c r="B182" s="49" t="s">
        <v>627</v>
      </c>
      <c r="C182" s="50" t="s">
        <v>628</v>
      </c>
      <c r="D182" s="51" t="s">
        <v>629</v>
      </c>
      <c r="E182" s="52" t="n">
        <f aca="false">I182*(1-J182)*(100-E1)/100</f>
        <v>1876.8</v>
      </c>
      <c r="F182" s="53"/>
      <c r="G182" s="54" t="n">
        <v>10</v>
      </c>
      <c r="H182" s="52" t="n">
        <f aca="false">E182*F182</f>
        <v>0</v>
      </c>
      <c r="I182" s="55" t="n">
        <v>3450</v>
      </c>
      <c r="J182" s="56" t="n">
        <v>0.15</v>
      </c>
      <c r="K182" s="57" t="n">
        <v>1194</v>
      </c>
      <c r="L182" s="22" t="s">
        <v>44</v>
      </c>
      <c r="M182" s="22" t="s">
        <v>15</v>
      </c>
      <c r="N182" s="58" t="n">
        <f aca="false">F182*P182</f>
        <v>0</v>
      </c>
      <c r="O182" s="58" t="n">
        <f aca="false">F182*Q182</f>
        <v>0</v>
      </c>
      <c r="P182" s="58" t="n">
        <v>2.5</v>
      </c>
      <c r="Q182" s="58" t="n">
        <v>0.009</v>
      </c>
      <c r="R182" s="59" t="s">
        <v>630</v>
      </c>
      <c r="S182" s="22"/>
      <c r="T182" s="11" t="str">
        <f aca="false">"16.12.25"</f>
        <v>16.12.25</v>
      </c>
    </row>
    <row r="183" customFormat="false" ht="7.5" hidden="false" customHeight="true" outlineLevel="2" collapsed="false">
      <c r="A183" s="60" t="str">
        <f aca="false">HYPERLINK("https://disk.360.yandex.ru/d/2d3WqqKjsnsQHg","фото")</f>
        <v>фото</v>
      </c>
      <c r="B183" s="49" t="s">
        <v>631</v>
      </c>
      <c r="C183" s="50" t="s">
        <v>632</v>
      </c>
      <c r="D183" s="51" t="s">
        <v>633</v>
      </c>
      <c r="E183" s="52" t="n">
        <f aca="false">I183*(1-J183)*(100-E1)/100</f>
        <v>1962.24</v>
      </c>
      <c r="F183" s="53"/>
      <c r="G183" s="54" t="n">
        <v>5</v>
      </c>
      <c r="H183" s="52" t="n">
        <f aca="false">E183*F183</f>
        <v>0</v>
      </c>
      <c r="I183" s="55" t="n">
        <v>4380</v>
      </c>
      <c r="J183" s="56" t="n">
        <v>0.3</v>
      </c>
      <c r="K183" s="57" t="n">
        <v>2733</v>
      </c>
      <c r="L183" s="22" t="s">
        <v>44</v>
      </c>
      <c r="M183" s="22"/>
      <c r="N183" s="58" t="n">
        <f aca="false">F183*P183</f>
        <v>0</v>
      </c>
      <c r="O183" s="58" t="n">
        <f aca="false">F183*Q183</f>
        <v>0</v>
      </c>
      <c r="P183" s="58" t="n">
        <v>2.26</v>
      </c>
      <c r="Q183" s="58" t="n">
        <v>0.008</v>
      </c>
      <c r="R183" s="59" t="s">
        <v>634</v>
      </c>
      <c r="S183" s="22"/>
      <c r="T183" s="11" t="str">
        <f aca="false">"16.12.25"</f>
        <v>16.12.25</v>
      </c>
    </row>
    <row r="184" customFormat="false" ht="7.5" hidden="false" customHeight="true" outlineLevel="2" collapsed="false">
      <c r="A184" s="60" t="str">
        <f aca="false">HYPERLINK("https://disk.360.yandex.ru/d/dbrbQIDC-22H4Q","фото")</f>
        <v>фото</v>
      </c>
      <c r="B184" s="49" t="s">
        <v>635</v>
      </c>
      <c r="C184" s="50" t="s">
        <v>636</v>
      </c>
      <c r="D184" s="51" t="s">
        <v>637</v>
      </c>
      <c r="E184" s="52" t="n">
        <f aca="false">I184*(1-J184)*(100-E1)/100</f>
        <v>2598.4</v>
      </c>
      <c r="F184" s="53"/>
      <c r="G184" s="54" t="n">
        <v>10</v>
      </c>
      <c r="H184" s="52" t="n">
        <f aca="false">E184*F184</f>
        <v>0</v>
      </c>
      <c r="I184" s="55" t="n">
        <v>4060</v>
      </c>
      <c r="J184" s="56"/>
      <c r="K184" s="57" t="n">
        <v>2466</v>
      </c>
      <c r="L184" s="22" t="s">
        <v>44</v>
      </c>
      <c r="M184" s="22"/>
      <c r="N184" s="58" t="n">
        <f aca="false">F184*P184</f>
        <v>0</v>
      </c>
      <c r="O184" s="58" t="n">
        <f aca="false">F184*Q184</f>
        <v>0</v>
      </c>
      <c r="P184" s="58" t="n">
        <v>2.25</v>
      </c>
      <c r="Q184" s="58" t="n">
        <v>0.004</v>
      </c>
      <c r="R184" s="59" t="s">
        <v>638</v>
      </c>
      <c r="S184" s="22"/>
      <c r="T184" s="11" t="str">
        <f aca="false">"16.12.25"</f>
        <v>16.12.25</v>
      </c>
    </row>
    <row r="185" customFormat="false" ht="7.5" hidden="false" customHeight="true" outlineLevel="2" collapsed="false">
      <c r="A185" s="60" t="str">
        <f aca="false">HYPERLINK("https://disk.360.yandex.ru/d/bir209TDYakI6A","фото")</f>
        <v>фото</v>
      </c>
      <c r="B185" s="49" t="s">
        <v>639</v>
      </c>
      <c r="C185" s="50" t="s">
        <v>640</v>
      </c>
      <c r="D185" s="51" t="s">
        <v>641</v>
      </c>
      <c r="E185" s="52" t="n">
        <f aca="false">I185*(1-J185)*(100-E1)/100</f>
        <v>2021.76</v>
      </c>
      <c r="F185" s="53"/>
      <c r="G185" s="54" t="n">
        <v>10</v>
      </c>
      <c r="H185" s="52" t="n">
        <f aca="false">E185*F185</f>
        <v>0</v>
      </c>
      <c r="I185" s="55" t="n">
        <v>3510</v>
      </c>
      <c r="J185" s="56" t="n">
        <v>0.1</v>
      </c>
      <c r="K185" s="57" t="n">
        <v>1215</v>
      </c>
      <c r="L185" s="22" t="s">
        <v>44</v>
      </c>
      <c r="M185" s="22" t="s">
        <v>15</v>
      </c>
      <c r="N185" s="58" t="n">
        <f aca="false">F185*P185</f>
        <v>0</v>
      </c>
      <c r="O185" s="58" t="n">
        <f aca="false">F185*Q185</f>
        <v>0</v>
      </c>
      <c r="P185" s="58" t="n">
        <v>1.6</v>
      </c>
      <c r="Q185" s="58" t="n">
        <v>0.004</v>
      </c>
      <c r="R185" s="59" t="s">
        <v>642</v>
      </c>
      <c r="S185" s="22"/>
      <c r="T185" s="11" t="str">
        <f aca="false">"16.12.25"</f>
        <v>16.12.25</v>
      </c>
    </row>
    <row r="186" customFormat="false" ht="7.5" hidden="false" customHeight="true" outlineLevel="2" collapsed="false">
      <c r="A186" s="60" t="str">
        <f aca="false">HYPERLINK("https://disk.360.yandex.ru/d/aasc1VkPhoLPEg","фото")</f>
        <v>фото</v>
      </c>
      <c r="B186" s="49" t="s">
        <v>643</v>
      </c>
      <c r="C186" s="50" t="s">
        <v>644</v>
      </c>
      <c r="D186" s="51" t="s">
        <v>645</v>
      </c>
      <c r="E186" s="52" t="n">
        <f aca="false">I186*(1-J186)*(100-E1)/100</f>
        <v>1601.28</v>
      </c>
      <c r="F186" s="53"/>
      <c r="G186" s="54" t="n">
        <v>10</v>
      </c>
      <c r="H186" s="52" t="n">
        <f aca="false">E186*F186</f>
        <v>0</v>
      </c>
      <c r="I186" s="55" t="n">
        <v>4170</v>
      </c>
      <c r="J186" s="56" t="n">
        <v>0.4</v>
      </c>
      <c r="K186" s="57" t="n">
        <v>4265</v>
      </c>
      <c r="L186" s="22" t="s">
        <v>44</v>
      </c>
      <c r="M186" s="22"/>
      <c r="N186" s="58" t="n">
        <f aca="false">F186*P186</f>
        <v>0</v>
      </c>
      <c r="O186" s="58" t="n">
        <f aca="false">F186*Q186</f>
        <v>0</v>
      </c>
      <c r="P186" s="58"/>
      <c r="Q186" s="58" t="n">
        <v>0.006</v>
      </c>
      <c r="R186" s="59" t="s">
        <v>646</v>
      </c>
      <c r="S186" s="22"/>
      <c r="T186" s="11" t="str">
        <f aca="false">"16.12.25"</f>
        <v>16.12.25</v>
      </c>
    </row>
    <row r="187" customFormat="false" ht="7.5" hidden="false" customHeight="true" outlineLevel="2" collapsed="false">
      <c r="A187" s="60" t="str">
        <f aca="false">HYPERLINK("https://disk.360.yandex.ru/d/YD4mHWIWH3L8sg","фото")</f>
        <v>фото</v>
      </c>
      <c r="B187" s="49" t="s">
        <v>647</v>
      </c>
      <c r="C187" s="50" t="s">
        <v>648</v>
      </c>
      <c r="D187" s="51" t="s">
        <v>649</v>
      </c>
      <c r="E187" s="52" t="n">
        <f aca="false">I187*(1-J187)*(100-E1)/100</f>
        <v>2899.2</v>
      </c>
      <c r="F187" s="53"/>
      <c r="G187" s="54" t="n">
        <v>10</v>
      </c>
      <c r="H187" s="52" t="n">
        <f aca="false">E187*F187</f>
        <v>0</v>
      </c>
      <c r="I187" s="55" t="n">
        <v>4530</v>
      </c>
      <c r="J187" s="56"/>
      <c r="K187" s="57" t="n">
        <v>0</v>
      </c>
      <c r="L187" s="22" t="s">
        <v>44</v>
      </c>
      <c r="M187" s="22"/>
      <c r="N187" s="58" t="n">
        <f aca="false">F187*P187</f>
        <v>0</v>
      </c>
      <c r="O187" s="58" t="n">
        <f aca="false">F187*Q187</f>
        <v>0</v>
      </c>
      <c r="P187" s="58" t="n">
        <v>2.69</v>
      </c>
      <c r="Q187" s="58" t="n">
        <v>0.007</v>
      </c>
      <c r="R187" s="59" t="s">
        <v>650</v>
      </c>
      <c r="S187" s="22"/>
      <c r="T187" s="11" t="str">
        <f aca="false">"16.12.25"</f>
        <v>16.12.25</v>
      </c>
    </row>
    <row r="188" customFormat="false" ht="7.5" hidden="false" customHeight="true" outlineLevel="2" collapsed="false">
      <c r="A188" s="60" t="str">
        <f aca="false">HYPERLINK("https://disk.360.yandex.ru/d/T-wB9qhgmFgXUA","фото")</f>
        <v>фото</v>
      </c>
      <c r="B188" s="49" t="s">
        <v>651</v>
      </c>
      <c r="C188" s="50" t="s">
        <v>652</v>
      </c>
      <c r="D188" s="51" t="s">
        <v>653</v>
      </c>
      <c r="E188" s="52" t="n">
        <f aca="false">I188*(1-J188)*(100-E1)/100</f>
        <v>2143.36</v>
      </c>
      <c r="F188" s="53"/>
      <c r="G188" s="54" t="n">
        <v>10</v>
      </c>
      <c r="H188" s="52" t="n">
        <f aca="false">E188*F188</f>
        <v>0</v>
      </c>
      <c r="I188" s="55" t="n">
        <v>3940</v>
      </c>
      <c r="J188" s="56" t="n">
        <v>0.15</v>
      </c>
      <c r="K188" s="57" t="n">
        <v>3216</v>
      </c>
      <c r="L188" s="22" t="s">
        <v>44</v>
      </c>
      <c r="M188" s="22" t="s">
        <v>15</v>
      </c>
      <c r="N188" s="58" t="n">
        <f aca="false">F188*P188</f>
        <v>0</v>
      </c>
      <c r="O188" s="58" t="n">
        <f aca="false">F188*Q188</f>
        <v>0</v>
      </c>
      <c r="P188" s="58" t="n">
        <v>1.85</v>
      </c>
      <c r="Q188" s="58" t="n">
        <v>0.009</v>
      </c>
      <c r="R188" s="59" t="s">
        <v>654</v>
      </c>
      <c r="S188" s="22"/>
      <c r="T188" s="11" t="str">
        <f aca="false">"16.12.25"</f>
        <v>16.12.25</v>
      </c>
    </row>
    <row r="189" customFormat="false" ht="7.5" hidden="false" customHeight="true" outlineLevel="2" collapsed="false">
      <c r="A189" s="60" t="str">
        <f aca="false">HYPERLINK("https://disk.360.yandex.ru/d/BXEkai68YRRmoQ","фото")</f>
        <v>фото</v>
      </c>
      <c r="B189" s="49" t="s">
        <v>655</v>
      </c>
      <c r="C189" s="50" t="s">
        <v>656</v>
      </c>
      <c r="D189" s="51" t="s">
        <v>657</v>
      </c>
      <c r="E189" s="52" t="n">
        <f aca="false">I189*(1-J189)*(100-E1)/100</f>
        <v>2012.16</v>
      </c>
      <c r="F189" s="53"/>
      <c r="G189" s="54" t="n">
        <v>10</v>
      </c>
      <c r="H189" s="52" t="n">
        <f aca="false">E189*F189</f>
        <v>0</v>
      </c>
      <c r="I189" s="55" t="n">
        <v>3930</v>
      </c>
      <c r="J189" s="56" t="n">
        <v>0.2</v>
      </c>
      <c r="K189" s="57" t="n">
        <v>3293</v>
      </c>
      <c r="L189" s="22" t="s">
        <v>44</v>
      </c>
      <c r="M189" s="22"/>
      <c r="N189" s="58" t="n">
        <f aca="false">F189*P189</f>
        <v>0</v>
      </c>
      <c r="O189" s="58" t="n">
        <f aca="false">F189*Q189</f>
        <v>0</v>
      </c>
      <c r="P189" s="58" t="n">
        <v>2.25</v>
      </c>
      <c r="Q189" s="58" t="n">
        <v>0.006</v>
      </c>
      <c r="R189" s="59" t="s">
        <v>658</v>
      </c>
      <c r="S189" s="22"/>
      <c r="T189" s="11" t="str">
        <f aca="false">"16.12.25"</f>
        <v>16.12.25</v>
      </c>
    </row>
    <row r="190" customFormat="false" ht="7.5" hidden="false" customHeight="true" outlineLevel="2" collapsed="false">
      <c r="A190" s="60" t="str">
        <f aca="false">HYPERLINK("https://disk.360.yandex.ru/d/tUX-svqsjg74uQ","фото")</f>
        <v>фото</v>
      </c>
      <c r="B190" s="49" t="s">
        <v>659</v>
      </c>
      <c r="C190" s="50" t="s">
        <v>660</v>
      </c>
      <c r="D190" s="51" t="s">
        <v>661</v>
      </c>
      <c r="E190" s="52" t="n">
        <f aca="false">I190*(1-J190)*(100-E1)/100</f>
        <v>2312</v>
      </c>
      <c r="F190" s="53"/>
      <c r="G190" s="54" t="n">
        <v>10</v>
      </c>
      <c r="H190" s="52" t="n">
        <f aca="false">E190*F190</f>
        <v>0</v>
      </c>
      <c r="I190" s="55" t="n">
        <v>4250</v>
      </c>
      <c r="J190" s="56" t="n">
        <v>0.15</v>
      </c>
      <c r="K190" s="57" t="n">
        <v>726</v>
      </c>
      <c r="L190" s="22" t="s">
        <v>44</v>
      </c>
      <c r="M190" s="22" t="s">
        <v>15</v>
      </c>
      <c r="N190" s="58" t="n">
        <f aca="false">F190*P190</f>
        <v>0</v>
      </c>
      <c r="O190" s="58" t="n">
        <f aca="false">F190*Q190</f>
        <v>0</v>
      </c>
      <c r="P190" s="58" t="n">
        <v>2.4</v>
      </c>
      <c r="Q190" s="58" t="n">
        <v>0.01</v>
      </c>
      <c r="R190" s="59" t="s">
        <v>662</v>
      </c>
      <c r="S190" s="22"/>
      <c r="T190" s="11" t="str">
        <f aca="false">"16.12.25"</f>
        <v>16.12.25</v>
      </c>
    </row>
    <row r="191" customFormat="false" ht="7.5" hidden="false" customHeight="true" outlineLevel="2" collapsed="false">
      <c r="A191" s="60" t="str">
        <f aca="false">HYPERLINK("https://disk.360.yandex.ru/d/cMIjYllAg45kEg","фото")</f>
        <v>фото</v>
      </c>
      <c r="B191" s="49" t="s">
        <v>663</v>
      </c>
      <c r="C191" s="50" t="s">
        <v>664</v>
      </c>
      <c r="D191" s="51" t="s">
        <v>665</v>
      </c>
      <c r="E191" s="52" t="n">
        <f aca="false">I191*(1-J191)*(100-E1)/100</f>
        <v>2687.36</v>
      </c>
      <c r="F191" s="53"/>
      <c r="G191" s="54" t="n">
        <v>5</v>
      </c>
      <c r="H191" s="52" t="n">
        <f aca="false">E191*F191</f>
        <v>0</v>
      </c>
      <c r="I191" s="55" t="n">
        <v>4940</v>
      </c>
      <c r="J191" s="56" t="n">
        <v>0.15</v>
      </c>
      <c r="K191" s="57" t="n">
        <v>2618</v>
      </c>
      <c r="L191" s="22" t="s">
        <v>44</v>
      </c>
      <c r="M191" s="22" t="s">
        <v>15</v>
      </c>
      <c r="N191" s="58" t="n">
        <f aca="false">F191*P191</f>
        <v>0</v>
      </c>
      <c r="O191" s="58" t="n">
        <f aca="false">F191*Q191</f>
        <v>0</v>
      </c>
      <c r="P191" s="58" t="n">
        <v>2.5</v>
      </c>
      <c r="Q191" s="58" t="n">
        <v>0.01</v>
      </c>
      <c r="R191" s="59" t="s">
        <v>666</v>
      </c>
      <c r="S191" s="22"/>
      <c r="T191" s="11" t="str">
        <f aca="false">"16.12.25"</f>
        <v>16.12.25</v>
      </c>
    </row>
    <row r="192" customFormat="false" ht="7.5" hidden="false" customHeight="true" outlineLevel="2" collapsed="false">
      <c r="A192" s="60" t="str">
        <f aca="false">HYPERLINK("https://disk.360.yandex.ru/d/EWon7mcS2aJvlA","фото")</f>
        <v>фото</v>
      </c>
      <c r="B192" s="49" t="s">
        <v>667</v>
      </c>
      <c r="C192" s="50" t="s">
        <v>668</v>
      </c>
      <c r="D192" s="51" t="s">
        <v>669</v>
      </c>
      <c r="E192" s="52" t="n">
        <f aca="false">I192*(1-J192)*(100-E1)/100</f>
        <v>2953.92</v>
      </c>
      <c r="F192" s="53"/>
      <c r="G192" s="54" t="n">
        <v>5</v>
      </c>
      <c r="H192" s="52" t="n">
        <f aca="false">E192*F192</f>
        <v>0</v>
      </c>
      <c r="I192" s="55" t="n">
        <v>5430</v>
      </c>
      <c r="J192" s="56" t="n">
        <v>0.15</v>
      </c>
      <c r="K192" s="57" t="n">
        <v>2398</v>
      </c>
      <c r="L192" s="22" t="s">
        <v>44</v>
      </c>
      <c r="M192" s="22" t="s">
        <v>15</v>
      </c>
      <c r="N192" s="58" t="n">
        <f aca="false">F192*P192</f>
        <v>0</v>
      </c>
      <c r="O192" s="58" t="n">
        <f aca="false">F192*Q192</f>
        <v>0</v>
      </c>
      <c r="P192" s="58" t="n">
        <v>2.65</v>
      </c>
      <c r="Q192" s="58" t="n">
        <v>0.008</v>
      </c>
      <c r="R192" s="59" t="s">
        <v>670</v>
      </c>
      <c r="S192" s="22"/>
      <c r="T192" s="11" t="str">
        <f aca="false">"16.12.25"</f>
        <v>16.12.25</v>
      </c>
    </row>
    <row r="193" customFormat="false" ht="7.5" hidden="false" customHeight="true" outlineLevel="2" collapsed="false">
      <c r="A193" s="60" t="str">
        <f aca="false">HYPERLINK("https://disk.360.yandex.ru/d/oWjSQiO28i2gUw","фото")</f>
        <v>фото</v>
      </c>
      <c r="B193" s="49" t="s">
        <v>671</v>
      </c>
      <c r="C193" s="50" t="s">
        <v>672</v>
      </c>
      <c r="D193" s="51" t="s">
        <v>673</v>
      </c>
      <c r="E193" s="52" t="n">
        <f aca="false">I193*(1-J193)*(100-E1)/100</f>
        <v>2768.96</v>
      </c>
      <c r="F193" s="53"/>
      <c r="G193" s="54" t="n">
        <v>5</v>
      </c>
      <c r="H193" s="52" t="n">
        <f aca="false">E193*F193</f>
        <v>0</v>
      </c>
      <c r="I193" s="55" t="n">
        <v>5090</v>
      </c>
      <c r="J193" s="56" t="n">
        <v>0.15</v>
      </c>
      <c r="K193" s="57" t="n">
        <v>489</v>
      </c>
      <c r="L193" s="22" t="s">
        <v>44</v>
      </c>
      <c r="M193" s="22" t="s">
        <v>15</v>
      </c>
      <c r="N193" s="58" t="n">
        <f aca="false">F193*P193</f>
        <v>0</v>
      </c>
      <c r="O193" s="58" t="n">
        <f aca="false">F193*Q193</f>
        <v>0</v>
      </c>
      <c r="P193" s="58" t="n">
        <v>2.55</v>
      </c>
      <c r="Q193" s="58" t="n">
        <v>0.009</v>
      </c>
      <c r="R193" s="59" t="s">
        <v>674</v>
      </c>
      <c r="S193" s="22"/>
      <c r="T193" s="11" t="str">
        <f aca="false">"16.12.25"</f>
        <v>16.12.25</v>
      </c>
    </row>
    <row r="194" customFormat="false" ht="7.5" hidden="false" customHeight="true" outlineLevel="2" collapsed="false">
      <c r="A194" s="60" t="str">
        <f aca="false">HYPERLINK("https://disk.360.yandex.ru/d/zUX7kLcYEwHwlQ","фото")</f>
        <v>фото</v>
      </c>
      <c r="B194" s="49" t="s">
        <v>675</v>
      </c>
      <c r="C194" s="50" t="s">
        <v>676</v>
      </c>
      <c r="D194" s="51" t="s">
        <v>677</v>
      </c>
      <c r="E194" s="52" t="n">
        <f aca="false">I194*(1-J194)*(100-E1)/100</f>
        <v>1094.4</v>
      </c>
      <c r="F194" s="53"/>
      <c r="G194" s="54" t="n">
        <v>10</v>
      </c>
      <c r="H194" s="52" t="n">
        <f aca="false">E194*F194</f>
        <v>0</v>
      </c>
      <c r="I194" s="55" t="n">
        <v>1710</v>
      </c>
      <c r="J194" s="56"/>
      <c r="K194" s="57" t="n">
        <v>161</v>
      </c>
      <c r="L194" s="22" t="s">
        <v>44</v>
      </c>
      <c r="M194" s="22" t="s">
        <v>152</v>
      </c>
      <c r="N194" s="58" t="n">
        <f aca="false">F194*P194</f>
        <v>0</v>
      </c>
      <c r="O194" s="58" t="n">
        <f aca="false">F194*Q194</f>
        <v>0</v>
      </c>
      <c r="P194" s="58" t="n">
        <v>1.45</v>
      </c>
      <c r="Q194" s="58" t="n">
        <v>0.003</v>
      </c>
      <c r="R194" s="59" t="s">
        <v>678</v>
      </c>
      <c r="S194" s="22"/>
      <c r="T194" s="11" t="str">
        <f aca="false">"16.12.25"</f>
        <v>16.12.25</v>
      </c>
    </row>
    <row r="195" customFormat="false" ht="7.5" hidden="false" customHeight="true" outlineLevel="2" collapsed="false">
      <c r="A195" s="60" t="str">
        <f aca="false">HYPERLINK("https://disk.360.yandex.ru/d/bI49_czdK5U7Vw","фото")</f>
        <v>фото</v>
      </c>
      <c r="B195" s="49" t="s">
        <v>679</v>
      </c>
      <c r="C195" s="50" t="s">
        <v>680</v>
      </c>
      <c r="D195" s="51" t="s">
        <v>681</v>
      </c>
      <c r="E195" s="52" t="n">
        <f aca="false">I195*(1-J195)*(100-E1)/100</f>
        <v>2298.24</v>
      </c>
      <c r="F195" s="53"/>
      <c r="G195" s="54" t="n">
        <v>10</v>
      </c>
      <c r="H195" s="52" t="n">
        <f aca="false">E195*F195</f>
        <v>0</v>
      </c>
      <c r="I195" s="55" t="n">
        <v>3990</v>
      </c>
      <c r="J195" s="56" t="n">
        <v>0.1</v>
      </c>
      <c r="K195" s="57" t="n">
        <v>3184</v>
      </c>
      <c r="L195" s="22" t="s">
        <v>44</v>
      </c>
      <c r="M195" s="22" t="s">
        <v>15</v>
      </c>
      <c r="N195" s="58" t="n">
        <f aca="false">F195*P195</f>
        <v>0</v>
      </c>
      <c r="O195" s="58" t="n">
        <f aca="false">F195*Q195</f>
        <v>0</v>
      </c>
      <c r="P195" s="58" t="n">
        <v>2.1</v>
      </c>
      <c r="Q195" s="58" t="n">
        <v>0.006</v>
      </c>
      <c r="R195" s="59" t="s">
        <v>682</v>
      </c>
      <c r="S195" s="22"/>
      <c r="T195" s="11" t="str">
        <f aca="false">"16.12.25"</f>
        <v>16.12.25</v>
      </c>
    </row>
    <row r="196" customFormat="false" ht="7.5" hidden="false" customHeight="true" outlineLevel="2" collapsed="false">
      <c r="A196" s="60" t="str">
        <f aca="false">HYPERLINK("https://disk.360.yandex.ru/d/8UYGfYr-5GGU7g","фото")</f>
        <v>фото</v>
      </c>
      <c r="B196" s="49" t="s">
        <v>683</v>
      </c>
      <c r="C196" s="50" t="s">
        <v>684</v>
      </c>
      <c r="D196" s="51" t="s">
        <v>685</v>
      </c>
      <c r="E196" s="52" t="n">
        <f aca="false">I196*(1-J196)*(100-E1)/100</f>
        <v>2632.96</v>
      </c>
      <c r="F196" s="53"/>
      <c r="G196" s="54" t="n">
        <v>10</v>
      </c>
      <c r="H196" s="52" t="n">
        <f aca="false">E196*F196</f>
        <v>0</v>
      </c>
      <c r="I196" s="55" t="n">
        <v>4840</v>
      </c>
      <c r="J196" s="56" t="n">
        <v>0.15</v>
      </c>
      <c r="K196" s="57" t="n">
        <v>980</v>
      </c>
      <c r="L196" s="22" t="s">
        <v>44</v>
      </c>
      <c r="M196" s="22" t="s">
        <v>15</v>
      </c>
      <c r="N196" s="58" t="n">
        <f aca="false">F196*P196</f>
        <v>0</v>
      </c>
      <c r="O196" s="58" t="n">
        <f aca="false">F196*Q196</f>
        <v>0</v>
      </c>
      <c r="P196" s="58" t="n">
        <v>2.8</v>
      </c>
      <c r="Q196" s="58" t="n">
        <v>0.01</v>
      </c>
      <c r="R196" s="59" t="s">
        <v>686</v>
      </c>
      <c r="S196" s="22"/>
      <c r="T196" s="11" t="str">
        <f aca="false">"16.12.25"</f>
        <v>16.12.25</v>
      </c>
    </row>
    <row r="197" customFormat="false" ht="7.5" hidden="false" customHeight="true" outlineLevel="2" collapsed="false">
      <c r="A197" s="60" t="str">
        <f aca="false">HYPERLINK("https://disk.360.yandex.ru/d/w_dVrtyEJ6Ynkg","фото")</f>
        <v>фото</v>
      </c>
      <c r="B197" s="49" t="s">
        <v>687</v>
      </c>
      <c r="C197" s="50" t="s">
        <v>688</v>
      </c>
      <c r="D197" s="51" t="s">
        <v>689</v>
      </c>
      <c r="E197" s="52" t="n">
        <f aca="false">I197*(1-J197)*(100-E1)/100</f>
        <v>3075.84</v>
      </c>
      <c r="F197" s="53"/>
      <c r="G197" s="54" t="n">
        <v>10</v>
      </c>
      <c r="H197" s="52" t="n">
        <f aca="false">E197*F197</f>
        <v>0</v>
      </c>
      <c r="I197" s="55" t="n">
        <v>5340</v>
      </c>
      <c r="J197" s="56" t="n">
        <v>0.1</v>
      </c>
      <c r="K197" s="57" t="n">
        <v>1553</v>
      </c>
      <c r="L197" s="22" t="s">
        <v>44</v>
      </c>
      <c r="M197" s="22" t="s">
        <v>15</v>
      </c>
      <c r="N197" s="58" t="n">
        <f aca="false">F197*P197</f>
        <v>0</v>
      </c>
      <c r="O197" s="58" t="n">
        <f aca="false">F197*Q197</f>
        <v>0</v>
      </c>
      <c r="P197" s="58" t="n">
        <v>3.12</v>
      </c>
      <c r="Q197" s="58" t="n">
        <v>0.007</v>
      </c>
      <c r="R197" s="59" t="s">
        <v>690</v>
      </c>
      <c r="S197" s="22"/>
      <c r="T197" s="11" t="str">
        <f aca="false">"16.12.25"</f>
        <v>16.12.25</v>
      </c>
    </row>
    <row r="198" customFormat="false" ht="7.5" hidden="false" customHeight="true" outlineLevel="2" collapsed="false">
      <c r="A198" s="48"/>
      <c r="B198" s="49" t="s">
        <v>691</v>
      </c>
      <c r="C198" s="50" t="s">
        <v>692</v>
      </c>
      <c r="D198" s="51" t="s">
        <v>693</v>
      </c>
      <c r="E198" s="52" t="n">
        <f aca="false">I198*(1-J198)*(100-E1)/100</f>
        <v>2970.24</v>
      </c>
      <c r="F198" s="53"/>
      <c r="G198" s="54" t="n">
        <v>5</v>
      </c>
      <c r="H198" s="52" t="n">
        <f aca="false">E198*F198</f>
        <v>0</v>
      </c>
      <c r="I198" s="55" t="n">
        <v>5460</v>
      </c>
      <c r="J198" s="56" t="n">
        <v>0.15</v>
      </c>
      <c r="K198" s="57" t="n">
        <v>41</v>
      </c>
      <c r="L198" s="22" t="s">
        <v>44</v>
      </c>
      <c r="M198" s="22" t="s">
        <v>15</v>
      </c>
      <c r="N198" s="58" t="n">
        <f aca="false">F198*P198</f>
        <v>0</v>
      </c>
      <c r="O198" s="58" t="n">
        <f aca="false">F198*Q198</f>
        <v>0</v>
      </c>
      <c r="P198" s="58"/>
      <c r="Q198" s="58"/>
      <c r="R198" s="59" t="s">
        <v>694</v>
      </c>
      <c r="S198" s="22"/>
      <c r="T198" s="11" t="str">
        <f aca="false">"16.12.25"</f>
        <v>16.12.25</v>
      </c>
    </row>
    <row r="199" customFormat="false" ht="7.5" hidden="false" customHeight="true" outlineLevel="2" collapsed="false">
      <c r="A199" s="60" t="str">
        <f aca="false">HYPERLINK("https://disk.yandex.ru/d/YaDtMyJtIOFPiQ","фото")</f>
        <v>фото</v>
      </c>
      <c r="B199" s="49" t="s">
        <v>695</v>
      </c>
      <c r="C199" s="50" t="s">
        <v>696</v>
      </c>
      <c r="D199" s="51" t="s">
        <v>697</v>
      </c>
      <c r="E199" s="52" t="n">
        <f aca="false">I199*(1-J199)*(100-E1)/100</f>
        <v>2226.56</v>
      </c>
      <c r="F199" s="53"/>
      <c r="G199" s="54" t="n">
        <v>5</v>
      </c>
      <c r="H199" s="52" t="n">
        <f aca="false">E199*F199</f>
        <v>0</v>
      </c>
      <c r="I199" s="55" t="n">
        <v>4970</v>
      </c>
      <c r="J199" s="56" t="n">
        <v>0.3</v>
      </c>
      <c r="K199" s="57" t="n">
        <v>0</v>
      </c>
      <c r="L199" s="22" t="s">
        <v>44</v>
      </c>
      <c r="M199" s="22"/>
      <c r="N199" s="58" t="n">
        <f aca="false">F199*P199</f>
        <v>0</v>
      </c>
      <c r="O199" s="58" t="n">
        <f aca="false">F199*Q199</f>
        <v>0</v>
      </c>
      <c r="P199" s="58" t="n">
        <v>5.02</v>
      </c>
      <c r="Q199" s="58" t="n">
        <v>0.02</v>
      </c>
      <c r="R199" s="59" t="s">
        <v>698</v>
      </c>
      <c r="S199" s="22"/>
      <c r="T199" s="11" t="str">
        <f aca="false">"16.12.25"</f>
        <v>16.12.25</v>
      </c>
    </row>
    <row r="200" customFormat="false" ht="7.5" hidden="false" customHeight="true" outlineLevel="2" collapsed="false">
      <c r="A200" s="60" t="str">
        <f aca="false">HYPERLINK("https://disk.360.yandex.ru/d/sOP-1WlVvxaGwg","фото")</f>
        <v>фото</v>
      </c>
      <c r="B200" s="49" t="s">
        <v>699</v>
      </c>
      <c r="C200" s="50" t="s">
        <v>700</v>
      </c>
      <c r="D200" s="51" t="s">
        <v>701</v>
      </c>
      <c r="E200" s="52" t="n">
        <f aca="false">I200*(1-J200)*(100-E1)/100</f>
        <v>636.48</v>
      </c>
      <c r="F200" s="53"/>
      <c r="G200" s="54" t="n">
        <v>10</v>
      </c>
      <c r="H200" s="52" t="n">
        <f aca="false">E200*F200</f>
        <v>0</v>
      </c>
      <c r="I200" s="55" t="n">
        <v>1170</v>
      </c>
      <c r="J200" s="56" t="n">
        <v>0.15</v>
      </c>
      <c r="K200" s="57" t="n">
        <v>15</v>
      </c>
      <c r="L200" s="22" t="s">
        <v>44</v>
      </c>
      <c r="M200" s="22" t="s">
        <v>15</v>
      </c>
      <c r="N200" s="58" t="n">
        <f aca="false">F200*P200</f>
        <v>0</v>
      </c>
      <c r="O200" s="58" t="n">
        <f aca="false">F200*Q200</f>
        <v>0</v>
      </c>
      <c r="P200" s="58" t="n">
        <v>1</v>
      </c>
      <c r="Q200" s="58" t="n">
        <v>0.001</v>
      </c>
      <c r="R200" s="59" t="s">
        <v>702</v>
      </c>
      <c r="S200" s="22"/>
      <c r="T200" s="11" t="str">
        <f aca="false">"16.12.25"</f>
        <v>16.12.25</v>
      </c>
    </row>
    <row r="201" customFormat="false" ht="7.5" hidden="false" customHeight="true" outlineLevel="2" collapsed="false">
      <c r="A201" s="60" t="str">
        <f aca="false">HYPERLINK("https://disk.360.yandex.ru/d/pg7_HPF4XhTbSg","фото")</f>
        <v>фото</v>
      </c>
      <c r="B201" s="49" t="s">
        <v>703</v>
      </c>
      <c r="C201" s="50" t="s">
        <v>704</v>
      </c>
      <c r="D201" s="51" t="s">
        <v>705</v>
      </c>
      <c r="E201" s="52" t="n">
        <f aca="false">I201*(1-J201)*(100-E1)/100</f>
        <v>1107.2</v>
      </c>
      <c r="F201" s="53"/>
      <c r="G201" s="54" t="n">
        <v>10</v>
      </c>
      <c r="H201" s="52" t="n">
        <f aca="false">E201*F201</f>
        <v>0</v>
      </c>
      <c r="I201" s="55" t="n">
        <v>3460</v>
      </c>
      <c r="J201" s="56" t="n">
        <v>0.5</v>
      </c>
      <c r="K201" s="57" t="n">
        <v>81</v>
      </c>
      <c r="L201" s="22" t="s">
        <v>44</v>
      </c>
      <c r="M201" s="22"/>
      <c r="N201" s="58" t="n">
        <f aca="false">F201*P201</f>
        <v>0</v>
      </c>
      <c r="O201" s="58" t="n">
        <f aca="false">F201*Q201</f>
        <v>0</v>
      </c>
      <c r="P201" s="58" t="n">
        <v>1.27</v>
      </c>
      <c r="Q201" s="58" t="n">
        <v>0.004</v>
      </c>
      <c r="R201" s="59" t="s">
        <v>706</v>
      </c>
      <c r="S201" s="22"/>
      <c r="T201" s="11" t="str">
        <f aca="false">"16.12.25"</f>
        <v>16.12.25</v>
      </c>
    </row>
    <row r="202" customFormat="false" ht="7.5" hidden="false" customHeight="true" outlineLevel="2" collapsed="false">
      <c r="A202" s="60" t="str">
        <f aca="false">HYPERLINK("https://disk.360.yandex.ru/d/qry8QkAMnY2e8g","фото")</f>
        <v>фото</v>
      </c>
      <c r="B202" s="49" t="s">
        <v>707</v>
      </c>
      <c r="C202" s="50" t="s">
        <v>708</v>
      </c>
      <c r="D202" s="51" t="s">
        <v>709</v>
      </c>
      <c r="E202" s="52" t="n">
        <f aca="false">I202*(1-J202)*(100-E1)/100</f>
        <v>1234.88</v>
      </c>
      <c r="F202" s="53"/>
      <c r="G202" s="54" t="n">
        <v>10</v>
      </c>
      <c r="H202" s="52" t="n">
        <f aca="false">E202*F202</f>
        <v>0</v>
      </c>
      <c r="I202" s="55" t="n">
        <v>2270</v>
      </c>
      <c r="J202" s="56" t="n">
        <v>0.15</v>
      </c>
      <c r="K202" s="57" t="n">
        <v>244</v>
      </c>
      <c r="L202" s="22" t="s">
        <v>44</v>
      </c>
      <c r="M202" s="22" t="s">
        <v>15</v>
      </c>
      <c r="N202" s="58" t="n">
        <f aca="false">F202*P202</f>
        <v>0</v>
      </c>
      <c r="O202" s="58" t="n">
        <f aca="false">F202*Q202</f>
        <v>0</v>
      </c>
      <c r="P202" s="58" t="n">
        <v>1.2</v>
      </c>
      <c r="Q202" s="58" t="n">
        <v>0.003</v>
      </c>
      <c r="R202" s="59" t="s">
        <v>710</v>
      </c>
      <c r="S202" s="22"/>
      <c r="T202" s="11" t="str">
        <f aca="false">"16.12.25"</f>
        <v>16.12.25</v>
      </c>
    </row>
    <row r="203" customFormat="false" ht="7.5" hidden="false" customHeight="true" outlineLevel="2" collapsed="false">
      <c r="A203" s="60" t="str">
        <f aca="false">HYPERLINK("https://disk.360.yandex.ru/d/nsx9s6O9B1_lEQ","фото")</f>
        <v>фото</v>
      </c>
      <c r="B203" s="49" t="s">
        <v>711</v>
      </c>
      <c r="C203" s="50" t="s">
        <v>712</v>
      </c>
      <c r="D203" s="51" t="s">
        <v>713</v>
      </c>
      <c r="E203" s="52" t="n">
        <f aca="false">I203*(1-J203)*(100-E1)/100</f>
        <v>2598.4</v>
      </c>
      <c r="F203" s="53"/>
      <c r="G203" s="54" t="n">
        <v>10</v>
      </c>
      <c r="H203" s="52" t="n">
        <f aca="false">E203*F203</f>
        <v>0</v>
      </c>
      <c r="I203" s="55" t="n">
        <v>4060</v>
      </c>
      <c r="J203" s="56"/>
      <c r="K203" s="57" t="n">
        <v>188</v>
      </c>
      <c r="L203" s="22" t="s">
        <v>44</v>
      </c>
      <c r="M203" s="22"/>
      <c r="N203" s="58" t="n">
        <f aca="false">F203*P203</f>
        <v>0</v>
      </c>
      <c r="O203" s="58" t="n">
        <f aca="false">F203*Q203</f>
        <v>0</v>
      </c>
      <c r="P203" s="58" t="n">
        <v>2.4</v>
      </c>
      <c r="Q203" s="58" t="n">
        <v>0.01</v>
      </c>
      <c r="R203" s="59" t="s">
        <v>714</v>
      </c>
      <c r="S203" s="22"/>
      <c r="T203" s="11" t="str">
        <f aca="false">"16.12.25"</f>
        <v>16.12.25</v>
      </c>
    </row>
    <row r="204" customFormat="false" ht="7.5" hidden="false" customHeight="true" outlineLevel="2" collapsed="false">
      <c r="A204" s="60" t="str">
        <f aca="false">HYPERLINK("https://disk.360.yandex.ru/d/1cfoyZ7oIP4Bkg","фото")</f>
        <v>фото</v>
      </c>
      <c r="B204" s="49" t="s">
        <v>715</v>
      </c>
      <c r="C204" s="50" t="s">
        <v>716</v>
      </c>
      <c r="D204" s="51" t="s">
        <v>717</v>
      </c>
      <c r="E204" s="52" t="n">
        <f aca="false">I204*(1-J204)*(100-E1)/100</f>
        <v>2899.2</v>
      </c>
      <c r="F204" s="53"/>
      <c r="G204" s="54" t="n">
        <v>10</v>
      </c>
      <c r="H204" s="52" t="n">
        <f aca="false">E204*F204</f>
        <v>0</v>
      </c>
      <c r="I204" s="55" t="n">
        <v>4530</v>
      </c>
      <c r="J204" s="56"/>
      <c r="K204" s="57" t="n">
        <v>0</v>
      </c>
      <c r="L204" s="22" t="s">
        <v>44</v>
      </c>
      <c r="M204" s="22"/>
      <c r="N204" s="58" t="n">
        <f aca="false">F204*P204</f>
        <v>0</v>
      </c>
      <c r="O204" s="58" t="n">
        <f aca="false">F204*Q204</f>
        <v>0</v>
      </c>
      <c r="P204" s="58" t="n">
        <v>2.3</v>
      </c>
      <c r="Q204" s="58" t="n">
        <v>0.01</v>
      </c>
      <c r="R204" s="59" t="s">
        <v>718</v>
      </c>
      <c r="S204" s="22"/>
      <c r="T204" s="11" t="str">
        <f aca="false">"16.12.25"</f>
        <v>16.12.25</v>
      </c>
    </row>
    <row r="205" customFormat="false" ht="7.5" hidden="false" customHeight="true" outlineLevel="2" collapsed="false">
      <c r="A205" s="60" t="str">
        <f aca="false">HYPERLINK("https://disk.360.yandex.ru/d/ktVurAFDTOVn7A","фото")</f>
        <v>фото</v>
      </c>
      <c r="B205" s="49" t="s">
        <v>719</v>
      </c>
      <c r="C205" s="50" t="s">
        <v>720</v>
      </c>
      <c r="D205" s="51"/>
      <c r="E205" s="52" t="n">
        <f aca="false">I205*(1-J205)*(100-E1)/100</f>
        <v>3417.6</v>
      </c>
      <c r="F205" s="53"/>
      <c r="G205" s="54" t="n">
        <v>10</v>
      </c>
      <c r="H205" s="52" t="n">
        <f aca="false">E205*F205</f>
        <v>0</v>
      </c>
      <c r="I205" s="55" t="n">
        <v>5340</v>
      </c>
      <c r="J205" s="56"/>
      <c r="K205" s="57" t="n">
        <v>0</v>
      </c>
      <c r="L205" s="22" t="s">
        <v>44</v>
      </c>
      <c r="M205" s="22" t="s">
        <v>721</v>
      </c>
      <c r="N205" s="58" t="n">
        <f aca="false">F205*P205</f>
        <v>0</v>
      </c>
      <c r="O205" s="58" t="n">
        <f aca="false">F205*Q205</f>
        <v>0</v>
      </c>
      <c r="P205" s="58" t="n">
        <v>2.4</v>
      </c>
      <c r="Q205" s="58" t="n">
        <v>0.01</v>
      </c>
      <c r="R205" s="59" t="s">
        <v>722</v>
      </c>
      <c r="S205" s="22"/>
      <c r="T205" s="11" t="str">
        <f aca="false">"16.12.25"</f>
        <v>16.12.25</v>
      </c>
    </row>
    <row r="206" customFormat="false" ht="7.5" hidden="false" customHeight="true" outlineLevel="2" collapsed="false">
      <c r="A206" s="60" t="str">
        <f aca="false">HYPERLINK("https://disk.360.yandex.ru/d/jD_ml5039154mg","фото")</f>
        <v>фото</v>
      </c>
      <c r="B206" s="49" t="s">
        <v>723</v>
      </c>
      <c r="C206" s="50" t="s">
        <v>724</v>
      </c>
      <c r="D206" s="51"/>
      <c r="E206" s="52" t="n">
        <f aca="false">I206*(1-J206)*(100-E1)/100</f>
        <v>1977.6</v>
      </c>
      <c r="F206" s="53"/>
      <c r="G206" s="54" t="n">
        <v>5</v>
      </c>
      <c r="H206" s="52" t="n">
        <f aca="false">E206*F206</f>
        <v>0</v>
      </c>
      <c r="I206" s="55" t="n">
        <v>3090</v>
      </c>
      <c r="J206" s="56"/>
      <c r="K206" s="57" t="n">
        <v>0</v>
      </c>
      <c r="L206" s="22" t="s">
        <v>44</v>
      </c>
      <c r="M206" s="22"/>
      <c r="N206" s="58" t="n">
        <f aca="false">F206*P206</f>
        <v>0</v>
      </c>
      <c r="O206" s="58" t="n">
        <f aca="false">F206*Q206</f>
        <v>0</v>
      </c>
      <c r="P206" s="58" t="n">
        <v>2.5</v>
      </c>
      <c r="Q206" s="58" t="n">
        <v>0.01</v>
      </c>
      <c r="R206" s="59"/>
      <c r="S206" s="22"/>
      <c r="T206" s="11" t="str">
        <f aca="false">"16.12.25"</f>
        <v>16.12.25</v>
      </c>
    </row>
    <row r="207" customFormat="false" ht="7.5" hidden="false" customHeight="true" outlineLevel="2" collapsed="false">
      <c r="A207" s="60" t="str">
        <f aca="false">HYPERLINK("https://disk.360.yandex.ru/d/7h4x_vkdFmjpxw","фото")</f>
        <v>фото</v>
      </c>
      <c r="B207" s="49" t="s">
        <v>725</v>
      </c>
      <c r="C207" s="50" t="s">
        <v>726</v>
      </c>
      <c r="D207" s="51"/>
      <c r="E207" s="52" t="n">
        <f aca="false">I207*(1-J207)*(100-E1)/100</f>
        <v>2080</v>
      </c>
      <c r="F207" s="53"/>
      <c r="G207" s="54" t="n">
        <v>10</v>
      </c>
      <c r="H207" s="52" t="n">
        <f aca="false">E207*F207</f>
        <v>0</v>
      </c>
      <c r="I207" s="55" t="n">
        <v>3250</v>
      </c>
      <c r="J207" s="56"/>
      <c r="K207" s="57" t="n">
        <v>0</v>
      </c>
      <c r="L207" s="22" t="s">
        <v>44</v>
      </c>
      <c r="M207" s="22"/>
      <c r="N207" s="58" t="n">
        <f aca="false">F207*P207</f>
        <v>0</v>
      </c>
      <c r="O207" s="58" t="n">
        <f aca="false">F207*Q207</f>
        <v>0</v>
      </c>
      <c r="P207" s="58" t="n">
        <v>2.85</v>
      </c>
      <c r="Q207" s="58" t="n">
        <v>0.01</v>
      </c>
      <c r="R207" s="59"/>
      <c r="S207" s="22"/>
      <c r="T207" s="11" t="str">
        <f aca="false">"16.12.25"</f>
        <v>16.12.25</v>
      </c>
    </row>
    <row r="208" customFormat="false" ht="7.5" hidden="false" customHeight="true" outlineLevel="2" collapsed="false">
      <c r="A208" s="60" t="str">
        <f aca="false">HYPERLINK("https://disk.360.yandex.ru/d/ARuUto0VMZwMyQ","фото")</f>
        <v>фото</v>
      </c>
      <c r="B208" s="49" t="s">
        <v>727</v>
      </c>
      <c r="C208" s="50" t="s">
        <v>728</v>
      </c>
      <c r="D208" s="51"/>
      <c r="E208" s="52" t="n">
        <f aca="false">I208*(1-J208)*(100-E1)/100</f>
        <v>1120</v>
      </c>
      <c r="F208" s="53"/>
      <c r="G208" s="54" t="n">
        <v>10</v>
      </c>
      <c r="H208" s="52" t="n">
        <f aca="false">E208*F208</f>
        <v>0</v>
      </c>
      <c r="I208" s="55" t="n">
        <v>2500</v>
      </c>
      <c r="J208" s="56" t="n">
        <v>0.3</v>
      </c>
      <c r="K208" s="57" t="n">
        <v>10</v>
      </c>
      <c r="L208" s="22" t="s">
        <v>44</v>
      </c>
      <c r="M208" s="22"/>
      <c r="N208" s="58" t="n">
        <f aca="false">F208*P208</f>
        <v>0</v>
      </c>
      <c r="O208" s="58" t="n">
        <f aca="false">F208*Q208</f>
        <v>0</v>
      </c>
      <c r="P208" s="58" t="n">
        <v>1.6</v>
      </c>
      <c r="Q208" s="58" t="n">
        <v>0.002</v>
      </c>
      <c r="R208" s="59"/>
      <c r="S208" s="22"/>
      <c r="T208" s="11" t="str">
        <f aca="false">"16.12.25"</f>
        <v>16.12.25</v>
      </c>
    </row>
    <row r="209" customFormat="false" ht="7.5" hidden="false" customHeight="true" outlineLevel="2" collapsed="false">
      <c r="A209" s="60" t="str">
        <f aca="false">HYPERLINK("https://disk.360.yandex.ru/d/rQOF_BzLX_0q8g","фото")</f>
        <v>фото</v>
      </c>
      <c r="B209" s="49" t="s">
        <v>729</v>
      </c>
      <c r="C209" s="50" t="s">
        <v>730</v>
      </c>
      <c r="D209" s="51"/>
      <c r="E209" s="52" t="n">
        <f aca="false">I209*(1-J209)*(100-E1)/100</f>
        <v>2137.6</v>
      </c>
      <c r="F209" s="53"/>
      <c r="G209" s="54" t="n">
        <v>5</v>
      </c>
      <c r="H209" s="52" t="n">
        <f aca="false">E209*F209</f>
        <v>0</v>
      </c>
      <c r="I209" s="55" t="n">
        <v>3340</v>
      </c>
      <c r="J209" s="56"/>
      <c r="K209" s="57" t="n">
        <v>357</v>
      </c>
      <c r="L209" s="22" t="s">
        <v>44</v>
      </c>
      <c r="M209" s="22"/>
      <c r="N209" s="58" t="n">
        <f aca="false">F209*P209</f>
        <v>0</v>
      </c>
      <c r="O209" s="58" t="n">
        <f aca="false">F209*Q209</f>
        <v>0</v>
      </c>
      <c r="P209" s="58" t="n">
        <v>2.5</v>
      </c>
      <c r="Q209" s="58" t="n">
        <v>0.01</v>
      </c>
      <c r="R209" s="59"/>
      <c r="S209" s="22"/>
      <c r="T209" s="11" t="str">
        <f aca="false">"16.12.25"</f>
        <v>16.12.25</v>
      </c>
    </row>
    <row r="210" customFormat="false" ht="7.5" hidden="false" customHeight="true" outlineLevel="2" collapsed="false">
      <c r="A210" s="60" t="str">
        <f aca="false">HYPERLINK("https://disk.360.yandex.ru/d/TAZN0BqxBGFRcA","фото")</f>
        <v>фото</v>
      </c>
      <c r="B210" s="49" t="s">
        <v>731</v>
      </c>
      <c r="C210" s="50" t="s">
        <v>732</v>
      </c>
      <c r="D210" s="51"/>
      <c r="E210" s="52" t="n">
        <f aca="false">I210*(1-J210)*(100-E1)/100</f>
        <v>2297.6</v>
      </c>
      <c r="F210" s="53"/>
      <c r="G210" s="54" t="n">
        <v>10</v>
      </c>
      <c r="H210" s="52" t="n">
        <f aca="false">E210*F210</f>
        <v>0</v>
      </c>
      <c r="I210" s="55" t="n">
        <v>3590</v>
      </c>
      <c r="J210" s="56"/>
      <c r="K210" s="57" t="n">
        <v>0</v>
      </c>
      <c r="L210" s="22" t="s">
        <v>44</v>
      </c>
      <c r="M210" s="22"/>
      <c r="N210" s="58" t="n">
        <f aca="false">F210*P210</f>
        <v>0</v>
      </c>
      <c r="O210" s="58" t="n">
        <f aca="false">F210*Q210</f>
        <v>0</v>
      </c>
      <c r="P210" s="58" t="n">
        <v>2.85</v>
      </c>
      <c r="Q210" s="58" t="n">
        <v>0.01</v>
      </c>
      <c r="R210" s="59"/>
      <c r="S210" s="22"/>
      <c r="T210" s="11" t="str">
        <f aca="false">"16.12.25"</f>
        <v>16.12.25</v>
      </c>
    </row>
    <row r="211" customFormat="false" ht="7.5" hidden="false" customHeight="true" outlineLevel="2" collapsed="false">
      <c r="A211" s="60" t="str">
        <f aca="false">HYPERLINK("https://disk.360.yandex.ru/d/EAihhYTC_axeTg","фото")</f>
        <v>фото</v>
      </c>
      <c r="B211" s="49" t="s">
        <v>733</v>
      </c>
      <c r="C211" s="50" t="s">
        <v>734</v>
      </c>
      <c r="D211" s="51"/>
      <c r="E211" s="52" t="n">
        <f aca="false">I211*(1-J211)*(100-E1)/100</f>
        <v>2508.8</v>
      </c>
      <c r="F211" s="53"/>
      <c r="G211" s="54" t="n">
        <v>5</v>
      </c>
      <c r="H211" s="52" t="n">
        <f aca="false">E211*F211</f>
        <v>0</v>
      </c>
      <c r="I211" s="55" t="n">
        <v>3920</v>
      </c>
      <c r="J211" s="56"/>
      <c r="K211" s="57" t="n">
        <v>0</v>
      </c>
      <c r="L211" s="22" t="s">
        <v>44</v>
      </c>
      <c r="M211" s="22"/>
      <c r="N211" s="58" t="n">
        <f aca="false">F211*P211</f>
        <v>0</v>
      </c>
      <c r="O211" s="58" t="n">
        <f aca="false">F211*Q211</f>
        <v>0</v>
      </c>
      <c r="P211" s="58" t="n">
        <v>4.4</v>
      </c>
      <c r="Q211" s="58" t="n">
        <v>0.01</v>
      </c>
      <c r="R211" s="59"/>
      <c r="S211" s="22"/>
      <c r="T211" s="11" t="str">
        <f aca="false">"16.12.25"</f>
        <v>16.12.25</v>
      </c>
    </row>
    <row r="212" customFormat="false" ht="7.5" hidden="false" customHeight="true" outlineLevel="2" collapsed="false">
      <c r="A212" s="60" t="str">
        <f aca="false">HYPERLINK("https://disk.360.yandex.ru/d/ZgGBdF_5IUSoVg","фото")</f>
        <v>фото</v>
      </c>
      <c r="B212" s="49" t="s">
        <v>735</v>
      </c>
      <c r="C212" s="50" t="s">
        <v>736</v>
      </c>
      <c r="D212" s="51"/>
      <c r="E212" s="52" t="n">
        <f aca="false">I212*(1-J212)*(100-E1)/100</f>
        <v>1420.16</v>
      </c>
      <c r="F212" s="53"/>
      <c r="G212" s="54" t="n">
        <v>10</v>
      </c>
      <c r="H212" s="52" t="n">
        <f aca="false">E212*F212</f>
        <v>0</v>
      </c>
      <c r="I212" s="55" t="n">
        <v>3170</v>
      </c>
      <c r="J212" s="56" t="n">
        <v>0.3</v>
      </c>
      <c r="K212" s="57" t="n">
        <v>0</v>
      </c>
      <c r="L212" s="22" t="s">
        <v>44</v>
      </c>
      <c r="M212" s="22"/>
      <c r="N212" s="58" t="n">
        <f aca="false">F212*P212</f>
        <v>0</v>
      </c>
      <c r="O212" s="58" t="n">
        <f aca="false">F212*Q212</f>
        <v>0</v>
      </c>
      <c r="P212" s="58" t="n">
        <v>1.6</v>
      </c>
      <c r="Q212" s="58" t="n">
        <v>0.003</v>
      </c>
      <c r="R212" s="59"/>
      <c r="S212" s="22"/>
      <c r="T212" s="11" t="str">
        <f aca="false">"16.12.25"</f>
        <v>16.12.25</v>
      </c>
    </row>
    <row r="213" customFormat="false" ht="7.5" hidden="false" customHeight="true" outlineLevel="2" collapsed="false">
      <c r="A213" s="60" t="str">
        <f aca="false">HYPERLINK("https://disk.360.yandex.ru/d/MqCiTuWDPruj4Q","фото")</f>
        <v>фото</v>
      </c>
      <c r="B213" s="49" t="s">
        <v>737</v>
      </c>
      <c r="C213" s="50" t="s">
        <v>738</v>
      </c>
      <c r="D213" s="51" t="s">
        <v>739</v>
      </c>
      <c r="E213" s="52" t="n">
        <f aca="false">I213*(1-J213)*(100-E1)/100</f>
        <v>2208.64</v>
      </c>
      <c r="F213" s="53"/>
      <c r="G213" s="54" t="n">
        <v>10</v>
      </c>
      <c r="H213" s="52" t="n">
        <f aca="false">E213*F213</f>
        <v>0</v>
      </c>
      <c r="I213" s="55" t="n">
        <v>4060</v>
      </c>
      <c r="J213" s="56" t="n">
        <v>0.15</v>
      </c>
      <c r="K213" s="57" t="n">
        <v>23</v>
      </c>
      <c r="L213" s="22" t="s">
        <v>44</v>
      </c>
      <c r="M213" s="22"/>
      <c r="N213" s="58" t="n">
        <f aca="false">F213*P213</f>
        <v>0</v>
      </c>
      <c r="O213" s="58" t="n">
        <f aca="false">F213*Q213</f>
        <v>0</v>
      </c>
      <c r="P213" s="58" t="n">
        <v>2.1</v>
      </c>
      <c r="Q213" s="58" t="n">
        <v>0.002</v>
      </c>
      <c r="R213" s="59" t="s">
        <v>740</v>
      </c>
      <c r="S213" s="22"/>
      <c r="T213" s="11" t="str">
        <f aca="false">"16.12.25"</f>
        <v>16.12.25</v>
      </c>
    </row>
    <row r="214" customFormat="false" ht="7.5" hidden="false" customHeight="true" outlineLevel="2" collapsed="false">
      <c r="A214" s="60" t="str">
        <f aca="false">HYPERLINK("https://disk.360.yandex.ru/d/-0UfRAQb3-6bGg","фото")</f>
        <v>фото</v>
      </c>
      <c r="B214" s="49" t="s">
        <v>741</v>
      </c>
      <c r="C214" s="50" t="s">
        <v>742</v>
      </c>
      <c r="D214" s="51" t="s">
        <v>717</v>
      </c>
      <c r="E214" s="52" t="n">
        <f aca="false">I214*(1-J214)*(100-E1)/100</f>
        <v>2464.32</v>
      </c>
      <c r="F214" s="53"/>
      <c r="G214" s="54" t="n">
        <v>10</v>
      </c>
      <c r="H214" s="52" t="n">
        <f aca="false">E214*F214</f>
        <v>0</v>
      </c>
      <c r="I214" s="55" t="n">
        <v>4530</v>
      </c>
      <c r="J214" s="56" t="n">
        <v>0.15</v>
      </c>
      <c r="K214" s="57" t="n">
        <v>0</v>
      </c>
      <c r="L214" s="22" t="s">
        <v>44</v>
      </c>
      <c r="M214" s="22"/>
      <c r="N214" s="58" t="n">
        <f aca="false">F214*P214</f>
        <v>0</v>
      </c>
      <c r="O214" s="58" t="n">
        <f aca="false">F214*Q214</f>
        <v>0</v>
      </c>
      <c r="P214" s="58" t="n">
        <v>2.5</v>
      </c>
      <c r="Q214" s="58" t="n">
        <v>0.01</v>
      </c>
      <c r="R214" s="59" t="s">
        <v>743</v>
      </c>
      <c r="S214" s="22"/>
      <c r="T214" s="11" t="str">
        <f aca="false">"16.12.25"</f>
        <v>16.12.25</v>
      </c>
    </row>
    <row r="215" customFormat="false" ht="7.5" hidden="false" customHeight="true" outlineLevel="2" collapsed="false">
      <c r="A215" s="60" t="str">
        <f aca="false">HYPERLINK("https://disk.360.yandex.ru/d/xQk-2dnhQTAlDQ","фото")</f>
        <v>фото</v>
      </c>
      <c r="B215" s="49" t="s">
        <v>744</v>
      </c>
      <c r="C215" s="50" t="s">
        <v>745</v>
      </c>
      <c r="D215" s="51" t="s">
        <v>746</v>
      </c>
      <c r="E215" s="52" t="n">
        <f aca="false">I215*(1-J215)*(100-E1)/100</f>
        <v>1702.4</v>
      </c>
      <c r="F215" s="53"/>
      <c r="G215" s="54" t="n">
        <v>10</v>
      </c>
      <c r="H215" s="52" t="n">
        <f aca="false">E215*F215</f>
        <v>0</v>
      </c>
      <c r="I215" s="55" t="n">
        <v>2660</v>
      </c>
      <c r="J215" s="56"/>
      <c r="K215" s="57" t="n">
        <v>709</v>
      </c>
      <c r="L215" s="22" t="s">
        <v>44</v>
      </c>
      <c r="M215" s="22" t="s">
        <v>152</v>
      </c>
      <c r="N215" s="58" t="n">
        <f aca="false">F215*P215</f>
        <v>0</v>
      </c>
      <c r="O215" s="58" t="n">
        <f aca="false">F215*Q215</f>
        <v>0</v>
      </c>
      <c r="P215" s="58" t="n">
        <v>1.55</v>
      </c>
      <c r="Q215" s="58" t="n">
        <v>0.003</v>
      </c>
      <c r="R215" s="59" t="s">
        <v>747</v>
      </c>
      <c r="S215" s="22"/>
      <c r="T215" s="11" t="str">
        <f aca="false">"16.12.25"</f>
        <v>16.12.25</v>
      </c>
    </row>
    <row r="216" customFormat="false" ht="7.5" hidden="false" customHeight="true" outlineLevel="2" collapsed="false">
      <c r="A216" s="60" t="str">
        <f aca="false">HYPERLINK("https://disk.360.yandex.ru/d/irauoALPEqPdoQ","фото")</f>
        <v>фото</v>
      </c>
      <c r="B216" s="49" t="s">
        <v>748</v>
      </c>
      <c r="C216" s="50" t="s">
        <v>749</v>
      </c>
      <c r="D216" s="51" t="s">
        <v>713</v>
      </c>
      <c r="E216" s="52" t="n">
        <f aca="false">I216*(1-J216)*(100-E1)/100</f>
        <v>2982.4</v>
      </c>
      <c r="F216" s="53"/>
      <c r="G216" s="54" t="n">
        <v>10</v>
      </c>
      <c r="H216" s="52" t="n">
        <f aca="false">E216*F216</f>
        <v>0</v>
      </c>
      <c r="I216" s="55" t="n">
        <v>4660</v>
      </c>
      <c r="J216" s="56"/>
      <c r="K216" s="57" t="n">
        <v>2730</v>
      </c>
      <c r="L216" s="22" t="s">
        <v>44</v>
      </c>
      <c r="M216" s="22"/>
      <c r="N216" s="58" t="n">
        <f aca="false">F216*P216</f>
        <v>0</v>
      </c>
      <c r="O216" s="58" t="n">
        <f aca="false">F216*Q216</f>
        <v>0</v>
      </c>
      <c r="P216" s="58" t="n">
        <v>2.3</v>
      </c>
      <c r="Q216" s="58" t="n">
        <v>0.01</v>
      </c>
      <c r="R216" s="59" t="s">
        <v>750</v>
      </c>
      <c r="S216" s="22"/>
      <c r="T216" s="11" t="str">
        <f aca="false">"16.12.25"</f>
        <v>16.12.25</v>
      </c>
    </row>
    <row r="217" customFormat="false" ht="7.5" hidden="false" customHeight="true" outlineLevel="2" collapsed="false">
      <c r="A217" s="60" t="str">
        <f aca="false">HYPERLINK("https://disk.360.yandex.ru/d/rC0p1nB0Mx7YQg","фото")</f>
        <v>фото</v>
      </c>
      <c r="B217" s="49" t="s">
        <v>751</v>
      </c>
      <c r="C217" s="50" t="s">
        <v>752</v>
      </c>
      <c r="D217" s="51" t="s">
        <v>753</v>
      </c>
      <c r="E217" s="52" t="n">
        <f aca="false">I217*(1-J217)*(100-E1)/100</f>
        <v>2078.72</v>
      </c>
      <c r="F217" s="53"/>
      <c r="G217" s="54" t="n">
        <v>10</v>
      </c>
      <c r="H217" s="52" t="n">
        <f aca="false">E217*F217</f>
        <v>0</v>
      </c>
      <c r="I217" s="55" t="n">
        <v>4060</v>
      </c>
      <c r="J217" s="56" t="n">
        <v>0.2</v>
      </c>
      <c r="K217" s="57" t="n">
        <v>202</v>
      </c>
      <c r="L217" s="22" t="s">
        <v>44</v>
      </c>
      <c r="M217" s="22" t="s">
        <v>152</v>
      </c>
      <c r="N217" s="58" t="n">
        <f aca="false">F217*P217</f>
        <v>0</v>
      </c>
      <c r="O217" s="58" t="n">
        <f aca="false">F217*Q217</f>
        <v>0</v>
      </c>
      <c r="P217" s="58" t="n">
        <v>2.126</v>
      </c>
      <c r="Q217" s="58" t="n">
        <v>0.006</v>
      </c>
      <c r="R217" s="59" t="s">
        <v>754</v>
      </c>
      <c r="S217" s="22"/>
      <c r="T217" s="11" t="str">
        <f aca="false">"16.12.25"</f>
        <v>16.12.25</v>
      </c>
    </row>
    <row r="218" customFormat="false" ht="7.5" hidden="false" customHeight="true" outlineLevel="2" collapsed="false">
      <c r="A218" s="60" t="str">
        <f aca="false">HYPERLINK("https://disk.360.yandex.ru/d/RBHzmllo7sds7g","фото")</f>
        <v>фото</v>
      </c>
      <c r="B218" s="49" t="s">
        <v>755</v>
      </c>
      <c r="C218" s="50" t="s">
        <v>756</v>
      </c>
      <c r="D218" s="51" t="s">
        <v>757</v>
      </c>
      <c r="E218" s="52" t="n">
        <f aca="false">I218*(1-J218)*(100-E1)/100</f>
        <v>2319.36</v>
      </c>
      <c r="F218" s="53"/>
      <c r="G218" s="54" t="n">
        <v>10</v>
      </c>
      <c r="H218" s="52" t="n">
        <f aca="false">E218*F218</f>
        <v>0</v>
      </c>
      <c r="I218" s="55" t="n">
        <v>4530</v>
      </c>
      <c r="J218" s="56" t="n">
        <v>0.2</v>
      </c>
      <c r="K218" s="57" t="n">
        <v>0</v>
      </c>
      <c r="L218" s="22" t="s">
        <v>44</v>
      </c>
      <c r="M218" s="22" t="s">
        <v>152</v>
      </c>
      <c r="N218" s="58" t="n">
        <f aca="false">F218*P218</f>
        <v>0</v>
      </c>
      <c r="O218" s="58" t="n">
        <f aca="false">F218*Q218</f>
        <v>0</v>
      </c>
      <c r="P218" s="58" t="n">
        <v>2.5</v>
      </c>
      <c r="Q218" s="58" t="n">
        <v>0.008</v>
      </c>
      <c r="R218" s="59" t="s">
        <v>758</v>
      </c>
      <c r="S218" s="22"/>
      <c r="T218" s="11" t="str">
        <f aca="false">"16.12.25"</f>
        <v>16.12.25</v>
      </c>
    </row>
    <row r="219" customFormat="false" ht="7.5" hidden="false" customHeight="true" outlineLevel="2" collapsed="false">
      <c r="A219" s="60" t="str">
        <f aca="false">HYPERLINK("https://disk.360.yandex.ru/d/gIyKvNMlHy1xaQ","фото")</f>
        <v>фото</v>
      </c>
      <c r="B219" s="49" t="s">
        <v>759</v>
      </c>
      <c r="C219" s="50" t="s">
        <v>760</v>
      </c>
      <c r="D219" s="51" t="s">
        <v>761</v>
      </c>
      <c r="E219" s="52" t="n">
        <f aca="false">I219*(1-J219)*(100-E1)/100</f>
        <v>3385.6</v>
      </c>
      <c r="F219" s="53"/>
      <c r="G219" s="54" t="n">
        <v>10</v>
      </c>
      <c r="H219" s="52" t="n">
        <f aca="false">E219*F219</f>
        <v>0</v>
      </c>
      <c r="I219" s="55" t="n">
        <v>5290</v>
      </c>
      <c r="J219" s="56"/>
      <c r="K219" s="57" t="n">
        <v>1516</v>
      </c>
      <c r="L219" s="22" t="s">
        <v>44</v>
      </c>
      <c r="M219" s="22"/>
      <c r="N219" s="58" t="n">
        <f aca="false">F219*P219</f>
        <v>0</v>
      </c>
      <c r="O219" s="58" t="n">
        <f aca="false">F219*Q219</f>
        <v>0</v>
      </c>
      <c r="P219" s="58" t="n">
        <v>2.6</v>
      </c>
      <c r="Q219" s="58" t="n">
        <v>0.01</v>
      </c>
      <c r="R219" s="59" t="s">
        <v>762</v>
      </c>
      <c r="S219" s="22"/>
      <c r="T219" s="11" t="str">
        <f aca="false">"16.12.25"</f>
        <v>16.12.25</v>
      </c>
    </row>
    <row r="220" customFormat="false" ht="7.5" hidden="false" customHeight="true" outlineLevel="2" collapsed="false">
      <c r="A220" s="60" t="str">
        <f aca="false">HYPERLINK("https://disk.360.yandex.ru/d/HHwmYEWr4QfkfQ","фото")</f>
        <v>фото</v>
      </c>
      <c r="B220" s="49" t="s">
        <v>763</v>
      </c>
      <c r="C220" s="50" t="s">
        <v>764</v>
      </c>
      <c r="D220" s="51" t="s">
        <v>765</v>
      </c>
      <c r="E220" s="52" t="n">
        <f aca="false">I220*(1-J220)*(100-E1)/100</f>
        <v>2988.8</v>
      </c>
      <c r="F220" s="53"/>
      <c r="G220" s="54" t="n">
        <v>10</v>
      </c>
      <c r="H220" s="52" t="n">
        <f aca="false">E220*F220</f>
        <v>0</v>
      </c>
      <c r="I220" s="55" t="n">
        <v>4670</v>
      </c>
      <c r="J220" s="56"/>
      <c r="K220" s="57" t="n">
        <v>4359</v>
      </c>
      <c r="L220" s="22" t="s">
        <v>44</v>
      </c>
      <c r="M220" s="22"/>
      <c r="N220" s="58" t="n">
        <f aca="false">F220*P220</f>
        <v>0</v>
      </c>
      <c r="O220" s="58" t="n">
        <f aca="false">F220*Q220</f>
        <v>0</v>
      </c>
      <c r="P220" s="58" t="n">
        <v>3.2</v>
      </c>
      <c r="Q220" s="58" t="n">
        <v>0.014</v>
      </c>
      <c r="R220" s="59" t="s">
        <v>766</v>
      </c>
      <c r="S220" s="22"/>
      <c r="T220" s="11" t="str">
        <f aca="false">"16.12.25"</f>
        <v>16.12.25</v>
      </c>
    </row>
    <row r="221" customFormat="false" ht="7.5" hidden="false" customHeight="true" outlineLevel="2" collapsed="false">
      <c r="A221" s="60" t="str">
        <f aca="false">HYPERLINK("https://disk.360.yandex.ru/d/y8Z3EE5fxeM-RA","фото")</f>
        <v>фото</v>
      </c>
      <c r="B221" s="49" t="s">
        <v>767</v>
      </c>
      <c r="C221" s="50" t="s">
        <v>768</v>
      </c>
      <c r="D221" s="51" t="s">
        <v>769</v>
      </c>
      <c r="E221" s="52" t="n">
        <f aca="false">I221*(1-J221)*(100-E1)/100</f>
        <v>3584</v>
      </c>
      <c r="F221" s="53"/>
      <c r="G221" s="54" t="n">
        <v>10</v>
      </c>
      <c r="H221" s="52" t="n">
        <f aca="false">E221*F221</f>
        <v>0</v>
      </c>
      <c r="I221" s="55" t="n">
        <v>5600</v>
      </c>
      <c r="J221" s="56"/>
      <c r="K221" s="57" t="n">
        <v>1742</v>
      </c>
      <c r="L221" s="22" t="s">
        <v>44</v>
      </c>
      <c r="M221" s="22"/>
      <c r="N221" s="58" t="n">
        <f aca="false">F221*P221</f>
        <v>0</v>
      </c>
      <c r="O221" s="58" t="n">
        <f aca="false">F221*Q221</f>
        <v>0</v>
      </c>
      <c r="P221" s="58" t="n">
        <v>2.6</v>
      </c>
      <c r="Q221" s="58" t="n">
        <v>0.01</v>
      </c>
      <c r="R221" s="59" t="s">
        <v>770</v>
      </c>
      <c r="S221" s="22"/>
      <c r="T221" s="11" t="str">
        <f aca="false">"16.12.25"</f>
        <v>16.12.25</v>
      </c>
    </row>
    <row r="222" customFormat="false" ht="7.5" hidden="false" customHeight="true" outlineLevel="2" collapsed="false">
      <c r="A222" s="48"/>
      <c r="B222" s="49" t="s">
        <v>771</v>
      </c>
      <c r="C222" s="50" t="s">
        <v>772</v>
      </c>
      <c r="D222" s="51" t="s">
        <v>773</v>
      </c>
      <c r="E222" s="52" t="n">
        <f aca="false">I222*(1-J222)*(100-E1)/100</f>
        <v>2176</v>
      </c>
      <c r="F222" s="53"/>
      <c r="G222" s="54" t="n">
        <v>10</v>
      </c>
      <c r="H222" s="52" t="n">
        <f aca="false">E222*F222</f>
        <v>0</v>
      </c>
      <c r="I222" s="55" t="n">
        <v>4250</v>
      </c>
      <c r="J222" s="56" t="n">
        <v>0.2</v>
      </c>
      <c r="K222" s="57" t="n">
        <v>4164</v>
      </c>
      <c r="L222" s="22" t="s">
        <v>157</v>
      </c>
      <c r="M222" s="22" t="s">
        <v>31</v>
      </c>
      <c r="N222" s="58" t="n">
        <f aca="false">F222*P222</f>
        <v>0</v>
      </c>
      <c r="O222" s="58" t="n">
        <f aca="false">F222*Q222</f>
        <v>0</v>
      </c>
      <c r="P222" s="58" t="n">
        <v>2.25</v>
      </c>
      <c r="Q222" s="58" t="n">
        <v>0.007</v>
      </c>
      <c r="R222" s="59" t="s">
        <v>774</v>
      </c>
      <c r="S222" s="22"/>
      <c r="T222" s="11" t="str">
        <f aca="false">"16.12.25"</f>
        <v>16.12.25</v>
      </c>
    </row>
    <row r="223" customFormat="false" ht="7.5" hidden="false" customHeight="true" outlineLevel="2" collapsed="false">
      <c r="A223" s="60" t="str">
        <f aca="false">HYPERLINK("https://disk.360.yandex.ru/d/f_zECqvBe_tu3A","фото")</f>
        <v>фото</v>
      </c>
      <c r="B223" s="49" t="s">
        <v>775</v>
      </c>
      <c r="C223" s="50" t="s">
        <v>776</v>
      </c>
      <c r="D223" s="51" t="s">
        <v>777</v>
      </c>
      <c r="E223" s="52" t="n">
        <f aca="false">I223*(1-J223)*(100-E1)/100</f>
        <v>2401.28</v>
      </c>
      <c r="F223" s="53"/>
      <c r="G223" s="54" t="n">
        <v>10</v>
      </c>
      <c r="H223" s="52" t="n">
        <f aca="false">E223*F223</f>
        <v>0</v>
      </c>
      <c r="I223" s="55" t="n">
        <v>4690</v>
      </c>
      <c r="J223" s="56" t="n">
        <v>0.2</v>
      </c>
      <c r="K223" s="57" t="n">
        <v>4758</v>
      </c>
      <c r="L223" s="22" t="s">
        <v>157</v>
      </c>
      <c r="M223" s="22" t="s">
        <v>31</v>
      </c>
      <c r="N223" s="58" t="n">
        <f aca="false">F223*P223</f>
        <v>0</v>
      </c>
      <c r="O223" s="58" t="n">
        <f aca="false">F223*Q223</f>
        <v>0</v>
      </c>
      <c r="P223" s="58" t="n">
        <v>2.69</v>
      </c>
      <c r="Q223" s="58" t="n">
        <v>0.051</v>
      </c>
      <c r="R223" s="59" t="s">
        <v>778</v>
      </c>
      <c r="S223" s="22"/>
      <c r="T223" s="11" t="str">
        <f aca="false">"16.12.25"</f>
        <v>16.12.25</v>
      </c>
    </row>
    <row r="224" customFormat="false" ht="7.5" hidden="false" customHeight="true" outlineLevel="2" collapsed="false">
      <c r="A224" s="48"/>
      <c r="B224" s="49" t="s">
        <v>779</v>
      </c>
      <c r="C224" s="50" t="s">
        <v>780</v>
      </c>
      <c r="D224" s="51"/>
      <c r="E224" s="52" t="n">
        <f aca="false">I224*(1-J224)*(100-E1)/100</f>
        <v>1388.8</v>
      </c>
      <c r="F224" s="53"/>
      <c r="G224" s="54" t="n">
        <v>10</v>
      </c>
      <c r="H224" s="52" t="n">
        <f aca="false">E224*F224</f>
        <v>0</v>
      </c>
      <c r="I224" s="55" t="n">
        <v>2170</v>
      </c>
      <c r="J224" s="56"/>
      <c r="K224" s="57" t="n">
        <v>0</v>
      </c>
      <c r="L224" s="22" t="s">
        <v>364</v>
      </c>
      <c r="M224" s="22"/>
      <c r="N224" s="58" t="n">
        <f aca="false">F224*P224</f>
        <v>0</v>
      </c>
      <c r="O224" s="58" t="n">
        <f aca="false">F224*Q224</f>
        <v>0</v>
      </c>
      <c r="P224" s="58" t="n">
        <v>2.1</v>
      </c>
      <c r="Q224" s="58" t="n">
        <v>0.006</v>
      </c>
      <c r="R224" s="59" t="s">
        <v>781</v>
      </c>
      <c r="S224" s="22"/>
      <c r="T224" s="11" t="str">
        <f aca="false">"16.12.25"</f>
        <v>16.12.25</v>
      </c>
    </row>
    <row r="225" customFormat="false" ht="7.5" hidden="false" customHeight="true" outlineLevel="2" collapsed="false">
      <c r="A225" s="48"/>
      <c r="B225" s="49" t="s">
        <v>782</v>
      </c>
      <c r="C225" s="50" t="s">
        <v>783</v>
      </c>
      <c r="D225" s="51"/>
      <c r="E225" s="52" t="n">
        <f aca="false">I225*(1-J225)*(100-E1)/100</f>
        <v>1497.6</v>
      </c>
      <c r="F225" s="53"/>
      <c r="G225" s="54" t="n">
        <v>10</v>
      </c>
      <c r="H225" s="52" t="n">
        <f aca="false">E225*F225</f>
        <v>0</v>
      </c>
      <c r="I225" s="55" t="n">
        <v>2340</v>
      </c>
      <c r="J225" s="56"/>
      <c r="K225" s="57" t="n">
        <v>0</v>
      </c>
      <c r="L225" s="22" t="s">
        <v>364</v>
      </c>
      <c r="M225" s="22"/>
      <c r="N225" s="58" t="n">
        <f aca="false">F225*P225</f>
        <v>0</v>
      </c>
      <c r="O225" s="58" t="n">
        <f aca="false">F225*Q225</f>
        <v>0</v>
      </c>
      <c r="P225" s="58" t="n">
        <v>2.5</v>
      </c>
      <c r="Q225" s="58" t="n">
        <v>0.006</v>
      </c>
      <c r="R225" s="59" t="s">
        <v>784</v>
      </c>
      <c r="S225" s="22"/>
      <c r="T225" s="11" t="str">
        <f aca="false">"16.12.25"</f>
        <v>16.12.25</v>
      </c>
    </row>
    <row r="226" customFormat="false" ht="7.5" hidden="false" customHeight="true" outlineLevel="2" collapsed="false">
      <c r="A226" s="48"/>
      <c r="B226" s="49" t="s">
        <v>785</v>
      </c>
      <c r="C226" s="50" t="s">
        <v>786</v>
      </c>
      <c r="D226" s="51"/>
      <c r="E226" s="52" t="n">
        <f aca="false">I226*(1-J226)*(100-E1)/100</f>
        <v>1600</v>
      </c>
      <c r="F226" s="53"/>
      <c r="G226" s="54" t="n">
        <v>10</v>
      </c>
      <c r="H226" s="52" t="n">
        <f aca="false">E226*F226</f>
        <v>0</v>
      </c>
      <c r="I226" s="55" t="n">
        <v>2500</v>
      </c>
      <c r="J226" s="56"/>
      <c r="K226" s="57" t="n">
        <v>3</v>
      </c>
      <c r="L226" s="22" t="s">
        <v>364</v>
      </c>
      <c r="M226" s="22"/>
      <c r="N226" s="58" t="n">
        <f aca="false">F226*P226</f>
        <v>0</v>
      </c>
      <c r="O226" s="58" t="n">
        <f aca="false">F226*Q226</f>
        <v>0</v>
      </c>
      <c r="P226" s="58" t="n">
        <v>2.5</v>
      </c>
      <c r="Q226" s="58" t="n">
        <v>0.006</v>
      </c>
      <c r="R226" s="59" t="s">
        <v>787</v>
      </c>
      <c r="S226" s="22"/>
      <c r="T226" s="11" t="str">
        <f aca="false">"16.12.25"</f>
        <v>16.12.25</v>
      </c>
    </row>
    <row r="227" customFormat="false" ht="7.5" hidden="false" customHeight="true" outlineLevel="2" collapsed="false">
      <c r="A227" s="48"/>
      <c r="B227" s="49" t="s">
        <v>788</v>
      </c>
      <c r="C227" s="50" t="s">
        <v>789</v>
      </c>
      <c r="D227" s="51"/>
      <c r="E227" s="52" t="n">
        <f aca="false">I227*(1-J227)*(100-E1)/100</f>
        <v>1388.8</v>
      </c>
      <c r="F227" s="53"/>
      <c r="G227" s="54" t="n">
        <v>10</v>
      </c>
      <c r="H227" s="52" t="n">
        <f aca="false">E227*F227</f>
        <v>0</v>
      </c>
      <c r="I227" s="55" t="n">
        <v>2170</v>
      </c>
      <c r="J227" s="56"/>
      <c r="K227" s="57" t="n">
        <v>3</v>
      </c>
      <c r="L227" s="22" t="s">
        <v>368</v>
      </c>
      <c r="M227" s="22"/>
      <c r="N227" s="58" t="n">
        <f aca="false">F227*P227</f>
        <v>0</v>
      </c>
      <c r="O227" s="58" t="n">
        <f aca="false">F227*Q227</f>
        <v>0</v>
      </c>
      <c r="P227" s="58" t="n">
        <v>2.1</v>
      </c>
      <c r="Q227" s="58" t="n">
        <v>0.006</v>
      </c>
      <c r="R227" s="59" t="s">
        <v>790</v>
      </c>
      <c r="S227" s="22"/>
      <c r="T227" s="11" t="str">
        <f aca="false">"16.12.25"</f>
        <v>16.12.25</v>
      </c>
    </row>
    <row r="228" customFormat="false" ht="7.5" hidden="false" customHeight="true" outlineLevel="2" collapsed="false">
      <c r="A228" s="48"/>
      <c r="B228" s="49" t="s">
        <v>791</v>
      </c>
      <c r="C228" s="50" t="s">
        <v>792</v>
      </c>
      <c r="D228" s="51" t="s">
        <v>793</v>
      </c>
      <c r="E228" s="52" t="n">
        <f aca="false">I228*(1-J228)*(100-E1)/100</f>
        <v>1497.6</v>
      </c>
      <c r="F228" s="53"/>
      <c r="G228" s="54" t="n">
        <v>10</v>
      </c>
      <c r="H228" s="52" t="n">
        <f aca="false">E228*F228</f>
        <v>0</v>
      </c>
      <c r="I228" s="55" t="n">
        <v>2340</v>
      </c>
      <c r="J228" s="56"/>
      <c r="K228" s="57" t="n">
        <v>0</v>
      </c>
      <c r="L228" s="22" t="s">
        <v>368</v>
      </c>
      <c r="M228" s="22"/>
      <c r="N228" s="58" t="n">
        <f aca="false">F228*P228</f>
        <v>0</v>
      </c>
      <c r="O228" s="58" t="n">
        <f aca="false">F228*Q228</f>
        <v>0</v>
      </c>
      <c r="P228" s="58" t="n">
        <v>2.5</v>
      </c>
      <c r="Q228" s="58" t="n">
        <v>0.006</v>
      </c>
      <c r="R228" s="59" t="s">
        <v>794</v>
      </c>
      <c r="S228" s="22"/>
      <c r="T228" s="11" t="str">
        <f aca="false">"16.12.25"</f>
        <v>16.12.25</v>
      </c>
    </row>
    <row r="229" customFormat="false" ht="7.5" hidden="false" customHeight="true" outlineLevel="2" collapsed="false">
      <c r="A229" s="48"/>
      <c r="B229" s="49" t="s">
        <v>795</v>
      </c>
      <c r="C229" s="50" t="s">
        <v>796</v>
      </c>
      <c r="D229" s="51"/>
      <c r="E229" s="52" t="n">
        <f aca="false">I229*(1-J229)*(100-E1)/100</f>
        <v>1600</v>
      </c>
      <c r="F229" s="53"/>
      <c r="G229" s="54" t="n">
        <v>10</v>
      </c>
      <c r="H229" s="52" t="n">
        <f aca="false">E229*F229</f>
        <v>0</v>
      </c>
      <c r="I229" s="55" t="n">
        <v>2500</v>
      </c>
      <c r="J229" s="56"/>
      <c r="K229" s="57" t="n">
        <v>1</v>
      </c>
      <c r="L229" s="22" t="s">
        <v>368</v>
      </c>
      <c r="M229" s="22"/>
      <c r="N229" s="58" t="n">
        <f aca="false">F229*P229</f>
        <v>0</v>
      </c>
      <c r="O229" s="58" t="n">
        <f aca="false">F229*Q229</f>
        <v>0</v>
      </c>
      <c r="P229" s="58" t="n">
        <v>2.5</v>
      </c>
      <c r="Q229" s="58" t="n">
        <v>0.006</v>
      </c>
      <c r="R229" s="59" t="s">
        <v>797</v>
      </c>
      <c r="S229" s="22"/>
      <c r="T229" s="11" t="str">
        <f aca="false">"16.12.25"</f>
        <v>16.12.25</v>
      </c>
    </row>
    <row r="230" customFormat="false" ht="7.5" hidden="false" customHeight="true" outlineLevel="2" collapsed="false">
      <c r="A230" s="48"/>
      <c r="B230" s="49" t="s">
        <v>798</v>
      </c>
      <c r="C230" s="50" t="s">
        <v>799</v>
      </c>
      <c r="D230" s="51"/>
      <c r="E230" s="52" t="n">
        <f aca="false">I230*(1-J230)*(100-E1)/100</f>
        <v>1388.8</v>
      </c>
      <c r="F230" s="53"/>
      <c r="G230" s="54" t="n">
        <v>10</v>
      </c>
      <c r="H230" s="52" t="n">
        <f aca="false">E230*F230</f>
        <v>0</v>
      </c>
      <c r="I230" s="55" t="n">
        <v>2170</v>
      </c>
      <c r="J230" s="56"/>
      <c r="K230" s="57" t="n">
        <v>0</v>
      </c>
      <c r="L230" s="22" t="s">
        <v>800</v>
      </c>
      <c r="M230" s="22"/>
      <c r="N230" s="58" t="n">
        <f aca="false">F230*P230</f>
        <v>0</v>
      </c>
      <c r="O230" s="58" t="n">
        <f aca="false">F230*Q230</f>
        <v>0</v>
      </c>
      <c r="P230" s="58" t="n">
        <v>2.8</v>
      </c>
      <c r="Q230" s="58" t="n">
        <v>0.01</v>
      </c>
      <c r="R230" s="59" t="s">
        <v>801</v>
      </c>
      <c r="S230" s="22"/>
      <c r="T230" s="11" t="str">
        <f aca="false">"16.12.25"</f>
        <v>16.12.25</v>
      </c>
    </row>
    <row r="231" customFormat="false" ht="7.5" hidden="false" customHeight="true" outlineLevel="2" collapsed="false">
      <c r="A231" s="48"/>
      <c r="B231" s="49" t="s">
        <v>802</v>
      </c>
      <c r="C231" s="50" t="s">
        <v>803</v>
      </c>
      <c r="D231" s="51"/>
      <c r="E231" s="52" t="n">
        <f aca="false">I231*(1-J231)*(100-E1)/100</f>
        <v>1497.6</v>
      </c>
      <c r="F231" s="53"/>
      <c r="G231" s="54" t="n">
        <v>10</v>
      </c>
      <c r="H231" s="52" t="n">
        <f aca="false">E231*F231</f>
        <v>0</v>
      </c>
      <c r="I231" s="55" t="n">
        <v>2340</v>
      </c>
      <c r="J231" s="56"/>
      <c r="K231" s="57" t="n">
        <v>0</v>
      </c>
      <c r="L231" s="22" t="s">
        <v>800</v>
      </c>
      <c r="M231" s="22"/>
      <c r="N231" s="58" t="n">
        <f aca="false">F231*P231</f>
        <v>0</v>
      </c>
      <c r="O231" s="58" t="n">
        <f aca="false">F231*Q231</f>
        <v>0</v>
      </c>
      <c r="P231" s="58" t="n">
        <v>2.6</v>
      </c>
      <c r="Q231" s="58" t="n">
        <v>0.006</v>
      </c>
      <c r="R231" s="59" t="s">
        <v>804</v>
      </c>
      <c r="S231" s="22"/>
      <c r="T231" s="11" t="str">
        <f aca="false">"16.12.25"</f>
        <v>16.12.25</v>
      </c>
    </row>
    <row r="232" customFormat="false" ht="7.5" hidden="false" customHeight="true" outlineLevel="2" collapsed="false">
      <c r="A232" s="48"/>
      <c r="B232" s="49" t="s">
        <v>805</v>
      </c>
      <c r="C232" s="50" t="s">
        <v>806</v>
      </c>
      <c r="D232" s="51"/>
      <c r="E232" s="52" t="n">
        <f aca="false">I232*(1-J232)*(100-E1)/100</f>
        <v>1600</v>
      </c>
      <c r="F232" s="53"/>
      <c r="G232" s="54" t="n">
        <v>10</v>
      </c>
      <c r="H232" s="52" t="n">
        <f aca="false">E232*F232</f>
        <v>0</v>
      </c>
      <c r="I232" s="55" t="n">
        <v>2500</v>
      </c>
      <c r="J232" s="56"/>
      <c r="K232" s="57" t="n">
        <v>0</v>
      </c>
      <c r="L232" s="22" t="s">
        <v>800</v>
      </c>
      <c r="M232" s="22"/>
      <c r="N232" s="58" t="n">
        <f aca="false">F232*P232</f>
        <v>0</v>
      </c>
      <c r="O232" s="58" t="n">
        <f aca="false">F232*Q232</f>
        <v>0</v>
      </c>
      <c r="P232" s="58" t="n">
        <v>2.8</v>
      </c>
      <c r="Q232" s="58" t="n">
        <v>0.01</v>
      </c>
      <c r="R232" s="59" t="s">
        <v>807</v>
      </c>
      <c r="S232" s="22"/>
      <c r="T232" s="11" t="str">
        <f aca="false">"16.12.25"</f>
        <v>16.12.25</v>
      </c>
    </row>
    <row r="233" customFormat="false" ht="7.5" hidden="false" customHeight="true" outlineLevel="2" collapsed="false">
      <c r="A233" s="48"/>
      <c r="B233" s="49" t="s">
        <v>808</v>
      </c>
      <c r="C233" s="50" t="s">
        <v>809</v>
      </c>
      <c r="D233" s="51"/>
      <c r="E233" s="52" t="n">
        <f aca="false">I233*(1-J233)*(100-E1)/100</f>
        <v>1497.6</v>
      </c>
      <c r="F233" s="53"/>
      <c r="G233" s="54" t="n">
        <v>10</v>
      </c>
      <c r="H233" s="52" t="n">
        <f aca="false">E233*F233</f>
        <v>0</v>
      </c>
      <c r="I233" s="55" t="n">
        <v>2340</v>
      </c>
      <c r="J233" s="56"/>
      <c r="K233" s="57" t="n">
        <v>215</v>
      </c>
      <c r="L233" s="22" t="s">
        <v>372</v>
      </c>
      <c r="M233" s="22"/>
      <c r="N233" s="58" t="n">
        <f aca="false">F233*P233</f>
        <v>0</v>
      </c>
      <c r="O233" s="58" t="n">
        <f aca="false">F233*Q233</f>
        <v>0</v>
      </c>
      <c r="P233" s="58" t="n">
        <v>2.5</v>
      </c>
      <c r="Q233" s="58" t="n">
        <v>0.02</v>
      </c>
      <c r="R233" s="59" t="s">
        <v>810</v>
      </c>
      <c r="S233" s="22"/>
      <c r="T233" s="11" t="str">
        <f aca="false">"16.12.25"</f>
        <v>16.12.25</v>
      </c>
    </row>
    <row r="234" customFormat="false" ht="7.5" hidden="false" customHeight="true" outlineLevel="2" collapsed="false">
      <c r="A234" s="48"/>
      <c r="B234" s="49" t="s">
        <v>811</v>
      </c>
      <c r="C234" s="50" t="s">
        <v>812</v>
      </c>
      <c r="D234" s="51"/>
      <c r="E234" s="52" t="n">
        <f aca="false">I234*(1-J234)*(100-E1)/100</f>
        <v>1600</v>
      </c>
      <c r="F234" s="53"/>
      <c r="G234" s="54" t="n">
        <v>10</v>
      </c>
      <c r="H234" s="52" t="n">
        <f aca="false">E234*F234</f>
        <v>0</v>
      </c>
      <c r="I234" s="55" t="n">
        <v>2500</v>
      </c>
      <c r="J234" s="56"/>
      <c r="K234" s="57" t="n">
        <v>0</v>
      </c>
      <c r="L234" s="22" t="s">
        <v>372</v>
      </c>
      <c r="M234" s="22"/>
      <c r="N234" s="58" t="n">
        <f aca="false">F234*P234</f>
        <v>0</v>
      </c>
      <c r="O234" s="58" t="n">
        <f aca="false">F234*Q234</f>
        <v>0</v>
      </c>
      <c r="P234" s="58" t="n">
        <v>2.5</v>
      </c>
      <c r="Q234" s="58" t="n">
        <v>0.006</v>
      </c>
      <c r="R234" s="59" t="s">
        <v>813</v>
      </c>
      <c r="S234" s="22"/>
      <c r="T234" s="11" t="str">
        <f aca="false">"16.12.25"</f>
        <v>16.12.25</v>
      </c>
    </row>
    <row r="235" customFormat="false" ht="7.5" hidden="false" customHeight="true" outlineLevel="2" collapsed="false">
      <c r="A235" s="60" t="str">
        <f aca="false">HYPERLINK("https://disk.360.yandex.ru/d/cAXfvc5nkrpoZQ","фото")</f>
        <v>фото</v>
      </c>
      <c r="B235" s="49" t="s">
        <v>814</v>
      </c>
      <c r="C235" s="50" t="s">
        <v>815</v>
      </c>
      <c r="D235" s="51" t="s">
        <v>816</v>
      </c>
      <c r="E235" s="52" t="n">
        <f aca="false">I235*(1-J235)*(100-E1)/100</f>
        <v>2288.64</v>
      </c>
      <c r="F235" s="53"/>
      <c r="G235" s="54" t="n">
        <v>10</v>
      </c>
      <c r="H235" s="52" t="n">
        <f aca="false">E235*F235</f>
        <v>0</v>
      </c>
      <c r="I235" s="55" t="n">
        <v>4470</v>
      </c>
      <c r="J235" s="56" t="n">
        <v>0.2</v>
      </c>
      <c r="K235" s="57" t="n">
        <v>2763</v>
      </c>
      <c r="L235" s="22" t="s">
        <v>53</v>
      </c>
      <c r="M235" s="22" t="s">
        <v>31</v>
      </c>
      <c r="N235" s="58" t="n">
        <f aca="false">F235*P235</f>
        <v>0</v>
      </c>
      <c r="O235" s="58" t="n">
        <f aca="false">F235*Q235</f>
        <v>0</v>
      </c>
      <c r="P235" s="58" t="n">
        <v>2</v>
      </c>
      <c r="Q235" s="58" t="n">
        <v>0.005</v>
      </c>
      <c r="R235" s="59" t="s">
        <v>817</v>
      </c>
      <c r="S235" s="22"/>
      <c r="T235" s="11" t="str">
        <f aca="false">"16.12.25"</f>
        <v>16.12.25</v>
      </c>
    </row>
    <row r="236" customFormat="false" ht="7.5" hidden="false" customHeight="true" outlineLevel="2" collapsed="false">
      <c r="A236" s="60" t="str">
        <f aca="false">HYPERLINK("https://disk.360.yandex.ru/d/FU-IeZqNj4G6ew","фото")</f>
        <v>фото</v>
      </c>
      <c r="B236" s="49" t="s">
        <v>818</v>
      </c>
      <c r="C236" s="50" t="s">
        <v>819</v>
      </c>
      <c r="D236" s="51" t="s">
        <v>713</v>
      </c>
      <c r="E236" s="52" t="n">
        <f aca="false">I236*(1-J236)*(100-E1)/100</f>
        <v>2860.8</v>
      </c>
      <c r="F236" s="53"/>
      <c r="G236" s="54" t="n">
        <v>10</v>
      </c>
      <c r="H236" s="52" t="n">
        <f aca="false">E236*F236</f>
        <v>0</v>
      </c>
      <c r="I236" s="55" t="n">
        <v>4470</v>
      </c>
      <c r="J236" s="56"/>
      <c r="K236" s="57" t="n">
        <v>0</v>
      </c>
      <c r="L236" s="22" t="s">
        <v>53</v>
      </c>
      <c r="M236" s="22"/>
      <c r="N236" s="58" t="n">
        <f aca="false">F236*P236</f>
        <v>0</v>
      </c>
      <c r="O236" s="58" t="n">
        <f aca="false">F236*Q236</f>
        <v>0</v>
      </c>
      <c r="P236" s="58" t="n">
        <v>2.3</v>
      </c>
      <c r="Q236" s="58" t="n">
        <v>0.01</v>
      </c>
      <c r="R236" s="59" t="s">
        <v>820</v>
      </c>
      <c r="S236" s="22"/>
      <c r="T236" s="11" t="str">
        <f aca="false">"16.12.25"</f>
        <v>16.12.25</v>
      </c>
    </row>
    <row r="237" customFormat="false" ht="7.5" hidden="false" customHeight="true" outlineLevel="2" collapsed="false">
      <c r="A237" s="60" t="str">
        <f aca="false">HYPERLINK("https://disk.360.yandex.ru/d/MsHgyoavNmEQ2w","фото")</f>
        <v>фото</v>
      </c>
      <c r="B237" s="49" t="s">
        <v>821</v>
      </c>
      <c r="C237" s="50" t="s">
        <v>822</v>
      </c>
      <c r="D237" s="51" t="s">
        <v>823</v>
      </c>
      <c r="E237" s="52" t="n">
        <f aca="false">I237*(1-J237)*(100-E1)/100</f>
        <v>2862.72</v>
      </c>
      <c r="F237" s="53"/>
      <c r="G237" s="54" t="n">
        <v>10</v>
      </c>
      <c r="H237" s="52" t="n">
        <f aca="false">E237*F237</f>
        <v>0</v>
      </c>
      <c r="I237" s="55" t="n">
        <v>4970</v>
      </c>
      <c r="J237" s="56" t="n">
        <v>0.1</v>
      </c>
      <c r="K237" s="57" t="n">
        <v>835</v>
      </c>
      <c r="L237" s="22" t="s">
        <v>53</v>
      </c>
      <c r="M237" s="22" t="s">
        <v>15</v>
      </c>
      <c r="N237" s="58" t="n">
        <f aca="false">F237*P237</f>
        <v>0</v>
      </c>
      <c r="O237" s="58" t="n">
        <f aca="false">F237*Q237</f>
        <v>0</v>
      </c>
      <c r="P237" s="58" t="n">
        <v>2.6</v>
      </c>
      <c r="Q237" s="58" t="n">
        <v>0.003</v>
      </c>
      <c r="R237" s="59" t="s">
        <v>824</v>
      </c>
      <c r="S237" s="22"/>
      <c r="T237" s="11" t="str">
        <f aca="false">"16.12.25"</f>
        <v>16.12.25</v>
      </c>
    </row>
    <row r="238" customFormat="false" ht="7.5" hidden="false" customHeight="true" outlineLevel="2" collapsed="false">
      <c r="A238" s="60" t="str">
        <f aca="false">HYPERLINK("https://disk.360.yandex.ru/d/tV1s4Tpff47maQ","фото")</f>
        <v>фото</v>
      </c>
      <c r="B238" s="49" t="s">
        <v>825</v>
      </c>
      <c r="C238" s="50" t="s">
        <v>826</v>
      </c>
      <c r="D238" s="51" t="s">
        <v>827</v>
      </c>
      <c r="E238" s="52" t="n">
        <f aca="false">I238*(1-J238)*(100-E1)/100</f>
        <v>3052.8</v>
      </c>
      <c r="F238" s="53"/>
      <c r="G238" s="54" t="n">
        <v>10</v>
      </c>
      <c r="H238" s="52" t="n">
        <f aca="false">E238*F238</f>
        <v>0</v>
      </c>
      <c r="I238" s="55" t="n">
        <v>5300</v>
      </c>
      <c r="J238" s="56" t="n">
        <v>0.1</v>
      </c>
      <c r="K238" s="57" t="n">
        <v>2747</v>
      </c>
      <c r="L238" s="22" t="s">
        <v>53</v>
      </c>
      <c r="M238" s="22" t="s">
        <v>15</v>
      </c>
      <c r="N238" s="58" t="n">
        <f aca="false">F238*P238</f>
        <v>0</v>
      </c>
      <c r="O238" s="58" t="n">
        <f aca="false">F238*Q238</f>
        <v>0</v>
      </c>
      <c r="P238" s="58" t="n">
        <v>2.6</v>
      </c>
      <c r="Q238" s="58" t="n">
        <v>0.003</v>
      </c>
      <c r="R238" s="59" t="s">
        <v>828</v>
      </c>
      <c r="S238" s="22"/>
      <c r="T238" s="11" t="str">
        <f aca="false">"16.12.25"</f>
        <v>16.12.25</v>
      </c>
    </row>
    <row r="239" customFormat="false" ht="7.5" hidden="false" customHeight="true" outlineLevel="2" collapsed="false">
      <c r="A239" s="60" t="str">
        <f aca="false">HYPERLINK("https://disk.360.yandex.ru/d/mSpNxHCX40zWFg","фото")</f>
        <v>фото</v>
      </c>
      <c r="B239" s="49" t="s">
        <v>829</v>
      </c>
      <c r="C239" s="50" t="s">
        <v>830</v>
      </c>
      <c r="D239" s="51" t="s">
        <v>831</v>
      </c>
      <c r="E239" s="52" t="n">
        <f aca="false">I239*(1-J239)*(100-E1)/100</f>
        <v>5875.2</v>
      </c>
      <c r="F239" s="53"/>
      <c r="G239" s="54" t="n">
        <v>5</v>
      </c>
      <c r="H239" s="52" t="n">
        <f aca="false">E239*F239</f>
        <v>0</v>
      </c>
      <c r="I239" s="55" t="n">
        <v>9180</v>
      </c>
      <c r="J239" s="56"/>
      <c r="K239" s="57" t="n">
        <v>0</v>
      </c>
      <c r="L239" s="22" t="s">
        <v>53</v>
      </c>
      <c r="M239" s="22"/>
      <c r="N239" s="58" t="n">
        <f aca="false">F239*P239</f>
        <v>0</v>
      </c>
      <c r="O239" s="58" t="n">
        <f aca="false">F239*Q239</f>
        <v>0</v>
      </c>
      <c r="P239" s="58" t="n">
        <v>3.3</v>
      </c>
      <c r="Q239" s="58" t="n">
        <v>0.001</v>
      </c>
      <c r="R239" s="59" t="s">
        <v>832</v>
      </c>
      <c r="S239" s="22"/>
      <c r="T239" s="11" t="str">
        <f aca="false">"16.12.25"</f>
        <v>16.12.25</v>
      </c>
    </row>
    <row r="240" customFormat="false" ht="7.5" hidden="false" customHeight="true" outlineLevel="2" collapsed="false">
      <c r="A240" s="48"/>
      <c r="B240" s="49" t="s">
        <v>833</v>
      </c>
      <c r="C240" s="50" t="s">
        <v>834</v>
      </c>
      <c r="D240" s="51"/>
      <c r="E240" s="52" t="n">
        <f aca="false">I240*(1-J240)*(100-E1)/100</f>
        <v>1497.6</v>
      </c>
      <c r="F240" s="53"/>
      <c r="G240" s="54" t="n">
        <v>10</v>
      </c>
      <c r="H240" s="52" t="n">
        <f aca="false">E240*F240</f>
        <v>0</v>
      </c>
      <c r="I240" s="55" t="n">
        <v>2340</v>
      </c>
      <c r="J240" s="56"/>
      <c r="K240" s="57" t="n">
        <v>0</v>
      </c>
      <c r="L240" s="22" t="s">
        <v>835</v>
      </c>
      <c r="M240" s="22"/>
      <c r="N240" s="58" t="n">
        <f aca="false">F240*P240</f>
        <v>0</v>
      </c>
      <c r="O240" s="58" t="n">
        <f aca="false">F240*Q240</f>
        <v>0</v>
      </c>
      <c r="P240" s="58" t="n">
        <v>2.5</v>
      </c>
      <c r="Q240" s="58" t="n">
        <v>0.005</v>
      </c>
      <c r="R240" s="59" t="s">
        <v>836</v>
      </c>
      <c r="S240" s="22"/>
      <c r="T240" s="11" t="str">
        <f aca="false">"16.12.25"</f>
        <v>16.12.25</v>
      </c>
    </row>
    <row r="241" customFormat="false" ht="7.5" hidden="false" customHeight="true" outlineLevel="2" collapsed="false">
      <c r="A241" s="48"/>
      <c r="B241" s="49" t="s">
        <v>837</v>
      </c>
      <c r="C241" s="50" t="s">
        <v>838</v>
      </c>
      <c r="D241" s="51"/>
      <c r="E241" s="52" t="n">
        <f aca="false">I241*(1-J241)*(100-E1)/100</f>
        <v>1497.6</v>
      </c>
      <c r="F241" s="53"/>
      <c r="G241" s="54" t="n">
        <v>10</v>
      </c>
      <c r="H241" s="52" t="n">
        <f aca="false">E241*F241</f>
        <v>0</v>
      </c>
      <c r="I241" s="55" t="n">
        <v>2340</v>
      </c>
      <c r="J241" s="56"/>
      <c r="K241" s="57" t="n">
        <v>0</v>
      </c>
      <c r="L241" s="22" t="s">
        <v>835</v>
      </c>
      <c r="M241" s="22"/>
      <c r="N241" s="58" t="n">
        <f aca="false">F241*P241</f>
        <v>0</v>
      </c>
      <c r="O241" s="58" t="n">
        <f aca="false">F241*Q241</f>
        <v>0</v>
      </c>
      <c r="P241" s="58" t="n">
        <v>2.5</v>
      </c>
      <c r="Q241" s="58" t="n">
        <v>0.005</v>
      </c>
      <c r="R241" s="59" t="s">
        <v>839</v>
      </c>
      <c r="S241" s="22"/>
      <c r="T241" s="11" t="str">
        <f aca="false">"16.12.25"</f>
        <v>16.12.25</v>
      </c>
    </row>
    <row r="242" customFormat="false" ht="7.5" hidden="false" customHeight="true" outlineLevel="2" collapsed="false">
      <c r="A242" s="48"/>
      <c r="B242" s="49" t="s">
        <v>840</v>
      </c>
      <c r="C242" s="50" t="s">
        <v>841</v>
      </c>
      <c r="D242" s="51"/>
      <c r="E242" s="52" t="n">
        <f aca="false">I242*(1-J242)*(100-E1)/100</f>
        <v>1600</v>
      </c>
      <c r="F242" s="53"/>
      <c r="G242" s="54" t="n">
        <v>10</v>
      </c>
      <c r="H242" s="52" t="n">
        <f aca="false">E242*F242</f>
        <v>0</v>
      </c>
      <c r="I242" s="55" t="n">
        <v>2500</v>
      </c>
      <c r="J242" s="56"/>
      <c r="K242" s="57" t="n">
        <v>0</v>
      </c>
      <c r="L242" s="22" t="s">
        <v>835</v>
      </c>
      <c r="M242" s="22"/>
      <c r="N242" s="58" t="n">
        <f aca="false">F242*P242</f>
        <v>0</v>
      </c>
      <c r="O242" s="58" t="n">
        <f aca="false">F242*Q242</f>
        <v>0</v>
      </c>
      <c r="P242" s="58" t="n">
        <v>2.6</v>
      </c>
      <c r="Q242" s="58" t="n">
        <v>0.006</v>
      </c>
      <c r="R242" s="59" t="s">
        <v>842</v>
      </c>
      <c r="S242" s="22"/>
      <c r="T242" s="11" t="str">
        <f aca="false">"16.12.25"</f>
        <v>16.12.25</v>
      </c>
    </row>
    <row r="243" customFormat="false" ht="7.5" hidden="false" customHeight="true" outlineLevel="1" collapsed="false">
      <c r="A243" s="38"/>
      <c r="B243" s="39"/>
      <c r="C243" s="40" t="s">
        <v>843</v>
      </c>
      <c r="D243" s="41"/>
      <c r="E243" s="42"/>
      <c r="F243" s="43"/>
      <c r="G243" s="44"/>
      <c r="H243" s="42"/>
      <c r="I243" s="45"/>
      <c r="J243" s="46"/>
      <c r="K243" s="45"/>
      <c r="L243" s="44"/>
      <c r="M243" s="44"/>
      <c r="N243" s="47"/>
      <c r="O243" s="47"/>
      <c r="P243" s="47"/>
      <c r="Q243" s="47"/>
      <c r="R243" s="39"/>
      <c r="S243" s="44"/>
      <c r="T243" s="11" t="str">
        <f aca="false">"16.12.25"</f>
        <v>16.12.25</v>
      </c>
    </row>
    <row r="244" customFormat="false" ht="7.5" hidden="false" customHeight="true" outlineLevel="2" collapsed="false">
      <c r="A244" s="60" t="str">
        <f aca="false">HYPERLINK("https://disk.360.yandex.ru/d/JlchPOddNdW5Dw","фото")</f>
        <v>фото</v>
      </c>
      <c r="B244" s="49" t="s">
        <v>844</v>
      </c>
      <c r="C244" s="50" t="s">
        <v>845</v>
      </c>
      <c r="D244" s="51" t="s">
        <v>846</v>
      </c>
      <c r="E244" s="52" t="n">
        <f aca="false">I244*(1-J244)*(100-E1)/100</f>
        <v>2426.88</v>
      </c>
      <c r="F244" s="53"/>
      <c r="G244" s="54" t="n">
        <v>5</v>
      </c>
      <c r="H244" s="52" t="n">
        <f aca="false">E244*F244</f>
        <v>0</v>
      </c>
      <c r="I244" s="55" t="n">
        <v>4740</v>
      </c>
      <c r="J244" s="56" t="n">
        <v>0.2</v>
      </c>
      <c r="K244" s="57" t="n">
        <v>4</v>
      </c>
      <c r="L244" s="22" t="s">
        <v>44</v>
      </c>
      <c r="M244" s="22" t="s">
        <v>31</v>
      </c>
      <c r="N244" s="58" t="n">
        <f aca="false">F244*P244</f>
        <v>0</v>
      </c>
      <c r="O244" s="58" t="n">
        <f aca="false">F244*Q244</f>
        <v>0</v>
      </c>
      <c r="P244" s="58" t="n">
        <v>1.95</v>
      </c>
      <c r="Q244" s="58" t="n">
        <v>0.012</v>
      </c>
      <c r="R244" s="59" t="s">
        <v>847</v>
      </c>
      <c r="S244" s="22"/>
      <c r="T244" s="11" t="str">
        <f aca="false">"16.12.25"</f>
        <v>16.12.25</v>
      </c>
    </row>
    <row r="245" customFormat="false" ht="7.5" hidden="false" customHeight="true" outlineLevel="2" collapsed="false">
      <c r="A245" s="60" t="str">
        <f aca="false">HYPERLINK("https://disk.360.yandex.ru/d/FeMZanLyj2xjuA","фото")</f>
        <v>фото</v>
      </c>
      <c r="B245" s="49" t="s">
        <v>848</v>
      </c>
      <c r="C245" s="50" t="s">
        <v>849</v>
      </c>
      <c r="D245" s="51"/>
      <c r="E245" s="52" t="n">
        <f aca="false">I245*(1-J245)*(100-E1)/100</f>
        <v>2222.08</v>
      </c>
      <c r="F245" s="53"/>
      <c r="G245" s="54" t="n">
        <v>5</v>
      </c>
      <c r="H245" s="52" t="n">
        <f aca="false">E245*F245</f>
        <v>0</v>
      </c>
      <c r="I245" s="55" t="n">
        <v>4340</v>
      </c>
      <c r="J245" s="56" t="n">
        <v>0.2</v>
      </c>
      <c r="K245" s="57" t="n">
        <v>0</v>
      </c>
      <c r="L245" s="22" t="s">
        <v>44</v>
      </c>
      <c r="M245" s="22" t="s">
        <v>31</v>
      </c>
      <c r="N245" s="58" t="n">
        <f aca="false">F245*P245</f>
        <v>0</v>
      </c>
      <c r="O245" s="58" t="n">
        <f aca="false">F245*Q245</f>
        <v>0</v>
      </c>
      <c r="P245" s="58" t="n">
        <v>3</v>
      </c>
      <c r="Q245" s="58" t="n">
        <v>0.01</v>
      </c>
      <c r="R245" s="59" t="s">
        <v>850</v>
      </c>
      <c r="S245" s="22"/>
      <c r="T245" s="11" t="str">
        <f aca="false">"16.12.25"</f>
        <v>16.12.25</v>
      </c>
    </row>
    <row r="246" customFormat="false" ht="7.5" hidden="false" customHeight="true" outlineLevel="2" collapsed="false">
      <c r="A246" s="60" t="str">
        <f aca="false">HYPERLINK("https://disk.360.yandex.ru/d/PdL4PU63swvn7w","фото")</f>
        <v>фото</v>
      </c>
      <c r="B246" s="49" t="s">
        <v>851</v>
      </c>
      <c r="C246" s="50" t="s">
        <v>852</v>
      </c>
      <c r="D246" s="51" t="s">
        <v>853</v>
      </c>
      <c r="E246" s="52" t="n">
        <f aca="false">I246*(1-J246)*(100-E1)/100</f>
        <v>5690.88</v>
      </c>
      <c r="F246" s="53"/>
      <c r="G246" s="54" t="n">
        <v>4</v>
      </c>
      <c r="H246" s="52" t="n">
        <f aca="false">E246*F246</f>
        <v>0</v>
      </c>
      <c r="I246" s="55" t="n">
        <v>9880</v>
      </c>
      <c r="J246" s="56" t="n">
        <v>0.1</v>
      </c>
      <c r="K246" s="57" t="n">
        <v>155</v>
      </c>
      <c r="L246" s="22" t="s">
        <v>44</v>
      </c>
      <c r="M246" s="22" t="s">
        <v>152</v>
      </c>
      <c r="N246" s="58" t="n">
        <f aca="false">F246*P246</f>
        <v>0</v>
      </c>
      <c r="O246" s="58" t="n">
        <f aca="false">F246*Q246</f>
        <v>0</v>
      </c>
      <c r="P246" s="58" t="n">
        <v>6.125</v>
      </c>
      <c r="Q246" s="58" t="n">
        <v>0.022</v>
      </c>
      <c r="R246" s="59" t="s">
        <v>854</v>
      </c>
      <c r="S246" s="22"/>
      <c r="T246" s="11" t="str">
        <f aca="false">"16.12.25"</f>
        <v>16.12.25</v>
      </c>
    </row>
    <row r="247" customFormat="false" ht="7.5" hidden="false" customHeight="true" outlineLevel="2" collapsed="false">
      <c r="A247" s="60" t="str">
        <f aca="false">HYPERLINK("https://disk.yandex.ru/d/AnCwEOs76SD0xA","фото")</f>
        <v>фото</v>
      </c>
      <c r="B247" s="49" t="s">
        <v>855</v>
      </c>
      <c r="C247" s="50" t="s">
        <v>856</v>
      </c>
      <c r="D247" s="51" t="s">
        <v>857</v>
      </c>
      <c r="E247" s="52" t="n">
        <f aca="false">I247*(1-J247)*(100-E1)/100</f>
        <v>5783.68</v>
      </c>
      <c r="F247" s="53"/>
      <c r="G247" s="54" t="n">
        <v>4</v>
      </c>
      <c r="H247" s="52" t="n">
        <f aca="false">E247*F247</f>
        <v>0</v>
      </c>
      <c r="I247" s="55" t="n">
        <v>12910</v>
      </c>
      <c r="J247" s="56" t="n">
        <v>0.3</v>
      </c>
      <c r="K247" s="57" t="n">
        <v>157</v>
      </c>
      <c r="L247" s="22" t="s">
        <v>44</v>
      </c>
      <c r="M247" s="22" t="s">
        <v>31</v>
      </c>
      <c r="N247" s="58" t="n">
        <f aca="false">F247*P247</f>
        <v>0</v>
      </c>
      <c r="O247" s="58" t="n">
        <f aca="false">F247*Q247</f>
        <v>0</v>
      </c>
      <c r="P247" s="58" t="n">
        <v>4.75</v>
      </c>
      <c r="Q247" s="58" t="n">
        <v>0.03</v>
      </c>
      <c r="R247" s="59" t="s">
        <v>858</v>
      </c>
      <c r="S247" s="22"/>
      <c r="T247" s="11" t="str">
        <f aca="false">"16.12.25"</f>
        <v>16.12.25</v>
      </c>
    </row>
    <row r="248" customFormat="false" ht="7.5" hidden="false" customHeight="true" outlineLevel="2" collapsed="false">
      <c r="A248" s="60" t="str">
        <f aca="false">HYPERLINK("https://clck.ru/3KUTDs","фото")</f>
        <v>фото</v>
      </c>
      <c r="B248" s="49" t="s">
        <v>859</v>
      </c>
      <c r="C248" s="50" t="s">
        <v>860</v>
      </c>
      <c r="D248" s="51" t="s">
        <v>861</v>
      </c>
      <c r="E248" s="52" t="n">
        <f aca="false">I248*(1-J248)*(100-E1)/100</f>
        <v>3744</v>
      </c>
      <c r="F248" s="53"/>
      <c r="G248" s="54" t="n">
        <v>8</v>
      </c>
      <c r="H248" s="52" t="n">
        <f aca="false">E248*F248</f>
        <v>0</v>
      </c>
      <c r="I248" s="55" t="n">
        <v>5850</v>
      </c>
      <c r="J248" s="56"/>
      <c r="K248" s="57" t="n">
        <v>576</v>
      </c>
      <c r="L248" s="22" t="s">
        <v>44</v>
      </c>
      <c r="M248" s="22"/>
      <c r="N248" s="58" t="n">
        <f aca="false">F248*P248</f>
        <v>0</v>
      </c>
      <c r="O248" s="58" t="n">
        <f aca="false">F248*Q248</f>
        <v>0</v>
      </c>
      <c r="P248" s="58" t="n">
        <v>2.626</v>
      </c>
      <c r="Q248" s="58" t="n">
        <v>0.02</v>
      </c>
      <c r="R248" s="59" t="s">
        <v>862</v>
      </c>
      <c r="S248" s="22"/>
      <c r="T248" s="11" t="str">
        <f aca="false">"16.12.25"</f>
        <v>16.12.25</v>
      </c>
    </row>
    <row r="249" customFormat="false" ht="7.5" hidden="false" customHeight="true" outlineLevel="2" collapsed="false">
      <c r="A249" s="60" t="str">
        <f aca="false">HYPERLINK("https://disk.360.yandex.ru/d/tzo6kLRsm_EIeQ","фото")</f>
        <v>фото</v>
      </c>
      <c r="B249" s="49" t="s">
        <v>863</v>
      </c>
      <c r="C249" s="50" t="s">
        <v>864</v>
      </c>
      <c r="D249" s="51" t="s">
        <v>865</v>
      </c>
      <c r="E249" s="52" t="n">
        <f aca="false">I249*(1-J249)*(100-E1)/100</f>
        <v>4345.6</v>
      </c>
      <c r="F249" s="53"/>
      <c r="G249" s="54" t="n">
        <v>5</v>
      </c>
      <c r="H249" s="52" t="n">
        <f aca="false">E249*F249</f>
        <v>0</v>
      </c>
      <c r="I249" s="55" t="n">
        <v>6790</v>
      </c>
      <c r="J249" s="56"/>
      <c r="K249" s="57" t="n">
        <v>0</v>
      </c>
      <c r="L249" s="22" t="s">
        <v>44</v>
      </c>
      <c r="M249" s="22" t="s">
        <v>721</v>
      </c>
      <c r="N249" s="58" t="n">
        <f aca="false">F249*P249</f>
        <v>0</v>
      </c>
      <c r="O249" s="58" t="n">
        <f aca="false">F249*Q249</f>
        <v>0</v>
      </c>
      <c r="P249" s="58" t="n">
        <v>3.2</v>
      </c>
      <c r="Q249" s="58" t="n">
        <v>0.02</v>
      </c>
      <c r="R249" s="59" t="s">
        <v>866</v>
      </c>
      <c r="S249" s="22"/>
      <c r="T249" s="11" t="str">
        <f aca="false">"16.12.25"</f>
        <v>16.12.25</v>
      </c>
    </row>
    <row r="250" customFormat="false" ht="7.5" hidden="false" customHeight="true" outlineLevel="2" collapsed="false">
      <c r="A250" s="60" t="str">
        <f aca="false">HYPERLINK("https://disk.360.yandex.ru/d/em2-d1ayIsveog","фото")</f>
        <v>фото</v>
      </c>
      <c r="B250" s="49" t="s">
        <v>867</v>
      </c>
      <c r="C250" s="50" t="s">
        <v>868</v>
      </c>
      <c r="D250" s="51" t="s">
        <v>869</v>
      </c>
      <c r="E250" s="52" t="n">
        <f aca="false">I250*(1-J250)*(100-E1)/100</f>
        <v>3182.4</v>
      </c>
      <c r="F250" s="53"/>
      <c r="G250" s="54" t="n">
        <v>5</v>
      </c>
      <c r="H250" s="52" t="n">
        <f aca="false">E250*F250</f>
        <v>0</v>
      </c>
      <c r="I250" s="55" t="n">
        <v>5850</v>
      </c>
      <c r="J250" s="56" t="n">
        <v>0.15</v>
      </c>
      <c r="K250" s="57" t="n">
        <v>3</v>
      </c>
      <c r="L250" s="22" t="s">
        <v>44</v>
      </c>
      <c r="M250" s="22"/>
      <c r="N250" s="58" t="n">
        <f aca="false">F250*P250</f>
        <v>0</v>
      </c>
      <c r="O250" s="58" t="n">
        <f aca="false">F250*Q250</f>
        <v>0</v>
      </c>
      <c r="P250" s="58" t="n">
        <v>3.3</v>
      </c>
      <c r="Q250" s="58" t="n">
        <v>0.01</v>
      </c>
      <c r="R250" s="59" t="s">
        <v>870</v>
      </c>
      <c r="S250" s="22"/>
      <c r="T250" s="11" t="str">
        <f aca="false">"16.12.25"</f>
        <v>16.12.25</v>
      </c>
    </row>
    <row r="251" customFormat="false" ht="7.5" hidden="false" customHeight="true" outlineLevel="2" collapsed="false">
      <c r="A251" s="60" t="str">
        <f aca="false">HYPERLINK("https://disk.360.yandex.ru/d/H4nkhh7e6BgroQ","фото")</f>
        <v>фото</v>
      </c>
      <c r="B251" s="49" t="s">
        <v>871</v>
      </c>
      <c r="C251" s="50" t="s">
        <v>872</v>
      </c>
      <c r="D251" s="51" t="s">
        <v>873</v>
      </c>
      <c r="E251" s="52" t="n">
        <f aca="false">I251*(1-J251)*(100-E1)/100</f>
        <v>2374.4</v>
      </c>
      <c r="F251" s="53"/>
      <c r="G251" s="54" t="n">
        <v>10</v>
      </c>
      <c r="H251" s="52" t="n">
        <f aca="false">E251*F251</f>
        <v>0</v>
      </c>
      <c r="I251" s="55" t="n">
        <v>3710</v>
      </c>
      <c r="J251" s="56"/>
      <c r="K251" s="57" t="n">
        <v>2958</v>
      </c>
      <c r="L251" s="22" t="s">
        <v>44</v>
      </c>
      <c r="M251" s="22"/>
      <c r="N251" s="58" t="n">
        <f aca="false">F251*P251</f>
        <v>0</v>
      </c>
      <c r="O251" s="58" t="n">
        <f aca="false">F251*Q251</f>
        <v>0</v>
      </c>
      <c r="P251" s="58" t="n">
        <v>1.9</v>
      </c>
      <c r="Q251" s="58" t="n">
        <v>0.012</v>
      </c>
      <c r="R251" s="59" t="s">
        <v>874</v>
      </c>
      <c r="S251" s="22"/>
      <c r="T251" s="11" t="str">
        <f aca="false">"16.12.25"</f>
        <v>16.12.25</v>
      </c>
    </row>
    <row r="252" customFormat="false" ht="7.5" hidden="false" customHeight="true" outlineLevel="2" collapsed="false">
      <c r="A252" s="60" t="str">
        <f aca="false">HYPERLINK("https://disk.360.yandex.ru/d/ABTGqf0D1TizPQ","фото")</f>
        <v>фото</v>
      </c>
      <c r="B252" s="49" t="s">
        <v>875</v>
      </c>
      <c r="C252" s="50" t="s">
        <v>876</v>
      </c>
      <c r="D252" s="51" t="s">
        <v>877</v>
      </c>
      <c r="E252" s="52" t="n">
        <f aca="false">I252*(1-J252)*(100-E1)/100</f>
        <v>8108.8</v>
      </c>
      <c r="F252" s="53"/>
      <c r="G252" s="54" t="n">
        <v>5</v>
      </c>
      <c r="H252" s="52" t="n">
        <f aca="false">E252*F252</f>
        <v>0</v>
      </c>
      <c r="I252" s="55" t="n">
        <v>12670</v>
      </c>
      <c r="J252" s="56"/>
      <c r="K252" s="57" t="n">
        <v>260</v>
      </c>
      <c r="L252" s="22" t="s">
        <v>44</v>
      </c>
      <c r="M252" s="22"/>
      <c r="N252" s="58" t="n">
        <f aca="false">F252*P252</f>
        <v>0</v>
      </c>
      <c r="O252" s="58" t="n">
        <f aca="false">F252*Q252</f>
        <v>0</v>
      </c>
      <c r="P252" s="58" t="n">
        <v>4.2</v>
      </c>
      <c r="Q252" s="58" t="n">
        <v>0.017</v>
      </c>
      <c r="R252" s="59" t="s">
        <v>878</v>
      </c>
      <c r="S252" s="22"/>
      <c r="T252" s="11" t="str">
        <f aca="false">"16.12.25"</f>
        <v>16.12.25</v>
      </c>
    </row>
    <row r="253" customFormat="false" ht="7.5" hidden="false" customHeight="true" outlineLevel="2" collapsed="false">
      <c r="A253" s="60" t="str">
        <f aca="false">HYPERLINK("https://disk.360.yandex.ru/d/Gu5Lnx8T1Bk08w","фото")</f>
        <v>фото</v>
      </c>
      <c r="B253" s="49" t="s">
        <v>879</v>
      </c>
      <c r="C253" s="50" t="s">
        <v>880</v>
      </c>
      <c r="D253" s="51" t="s">
        <v>881</v>
      </c>
      <c r="E253" s="52" t="n">
        <f aca="false">I253*(1-J253)*(100-E1)/100</f>
        <v>4183.36</v>
      </c>
      <c r="F253" s="53"/>
      <c r="G253" s="54" t="n">
        <v>6</v>
      </c>
      <c r="H253" s="52" t="n">
        <f aca="false">E253*F253</f>
        <v>0</v>
      </c>
      <c r="I253" s="55" t="n">
        <v>7690</v>
      </c>
      <c r="J253" s="56" t="n">
        <v>0.15</v>
      </c>
      <c r="K253" s="57" t="n">
        <v>807</v>
      </c>
      <c r="L253" s="22" t="s">
        <v>44</v>
      </c>
      <c r="M253" s="22"/>
      <c r="N253" s="58" t="n">
        <f aca="false">F253*P253</f>
        <v>0</v>
      </c>
      <c r="O253" s="58" t="n">
        <f aca="false">F253*Q253</f>
        <v>0</v>
      </c>
      <c r="P253" s="58" t="n">
        <v>4.29</v>
      </c>
      <c r="Q253" s="58" t="n">
        <v>0.02</v>
      </c>
      <c r="R253" s="59" t="s">
        <v>882</v>
      </c>
      <c r="S253" s="22"/>
      <c r="T253" s="11" t="str">
        <f aca="false">"16.12.25"</f>
        <v>16.12.25</v>
      </c>
    </row>
    <row r="254" customFormat="false" ht="7.5" hidden="false" customHeight="true" outlineLevel="2" collapsed="false">
      <c r="A254" s="60" t="str">
        <f aca="false">HYPERLINK("https://disk.360.yandex.ru/d/bq56fGmzv1lGqw","фото")</f>
        <v>фото</v>
      </c>
      <c r="B254" s="49" t="s">
        <v>883</v>
      </c>
      <c r="C254" s="50" t="s">
        <v>884</v>
      </c>
      <c r="D254" s="51" t="s">
        <v>885</v>
      </c>
      <c r="E254" s="52" t="n">
        <f aca="false">I254*(1-J254)*(100-E1)/100</f>
        <v>3667.2</v>
      </c>
      <c r="F254" s="53"/>
      <c r="G254" s="54" t="n">
        <v>5</v>
      </c>
      <c r="H254" s="52" t="n">
        <f aca="false">E254*F254</f>
        <v>0</v>
      </c>
      <c r="I254" s="55" t="n">
        <v>9550</v>
      </c>
      <c r="J254" s="56" t="n">
        <v>0.4</v>
      </c>
      <c r="K254" s="57" t="n">
        <v>1397</v>
      </c>
      <c r="L254" s="22" t="s">
        <v>44</v>
      </c>
      <c r="M254" s="22"/>
      <c r="N254" s="58" t="n">
        <f aca="false">F254*P254</f>
        <v>0</v>
      </c>
      <c r="O254" s="58" t="n">
        <f aca="false">F254*Q254</f>
        <v>0</v>
      </c>
      <c r="P254" s="58" t="n">
        <v>4.4</v>
      </c>
      <c r="Q254" s="58" t="n">
        <v>0.019</v>
      </c>
      <c r="R254" s="59" t="s">
        <v>886</v>
      </c>
      <c r="S254" s="22"/>
      <c r="T254" s="11" t="str">
        <f aca="false">"16.12.25"</f>
        <v>16.12.25</v>
      </c>
    </row>
    <row r="255" customFormat="false" ht="7.5" hidden="false" customHeight="true" outlineLevel="2" collapsed="false">
      <c r="A255" s="60" t="str">
        <f aca="false">HYPERLINK("https://disk.360.yandex.ru/d/yNDfFLr091I3dg","фото")</f>
        <v>фото</v>
      </c>
      <c r="B255" s="49" t="s">
        <v>887</v>
      </c>
      <c r="C255" s="50" t="s">
        <v>888</v>
      </c>
      <c r="D255" s="51" t="s">
        <v>889</v>
      </c>
      <c r="E255" s="52" t="n">
        <f aca="false">I255*(1-J255)*(100-E1)/100</f>
        <v>4362.24</v>
      </c>
      <c r="F255" s="53"/>
      <c r="G255" s="54" t="n">
        <v>8</v>
      </c>
      <c r="H255" s="52" t="n">
        <f aca="false">E255*F255</f>
        <v>0</v>
      </c>
      <c r="I255" s="55" t="n">
        <v>8520</v>
      </c>
      <c r="J255" s="56" t="n">
        <v>0.2</v>
      </c>
      <c r="K255" s="57" t="n">
        <v>673</v>
      </c>
      <c r="L255" s="22" t="s">
        <v>44</v>
      </c>
      <c r="M255" s="22"/>
      <c r="N255" s="58" t="n">
        <f aca="false">F255*P255</f>
        <v>0</v>
      </c>
      <c r="O255" s="58" t="n">
        <f aca="false">F255*Q255</f>
        <v>0</v>
      </c>
      <c r="P255" s="58" t="n">
        <v>4.5</v>
      </c>
      <c r="Q255" s="58" t="n">
        <v>0.04</v>
      </c>
      <c r="R255" s="59" t="s">
        <v>890</v>
      </c>
      <c r="S255" s="22"/>
      <c r="T255" s="11" t="str">
        <f aca="false">"16.12.25"</f>
        <v>16.12.25</v>
      </c>
    </row>
    <row r="256" customFormat="false" ht="7.5" hidden="false" customHeight="true" outlineLevel="2" collapsed="false">
      <c r="A256" s="60" t="str">
        <f aca="false">HYPERLINK("https://disk.360.yandex.ru/d/4H8-4e9zsgU-Og","фото")</f>
        <v>фото</v>
      </c>
      <c r="B256" s="49" t="s">
        <v>891</v>
      </c>
      <c r="C256" s="50" t="s">
        <v>892</v>
      </c>
      <c r="D256" s="51" t="s">
        <v>893</v>
      </c>
      <c r="E256" s="52" t="n">
        <f aca="false">I256*(1-J256)*(100-E1)/100</f>
        <v>3603.2</v>
      </c>
      <c r="F256" s="53"/>
      <c r="G256" s="54" t="n">
        <v>10</v>
      </c>
      <c r="H256" s="52" t="n">
        <f aca="false">E256*F256</f>
        <v>0</v>
      </c>
      <c r="I256" s="55" t="n">
        <v>5630</v>
      </c>
      <c r="J256" s="56"/>
      <c r="K256" s="57" t="n">
        <v>819</v>
      </c>
      <c r="L256" s="22" t="s">
        <v>44</v>
      </c>
      <c r="M256" s="22"/>
      <c r="N256" s="58" t="n">
        <f aca="false">F256*P256</f>
        <v>0</v>
      </c>
      <c r="O256" s="58" t="n">
        <f aca="false">F256*Q256</f>
        <v>0</v>
      </c>
      <c r="P256" s="58" t="n">
        <v>2.85</v>
      </c>
      <c r="Q256" s="58" t="n">
        <v>0.02</v>
      </c>
      <c r="R256" s="59" t="s">
        <v>894</v>
      </c>
      <c r="S256" s="22"/>
      <c r="T256" s="11" t="str">
        <f aca="false">"16.12.25"</f>
        <v>16.12.25</v>
      </c>
    </row>
    <row r="257" customFormat="false" ht="7.5" hidden="false" customHeight="true" outlineLevel="2" collapsed="false">
      <c r="A257" s="60" t="str">
        <f aca="false">HYPERLINK("https://disk.360.yandex.ru/d/WXmX0Fc7BwmgAg","фото")</f>
        <v>фото</v>
      </c>
      <c r="B257" s="49" t="s">
        <v>895</v>
      </c>
      <c r="C257" s="50" t="s">
        <v>896</v>
      </c>
      <c r="D257" s="51" t="s">
        <v>897</v>
      </c>
      <c r="E257" s="52" t="n">
        <f aca="false">I257*(1-J257)*(100-E1)/100</f>
        <v>1292.8</v>
      </c>
      <c r="F257" s="53"/>
      <c r="G257" s="54" t="n">
        <v>10</v>
      </c>
      <c r="H257" s="52" t="n">
        <f aca="false">E257*F257</f>
        <v>0</v>
      </c>
      <c r="I257" s="55" t="n">
        <v>2020</v>
      </c>
      <c r="J257" s="56"/>
      <c r="K257" s="57" t="n">
        <v>2319</v>
      </c>
      <c r="L257" s="22" t="s">
        <v>44</v>
      </c>
      <c r="M257" s="22" t="s">
        <v>152</v>
      </c>
      <c r="N257" s="58" t="n">
        <f aca="false">F257*P257</f>
        <v>0</v>
      </c>
      <c r="O257" s="58" t="n">
        <f aca="false">F257*Q257</f>
        <v>0</v>
      </c>
      <c r="P257" s="58" t="n">
        <v>1.4</v>
      </c>
      <c r="Q257" s="58" t="n">
        <v>0.007</v>
      </c>
      <c r="R257" s="59" t="s">
        <v>898</v>
      </c>
      <c r="S257" s="22"/>
      <c r="T257" s="11" t="str">
        <f aca="false">"16.12.25"</f>
        <v>16.12.25</v>
      </c>
    </row>
    <row r="258" customFormat="false" ht="7.5" hidden="false" customHeight="true" outlineLevel="2" collapsed="false">
      <c r="A258" s="60" t="str">
        <f aca="false">HYPERLINK("https://disk.360.yandex.ru/d/4H8-4e9zsgU-Og","фото")</f>
        <v>фото</v>
      </c>
      <c r="B258" s="49" t="s">
        <v>899</v>
      </c>
      <c r="C258" s="50" t="s">
        <v>900</v>
      </c>
      <c r="D258" s="51" t="s">
        <v>901</v>
      </c>
      <c r="E258" s="52" t="n">
        <f aca="false">I258*(1-J258)*(100-E1)/100</f>
        <v>3375.36</v>
      </c>
      <c r="F258" s="53"/>
      <c r="G258" s="54" t="n">
        <v>10</v>
      </c>
      <c r="H258" s="52" t="n">
        <f aca="false">E258*F258</f>
        <v>0</v>
      </c>
      <c r="I258" s="55" t="n">
        <v>5860</v>
      </c>
      <c r="J258" s="56" t="n">
        <v>0.1</v>
      </c>
      <c r="K258" s="57" t="n">
        <v>1637</v>
      </c>
      <c r="L258" s="22" t="s">
        <v>44</v>
      </c>
      <c r="M258" s="22" t="s">
        <v>15</v>
      </c>
      <c r="N258" s="58" t="n">
        <f aca="false">F258*P258</f>
        <v>0</v>
      </c>
      <c r="O258" s="58" t="n">
        <f aca="false">F258*Q258</f>
        <v>0</v>
      </c>
      <c r="P258" s="58" t="n">
        <v>2.95</v>
      </c>
      <c r="Q258" s="58" t="n">
        <v>0.02</v>
      </c>
      <c r="R258" s="59" t="s">
        <v>902</v>
      </c>
      <c r="S258" s="22"/>
      <c r="T258" s="11" t="str">
        <f aca="false">"16.12.25"</f>
        <v>16.12.25</v>
      </c>
    </row>
    <row r="259" customFormat="false" ht="7.5" hidden="false" customHeight="true" outlineLevel="2" collapsed="false">
      <c r="A259" s="60" t="str">
        <f aca="false">HYPERLINK("https://disk.360.yandex.ru/d/trOpapVPAAJcgw","фото")</f>
        <v>фото</v>
      </c>
      <c r="B259" s="49" t="s">
        <v>903</v>
      </c>
      <c r="C259" s="50" t="s">
        <v>904</v>
      </c>
      <c r="D259" s="51" t="s">
        <v>905</v>
      </c>
      <c r="E259" s="52" t="n">
        <f aca="false">I259*(1-J259)*(100-E1)/100</f>
        <v>4096</v>
      </c>
      <c r="F259" s="53"/>
      <c r="G259" s="54" t="n">
        <v>6</v>
      </c>
      <c r="H259" s="52" t="n">
        <f aca="false">E259*F259</f>
        <v>0</v>
      </c>
      <c r="I259" s="55" t="n">
        <v>8000</v>
      </c>
      <c r="J259" s="56" t="n">
        <v>0.2</v>
      </c>
      <c r="K259" s="57" t="n">
        <v>438</v>
      </c>
      <c r="L259" s="22" t="s">
        <v>44</v>
      </c>
      <c r="M259" s="22" t="s">
        <v>31</v>
      </c>
      <c r="N259" s="58" t="n">
        <f aca="false">F259*P259</f>
        <v>0</v>
      </c>
      <c r="O259" s="58" t="n">
        <f aca="false">F259*Q259</f>
        <v>0</v>
      </c>
      <c r="P259" s="58" t="n">
        <v>4.02</v>
      </c>
      <c r="Q259" s="58" t="n">
        <v>0.013</v>
      </c>
      <c r="R259" s="59" t="s">
        <v>906</v>
      </c>
      <c r="S259" s="22"/>
      <c r="T259" s="11" t="str">
        <f aca="false">"16.12.25"</f>
        <v>16.12.25</v>
      </c>
    </row>
    <row r="260" customFormat="false" ht="7.5" hidden="false" customHeight="true" outlineLevel="2" collapsed="false">
      <c r="A260" s="60" t="str">
        <f aca="false">HYPERLINK("https://disk.360.yandex.ru/d/soyoMDx4mPMxXg","фото")</f>
        <v>фото</v>
      </c>
      <c r="B260" s="49" t="s">
        <v>907</v>
      </c>
      <c r="C260" s="50" t="s">
        <v>908</v>
      </c>
      <c r="D260" s="51" t="s">
        <v>909</v>
      </c>
      <c r="E260" s="52" t="n">
        <f aca="false">I260*(1-J260)*(100-E1)/100</f>
        <v>4096</v>
      </c>
      <c r="F260" s="53"/>
      <c r="G260" s="54" t="n">
        <v>6</v>
      </c>
      <c r="H260" s="52" t="n">
        <f aca="false">E260*F260</f>
        <v>0</v>
      </c>
      <c r="I260" s="55" t="n">
        <v>8000</v>
      </c>
      <c r="J260" s="56" t="n">
        <v>0.2</v>
      </c>
      <c r="K260" s="57" t="n">
        <v>2623</v>
      </c>
      <c r="L260" s="22" t="s">
        <v>44</v>
      </c>
      <c r="M260" s="22"/>
      <c r="N260" s="58" t="n">
        <f aca="false">F260*P260</f>
        <v>0</v>
      </c>
      <c r="O260" s="58" t="n">
        <f aca="false">F260*Q260</f>
        <v>0</v>
      </c>
      <c r="P260" s="58" t="n">
        <v>2.25</v>
      </c>
      <c r="Q260" s="58" t="n">
        <v>0.012</v>
      </c>
      <c r="R260" s="59" t="s">
        <v>910</v>
      </c>
      <c r="S260" s="22"/>
      <c r="T260" s="11" t="str">
        <f aca="false">"16.12.25"</f>
        <v>16.12.25</v>
      </c>
    </row>
    <row r="261" customFormat="false" ht="7.5" hidden="false" customHeight="true" outlineLevel="2" collapsed="false">
      <c r="A261" s="60" t="str">
        <f aca="false">HYPERLINK("https://disk.360.yandex.ru/d/d7NxXYfKwz6WVQ","фото")</f>
        <v>фото</v>
      </c>
      <c r="B261" s="49" t="s">
        <v>911</v>
      </c>
      <c r="C261" s="50" t="s">
        <v>912</v>
      </c>
      <c r="D261" s="51" t="s">
        <v>913</v>
      </c>
      <c r="E261" s="52" t="n">
        <f aca="false">I261*(1-J261)*(100-E1)/100</f>
        <v>3041.28</v>
      </c>
      <c r="F261" s="53"/>
      <c r="G261" s="54" t="n">
        <v>8</v>
      </c>
      <c r="H261" s="52" t="n">
        <f aca="false">E261*F261</f>
        <v>0</v>
      </c>
      <c r="I261" s="55" t="n">
        <v>5940</v>
      </c>
      <c r="J261" s="56" t="n">
        <v>0.2</v>
      </c>
      <c r="K261" s="57" t="n">
        <v>1615</v>
      </c>
      <c r="L261" s="22" t="s">
        <v>157</v>
      </c>
      <c r="M261" s="22"/>
      <c r="N261" s="58" t="n">
        <f aca="false">F261*P261</f>
        <v>0</v>
      </c>
      <c r="O261" s="58" t="n">
        <f aca="false">F261*Q261</f>
        <v>0</v>
      </c>
      <c r="P261" s="58" t="n">
        <v>2.825</v>
      </c>
      <c r="Q261" s="58" t="n">
        <v>0.012</v>
      </c>
      <c r="R261" s="59" t="s">
        <v>914</v>
      </c>
      <c r="S261" s="22"/>
      <c r="T261" s="11" t="str">
        <f aca="false">"16.12.25"</f>
        <v>16.12.25</v>
      </c>
    </row>
    <row r="262" customFormat="false" ht="7.5" hidden="false" customHeight="true" outlineLevel="2" collapsed="false">
      <c r="A262" s="60" t="str">
        <f aca="false">HYPERLINK("https://disk.360.yandex.ru/d/_fzuweuLXz8X8g","фото")</f>
        <v>фото</v>
      </c>
      <c r="B262" s="49" t="s">
        <v>915</v>
      </c>
      <c r="C262" s="50" t="s">
        <v>916</v>
      </c>
      <c r="D262" s="51" t="s">
        <v>917</v>
      </c>
      <c r="E262" s="52" t="n">
        <f aca="false">I262*(1-J262)*(100-E1)/100</f>
        <v>3230.72</v>
      </c>
      <c r="F262" s="53"/>
      <c r="G262" s="54" t="n">
        <v>6</v>
      </c>
      <c r="H262" s="52" t="n">
        <f aca="false">E262*F262</f>
        <v>0</v>
      </c>
      <c r="I262" s="55" t="n">
        <v>6310</v>
      </c>
      <c r="J262" s="56" t="n">
        <v>0.2</v>
      </c>
      <c r="K262" s="57" t="n">
        <v>847</v>
      </c>
      <c r="L262" s="22" t="s">
        <v>157</v>
      </c>
      <c r="M262" s="22"/>
      <c r="N262" s="58" t="n">
        <f aca="false">F262*P262</f>
        <v>0</v>
      </c>
      <c r="O262" s="58" t="n">
        <f aca="false">F262*Q262</f>
        <v>0</v>
      </c>
      <c r="P262" s="58" t="n">
        <v>2.967</v>
      </c>
      <c r="Q262" s="58" t="n">
        <v>0.02</v>
      </c>
      <c r="R262" s="59" t="s">
        <v>918</v>
      </c>
      <c r="S262" s="22"/>
      <c r="T262" s="11" t="str">
        <f aca="false">"16.12.25"</f>
        <v>16.12.25</v>
      </c>
    </row>
    <row r="263" customFormat="false" ht="7.5" hidden="false" customHeight="true" outlineLevel="2" collapsed="false">
      <c r="A263" s="60" t="str">
        <f aca="false">HYPERLINK("https://disk.360.yandex.ru/d/etIG6GnRh3gKZw","фото")</f>
        <v>фото</v>
      </c>
      <c r="B263" s="49" t="s">
        <v>919</v>
      </c>
      <c r="C263" s="50" t="s">
        <v>920</v>
      </c>
      <c r="D263" s="51" t="s">
        <v>889</v>
      </c>
      <c r="E263" s="52" t="n">
        <f aca="false">I263*(1-J263)*(100-E1)/100</f>
        <v>4362.24</v>
      </c>
      <c r="F263" s="53"/>
      <c r="G263" s="54" t="n">
        <v>8</v>
      </c>
      <c r="H263" s="52" t="n">
        <f aca="false">E263*F263</f>
        <v>0</v>
      </c>
      <c r="I263" s="55" t="n">
        <v>8520</v>
      </c>
      <c r="J263" s="56" t="n">
        <v>0.2</v>
      </c>
      <c r="K263" s="57" t="n">
        <v>138</v>
      </c>
      <c r="L263" s="22" t="s">
        <v>53</v>
      </c>
      <c r="M263" s="22"/>
      <c r="N263" s="58" t="n">
        <f aca="false">F263*P263</f>
        <v>0</v>
      </c>
      <c r="O263" s="58" t="n">
        <f aca="false">F263*Q263</f>
        <v>0</v>
      </c>
      <c r="P263" s="58" t="n">
        <v>4.5</v>
      </c>
      <c r="Q263" s="58" t="n">
        <v>0.04</v>
      </c>
      <c r="R263" s="59" t="s">
        <v>921</v>
      </c>
      <c r="S263" s="22"/>
      <c r="T263" s="11" t="str">
        <f aca="false">"16.12.25"</f>
        <v>16.12.25</v>
      </c>
    </row>
    <row r="264" customFormat="false" ht="7.5" hidden="false" customHeight="true" outlineLevel="2" collapsed="false">
      <c r="A264" s="60" t="str">
        <f aca="false">HYPERLINK("https://disk.360.yandex.ru/d/RnhZaJGpXf9WGw","фото")</f>
        <v>фото</v>
      </c>
      <c r="B264" s="49" t="s">
        <v>922</v>
      </c>
      <c r="C264" s="50" t="s">
        <v>923</v>
      </c>
      <c r="D264" s="51" t="s">
        <v>924</v>
      </c>
      <c r="E264" s="52" t="n">
        <f aca="false">I264*(1-J264)*(100-E1)/100</f>
        <v>6330.24</v>
      </c>
      <c r="F264" s="53"/>
      <c r="G264" s="54" t="n">
        <v>4</v>
      </c>
      <c r="H264" s="52" t="n">
        <f aca="false">E264*F264</f>
        <v>0</v>
      </c>
      <c r="I264" s="55" t="n">
        <v>10990</v>
      </c>
      <c r="J264" s="56" t="n">
        <v>0.1</v>
      </c>
      <c r="K264" s="57" t="n">
        <v>719</v>
      </c>
      <c r="L264" s="22" t="s">
        <v>53</v>
      </c>
      <c r="M264" s="22" t="s">
        <v>152</v>
      </c>
      <c r="N264" s="58" t="n">
        <f aca="false">F264*P264</f>
        <v>0</v>
      </c>
      <c r="O264" s="58" t="n">
        <f aca="false">F264*Q264</f>
        <v>0</v>
      </c>
      <c r="P264" s="58" t="n">
        <v>6.125</v>
      </c>
      <c r="Q264" s="58" t="n">
        <v>0.022</v>
      </c>
      <c r="R264" s="59" t="s">
        <v>925</v>
      </c>
      <c r="S264" s="22"/>
      <c r="T264" s="11" t="str">
        <f aca="false">"16.12.25"</f>
        <v>16.12.25</v>
      </c>
    </row>
    <row r="265" customFormat="false" ht="7.5" hidden="false" customHeight="true" outlineLevel="2" collapsed="false">
      <c r="A265" s="60" t="str">
        <f aca="false">HYPERLINK("https://disk.360.yandex.ru/d/gU6NvVGNZU_8xg","фото")</f>
        <v>фото</v>
      </c>
      <c r="B265" s="49" t="s">
        <v>926</v>
      </c>
      <c r="C265" s="50" t="s">
        <v>927</v>
      </c>
      <c r="D265" s="51" t="s">
        <v>928</v>
      </c>
      <c r="E265" s="52" t="n">
        <f aca="false">I265*(1-J265)*(100-E1)/100</f>
        <v>4140.8</v>
      </c>
      <c r="F265" s="53"/>
      <c r="G265" s="54" t="n">
        <v>5</v>
      </c>
      <c r="H265" s="52" t="n">
        <f aca="false">E265*F265</f>
        <v>0</v>
      </c>
      <c r="I265" s="55" t="n">
        <v>6470</v>
      </c>
      <c r="J265" s="56"/>
      <c r="K265" s="57" t="n">
        <v>0</v>
      </c>
      <c r="L265" s="22" t="s">
        <v>53</v>
      </c>
      <c r="M265" s="22"/>
      <c r="N265" s="58" t="n">
        <f aca="false">F265*P265</f>
        <v>0</v>
      </c>
      <c r="O265" s="58" t="n">
        <f aca="false">F265*Q265</f>
        <v>0</v>
      </c>
      <c r="P265" s="58" t="n">
        <v>3</v>
      </c>
      <c r="Q265" s="58" t="n">
        <v>0.01</v>
      </c>
      <c r="R265" s="59" t="s">
        <v>929</v>
      </c>
      <c r="S265" s="22"/>
      <c r="T265" s="11" t="str">
        <f aca="false">"16.12.25"</f>
        <v>16.12.25</v>
      </c>
    </row>
    <row r="266" customFormat="false" ht="7.5" hidden="false" customHeight="true" outlineLevel="2" collapsed="false">
      <c r="A266" s="60" t="str">
        <f aca="false">HYPERLINK("https://disk.360.yandex.ru/d/J1QRFrVBDCW1Nw","фото")</f>
        <v>фото</v>
      </c>
      <c r="B266" s="49" t="s">
        <v>930</v>
      </c>
      <c r="C266" s="50" t="s">
        <v>931</v>
      </c>
      <c r="D266" s="51" t="s">
        <v>932</v>
      </c>
      <c r="E266" s="52" t="n">
        <f aca="false">I266*(1-J266)*(100-E1)/100</f>
        <v>4403.2</v>
      </c>
      <c r="F266" s="53"/>
      <c r="G266" s="54" t="n">
        <v>5</v>
      </c>
      <c r="H266" s="52" t="n">
        <f aca="false">E266*F266</f>
        <v>0</v>
      </c>
      <c r="I266" s="55" t="n">
        <v>6880</v>
      </c>
      <c r="J266" s="56"/>
      <c r="K266" s="57" t="n">
        <v>820</v>
      </c>
      <c r="L266" s="22" t="s">
        <v>53</v>
      </c>
      <c r="M266" s="22"/>
      <c r="N266" s="58" t="n">
        <f aca="false">F266*P266</f>
        <v>0</v>
      </c>
      <c r="O266" s="58" t="n">
        <f aca="false">F266*Q266</f>
        <v>0</v>
      </c>
      <c r="P266" s="58" t="n">
        <v>3.2</v>
      </c>
      <c r="Q266" s="58" t="n">
        <v>0.016</v>
      </c>
      <c r="R266" s="59" t="s">
        <v>933</v>
      </c>
      <c r="S266" s="22"/>
      <c r="T266" s="11" t="str">
        <f aca="false">"16.12.25"</f>
        <v>16.12.25</v>
      </c>
    </row>
    <row r="267" customFormat="false" ht="7.5" hidden="false" customHeight="true" outlineLevel="1" collapsed="false">
      <c r="A267" s="38"/>
      <c r="B267" s="39"/>
      <c r="C267" s="40" t="s">
        <v>934</v>
      </c>
      <c r="D267" s="41"/>
      <c r="E267" s="42"/>
      <c r="F267" s="43"/>
      <c r="G267" s="44"/>
      <c r="H267" s="42"/>
      <c r="I267" s="45"/>
      <c r="J267" s="46"/>
      <c r="K267" s="45"/>
      <c r="L267" s="44"/>
      <c r="M267" s="44"/>
      <c r="N267" s="47"/>
      <c r="O267" s="47"/>
      <c r="P267" s="47"/>
      <c r="Q267" s="47"/>
      <c r="R267" s="39"/>
      <c r="S267" s="44"/>
      <c r="T267" s="11" t="str">
        <f aca="false">"16.12.25"</f>
        <v>16.12.25</v>
      </c>
    </row>
    <row r="268" customFormat="false" ht="7.5" hidden="false" customHeight="true" outlineLevel="2" collapsed="false">
      <c r="A268" s="60" t="str">
        <f aca="false">HYPERLINK("https://disk.yandex.ru/d/IoJkwaF5B8dHVg","фото")</f>
        <v>фото</v>
      </c>
      <c r="B268" s="49" t="s">
        <v>935</v>
      </c>
      <c r="C268" s="50" t="s">
        <v>936</v>
      </c>
      <c r="D268" s="51" t="s">
        <v>937</v>
      </c>
      <c r="E268" s="52" t="n">
        <f aca="false">I268*(1-J268)*(100-E1)/100</f>
        <v>6481.92</v>
      </c>
      <c r="F268" s="53"/>
      <c r="G268" s="54" t="n">
        <v>5</v>
      </c>
      <c r="H268" s="52" t="n">
        <f aca="false">E268*F268</f>
        <v>0</v>
      </c>
      <c r="I268" s="55" t="n">
        <v>12660</v>
      </c>
      <c r="J268" s="56" t="n">
        <v>0.2</v>
      </c>
      <c r="K268" s="57" t="n">
        <v>409</v>
      </c>
      <c r="L268" s="22" t="s">
        <v>44</v>
      </c>
      <c r="M268" s="22" t="s">
        <v>31</v>
      </c>
      <c r="N268" s="58" t="n">
        <f aca="false">F268*P268</f>
        <v>0</v>
      </c>
      <c r="O268" s="58" t="n">
        <f aca="false">F268*Q268</f>
        <v>0</v>
      </c>
      <c r="P268" s="58" t="n">
        <v>5.2</v>
      </c>
      <c r="Q268" s="58" t="n">
        <v>0.01</v>
      </c>
      <c r="R268" s="59" t="s">
        <v>938</v>
      </c>
      <c r="S268" s="22"/>
      <c r="T268" s="11" t="str">
        <f aca="false">"16.12.25"</f>
        <v>16.12.25</v>
      </c>
    </row>
    <row r="269" customFormat="false" ht="7.5" hidden="false" customHeight="true" outlineLevel="2" collapsed="false">
      <c r="A269" s="60" t="str">
        <f aca="false">HYPERLINK("https://disk.yandex.ru/d/IrLVYfzdGu3LSA","фото")</f>
        <v>фото</v>
      </c>
      <c r="B269" s="49" t="s">
        <v>939</v>
      </c>
      <c r="C269" s="50" t="s">
        <v>940</v>
      </c>
      <c r="D269" s="51" t="s">
        <v>941</v>
      </c>
      <c r="E269" s="52" t="n">
        <f aca="false">I269*(1-J269)*(100-E1)/100</f>
        <v>4096</v>
      </c>
      <c r="F269" s="53"/>
      <c r="G269" s="54" t="n">
        <v>6</v>
      </c>
      <c r="H269" s="52" t="n">
        <f aca="false">E269*F269</f>
        <v>0</v>
      </c>
      <c r="I269" s="55" t="n">
        <v>8000</v>
      </c>
      <c r="J269" s="56" t="n">
        <v>0.2</v>
      </c>
      <c r="K269" s="57" t="n">
        <v>2519</v>
      </c>
      <c r="L269" s="22" t="s">
        <v>44</v>
      </c>
      <c r="M269" s="22" t="s">
        <v>31</v>
      </c>
      <c r="N269" s="58" t="n">
        <f aca="false">F269*P269</f>
        <v>0</v>
      </c>
      <c r="O269" s="58" t="n">
        <f aca="false">F269*Q269</f>
        <v>0</v>
      </c>
      <c r="P269" s="58" t="n">
        <v>4.334</v>
      </c>
      <c r="Q269" s="58" t="n">
        <v>0.01</v>
      </c>
      <c r="R269" s="59" t="s">
        <v>942</v>
      </c>
      <c r="S269" s="22"/>
      <c r="T269" s="11" t="str">
        <f aca="false">"16.12.25"</f>
        <v>16.12.25</v>
      </c>
    </row>
    <row r="270" customFormat="false" ht="7.5" hidden="false" customHeight="true" outlineLevel="2" collapsed="false">
      <c r="A270" s="60" t="str">
        <f aca="false">HYPERLINK("https://disk.yandex.ru/d/_-XhkGM-vzmhRw","фото")</f>
        <v>фото</v>
      </c>
      <c r="B270" s="49" t="s">
        <v>943</v>
      </c>
      <c r="C270" s="50" t="s">
        <v>944</v>
      </c>
      <c r="D270" s="51" t="s">
        <v>945</v>
      </c>
      <c r="E270" s="52" t="n">
        <f aca="false">I270*(1-J270)*(100-E1)/100</f>
        <v>5324.8</v>
      </c>
      <c r="F270" s="53"/>
      <c r="G270" s="54" t="n">
        <v>5</v>
      </c>
      <c r="H270" s="52" t="n">
        <f aca="false">E270*F270</f>
        <v>0</v>
      </c>
      <c r="I270" s="55" t="n">
        <v>10400</v>
      </c>
      <c r="J270" s="56" t="n">
        <v>0.2</v>
      </c>
      <c r="K270" s="57" t="n">
        <v>866</v>
      </c>
      <c r="L270" s="22" t="s">
        <v>44</v>
      </c>
      <c r="M270" s="22" t="s">
        <v>31</v>
      </c>
      <c r="N270" s="58" t="n">
        <f aca="false">F270*P270</f>
        <v>0</v>
      </c>
      <c r="O270" s="58" t="n">
        <f aca="false">F270*Q270</f>
        <v>0</v>
      </c>
      <c r="P270" s="58" t="n">
        <v>4.328</v>
      </c>
      <c r="Q270" s="58" t="n">
        <v>0.02</v>
      </c>
      <c r="R270" s="59" t="s">
        <v>946</v>
      </c>
      <c r="S270" s="22"/>
      <c r="T270" s="11" t="str">
        <f aca="false">"16.12.25"</f>
        <v>16.12.25</v>
      </c>
    </row>
    <row r="271" customFormat="false" ht="7.5" hidden="false" customHeight="true" outlineLevel="2" collapsed="false">
      <c r="A271" s="60" t="str">
        <f aca="false">HYPERLINK("https://disk.yandex.ru/d/IrLVYfzdGu3LSA","фото")</f>
        <v>фото</v>
      </c>
      <c r="B271" s="49" t="s">
        <v>947</v>
      </c>
      <c r="C271" s="50" t="s">
        <v>948</v>
      </c>
      <c r="D271" s="51" t="s">
        <v>949</v>
      </c>
      <c r="E271" s="52" t="n">
        <f aca="false">I271*(1-J271)*(100-E1)/100</f>
        <v>4096</v>
      </c>
      <c r="F271" s="53"/>
      <c r="G271" s="54" t="n">
        <v>5</v>
      </c>
      <c r="H271" s="52" t="n">
        <f aca="false">E271*F271</f>
        <v>0</v>
      </c>
      <c r="I271" s="55" t="n">
        <v>8000</v>
      </c>
      <c r="J271" s="56" t="n">
        <v>0.2</v>
      </c>
      <c r="K271" s="57" t="n">
        <v>463</v>
      </c>
      <c r="L271" s="22" t="s">
        <v>44</v>
      </c>
      <c r="M271" s="22" t="s">
        <v>31</v>
      </c>
      <c r="N271" s="58" t="n">
        <f aca="false">F271*P271</f>
        <v>0</v>
      </c>
      <c r="O271" s="58" t="n">
        <f aca="false">F271*Q271</f>
        <v>0</v>
      </c>
      <c r="P271" s="58" t="n">
        <v>3.5</v>
      </c>
      <c r="Q271" s="58" t="n">
        <v>0.013</v>
      </c>
      <c r="R271" s="59" t="s">
        <v>950</v>
      </c>
      <c r="S271" s="22"/>
      <c r="T271" s="11" t="str">
        <f aca="false">"16.12.25"</f>
        <v>16.12.25</v>
      </c>
    </row>
    <row r="272" customFormat="false" ht="7.5" hidden="false" customHeight="true" outlineLevel="2" collapsed="false">
      <c r="A272" s="60" t="str">
        <f aca="false">HYPERLINK("https://disk.yandex.ru/d/IrLVYfzdGu3LSA","фото")</f>
        <v>фото</v>
      </c>
      <c r="B272" s="49" t="s">
        <v>951</v>
      </c>
      <c r="C272" s="50" t="s">
        <v>952</v>
      </c>
      <c r="D272" s="51" t="s">
        <v>953</v>
      </c>
      <c r="E272" s="52" t="n">
        <f aca="false">I272*(1-J272)*(100-E1)/100</f>
        <v>5324.8</v>
      </c>
      <c r="F272" s="53"/>
      <c r="G272" s="54" t="n">
        <v>5</v>
      </c>
      <c r="H272" s="52" t="n">
        <f aca="false">E272*F272</f>
        <v>0</v>
      </c>
      <c r="I272" s="55" t="n">
        <v>10400</v>
      </c>
      <c r="J272" s="56" t="n">
        <v>0.2</v>
      </c>
      <c r="K272" s="57" t="n">
        <v>620</v>
      </c>
      <c r="L272" s="22" t="s">
        <v>44</v>
      </c>
      <c r="M272" s="22" t="s">
        <v>31</v>
      </c>
      <c r="N272" s="58" t="n">
        <f aca="false">F272*P272</f>
        <v>0</v>
      </c>
      <c r="O272" s="58" t="n">
        <f aca="false">F272*Q272</f>
        <v>0</v>
      </c>
      <c r="P272" s="58" t="n">
        <v>3.8</v>
      </c>
      <c r="Q272" s="58" t="n">
        <v>0.01</v>
      </c>
      <c r="R272" s="59" t="s">
        <v>954</v>
      </c>
      <c r="S272" s="22"/>
      <c r="T272" s="11" t="str">
        <f aca="false">"16.12.25"</f>
        <v>16.12.25</v>
      </c>
    </row>
    <row r="273" customFormat="false" ht="7.5" hidden="false" customHeight="true" outlineLevel="2" collapsed="false">
      <c r="A273" s="60" t="str">
        <f aca="false">HYPERLINK("https://disk.360.yandex.ru/d/sKffTcUeE37o5g","фото")</f>
        <v>фото</v>
      </c>
      <c r="B273" s="49" t="s">
        <v>955</v>
      </c>
      <c r="C273" s="50" t="s">
        <v>956</v>
      </c>
      <c r="D273" s="51" t="s">
        <v>957</v>
      </c>
      <c r="E273" s="52" t="n">
        <f aca="false">I273*(1-J273)*(100-E1)/100</f>
        <v>5196.8</v>
      </c>
      <c r="F273" s="53"/>
      <c r="G273" s="54" t="n">
        <v>5</v>
      </c>
      <c r="H273" s="52" t="n">
        <f aca="false">E273*F273</f>
        <v>0</v>
      </c>
      <c r="I273" s="55" t="n">
        <v>8120</v>
      </c>
      <c r="J273" s="56"/>
      <c r="K273" s="57" t="n">
        <v>362</v>
      </c>
      <c r="L273" s="22" t="s">
        <v>44</v>
      </c>
      <c r="M273" s="22"/>
      <c r="N273" s="58" t="n">
        <f aca="false">F273*P273</f>
        <v>0</v>
      </c>
      <c r="O273" s="58" t="n">
        <f aca="false">F273*Q273</f>
        <v>0</v>
      </c>
      <c r="P273" s="58" t="n">
        <v>3.2</v>
      </c>
      <c r="Q273" s="58" t="n">
        <v>0.01</v>
      </c>
      <c r="R273" s="59" t="s">
        <v>958</v>
      </c>
      <c r="S273" s="22"/>
      <c r="T273" s="11" t="str">
        <f aca="false">"16.12.25"</f>
        <v>16.12.25</v>
      </c>
    </row>
    <row r="274" customFormat="false" ht="7.5" hidden="false" customHeight="true" outlineLevel="2" collapsed="false">
      <c r="A274" s="60" t="str">
        <f aca="false">HYPERLINK("https://disk.360.yandex.ru/d/JcYCdfbCTnhL_A","фото")</f>
        <v>фото</v>
      </c>
      <c r="B274" s="49" t="s">
        <v>959</v>
      </c>
      <c r="C274" s="50" t="s">
        <v>960</v>
      </c>
      <c r="D274" s="51" t="s">
        <v>961</v>
      </c>
      <c r="E274" s="52" t="n">
        <f aca="false">I274*(1-J274)*(100-E1)/100</f>
        <v>5696</v>
      </c>
      <c r="F274" s="53"/>
      <c r="G274" s="54" t="n">
        <v>5</v>
      </c>
      <c r="H274" s="52" t="n">
        <f aca="false">E274*F274</f>
        <v>0</v>
      </c>
      <c r="I274" s="55" t="n">
        <v>8900</v>
      </c>
      <c r="J274" s="56"/>
      <c r="K274" s="57" t="n">
        <v>342</v>
      </c>
      <c r="L274" s="22" t="s">
        <v>44</v>
      </c>
      <c r="M274" s="22"/>
      <c r="N274" s="58" t="n">
        <f aca="false">F274*P274</f>
        <v>0</v>
      </c>
      <c r="O274" s="58" t="n">
        <f aca="false">F274*Q274</f>
        <v>0</v>
      </c>
      <c r="P274" s="58" t="n">
        <v>3.6</v>
      </c>
      <c r="Q274" s="58" t="n">
        <v>0.02</v>
      </c>
      <c r="R274" s="59" t="s">
        <v>962</v>
      </c>
      <c r="S274" s="22"/>
      <c r="T274" s="11" t="str">
        <f aca="false">"16.12.25"</f>
        <v>16.12.25</v>
      </c>
    </row>
    <row r="275" customFormat="false" ht="7.5" hidden="false" customHeight="true" outlineLevel="2" collapsed="false">
      <c r="A275" s="60" t="str">
        <f aca="false">HYPERLINK("https://disk.yandex.ru/d/uV7epln_rPz8nQ","фото")</f>
        <v>фото</v>
      </c>
      <c r="B275" s="49" t="s">
        <v>963</v>
      </c>
      <c r="C275" s="50" t="s">
        <v>964</v>
      </c>
      <c r="D275" s="51" t="s">
        <v>965</v>
      </c>
      <c r="E275" s="52" t="n">
        <f aca="false">I275*(1-J275)*(100-E1)/100</f>
        <v>4792.32</v>
      </c>
      <c r="F275" s="53"/>
      <c r="G275" s="54" t="n">
        <v>5</v>
      </c>
      <c r="H275" s="52" t="n">
        <f aca="false">E275*F275</f>
        <v>0</v>
      </c>
      <c r="I275" s="55" t="n">
        <v>9360</v>
      </c>
      <c r="J275" s="56" t="n">
        <v>0.2</v>
      </c>
      <c r="K275" s="57" t="n">
        <v>1311</v>
      </c>
      <c r="L275" s="22" t="s">
        <v>44</v>
      </c>
      <c r="M275" s="22" t="s">
        <v>31</v>
      </c>
      <c r="N275" s="58" t="n">
        <f aca="false">F275*P275</f>
        <v>0</v>
      </c>
      <c r="O275" s="58" t="n">
        <f aca="false">F275*Q275</f>
        <v>0</v>
      </c>
      <c r="P275" s="58" t="n">
        <v>3.3</v>
      </c>
      <c r="Q275" s="58" t="n">
        <v>0.011</v>
      </c>
      <c r="R275" s="59" t="s">
        <v>966</v>
      </c>
      <c r="S275" s="22"/>
      <c r="T275" s="11" t="str">
        <f aca="false">"16.12.25"</f>
        <v>16.12.25</v>
      </c>
    </row>
    <row r="276" customFormat="false" ht="7.5" hidden="false" customHeight="true" outlineLevel="2" collapsed="false">
      <c r="A276" s="60" t="str">
        <f aca="false">HYPERLINK("https://disk.yandex.ru/d/aKnYBWryBzO8rg","фото")</f>
        <v>фото</v>
      </c>
      <c r="B276" s="49" t="s">
        <v>967</v>
      </c>
      <c r="C276" s="50" t="s">
        <v>968</v>
      </c>
      <c r="D276" s="51" t="s">
        <v>969</v>
      </c>
      <c r="E276" s="52" t="n">
        <f aca="false">I276*(1-J276)*(100-E1)/100</f>
        <v>4157.44</v>
      </c>
      <c r="F276" s="53"/>
      <c r="G276" s="54" t="n">
        <v>6</v>
      </c>
      <c r="H276" s="52" t="n">
        <f aca="false">E276*F276</f>
        <v>0</v>
      </c>
      <c r="I276" s="55" t="n">
        <v>8120</v>
      </c>
      <c r="J276" s="56" t="n">
        <v>0.2</v>
      </c>
      <c r="K276" s="57" t="n">
        <v>341</v>
      </c>
      <c r="L276" s="22" t="s">
        <v>157</v>
      </c>
      <c r="M276" s="22" t="s">
        <v>31</v>
      </c>
      <c r="N276" s="58" t="n">
        <f aca="false">F276*P276</f>
        <v>0</v>
      </c>
      <c r="O276" s="58" t="n">
        <f aca="false">F276*Q276</f>
        <v>0</v>
      </c>
      <c r="P276" s="58" t="n">
        <v>4.334</v>
      </c>
      <c r="Q276" s="58" t="n">
        <v>0.01</v>
      </c>
      <c r="R276" s="59" t="s">
        <v>970</v>
      </c>
      <c r="S276" s="22"/>
      <c r="T276" s="11" t="str">
        <f aca="false">"16.12.25"</f>
        <v>16.12.25</v>
      </c>
    </row>
    <row r="277" customFormat="false" ht="7.5" hidden="false" customHeight="true" outlineLevel="2" collapsed="false">
      <c r="A277" s="60" t="str">
        <f aca="false">HYPERLINK("https://disk.360.yandex.ru/d/jd9v1c_lfGwToQ","фото")</f>
        <v>фото</v>
      </c>
      <c r="B277" s="49" t="s">
        <v>971</v>
      </c>
      <c r="C277" s="50" t="s">
        <v>972</v>
      </c>
      <c r="D277" s="51" t="s">
        <v>973</v>
      </c>
      <c r="E277" s="52" t="n">
        <f aca="false">I277*(1-J277)*(100-E1)/100</f>
        <v>14899.2</v>
      </c>
      <c r="F277" s="53"/>
      <c r="G277" s="54" t="n">
        <v>5</v>
      </c>
      <c r="H277" s="52" t="n">
        <f aca="false">E277*F277</f>
        <v>0</v>
      </c>
      <c r="I277" s="55" t="n">
        <v>23280</v>
      </c>
      <c r="J277" s="56"/>
      <c r="K277" s="57" t="n">
        <v>257</v>
      </c>
      <c r="L277" s="22" t="s">
        <v>53</v>
      </c>
      <c r="M277" s="22"/>
      <c r="N277" s="58" t="n">
        <f aca="false">F277*P277</f>
        <v>0</v>
      </c>
      <c r="O277" s="58" t="n">
        <f aca="false">F277*Q277</f>
        <v>0</v>
      </c>
      <c r="P277" s="58" t="n">
        <v>3.15</v>
      </c>
      <c r="Q277" s="58" t="n">
        <v>0.011</v>
      </c>
      <c r="R277" s="59" t="s">
        <v>974</v>
      </c>
      <c r="S277" s="22"/>
      <c r="T277" s="11" t="str">
        <f aca="false">"16.12.25"</f>
        <v>16.12.25</v>
      </c>
    </row>
    <row r="278" customFormat="false" ht="7.5" hidden="false" customHeight="true" outlineLevel="2" collapsed="false">
      <c r="A278" s="60" t="str">
        <f aca="false">HYPERLINK("https://disk.360.yandex.ru/d/OcypoW75j3ksBQ","фото")</f>
        <v>фото</v>
      </c>
      <c r="B278" s="49" t="s">
        <v>975</v>
      </c>
      <c r="C278" s="50" t="s">
        <v>976</v>
      </c>
      <c r="D278" s="51" t="s">
        <v>977</v>
      </c>
      <c r="E278" s="52" t="n">
        <f aca="false">I278*(1-J278)*(100-E1)/100</f>
        <v>5574.4</v>
      </c>
      <c r="F278" s="53"/>
      <c r="G278" s="54" t="n">
        <v>5</v>
      </c>
      <c r="H278" s="52" t="n">
        <f aca="false">E278*F278</f>
        <v>0</v>
      </c>
      <c r="I278" s="55" t="n">
        <v>8710</v>
      </c>
      <c r="J278" s="56"/>
      <c r="K278" s="57" t="n">
        <v>251</v>
      </c>
      <c r="L278" s="22" t="s">
        <v>53</v>
      </c>
      <c r="M278" s="22"/>
      <c r="N278" s="58" t="n">
        <f aca="false">F278*P278</f>
        <v>0</v>
      </c>
      <c r="O278" s="58" t="n">
        <f aca="false">F278*Q278</f>
        <v>0</v>
      </c>
      <c r="P278" s="58" t="n">
        <v>3.15</v>
      </c>
      <c r="Q278" s="58" t="n">
        <v>0.011</v>
      </c>
      <c r="R278" s="59" t="s">
        <v>978</v>
      </c>
      <c r="S278" s="22"/>
      <c r="T278" s="11" t="str">
        <f aca="false">"16.12.25"</f>
        <v>16.12.25</v>
      </c>
    </row>
    <row r="279" customFormat="false" ht="7.5" hidden="false" customHeight="true" outlineLevel="2" collapsed="false">
      <c r="A279" s="60" t="str">
        <f aca="false">HYPERLINK("https://disk.360.yandex.ru/d/ysO6kQoKTeX26w","фото")</f>
        <v>фото</v>
      </c>
      <c r="B279" s="49" t="s">
        <v>979</v>
      </c>
      <c r="C279" s="50" t="s">
        <v>980</v>
      </c>
      <c r="D279" s="51" t="s">
        <v>981</v>
      </c>
      <c r="E279" s="52" t="n">
        <f aca="false">I279*(1-J279)*(100-E1)/100</f>
        <v>10227.2</v>
      </c>
      <c r="F279" s="53"/>
      <c r="G279" s="54" t="n">
        <v>5</v>
      </c>
      <c r="H279" s="52" t="n">
        <f aca="false">E279*F279</f>
        <v>0</v>
      </c>
      <c r="I279" s="55" t="n">
        <v>15980</v>
      </c>
      <c r="J279" s="56"/>
      <c r="K279" s="57" t="n">
        <v>307</v>
      </c>
      <c r="L279" s="22" t="s">
        <v>53</v>
      </c>
      <c r="M279" s="22"/>
      <c r="N279" s="58" t="n">
        <f aca="false">F279*P279</f>
        <v>0</v>
      </c>
      <c r="O279" s="58" t="n">
        <f aca="false">F279*Q279</f>
        <v>0</v>
      </c>
      <c r="P279" s="58" t="n">
        <v>4.6</v>
      </c>
      <c r="Q279" s="58" t="n">
        <v>0.01</v>
      </c>
      <c r="R279" s="59" t="s">
        <v>982</v>
      </c>
      <c r="S279" s="22"/>
      <c r="T279" s="11" t="str">
        <f aca="false">"16.12.25"</f>
        <v>16.12.25</v>
      </c>
    </row>
    <row r="280" customFormat="false" ht="7.5" hidden="false" customHeight="true" outlineLevel="2" collapsed="false">
      <c r="A280" s="60" t="str">
        <f aca="false">HYPERLINK("https://disk.360.yandex.ru/d/O0XBcraXboUBHw","фото")</f>
        <v>фото</v>
      </c>
      <c r="B280" s="49" t="s">
        <v>983</v>
      </c>
      <c r="C280" s="50" t="s">
        <v>984</v>
      </c>
      <c r="D280" s="51" t="s">
        <v>949</v>
      </c>
      <c r="E280" s="52" t="n">
        <f aca="false">I280*(1-J280)*(100-E1)/100</f>
        <v>5260.8</v>
      </c>
      <c r="F280" s="53"/>
      <c r="G280" s="54" t="n">
        <v>5</v>
      </c>
      <c r="H280" s="52" t="n">
        <f aca="false">E280*F280</f>
        <v>0</v>
      </c>
      <c r="I280" s="55" t="n">
        <v>8220</v>
      </c>
      <c r="J280" s="56"/>
      <c r="K280" s="57" t="n">
        <v>867</v>
      </c>
      <c r="L280" s="22" t="s">
        <v>53</v>
      </c>
      <c r="M280" s="22"/>
      <c r="N280" s="58" t="n">
        <f aca="false">F280*P280</f>
        <v>0</v>
      </c>
      <c r="O280" s="58" t="n">
        <f aca="false">F280*Q280</f>
        <v>0</v>
      </c>
      <c r="P280" s="58" t="n">
        <v>3.15</v>
      </c>
      <c r="Q280" s="58" t="n">
        <v>0.011</v>
      </c>
      <c r="R280" s="59" t="s">
        <v>985</v>
      </c>
      <c r="S280" s="22"/>
      <c r="T280" s="11" t="str">
        <f aca="false">"16.12.25"</f>
        <v>16.12.25</v>
      </c>
    </row>
    <row r="281" customFormat="false" ht="7.5" hidden="false" customHeight="true" outlineLevel="2" collapsed="false">
      <c r="A281" s="60" t="str">
        <f aca="false">HYPERLINK("https://disk.360.yandex.ru/d/q3x7eCbbQ0NOKg","фото")</f>
        <v>фото</v>
      </c>
      <c r="B281" s="49" t="s">
        <v>986</v>
      </c>
      <c r="C281" s="50" t="s">
        <v>987</v>
      </c>
      <c r="D281" s="51" t="s">
        <v>953</v>
      </c>
      <c r="E281" s="52" t="n">
        <f aca="false">I281*(1-J281)*(100-E1)/100</f>
        <v>6041.6</v>
      </c>
      <c r="F281" s="53"/>
      <c r="G281" s="54" t="n">
        <v>5</v>
      </c>
      <c r="H281" s="52" t="n">
        <f aca="false">E281*F281</f>
        <v>0</v>
      </c>
      <c r="I281" s="55" t="n">
        <v>9440</v>
      </c>
      <c r="J281" s="56"/>
      <c r="K281" s="57" t="n">
        <v>784</v>
      </c>
      <c r="L281" s="22" t="s">
        <v>53</v>
      </c>
      <c r="M281" s="22"/>
      <c r="N281" s="58" t="n">
        <f aca="false">F281*P281</f>
        <v>0</v>
      </c>
      <c r="O281" s="58" t="n">
        <f aca="false">F281*Q281</f>
        <v>0</v>
      </c>
      <c r="P281" s="58" t="n">
        <v>3.8</v>
      </c>
      <c r="Q281" s="58" t="n">
        <v>0.01</v>
      </c>
      <c r="R281" s="59" t="s">
        <v>988</v>
      </c>
      <c r="S281" s="22"/>
      <c r="T281" s="11" t="str">
        <f aca="false">"16.12.25"</f>
        <v>16.12.25</v>
      </c>
    </row>
    <row r="282" customFormat="false" ht="7.5" hidden="false" customHeight="true" outlineLevel="1" collapsed="false">
      <c r="A282" s="38"/>
      <c r="B282" s="39"/>
      <c r="C282" s="40" t="s">
        <v>989</v>
      </c>
      <c r="D282" s="41"/>
      <c r="E282" s="42"/>
      <c r="F282" s="43"/>
      <c r="G282" s="44"/>
      <c r="H282" s="42"/>
      <c r="I282" s="45"/>
      <c r="J282" s="46"/>
      <c r="K282" s="45"/>
      <c r="L282" s="44"/>
      <c r="M282" s="44"/>
      <c r="N282" s="47"/>
      <c r="O282" s="47"/>
      <c r="P282" s="47"/>
      <c r="Q282" s="47"/>
      <c r="R282" s="39"/>
      <c r="S282" s="44"/>
      <c r="T282" s="11" t="str">
        <f aca="false">"16.12.25"</f>
        <v>16.12.25</v>
      </c>
    </row>
    <row r="283" customFormat="false" ht="7.5" hidden="false" customHeight="true" outlineLevel="2" collapsed="false">
      <c r="A283" s="60" t="str">
        <f aca="false">HYPERLINK("https://disk.yandex.ru/d/w3kUfUSpiZZYow","фото")</f>
        <v>фото</v>
      </c>
      <c r="B283" s="49" t="s">
        <v>990</v>
      </c>
      <c r="C283" s="50" t="s">
        <v>991</v>
      </c>
      <c r="D283" s="51" t="s">
        <v>992</v>
      </c>
      <c r="E283" s="52" t="n">
        <f aca="false">I283*(1-J283)*(100-E1)/100</f>
        <v>1495.04</v>
      </c>
      <c r="F283" s="53"/>
      <c r="G283" s="54" t="n">
        <v>10</v>
      </c>
      <c r="H283" s="52" t="n">
        <f aca="false">E283*F283</f>
        <v>0</v>
      </c>
      <c r="I283" s="55" t="n">
        <v>2920</v>
      </c>
      <c r="J283" s="56" t="n">
        <v>0.2</v>
      </c>
      <c r="K283" s="57" t="n">
        <v>51</v>
      </c>
      <c r="L283" s="22" t="s">
        <v>44</v>
      </c>
      <c r="M283" s="22" t="s">
        <v>31</v>
      </c>
      <c r="N283" s="58" t="n">
        <f aca="false">F283*P283</f>
        <v>0</v>
      </c>
      <c r="O283" s="58" t="n">
        <f aca="false">F283*Q283</f>
        <v>0</v>
      </c>
      <c r="P283" s="58" t="n">
        <v>1.05</v>
      </c>
      <c r="Q283" s="58" t="n">
        <v>0.002</v>
      </c>
      <c r="R283" s="59" t="s">
        <v>993</v>
      </c>
      <c r="S283" s="22"/>
      <c r="T283" s="11" t="str">
        <f aca="false">"16.12.25"</f>
        <v>16.12.25</v>
      </c>
    </row>
    <row r="284" customFormat="false" ht="7.5" hidden="false" customHeight="true" outlineLevel="1" collapsed="false">
      <c r="A284" s="38"/>
      <c r="B284" s="39"/>
      <c r="C284" s="40" t="s">
        <v>994</v>
      </c>
      <c r="D284" s="41"/>
      <c r="E284" s="42"/>
      <c r="F284" s="43"/>
      <c r="G284" s="44"/>
      <c r="H284" s="42"/>
      <c r="I284" s="45"/>
      <c r="J284" s="46"/>
      <c r="K284" s="45"/>
      <c r="L284" s="44"/>
      <c r="M284" s="44"/>
      <c r="N284" s="47"/>
      <c r="O284" s="47"/>
      <c r="P284" s="47"/>
      <c r="Q284" s="47"/>
      <c r="R284" s="39"/>
      <c r="S284" s="44"/>
      <c r="T284" s="11" t="str">
        <f aca="false">"16.12.25"</f>
        <v>16.12.25</v>
      </c>
    </row>
    <row r="285" customFormat="false" ht="7.5" hidden="false" customHeight="true" outlineLevel="2" collapsed="false">
      <c r="A285" s="60" t="str">
        <f aca="false">HYPERLINK("https://disk.360.yandex.ru/d/WtcHuFopxTejpQ","фото")</f>
        <v>фото</v>
      </c>
      <c r="B285" s="49" t="s">
        <v>995</v>
      </c>
      <c r="C285" s="50" t="s">
        <v>996</v>
      </c>
      <c r="D285" s="51" t="s">
        <v>997</v>
      </c>
      <c r="E285" s="52" t="n">
        <f aca="false">I285*(1-J285)*(100-E1)/100</f>
        <v>5126.4</v>
      </c>
      <c r="F285" s="53"/>
      <c r="G285" s="54" t="n">
        <v>5</v>
      </c>
      <c r="H285" s="52" t="n">
        <f aca="false">E285*F285</f>
        <v>0</v>
      </c>
      <c r="I285" s="55" t="n">
        <v>8010</v>
      </c>
      <c r="J285" s="56"/>
      <c r="K285" s="57" t="n">
        <v>602</v>
      </c>
      <c r="L285" s="22" t="s">
        <v>44</v>
      </c>
      <c r="M285" s="22"/>
      <c r="N285" s="58" t="n">
        <f aca="false">F285*P285</f>
        <v>0</v>
      </c>
      <c r="O285" s="58" t="n">
        <f aca="false">F285*Q285</f>
        <v>0</v>
      </c>
      <c r="P285" s="58" t="n">
        <v>3.242</v>
      </c>
      <c r="Q285" s="58" t="n">
        <v>0.02</v>
      </c>
      <c r="R285" s="59" t="s">
        <v>998</v>
      </c>
      <c r="S285" s="22"/>
      <c r="T285" s="11" t="str">
        <f aca="false">"16.12.25"</f>
        <v>16.12.25</v>
      </c>
    </row>
    <row r="286" customFormat="false" ht="7.5" hidden="false" customHeight="true" outlineLevel="2" collapsed="false">
      <c r="A286" s="60" t="str">
        <f aca="false">HYPERLINK("https://disk.yandex.ru/d/GvMJ8poGRoNQ5w","фото")</f>
        <v>фото</v>
      </c>
      <c r="B286" s="49" t="s">
        <v>999</v>
      </c>
      <c r="C286" s="50" t="s">
        <v>1000</v>
      </c>
      <c r="D286" s="51" t="s">
        <v>1001</v>
      </c>
      <c r="E286" s="52" t="n">
        <f aca="false">I286*(1-J286)*(100-E1)/100</f>
        <v>2017.28</v>
      </c>
      <c r="F286" s="53"/>
      <c r="G286" s="54" t="n">
        <v>6</v>
      </c>
      <c r="H286" s="52" t="n">
        <f aca="false">E286*F286</f>
        <v>0</v>
      </c>
      <c r="I286" s="55" t="n">
        <v>3940</v>
      </c>
      <c r="J286" s="56" t="n">
        <v>0.2</v>
      </c>
      <c r="K286" s="57" t="n">
        <v>34</v>
      </c>
      <c r="L286" s="22" t="s">
        <v>44</v>
      </c>
      <c r="M286" s="22" t="s">
        <v>31</v>
      </c>
      <c r="N286" s="58" t="n">
        <f aca="false">F286*P286</f>
        <v>0</v>
      </c>
      <c r="O286" s="58" t="n">
        <f aca="false">F286*Q286</f>
        <v>0</v>
      </c>
      <c r="P286" s="58" t="n">
        <v>1.9</v>
      </c>
      <c r="Q286" s="58" t="n">
        <v>0.004</v>
      </c>
      <c r="R286" s="59" t="s">
        <v>1002</v>
      </c>
      <c r="S286" s="22"/>
      <c r="T286" s="11" t="str">
        <f aca="false">"16.12.25"</f>
        <v>16.12.25</v>
      </c>
    </row>
    <row r="287" customFormat="false" ht="7.5" hidden="false" customHeight="true" outlineLevel="2" collapsed="false">
      <c r="A287" s="60" t="str">
        <f aca="false">HYPERLINK("https://disk.360.yandex.ru/d/C5tHOfLSyQinSA","фото")</f>
        <v>фото</v>
      </c>
      <c r="B287" s="49" t="s">
        <v>1003</v>
      </c>
      <c r="C287" s="50" t="s">
        <v>1004</v>
      </c>
      <c r="D287" s="51" t="s">
        <v>1005</v>
      </c>
      <c r="E287" s="52" t="n">
        <f aca="false">I287*(1-J287)*(100-E1)/100</f>
        <v>4101.12</v>
      </c>
      <c r="F287" s="53"/>
      <c r="G287" s="54" t="n">
        <v>5</v>
      </c>
      <c r="H287" s="52" t="n">
        <f aca="false">E287*F287</f>
        <v>0</v>
      </c>
      <c r="I287" s="55" t="n">
        <v>8010</v>
      </c>
      <c r="J287" s="56" t="n">
        <v>0.2</v>
      </c>
      <c r="K287" s="57" t="n">
        <v>839</v>
      </c>
      <c r="L287" s="22" t="s">
        <v>44</v>
      </c>
      <c r="M287" s="22" t="s">
        <v>31</v>
      </c>
      <c r="N287" s="58" t="n">
        <f aca="false">F287*P287</f>
        <v>0</v>
      </c>
      <c r="O287" s="58" t="n">
        <f aca="false">F287*Q287</f>
        <v>0</v>
      </c>
      <c r="P287" s="58" t="n">
        <v>3.6</v>
      </c>
      <c r="Q287" s="58" t="n">
        <v>0.02</v>
      </c>
      <c r="R287" s="59" t="s">
        <v>1006</v>
      </c>
      <c r="S287" s="22"/>
      <c r="T287" s="11" t="str">
        <f aca="false">"16.12.25"</f>
        <v>16.12.25</v>
      </c>
    </row>
    <row r="288" customFormat="false" ht="7.5" hidden="false" customHeight="true" outlineLevel="2" collapsed="false">
      <c r="A288" s="60" t="str">
        <f aca="false">HYPERLINK("https://disk.360.yandex.ru/d/GyGOGdODfJioew","фото")</f>
        <v>фото</v>
      </c>
      <c r="B288" s="49" t="s">
        <v>1007</v>
      </c>
      <c r="C288" s="50" t="s">
        <v>1008</v>
      </c>
      <c r="D288" s="51" t="s">
        <v>1009</v>
      </c>
      <c r="E288" s="52" t="n">
        <f aca="false">I288*(1-J288)*(100-E1)/100</f>
        <v>2963.2</v>
      </c>
      <c r="F288" s="53"/>
      <c r="G288" s="54" t="n">
        <v>10</v>
      </c>
      <c r="H288" s="52" t="n">
        <f aca="false">E288*F288</f>
        <v>0</v>
      </c>
      <c r="I288" s="55" t="n">
        <v>4630</v>
      </c>
      <c r="J288" s="56"/>
      <c r="K288" s="57" t="n">
        <v>650</v>
      </c>
      <c r="L288" s="22" t="s">
        <v>44</v>
      </c>
      <c r="M288" s="22" t="s">
        <v>152</v>
      </c>
      <c r="N288" s="58" t="n">
        <f aca="false">F288*P288</f>
        <v>0</v>
      </c>
      <c r="O288" s="58" t="n">
        <f aca="false">F288*Q288</f>
        <v>0</v>
      </c>
      <c r="P288" s="58" t="n">
        <v>3.5</v>
      </c>
      <c r="Q288" s="58" t="n">
        <v>0.006</v>
      </c>
      <c r="R288" s="59" t="s">
        <v>1010</v>
      </c>
      <c r="S288" s="22"/>
      <c r="T288" s="11" t="str">
        <f aca="false">"16.12.25"</f>
        <v>16.12.25</v>
      </c>
    </row>
    <row r="289" customFormat="false" ht="7.5" hidden="false" customHeight="true" outlineLevel="2" collapsed="false">
      <c r="A289" s="60" t="str">
        <f aca="false">HYPERLINK("https://disk.360.yandex.ru/d/ib-Ay9NCm1ntVw","фото")</f>
        <v>фото</v>
      </c>
      <c r="B289" s="49" t="s">
        <v>1011</v>
      </c>
      <c r="C289" s="50" t="s">
        <v>1012</v>
      </c>
      <c r="D289" s="51" t="s">
        <v>1013</v>
      </c>
      <c r="E289" s="52" t="n">
        <f aca="false">I289*(1-J289)*(100-E1)/100</f>
        <v>5126.4</v>
      </c>
      <c r="F289" s="53"/>
      <c r="G289" s="54" t="n">
        <v>5</v>
      </c>
      <c r="H289" s="52" t="n">
        <f aca="false">E289*F289</f>
        <v>0</v>
      </c>
      <c r="I289" s="55" t="n">
        <v>8010</v>
      </c>
      <c r="J289" s="56"/>
      <c r="K289" s="57" t="n">
        <v>2585</v>
      </c>
      <c r="L289" s="22" t="s">
        <v>44</v>
      </c>
      <c r="M289" s="22"/>
      <c r="N289" s="58" t="n">
        <f aca="false">F289*P289</f>
        <v>0</v>
      </c>
      <c r="O289" s="58" t="n">
        <f aca="false">F289*Q289</f>
        <v>0</v>
      </c>
      <c r="P289" s="58" t="n">
        <v>3.5</v>
      </c>
      <c r="Q289" s="58" t="n">
        <v>0.02</v>
      </c>
      <c r="R289" s="59" t="s">
        <v>1014</v>
      </c>
      <c r="S289" s="22"/>
      <c r="T289" s="11" t="str">
        <f aca="false">"16.12.25"</f>
        <v>16.12.25</v>
      </c>
    </row>
    <row r="290" customFormat="false" ht="7.5" hidden="false" customHeight="true" outlineLevel="2" collapsed="false">
      <c r="A290" s="60" t="str">
        <f aca="false">HYPERLINK("https://disk.yandex.ru/d/IsyQ0oL_ls4x_Q","фото")</f>
        <v>фото</v>
      </c>
      <c r="B290" s="49" t="s">
        <v>1015</v>
      </c>
      <c r="C290" s="50" t="s">
        <v>1016</v>
      </c>
      <c r="D290" s="51" t="s">
        <v>1017</v>
      </c>
      <c r="E290" s="52" t="n">
        <f aca="false">I290*(1-J290)*(100-E1)/100</f>
        <v>3855.36</v>
      </c>
      <c r="F290" s="53"/>
      <c r="G290" s="54" t="n">
        <v>5</v>
      </c>
      <c r="H290" s="52" t="n">
        <f aca="false">E290*F290</f>
        <v>0</v>
      </c>
      <c r="I290" s="55" t="n">
        <v>7530</v>
      </c>
      <c r="J290" s="56" t="n">
        <v>0.2</v>
      </c>
      <c r="K290" s="57" t="n">
        <v>1182</v>
      </c>
      <c r="L290" s="22" t="s">
        <v>44</v>
      </c>
      <c r="M290" s="22"/>
      <c r="N290" s="58" t="n">
        <f aca="false">F290*P290</f>
        <v>0</v>
      </c>
      <c r="O290" s="58" t="n">
        <f aca="false">F290*Q290</f>
        <v>0</v>
      </c>
      <c r="P290" s="58" t="n">
        <v>4</v>
      </c>
      <c r="Q290" s="58" t="n">
        <v>0.017</v>
      </c>
      <c r="R290" s="59" t="s">
        <v>1018</v>
      </c>
      <c r="S290" s="22"/>
      <c r="T290" s="11" t="str">
        <f aca="false">"16.12.25"</f>
        <v>16.12.25</v>
      </c>
    </row>
    <row r="291" customFormat="false" ht="7.5" hidden="false" customHeight="true" outlineLevel="2" collapsed="false">
      <c r="A291" s="60" t="str">
        <f aca="false">HYPERLINK("https://disk.360.yandex.ru/d/2ohtkWR05NxpbA","фото")</f>
        <v>фото</v>
      </c>
      <c r="B291" s="49" t="s">
        <v>1019</v>
      </c>
      <c r="C291" s="50" t="s">
        <v>1020</v>
      </c>
      <c r="D291" s="51" t="s">
        <v>1021</v>
      </c>
      <c r="E291" s="52" t="n">
        <f aca="false">I291*(1-J291)*(100-E1)/100</f>
        <v>4101.12</v>
      </c>
      <c r="F291" s="53"/>
      <c r="G291" s="54" t="n">
        <v>5</v>
      </c>
      <c r="H291" s="52" t="n">
        <f aca="false">E291*F291</f>
        <v>0</v>
      </c>
      <c r="I291" s="55" t="n">
        <v>8010</v>
      </c>
      <c r="J291" s="56" t="n">
        <v>0.2</v>
      </c>
      <c r="K291" s="57" t="n">
        <v>2623</v>
      </c>
      <c r="L291" s="22" t="s">
        <v>157</v>
      </c>
      <c r="M291" s="22" t="s">
        <v>31</v>
      </c>
      <c r="N291" s="58" t="n">
        <f aca="false">F291*P291</f>
        <v>0</v>
      </c>
      <c r="O291" s="58" t="n">
        <f aca="false">F291*Q291</f>
        <v>0</v>
      </c>
      <c r="P291" s="58" t="n">
        <v>3.56</v>
      </c>
      <c r="Q291" s="58" t="n">
        <v>0.011</v>
      </c>
      <c r="R291" s="59" t="s">
        <v>1022</v>
      </c>
      <c r="S291" s="22"/>
      <c r="T291" s="11" t="str">
        <f aca="false">"16.12.25"</f>
        <v>16.12.25</v>
      </c>
    </row>
    <row r="292" customFormat="false" ht="7.5" hidden="false" customHeight="true" outlineLevel="2" collapsed="false">
      <c r="A292" s="60" t="str">
        <f aca="false">HYPERLINK("https://disk.360.yandex.ru/d/XuQG1elTABKkjg","фото")</f>
        <v>фото</v>
      </c>
      <c r="B292" s="49" t="s">
        <v>1023</v>
      </c>
      <c r="C292" s="50" t="s">
        <v>1024</v>
      </c>
      <c r="D292" s="51" t="s">
        <v>1025</v>
      </c>
      <c r="E292" s="52" t="n">
        <f aca="false">I292*(1-J292)*(100-E1)/100</f>
        <v>5241.6</v>
      </c>
      <c r="F292" s="53"/>
      <c r="G292" s="54" t="n">
        <v>5</v>
      </c>
      <c r="H292" s="52" t="n">
        <f aca="false">E292*F292</f>
        <v>0</v>
      </c>
      <c r="I292" s="55" t="n">
        <v>11700</v>
      </c>
      <c r="J292" s="56" t="n">
        <v>0.3</v>
      </c>
      <c r="K292" s="57" t="n">
        <v>431</v>
      </c>
      <c r="L292" s="22" t="s">
        <v>53</v>
      </c>
      <c r="M292" s="22" t="s">
        <v>15</v>
      </c>
      <c r="N292" s="58" t="n">
        <f aca="false">F292*P292</f>
        <v>0</v>
      </c>
      <c r="O292" s="58" t="n">
        <f aca="false">F292*Q292</f>
        <v>0</v>
      </c>
      <c r="P292" s="58" t="n">
        <v>4</v>
      </c>
      <c r="Q292" s="58" t="n">
        <v>0.005</v>
      </c>
      <c r="R292" s="59" t="s">
        <v>1026</v>
      </c>
      <c r="S292" s="22"/>
      <c r="T292" s="11" t="str">
        <f aca="false">"16.12.25"</f>
        <v>16.12.25</v>
      </c>
    </row>
    <row r="293" customFormat="false" ht="7.5" hidden="false" customHeight="true" outlineLevel="2" collapsed="false">
      <c r="A293" s="60" t="str">
        <f aca="false">HYPERLINK("https://disk.360.yandex.ru/d/DzXrTuWSuZzw5A","фото")</f>
        <v>фото</v>
      </c>
      <c r="B293" s="49" t="s">
        <v>1027</v>
      </c>
      <c r="C293" s="50" t="s">
        <v>1028</v>
      </c>
      <c r="D293" s="51" t="s">
        <v>1005</v>
      </c>
      <c r="E293" s="52" t="n">
        <f aca="false">I293*(1-J293)*(100-E1)/100</f>
        <v>5126.4</v>
      </c>
      <c r="F293" s="53"/>
      <c r="G293" s="54" t="n">
        <v>5</v>
      </c>
      <c r="H293" s="52" t="n">
        <f aca="false">E293*F293</f>
        <v>0</v>
      </c>
      <c r="I293" s="55" t="n">
        <v>8010</v>
      </c>
      <c r="J293" s="56"/>
      <c r="K293" s="57" t="n">
        <v>148</v>
      </c>
      <c r="L293" s="22" t="s">
        <v>53</v>
      </c>
      <c r="M293" s="22"/>
      <c r="N293" s="58" t="n">
        <f aca="false">F293*P293</f>
        <v>0</v>
      </c>
      <c r="O293" s="58" t="n">
        <f aca="false">F293*Q293</f>
        <v>0</v>
      </c>
      <c r="P293" s="58" t="n">
        <v>3.5</v>
      </c>
      <c r="Q293" s="58" t="n">
        <v>0.02</v>
      </c>
      <c r="R293" s="59" t="s">
        <v>1029</v>
      </c>
      <c r="S293" s="22"/>
      <c r="T293" s="11" t="str">
        <f aca="false">"16.12.25"</f>
        <v>16.12.25</v>
      </c>
    </row>
    <row r="294" customFormat="false" ht="7.5" hidden="false" customHeight="true" outlineLevel="1" collapsed="false">
      <c r="A294" s="38"/>
      <c r="B294" s="39"/>
      <c r="C294" s="40" t="s">
        <v>1030</v>
      </c>
      <c r="D294" s="41"/>
      <c r="E294" s="42"/>
      <c r="F294" s="43"/>
      <c r="G294" s="44"/>
      <c r="H294" s="42"/>
      <c r="I294" s="45"/>
      <c r="J294" s="46"/>
      <c r="K294" s="45"/>
      <c r="L294" s="44"/>
      <c r="M294" s="44"/>
      <c r="N294" s="47"/>
      <c r="O294" s="47"/>
      <c r="P294" s="47"/>
      <c r="Q294" s="47"/>
      <c r="R294" s="39"/>
      <c r="S294" s="44"/>
      <c r="T294" s="11" t="str">
        <f aca="false">"16.12.25"</f>
        <v>16.12.25</v>
      </c>
    </row>
    <row r="295" customFormat="false" ht="7.5" hidden="false" customHeight="true" outlineLevel="2" collapsed="false">
      <c r="A295" s="60" t="str">
        <f aca="false">HYPERLINK("https://disk.360.yandex.ru/d/Gr-ByPSjMyBrQQ","фото")</f>
        <v>фото</v>
      </c>
      <c r="B295" s="49" t="s">
        <v>1031</v>
      </c>
      <c r="C295" s="50" t="s">
        <v>1032</v>
      </c>
      <c r="D295" s="51" t="s">
        <v>1033</v>
      </c>
      <c r="E295" s="52" t="n">
        <f aca="false">I295*(1-J295)*(100-E1)/100</f>
        <v>5049.6</v>
      </c>
      <c r="F295" s="53"/>
      <c r="G295" s="54" t="n">
        <v>4</v>
      </c>
      <c r="H295" s="52" t="n">
        <f aca="false">E295*F295</f>
        <v>0</v>
      </c>
      <c r="I295" s="55" t="n">
        <v>7890</v>
      </c>
      <c r="J295" s="56"/>
      <c r="K295" s="57" t="n">
        <v>500</v>
      </c>
      <c r="L295" s="22" t="s">
        <v>44</v>
      </c>
      <c r="M295" s="22" t="s">
        <v>152</v>
      </c>
      <c r="N295" s="58" t="n">
        <f aca="false">F295*P295</f>
        <v>0</v>
      </c>
      <c r="O295" s="58" t="n">
        <f aca="false">F295*Q295</f>
        <v>0</v>
      </c>
      <c r="P295" s="58" t="n">
        <v>3.6</v>
      </c>
      <c r="Q295" s="58" t="n">
        <v>0.013</v>
      </c>
      <c r="R295" s="59" t="s">
        <v>1034</v>
      </c>
      <c r="S295" s="22"/>
      <c r="T295" s="11" t="str">
        <f aca="false">"16.12.25"</f>
        <v>16.12.25</v>
      </c>
    </row>
    <row r="296" customFormat="false" ht="7.5" hidden="false" customHeight="true" outlineLevel="1" collapsed="false">
      <c r="A296" s="38"/>
      <c r="B296" s="39"/>
      <c r="C296" s="40" t="s">
        <v>1035</v>
      </c>
      <c r="D296" s="41"/>
      <c r="E296" s="42"/>
      <c r="F296" s="43"/>
      <c r="G296" s="44"/>
      <c r="H296" s="42"/>
      <c r="I296" s="45"/>
      <c r="J296" s="46"/>
      <c r="K296" s="45"/>
      <c r="L296" s="44"/>
      <c r="M296" s="44"/>
      <c r="N296" s="47"/>
      <c r="O296" s="47"/>
      <c r="P296" s="47"/>
      <c r="Q296" s="47"/>
      <c r="R296" s="39"/>
      <c r="S296" s="44"/>
      <c r="T296" s="11" t="str">
        <f aca="false">"16.12.25"</f>
        <v>16.12.25</v>
      </c>
    </row>
    <row r="297" customFormat="false" ht="7.5" hidden="false" customHeight="true" outlineLevel="2" collapsed="false">
      <c r="A297" s="60" t="str">
        <f aca="false">HYPERLINK("https://disk.360.yandex.ru/d/oxzHr7Rz4i9UOw","фото")</f>
        <v>фото</v>
      </c>
      <c r="B297" s="49" t="s">
        <v>1036</v>
      </c>
      <c r="C297" s="50" t="s">
        <v>1037</v>
      </c>
      <c r="D297" s="51" t="s">
        <v>1038</v>
      </c>
      <c r="E297" s="52" t="n">
        <f aca="false">I297*(1-J297)*(100-E1)/100</f>
        <v>3680</v>
      </c>
      <c r="F297" s="53"/>
      <c r="G297" s="54" t="n">
        <v>4</v>
      </c>
      <c r="H297" s="52" t="n">
        <f aca="false">E297*F297</f>
        <v>0</v>
      </c>
      <c r="I297" s="55" t="n">
        <v>5750</v>
      </c>
      <c r="J297" s="56"/>
      <c r="K297" s="57" t="n">
        <v>305</v>
      </c>
      <c r="L297" s="22" t="s">
        <v>44</v>
      </c>
      <c r="M297" s="22" t="s">
        <v>152</v>
      </c>
      <c r="N297" s="58" t="n">
        <f aca="false">F297*P297</f>
        <v>0</v>
      </c>
      <c r="O297" s="58" t="n">
        <f aca="false">F297*Q297</f>
        <v>0</v>
      </c>
      <c r="P297" s="58" t="n">
        <v>3.1</v>
      </c>
      <c r="Q297" s="58" t="n">
        <v>0.008</v>
      </c>
      <c r="R297" s="59" t="s">
        <v>1039</v>
      </c>
      <c r="S297" s="22"/>
      <c r="T297" s="11" t="str">
        <f aca="false">"16.12.25"</f>
        <v>16.12.25</v>
      </c>
    </row>
    <row r="298" customFormat="false" ht="7.5" hidden="false" customHeight="true" outlineLevel="2" collapsed="false">
      <c r="A298" s="60" t="str">
        <f aca="false">HYPERLINK("https://disk.360.yandex.ru/d/wGmK-83PiYTGPw","фото")</f>
        <v>фото</v>
      </c>
      <c r="B298" s="49" t="s">
        <v>1040</v>
      </c>
      <c r="C298" s="50" t="s">
        <v>1041</v>
      </c>
      <c r="D298" s="51" t="s">
        <v>1042</v>
      </c>
      <c r="E298" s="52" t="n">
        <f aca="false">I298*(1-J298)*(100-E1)/100</f>
        <v>1684.48</v>
      </c>
      <c r="F298" s="53"/>
      <c r="G298" s="54" t="n">
        <v>10</v>
      </c>
      <c r="H298" s="52" t="n">
        <f aca="false">E298*F298</f>
        <v>0</v>
      </c>
      <c r="I298" s="55" t="n">
        <v>3290</v>
      </c>
      <c r="J298" s="56" t="n">
        <v>0.2</v>
      </c>
      <c r="K298" s="57" t="n">
        <v>389</v>
      </c>
      <c r="L298" s="22" t="s">
        <v>44</v>
      </c>
      <c r="M298" s="22" t="s">
        <v>31</v>
      </c>
      <c r="N298" s="58" t="n">
        <f aca="false">F298*P298</f>
        <v>0</v>
      </c>
      <c r="O298" s="58" t="n">
        <f aca="false">F298*Q298</f>
        <v>0</v>
      </c>
      <c r="P298" s="58" t="n">
        <v>1.85</v>
      </c>
      <c r="Q298" s="58" t="n">
        <v>0.004</v>
      </c>
      <c r="R298" s="59" t="s">
        <v>1043</v>
      </c>
      <c r="S298" s="22"/>
      <c r="T298" s="11" t="str">
        <f aca="false">"16.12.25"</f>
        <v>16.12.25</v>
      </c>
    </row>
    <row r="299" customFormat="false" ht="7.5" hidden="false" customHeight="true" outlineLevel="1" collapsed="false">
      <c r="A299" s="38"/>
      <c r="B299" s="39"/>
      <c r="C299" s="40" t="s">
        <v>1044</v>
      </c>
      <c r="D299" s="41"/>
      <c r="E299" s="42"/>
      <c r="F299" s="43"/>
      <c r="G299" s="44"/>
      <c r="H299" s="42"/>
      <c r="I299" s="45"/>
      <c r="J299" s="46"/>
      <c r="K299" s="45"/>
      <c r="L299" s="44"/>
      <c r="M299" s="44"/>
      <c r="N299" s="47"/>
      <c r="O299" s="47"/>
      <c r="P299" s="47"/>
      <c r="Q299" s="47"/>
      <c r="R299" s="39"/>
      <c r="S299" s="44"/>
      <c r="T299" s="11" t="str">
        <f aca="false">"16.12.25"</f>
        <v>16.12.25</v>
      </c>
    </row>
    <row r="300" customFormat="false" ht="7.5" hidden="false" customHeight="true" outlineLevel="2" collapsed="false">
      <c r="A300" s="60" t="str">
        <f aca="false">HYPERLINK("https://disk.360.yandex.ru/d/Lb54zceQv9RIog","фото")</f>
        <v>фото</v>
      </c>
      <c r="B300" s="49" t="s">
        <v>1045</v>
      </c>
      <c r="C300" s="50" t="s">
        <v>1046</v>
      </c>
      <c r="D300" s="51" t="s">
        <v>1047</v>
      </c>
      <c r="E300" s="52" t="n">
        <f aca="false">I300*(1-J300)*(100-E1)/100</f>
        <v>7238.4</v>
      </c>
      <c r="F300" s="53"/>
      <c r="G300" s="54" t="n">
        <v>5</v>
      </c>
      <c r="H300" s="52" t="n">
        <f aca="false">E300*F300</f>
        <v>0</v>
      </c>
      <c r="I300" s="55" t="n">
        <v>11310</v>
      </c>
      <c r="J300" s="56"/>
      <c r="K300" s="57" t="n">
        <v>177</v>
      </c>
      <c r="L300" s="22" t="s">
        <v>44</v>
      </c>
      <c r="M300" s="22"/>
      <c r="N300" s="58" t="n">
        <f aca="false">F300*P300</f>
        <v>0</v>
      </c>
      <c r="O300" s="58" t="n">
        <f aca="false">F300*Q300</f>
        <v>0</v>
      </c>
      <c r="P300" s="58" t="n">
        <v>4.6</v>
      </c>
      <c r="Q300" s="58" t="n">
        <v>0.019</v>
      </c>
      <c r="R300" s="59" t="s">
        <v>1048</v>
      </c>
      <c r="S300" s="22"/>
      <c r="T300" s="11" t="str">
        <f aca="false">"16.12.25"</f>
        <v>16.12.25</v>
      </c>
    </row>
    <row r="301" customFormat="false" ht="7.5" hidden="false" customHeight="true" outlineLevel="2" collapsed="false">
      <c r="A301" s="60" t="str">
        <f aca="false">HYPERLINK("https://disk.360.yandex.ru/d/PDCJfRq55ca64g","фото")</f>
        <v>фото</v>
      </c>
      <c r="B301" s="49" t="s">
        <v>1049</v>
      </c>
      <c r="C301" s="50" t="s">
        <v>1050</v>
      </c>
      <c r="D301" s="51" t="s">
        <v>1051</v>
      </c>
      <c r="E301" s="52" t="n">
        <f aca="false">I301*(1-J301)*(100-E1)/100</f>
        <v>6978.56</v>
      </c>
      <c r="F301" s="53"/>
      <c r="G301" s="54" t="n">
        <v>10</v>
      </c>
      <c r="H301" s="52" t="n">
        <f aca="false">E301*F301</f>
        <v>0</v>
      </c>
      <c r="I301" s="55" t="n">
        <v>13630</v>
      </c>
      <c r="J301" s="56" t="n">
        <v>0.2</v>
      </c>
      <c r="K301" s="57" t="n">
        <v>338</v>
      </c>
      <c r="L301" s="22" t="s">
        <v>53</v>
      </c>
      <c r="M301" s="22" t="s">
        <v>31</v>
      </c>
      <c r="N301" s="58" t="n">
        <f aca="false">F301*P301</f>
        <v>0</v>
      </c>
      <c r="O301" s="58" t="n">
        <f aca="false">F301*Q301</f>
        <v>0</v>
      </c>
      <c r="P301" s="58" t="n">
        <v>5</v>
      </c>
      <c r="Q301" s="58" t="n">
        <v>0.019</v>
      </c>
      <c r="R301" s="59" t="s">
        <v>1052</v>
      </c>
      <c r="S301" s="22"/>
      <c r="T301" s="11" t="str">
        <f aca="false">"16.12.25"</f>
        <v>16.12.25</v>
      </c>
    </row>
    <row r="302" customFormat="false" ht="7.5" hidden="false" customHeight="true" outlineLevel="1" collapsed="false">
      <c r="A302" s="38"/>
      <c r="B302" s="39"/>
      <c r="C302" s="40" t="s">
        <v>1053</v>
      </c>
      <c r="D302" s="41"/>
      <c r="E302" s="42"/>
      <c r="F302" s="43"/>
      <c r="G302" s="44"/>
      <c r="H302" s="42"/>
      <c r="I302" s="45"/>
      <c r="J302" s="46"/>
      <c r="K302" s="45"/>
      <c r="L302" s="44"/>
      <c r="M302" s="44"/>
      <c r="N302" s="47"/>
      <c r="O302" s="47"/>
      <c r="P302" s="47"/>
      <c r="Q302" s="47"/>
      <c r="R302" s="39"/>
      <c r="S302" s="44"/>
      <c r="T302" s="11" t="str">
        <f aca="false">"16.12.25"</f>
        <v>16.12.25</v>
      </c>
    </row>
    <row r="303" customFormat="false" ht="7.5" hidden="false" customHeight="true" outlineLevel="2" collapsed="false">
      <c r="A303" s="48"/>
      <c r="B303" s="49" t="s">
        <v>1054</v>
      </c>
      <c r="C303" s="50" t="s">
        <v>1055</v>
      </c>
      <c r="D303" s="51" t="s">
        <v>1056</v>
      </c>
      <c r="E303" s="52" t="n">
        <f aca="false">I303*(1-J303)*(100-E1)/100</f>
        <v>2472.96</v>
      </c>
      <c r="F303" s="53"/>
      <c r="G303" s="54" t="n">
        <v>4</v>
      </c>
      <c r="H303" s="52" t="n">
        <f aca="false">E303*F303</f>
        <v>0</v>
      </c>
      <c r="I303" s="55" t="n">
        <v>4830</v>
      </c>
      <c r="J303" s="56" t="n">
        <v>0.2</v>
      </c>
      <c r="K303" s="57" t="n">
        <v>463</v>
      </c>
      <c r="L303" s="22" t="s">
        <v>44</v>
      </c>
      <c r="M303" s="22" t="s">
        <v>31</v>
      </c>
      <c r="N303" s="58" t="n">
        <f aca="false">F303*P303</f>
        <v>0</v>
      </c>
      <c r="O303" s="58" t="n">
        <f aca="false">F303*Q303</f>
        <v>0</v>
      </c>
      <c r="P303" s="58" t="n">
        <v>2.8</v>
      </c>
      <c r="Q303" s="58" t="n">
        <v>0.014</v>
      </c>
      <c r="R303" s="59" t="s">
        <v>1057</v>
      </c>
      <c r="S303" s="22"/>
      <c r="T303" s="11" t="str">
        <f aca="false">"16.12.25"</f>
        <v>16.12.25</v>
      </c>
    </row>
    <row r="304" customFormat="false" ht="7.5" hidden="false" customHeight="true" outlineLevel="2" collapsed="false">
      <c r="A304" s="60" t="str">
        <f aca="false">HYPERLINK("https://disk.360.yandex.ru/d/JLlc8gTRtr4opw","фото")</f>
        <v>фото</v>
      </c>
      <c r="B304" s="49" t="s">
        <v>1058</v>
      </c>
      <c r="C304" s="50" t="s">
        <v>1059</v>
      </c>
      <c r="D304" s="51" t="s">
        <v>1060</v>
      </c>
      <c r="E304" s="52" t="n">
        <f aca="false">I304*(1-J304)*(100-E1)/100</f>
        <v>3033.6</v>
      </c>
      <c r="F304" s="53"/>
      <c r="G304" s="54" t="n">
        <v>6</v>
      </c>
      <c r="H304" s="52" t="n">
        <f aca="false">E304*F304</f>
        <v>0</v>
      </c>
      <c r="I304" s="55" t="n">
        <v>4740</v>
      </c>
      <c r="J304" s="56"/>
      <c r="K304" s="57" t="n">
        <v>0</v>
      </c>
      <c r="L304" s="22" t="s">
        <v>44</v>
      </c>
      <c r="M304" s="22"/>
      <c r="N304" s="58" t="n">
        <f aca="false">F304*P304</f>
        <v>0</v>
      </c>
      <c r="O304" s="58" t="n">
        <f aca="false">F304*Q304</f>
        <v>0</v>
      </c>
      <c r="P304" s="58" t="n">
        <v>2.35</v>
      </c>
      <c r="Q304" s="58" t="n">
        <v>0.008</v>
      </c>
      <c r="R304" s="59" t="s">
        <v>1061</v>
      </c>
      <c r="S304" s="22"/>
      <c r="T304" s="11" t="str">
        <f aca="false">"16.12.25"</f>
        <v>16.12.25</v>
      </c>
    </row>
    <row r="305" customFormat="false" ht="7.5" hidden="false" customHeight="true" outlineLevel="2" collapsed="false">
      <c r="A305" s="60" t="str">
        <f aca="false">HYPERLINK("https://disk.yandex.ru/d/Nxgw3SKBmpEylg","фото")</f>
        <v>фото</v>
      </c>
      <c r="B305" s="49" t="s">
        <v>1062</v>
      </c>
      <c r="C305" s="50" t="s">
        <v>1063</v>
      </c>
      <c r="D305" s="51" t="s">
        <v>1064</v>
      </c>
      <c r="E305" s="52" t="n">
        <f aca="false">I305*(1-J305)*(100-E1)/100</f>
        <v>4966.4</v>
      </c>
      <c r="F305" s="53"/>
      <c r="G305" s="54" t="n">
        <v>4</v>
      </c>
      <c r="H305" s="52" t="n">
        <f aca="false">E305*F305</f>
        <v>0</v>
      </c>
      <c r="I305" s="55" t="n">
        <v>9700</v>
      </c>
      <c r="J305" s="56" t="n">
        <v>0.2</v>
      </c>
      <c r="K305" s="57" t="n">
        <v>198</v>
      </c>
      <c r="L305" s="22" t="s">
        <v>53</v>
      </c>
      <c r="M305" s="22" t="s">
        <v>31</v>
      </c>
      <c r="N305" s="58" t="n">
        <f aca="false">F305*P305</f>
        <v>0</v>
      </c>
      <c r="O305" s="58" t="n">
        <f aca="false">F305*Q305</f>
        <v>0</v>
      </c>
      <c r="P305" s="58" t="n">
        <v>3.7</v>
      </c>
      <c r="Q305" s="58" t="n">
        <v>0.021</v>
      </c>
      <c r="R305" s="59" t="s">
        <v>1065</v>
      </c>
      <c r="S305" s="22"/>
      <c r="T305" s="11" t="str">
        <f aca="false">"16.12.25"</f>
        <v>16.12.25</v>
      </c>
    </row>
    <row r="306" customFormat="false" ht="7.5" hidden="false" customHeight="true" outlineLevel="1" collapsed="false">
      <c r="A306" s="38"/>
      <c r="B306" s="39"/>
      <c r="C306" s="40" t="s">
        <v>1066</v>
      </c>
      <c r="D306" s="41"/>
      <c r="E306" s="42"/>
      <c r="F306" s="43"/>
      <c r="G306" s="44"/>
      <c r="H306" s="42"/>
      <c r="I306" s="45"/>
      <c r="J306" s="46"/>
      <c r="K306" s="45"/>
      <c r="L306" s="44"/>
      <c r="M306" s="44"/>
      <c r="N306" s="47"/>
      <c r="O306" s="47"/>
      <c r="P306" s="47"/>
      <c r="Q306" s="47"/>
      <c r="R306" s="39"/>
      <c r="S306" s="44"/>
      <c r="T306" s="11" t="str">
        <f aca="false">"16.12.25"</f>
        <v>16.12.25</v>
      </c>
    </row>
    <row r="307" customFormat="false" ht="7.5" hidden="false" customHeight="true" outlineLevel="2" collapsed="false">
      <c r="A307" s="60" t="str">
        <f aca="false">HYPERLINK("https://disk.360.yandex.ru/d/yYpo-NYnHEQ_-g","фото")</f>
        <v>фото</v>
      </c>
      <c r="B307" s="49" t="s">
        <v>1067</v>
      </c>
      <c r="C307" s="50" t="s">
        <v>1068</v>
      </c>
      <c r="D307" s="51" t="s">
        <v>1069</v>
      </c>
      <c r="E307" s="52" t="n">
        <f aca="false">I307*(1-J307)*(100-E1)/100</f>
        <v>3648</v>
      </c>
      <c r="F307" s="53"/>
      <c r="G307" s="54" t="n">
        <v>10</v>
      </c>
      <c r="H307" s="52" t="n">
        <f aca="false">E307*F307</f>
        <v>0</v>
      </c>
      <c r="I307" s="55" t="n">
        <v>5700</v>
      </c>
      <c r="J307" s="56"/>
      <c r="K307" s="57" t="n">
        <v>278</v>
      </c>
      <c r="L307" s="22" t="s">
        <v>44</v>
      </c>
      <c r="M307" s="22" t="s">
        <v>152</v>
      </c>
      <c r="N307" s="58" t="n">
        <f aca="false">F307*P307</f>
        <v>0</v>
      </c>
      <c r="O307" s="58" t="n">
        <f aca="false">F307*Q307</f>
        <v>0</v>
      </c>
      <c r="P307" s="58" t="n">
        <v>2</v>
      </c>
      <c r="Q307" s="58" t="n">
        <v>0.004</v>
      </c>
      <c r="R307" s="59" t="s">
        <v>1070</v>
      </c>
      <c r="S307" s="22"/>
      <c r="T307" s="11" t="str">
        <f aca="false">"16.12.25"</f>
        <v>16.12.25</v>
      </c>
    </row>
    <row r="308" customFormat="false" ht="7.5" hidden="false" customHeight="true" outlineLevel="2" collapsed="false">
      <c r="A308" s="60" t="str">
        <f aca="false">HYPERLINK("https://disk.360.yandex.ru/d/V9pd45dcdqtLHA","фото")</f>
        <v>фото</v>
      </c>
      <c r="B308" s="49" t="s">
        <v>1071</v>
      </c>
      <c r="C308" s="50" t="s">
        <v>1072</v>
      </c>
      <c r="D308" s="51" t="s">
        <v>1073</v>
      </c>
      <c r="E308" s="52" t="n">
        <f aca="false">I308*(1-J308)*(100-E1)/100</f>
        <v>3648</v>
      </c>
      <c r="F308" s="53"/>
      <c r="G308" s="54" t="n">
        <v>10</v>
      </c>
      <c r="H308" s="52" t="n">
        <f aca="false">E308*F308</f>
        <v>0</v>
      </c>
      <c r="I308" s="55" t="n">
        <v>5700</v>
      </c>
      <c r="J308" s="56"/>
      <c r="K308" s="57" t="n">
        <v>324</v>
      </c>
      <c r="L308" s="22" t="s">
        <v>44</v>
      </c>
      <c r="M308" s="22" t="s">
        <v>152</v>
      </c>
      <c r="N308" s="58" t="n">
        <f aca="false">F308*P308</f>
        <v>0</v>
      </c>
      <c r="O308" s="58" t="n">
        <f aca="false">F308*Q308</f>
        <v>0</v>
      </c>
      <c r="P308" s="58" t="n">
        <v>2</v>
      </c>
      <c r="Q308" s="58" t="n">
        <v>0.004</v>
      </c>
      <c r="R308" s="59" t="s">
        <v>1074</v>
      </c>
      <c r="S308" s="22"/>
      <c r="T308" s="11" t="str">
        <f aca="false">"16.12.25"</f>
        <v>16.12.25</v>
      </c>
    </row>
    <row r="309" customFormat="false" ht="7.5" hidden="false" customHeight="true" outlineLevel="2" collapsed="false">
      <c r="A309" s="60" t="str">
        <f aca="false">HYPERLINK("https://disk.yandex.ru/d/BbUeCcX9R9G93A","фото")</f>
        <v>фото</v>
      </c>
      <c r="B309" s="49" t="s">
        <v>1075</v>
      </c>
      <c r="C309" s="50" t="s">
        <v>1076</v>
      </c>
      <c r="D309" s="51" t="s">
        <v>1077</v>
      </c>
      <c r="E309" s="52" t="n">
        <f aca="false">I309*(1-J309)*(100-E1)/100</f>
        <v>1228.8</v>
      </c>
      <c r="F309" s="53"/>
      <c r="G309" s="54" t="n">
        <v>10</v>
      </c>
      <c r="H309" s="52" t="n">
        <f aca="false">E309*F309</f>
        <v>0</v>
      </c>
      <c r="I309" s="55" t="n">
        <v>2400</v>
      </c>
      <c r="J309" s="56" t="n">
        <v>0.2</v>
      </c>
      <c r="K309" s="57" t="n">
        <v>274</v>
      </c>
      <c r="L309" s="22" t="s">
        <v>44</v>
      </c>
      <c r="M309" s="22" t="s">
        <v>31</v>
      </c>
      <c r="N309" s="58" t="n">
        <f aca="false">F309*P309</f>
        <v>0</v>
      </c>
      <c r="O309" s="58" t="n">
        <f aca="false">F309*Q309</f>
        <v>0</v>
      </c>
      <c r="P309" s="58" t="n">
        <v>1</v>
      </c>
      <c r="Q309" s="58" t="n">
        <v>0.003</v>
      </c>
      <c r="R309" s="59" t="s">
        <v>1078</v>
      </c>
      <c r="S309" s="22"/>
      <c r="T309" s="11" t="str">
        <f aca="false">"16.12.25"</f>
        <v>16.12.25</v>
      </c>
    </row>
    <row r="310" customFormat="false" ht="7.5" hidden="false" customHeight="true" outlineLevel="1" collapsed="false">
      <c r="A310" s="38"/>
      <c r="B310" s="39"/>
      <c r="C310" s="40" t="s">
        <v>1079</v>
      </c>
      <c r="D310" s="41"/>
      <c r="E310" s="42"/>
      <c r="F310" s="43"/>
      <c r="G310" s="44"/>
      <c r="H310" s="42"/>
      <c r="I310" s="45"/>
      <c r="J310" s="46"/>
      <c r="K310" s="45"/>
      <c r="L310" s="44"/>
      <c r="M310" s="44"/>
      <c r="N310" s="47"/>
      <c r="O310" s="47"/>
      <c r="P310" s="47"/>
      <c r="Q310" s="47"/>
      <c r="R310" s="39"/>
      <c r="S310" s="44"/>
      <c r="T310" s="11" t="str">
        <f aca="false">"16.12.25"</f>
        <v>16.12.25</v>
      </c>
    </row>
    <row r="311" customFormat="false" ht="7.5" hidden="false" customHeight="true" outlineLevel="2" collapsed="false">
      <c r="A311" s="60" t="str">
        <f aca="false">HYPERLINK("https://disk.360.yandex.ru/d/wEkxACVsmSVL_A","фото")</f>
        <v>фото</v>
      </c>
      <c r="B311" s="49" t="s">
        <v>1080</v>
      </c>
      <c r="C311" s="50" t="s">
        <v>1081</v>
      </c>
      <c r="D311" s="51" t="s">
        <v>1082</v>
      </c>
      <c r="E311" s="52" t="n">
        <f aca="false">I311*(1-J311)*(100-E1)/100</f>
        <v>1781.76</v>
      </c>
      <c r="F311" s="53"/>
      <c r="G311" s="54" t="n">
        <v>10</v>
      </c>
      <c r="H311" s="52" t="n">
        <f aca="false">E311*F311</f>
        <v>0</v>
      </c>
      <c r="I311" s="55" t="n">
        <v>3480</v>
      </c>
      <c r="J311" s="56" t="n">
        <v>0.2</v>
      </c>
      <c r="K311" s="57" t="n">
        <v>11</v>
      </c>
      <c r="L311" s="22" t="s">
        <v>44</v>
      </c>
      <c r="M311" s="22" t="s">
        <v>31</v>
      </c>
      <c r="N311" s="58" t="n">
        <f aca="false">F311*P311</f>
        <v>0</v>
      </c>
      <c r="O311" s="58" t="n">
        <f aca="false">F311*Q311</f>
        <v>0</v>
      </c>
      <c r="P311" s="58" t="n">
        <v>1.2</v>
      </c>
      <c r="Q311" s="58" t="n">
        <v>0.002</v>
      </c>
      <c r="R311" s="59" t="s">
        <v>1083</v>
      </c>
      <c r="S311" s="22"/>
      <c r="T311" s="11" t="str">
        <f aca="false">"16.12.25"</f>
        <v>16.12.25</v>
      </c>
    </row>
    <row r="312" customFormat="false" ht="7.5" hidden="false" customHeight="true" outlineLevel="1" collapsed="false">
      <c r="A312" s="38"/>
      <c r="B312" s="39"/>
      <c r="C312" s="40" t="s">
        <v>1084</v>
      </c>
      <c r="D312" s="41"/>
      <c r="E312" s="42"/>
      <c r="F312" s="43"/>
      <c r="G312" s="44"/>
      <c r="H312" s="42"/>
      <c r="I312" s="45"/>
      <c r="J312" s="46"/>
      <c r="K312" s="45"/>
      <c r="L312" s="44"/>
      <c r="M312" s="44"/>
      <c r="N312" s="47"/>
      <c r="O312" s="47"/>
      <c r="P312" s="47"/>
      <c r="Q312" s="47"/>
      <c r="R312" s="39"/>
      <c r="S312" s="44"/>
      <c r="T312" s="11" t="str">
        <f aca="false">"16.12.25"</f>
        <v>16.12.25</v>
      </c>
    </row>
    <row r="313" customFormat="false" ht="7.5" hidden="false" customHeight="true" outlineLevel="2" collapsed="false">
      <c r="A313" s="60" t="str">
        <f aca="false">HYPERLINK("https://disk.360.yandex.ru/d/N3Tmne-whsX0XQ","фото")</f>
        <v>фото</v>
      </c>
      <c r="B313" s="49" t="s">
        <v>1085</v>
      </c>
      <c r="C313" s="50" t="s">
        <v>1086</v>
      </c>
      <c r="D313" s="51" t="s">
        <v>1087</v>
      </c>
      <c r="E313" s="52" t="n">
        <f aca="false">I313*(1-J313)*(100-E1)/100</f>
        <v>160</v>
      </c>
      <c r="F313" s="53"/>
      <c r="G313" s="54" t="n">
        <v>40</v>
      </c>
      <c r="H313" s="52" t="n">
        <f aca="false">E313*F313</f>
        <v>0</v>
      </c>
      <c r="I313" s="55" t="n">
        <v>250</v>
      </c>
      <c r="J313" s="56"/>
      <c r="K313" s="57" t="n">
        <v>846</v>
      </c>
      <c r="L313" s="22" t="s">
        <v>44</v>
      </c>
      <c r="M313" s="22" t="s">
        <v>152</v>
      </c>
      <c r="N313" s="58" t="n">
        <f aca="false">F313*P313</f>
        <v>0</v>
      </c>
      <c r="O313" s="58" t="n">
        <f aca="false">F313*Q313</f>
        <v>0</v>
      </c>
      <c r="P313" s="58" t="n">
        <v>0.125</v>
      </c>
      <c r="Q313" s="58" t="n">
        <v>0.001</v>
      </c>
      <c r="R313" s="59" t="s">
        <v>1088</v>
      </c>
      <c r="S313" s="22"/>
      <c r="T313" s="11" t="str">
        <f aca="false">"16.12.25"</f>
        <v>16.12.25</v>
      </c>
    </row>
    <row r="314" customFormat="false" ht="7.5" hidden="false" customHeight="true" outlineLevel="2" collapsed="false">
      <c r="A314" s="60" t="str">
        <f aca="false">HYPERLINK("https://disk.360.yandex.ru/d/zy1PhsHulNUFZQ","фото")</f>
        <v>фото</v>
      </c>
      <c r="B314" s="49" t="s">
        <v>1089</v>
      </c>
      <c r="C314" s="50" t="s">
        <v>1090</v>
      </c>
      <c r="D314" s="51" t="s">
        <v>1091</v>
      </c>
      <c r="E314" s="52" t="n">
        <f aca="false">I314*(1-J314)*(100-E1)/100</f>
        <v>339.2</v>
      </c>
      <c r="F314" s="53"/>
      <c r="G314" s="54" t="n">
        <v>50</v>
      </c>
      <c r="H314" s="52" t="n">
        <f aca="false">E314*F314</f>
        <v>0</v>
      </c>
      <c r="I314" s="55" t="n">
        <v>530</v>
      </c>
      <c r="J314" s="56"/>
      <c r="K314" s="57" t="n">
        <v>998</v>
      </c>
      <c r="L314" s="22" t="s">
        <v>44</v>
      </c>
      <c r="M314" s="22" t="s">
        <v>152</v>
      </c>
      <c r="N314" s="58" t="n">
        <f aca="false">F314*P314</f>
        <v>0</v>
      </c>
      <c r="O314" s="58" t="n">
        <f aca="false">F314*Q314</f>
        <v>0</v>
      </c>
      <c r="P314" s="58" t="n">
        <v>0.2</v>
      </c>
      <c r="Q314" s="58" t="n">
        <v>0.001</v>
      </c>
      <c r="R314" s="59" t="s">
        <v>1092</v>
      </c>
      <c r="S314" s="22"/>
      <c r="T314" s="11" t="str">
        <f aca="false">"16.12.25"</f>
        <v>16.12.25</v>
      </c>
    </row>
    <row r="315" customFormat="false" ht="7.5" hidden="false" customHeight="true" outlineLevel="2" collapsed="false">
      <c r="A315" s="60" t="str">
        <f aca="false">HYPERLINK("https://disk.360.yandex.ru/d/nyFAwEyQ5xd70Q","фото")</f>
        <v>фото</v>
      </c>
      <c r="B315" s="49" t="s">
        <v>1093</v>
      </c>
      <c r="C315" s="50" t="s">
        <v>1094</v>
      </c>
      <c r="D315" s="51" t="s">
        <v>1095</v>
      </c>
      <c r="E315" s="52" t="n">
        <f aca="false">I315*(1-J315)*(100-E1)/100</f>
        <v>364.8</v>
      </c>
      <c r="F315" s="53"/>
      <c r="G315" s="54" t="n">
        <v>50</v>
      </c>
      <c r="H315" s="52" t="n">
        <f aca="false">E315*F315</f>
        <v>0</v>
      </c>
      <c r="I315" s="55" t="n">
        <v>570</v>
      </c>
      <c r="J315" s="56"/>
      <c r="K315" s="57" t="n">
        <v>921</v>
      </c>
      <c r="L315" s="22" t="s">
        <v>44</v>
      </c>
      <c r="M315" s="22" t="s">
        <v>152</v>
      </c>
      <c r="N315" s="58" t="n">
        <f aca="false">F315*P315</f>
        <v>0</v>
      </c>
      <c r="O315" s="58" t="n">
        <f aca="false">F315*Q315</f>
        <v>0</v>
      </c>
      <c r="P315" s="58" t="n">
        <v>0.2</v>
      </c>
      <c r="Q315" s="58" t="n">
        <v>0.001</v>
      </c>
      <c r="R315" s="59" t="s">
        <v>1096</v>
      </c>
      <c r="S315" s="22"/>
      <c r="T315" s="11" t="str">
        <f aca="false">"16.12.25"</f>
        <v>16.12.25</v>
      </c>
    </row>
    <row r="316" customFormat="false" ht="7.5" hidden="false" customHeight="true" outlineLevel="2" collapsed="false">
      <c r="A316" s="60" t="str">
        <f aca="false">HYPERLINK("https://disk.360.yandex.ru/d/ApNmj0q8Z93kXA","фото")</f>
        <v>фото</v>
      </c>
      <c r="B316" s="49" t="s">
        <v>1097</v>
      </c>
      <c r="C316" s="50" t="s">
        <v>1098</v>
      </c>
      <c r="D316" s="51" t="s">
        <v>1099</v>
      </c>
      <c r="E316" s="52" t="n">
        <f aca="false">I316*(1-J316)*(100-E1)/100</f>
        <v>780.8</v>
      </c>
      <c r="F316" s="53"/>
      <c r="G316" s="54" t="n">
        <v>20</v>
      </c>
      <c r="H316" s="52" t="n">
        <f aca="false">E316*F316</f>
        <v>0</v>
      </c>
      <c r="I316" s="55" t="n">
        <v>1220</v>
      </c>
      <c r="J316" s="56"/>
      <c r="K316" s="57" t="n">
        <v>942</v>
      </c>
      <c r="L316" s="22" t="s">
        <v>44</v>
      </c>
      <c r="M316" s="22" t="s">
        <v>152</v>
      </c>
      <c r="N316" s="58" t="n">
        <f aca="false">F316*P316</f>
        <v>0</v>
      </c>
      <c r="O316" s="58" t="n">
        <f aca="false">F316*Q316</f>
        <v>0</v>
      </c>
      <c r="P316" s="58" t="n">
        <v>0.575</v>
      </c>
      <c r="Q316" s="58" t="n">
        <v>0.003</v>
      </c>
      <c r="R316" s="59" t="s">
        <v>1100</v>
      </c>
      <c r="S316" s="22"/>
      <c r="T316" s="11" t="str">
        <f aca="false">"16.12.25"</f>
        <v>16.12.25</v>
      </c>
    </row>
    <row r="317" customFormat="false" ht="7.5" hidden="false" customHeight="true" outlineLevel="2" collapsed="false">
      <c r="A317" s="60" t="str">
        <f aca="false">HYPERLINK("https://disk.360.yandex.ru/d/9Ss8AKH3sb9axA","фото")</f>
        <v>фото</v>
      </c>
      <c r="B317" s="49" t="s">
        <v>1101</v>
      </c>
      <c r="C317" s="50" t="s">
        <v>1102</v>
      </c>
      <c r="D317" s="51" t="s">
        <v>1103</v>
      </c>
      <c r="E317" s="52" t="n">
        <f aca="false">I317*(1-J317)*(100-E1)/100</f>
        <v>319.488</v>
      </c>
      <c r="F317" s="53"/>
      <c r="G317" s="54" t="n">
        <v>100</v>
      </c>
      <c r="H317" s="52" t="n">
        <f aca="false">E317*F317</f>
        <v>0</v>
      </c>
      <c r="I317" s="55" t="n">
        <v>640</v>
      </c>
      <c r="J317" s="56" t="n">
        <v>0.22</v>
      </c>
      <c r="K317" s="57" t="n">
        <v>3564</v>
      </c>
      <c r="L317" s="22" t="s">
        <v>44</v>
      </c>
      <c r="M317" s="22"/>
      <c r="N317" s="58" t="n">
        <f aca="false">F317*P317</f>
        <v>0</v>
      </c>
      <c r="O317" s="58" t="n">
        <f aca="false">F317*Q317</f>
        <v>0</v>
      </c>
      <c r="P317" s="58" t="n">
        <v>0.12</v>
      </c>
      <c r="Q317" s="58" t="n">
        <v>0.001</v>
      </c>
      <c r="R317" s="59" t="s">
        <v>1104</v>
      </c>
      <c r="S317" s="22"/>
      <c r="T317" s="11" t="str">
        <f aca="false">"16.12.25"</f>
        <v>16.12.25</v>
      </c>
    </row>
    <row r="318" customFormat="false" ht="7.5" hidden="false" customHeight="true" outlineLevel="2" collapsed="false">
      <c r="A318" s="60" t="str">
        <f aca="false">HYPERLINK("https://disk.360.yandex.ru/d/9Ss8AKH3sb9axA","фото")</f>
        <v>фото</v>
      </c>
      <c r="B318" s="49" t="s">
        <v>1105</v>
      </c>
      <c r="C318" s="50" t="s">
        <v>1106</v>
      </c>
      <c r="D318" s="51" t="s">
        <v>1107</v>
      </c>
      <c r="E318" s="52" t="n">
        <f aca="false">I318*(1-J318)*(100-E1)/100</f>
        <v>589.056</v>
      </c>
      <c r="F318" s="53"/>
      <c r="G318" s="54" t="n">
        <v>40</v>
      </c>
      <c r="H318" s="52" t="n">
        <f aca="false">E318*F318</f>
        <v>0</v>
      </c>
      <c r="I318" s="55" t="n">
        <v>1180</v>
      </c>
      <c r="J318" s="56" t="n">
        <v>0.22</v>
      </c>
      <c r="K318" s="57" t="n">
        <v>1092</v>
      </c>
      <c r="L318" s="22" t="s">
        <v>44</v>
      </c>
      <c r="M318" s="22"/>
      <c r="N318" s="58" t="n">
        <f aca="false">F318*P318</f>
        <v>0</v>
      </c>
      <c r="O318" s="58" t="n">
        <f aca="false">F318*Q318</f>
        <v>0</v>
      </c>
      <c r="P318" s="58" t="n">
        <v>0.3</v>
      </c>
      <c r="Q318" s="58" t="n">
        <v>0.001</v>
      </c>
      <c r="R318" s="59" t="s">
        <v>1108</v>
      </c>
      <c r="S318" s="22"/>
      <c r="T318" s="11" t="str">
        <f aca="false">"16.12.25"</f>
        <v>16.12.25</v>
      </c>
    </row>
    <row r="319" customFormat="false" ht="7.5" hidden="false" customHeight="true" outlineLevel="2" collapsed="false">
      <c r="A319" s="60" t="str">
        <f aca="false">HYPERLINK("https://disk.360.yandex.ru/d/9Ss8AKH3sb9axA","фото")</f>
        <v>фото</v>
      </c>
      <c r="B319" s="49" t="s">
        <v>1109</v>
      </c>
      <c r="C319" s="50" t="s">
        <v>1110</v>
      </c>
      <c r="D319" s="51" t="s">
        <v>1111</v>
      </c>
      <c r="E319" s="52" t="n">
        <f aca="false">I319*(1-J319)*(100-E1)/100</f>
        <v>224.64</v>
      </c>
      <c r="F319" s="53"/>
      <c r="G319" s="54" t="n">
        <v>125</v>
      </c>
      <c r="H319" s="52" t="n">
        <f aca="false">E319*F319</f>
        <v>0</v>
      </c>
      <c r="I319" s="55" t="n">
        <v>450</v>
      </c>
      <c r="J319" s="56" t="n">
        <v>0.22</v>
      </c>
      <c r="K319" s="57" t="n">
        <v>1345</v>
      </c>
      <c r="L319" s="22" t="s">
        <v>44</v>
      </c>
      <c r="M319" s="22"/>
      <c r="N319" s="58" t="n">
        <f aca="false">F319*P319</f>
        <v>0</v>
      </c>
      <c r="O319" s="58" t="n">
        <f aca="false">F319*Q319</f>
        <v>0</v>
      </c>
      <c r="P319" s="58" t="n">
        <v>0.09</v>
      </c>
      <c r="Q319" s="58" t="n">
        <v>0.001</v>
      </c>
      <c r="R319" s="59" t="s">
        <v>1112</v>
      </c>
      <c r="S319" s="22"/>
      <c r="T319" s="11" t="str">
        <f aca="false">"16.12.25"</f>
        <v>16.12.25</v>
      </c>
    </row>
    <row r="320" customFormat="false" ht="7.5" hidden="false" customHeight="true" outlineLevel="2" collapsed="false">
      <c r="A320" s="60" t="str">
        <f aca="false">HYPERLINK("https://disk.360.yandex.ru/d/9Ss8AKH3sb9axA","фото")</f>
        <v>фото</v>
      </c>
      <c r="B320" s="49" t="s">
        <v>1113</v>
      </c>
      <c r="C320" s="50" t="s">
        <v>1114</v>
      </c>
      <c r="D320" s="51" t="s">
        <v>1115</v>
      </c>
      <c r="E320" s="52" t="n">
        <f aca="false">I320*(1-J320)*(100-E1)/100</f>
        <v>633.6</v>
      </c>
      <c r="F320" s="53"/>
      <c r="G320" s="54" t="n">
        <v>100</v>
      </c>
      <c r="H320" s="52" t="n">
        <f aca="false">E320*F320</f>
        <v>0</v>
      </c>
      <c r="I320" s="55" t="n">
        <v>990</v>
      </c>
      <c r="J320" s="56"/>
      <c r="K320" s="57" t="n">
        <v>0</v>
      </c>
      <c r="L320" s="22" t="s">
        <v>44</v>
      </c>
      <c r="M320" s="22"/>
      <c r="N320" s="58" t="n">
        <f aca="false">F320*P320</f>
        <v>0</v>
      </c>
      <c r="O320" s="58" t="n">
        <f aca="false">F320*Q320</f>
        <v>0</v>
      </c>
      <c r="P320" s="58" t="n">
        <v>0.1</v>
      </c>
      <c r="Q320" s="58" t="n">
        <v>0.01</v>
      </c>
      <c r="R320" s="59" t="s">
        <v>1116</v>
      </c>
      <c r="S320" s="22"/>
      <c r="T320" s="11" t="str">
        <f aca="false">"16.12.25"</f>
        <v>16.12.25</v>
      </c>
    </row>
    <row r="321" customFormat="false" ht="7.5" hidden="false" customHeight="true" outlineLevel="1" collapsed="false">
      <c r="A321" s="38"/>
      <c r="B321" s="39"/>
      <c r="C321" s="40" t="s">
        <v>1117</v>
      </c>
      <c r="D321" s="41"/>
      <c r="E321" s="42"/>
      <c r="F321" s="43"/>
      <c r="G321" s="44"/>
      <c r="H321" s="42"/>
      <c r="I321" s="45"/>
      <c r="J321" s="46"/>
      <c r="K321" s="45"/>
      <c r="L321" s="44"/>
      <c r="M321" s="44"/>
      <c r="N321" s="47"/>
      <c r="O321" s="47"/>
      <c r="P321" s="47"/>
      <c r="Q321" s="47"/>
      <c r="R321" s="39"/>
      <c r="S321" s="44"/>
      <c r="T321" s="11" t="str">
        <f aca="false">"16.12.25"</f>
        <v>16.12.25</v>
      </c>
    </row>
    <row r="322" customFormat="false" ht="7.5" hidden="false" customHeight="true" outlineLevel="2" collapsed="false">
      <c r="A322" s="60" t="str">
        <f aca="false">HYPERLINK("https://disk.360.yandex.ru/d/Sy_8jIPsmIbT7w","фото")</f>
        <v>фото</v>
      </c>
      <c r="B322" s="49" t="s">
        <v>1118</v>
      </c>
      <c r="C322" s="50" t="s">
        <v>1119</v>
      </c>
      <c r="D322" s="51" t="s">
        <v>1120</v>
      </c>
      <c r="E322" s="52" t="n">
        <f aca="false">I322*(1-J322)*(100-E1)/100</f>
        <v>6827.2</v>
      </c>
      <c r="F322" s="53"/>
      <c r="G322" s="54" t="n">
        <v>4</v>
      </c>
      <c r="H322" s="52" t="n">
        <f aca="false">E322*F322</f>
        <v>0</v>
      </c>
      <c r="I322" s="55" t="n">
        <v>12550</v>
      </c>
      <c r="J322" s="56" t="n">
        <v>0.15</v>
      </c>
      <c r="K322" s="57" t="n">
        <v>980</v>
      </c>
      <c r="L322" s="22" t="s">
        <v>44</v>
      </c>
      <c r="M322" s="22" t="s">
        <v>152</v>
      </c>
      <c r="N322" s="58" t="n">
        <f aca="false">F322*P322</f>
        <v>0</v>
      </c>
      <c r="O322" s="58" t="n">
        <f aca="false">F322*Q322</f>
        <v>0</v>
      </c>
      <c r="P322" s="58" t="n">
        <v>7.5</v>
      </c>
      <c r="Q322" s="58" t="n">
        <v>0.044</v>
      </c>
      <c r="R322" s="59" t="s">
        <v>1121</v>
      </c>
      <c r="S322" s="22"/>
      <c r="T322" s="11" t="str">
        <f aca="false">"16.12.25"</f>
        <v>16.12.25</v>
      </c>
    </row>
    <row r="323" customFormat="false" ht="7.5" hidden="false" customHeight="true" outlineLevel="2" collapsed="false">
      <c r="A323" s="60" t="str">
        <f aca="false">HYPERLINK("https://disk.360.yandex.ru/d/TJBWAoKf4jnbjA","фото")</f>
        <v>фото</v>
      </c>
      <c r="B323" s="49" t="s">
        <v>1122</v>
      </c>
      <c r="C323" s="50" t="s">
        <v>1123</v>
      </c>
      <c r="D323" s="51" t="s">
        <v>1124</v>
      </c>
      <c r="E323" s="52" t="n">
        <f aca="false">I323*(1-J323)*(100-E1)/100</f>
        <v>4705.6</v>
      </c>
      <c r="F323" s="53"/>
      <c r="G323" s="54" t="n">
        <v>4</v>
      </c>
      <c r="H323" s="52" t="n">
        <f aca="false">E323*F323</f>
        <v>0</v>
      </c>
      <c r="I323" s="55" t="n">
        <v>8650</v>
      </c>
      <c r="J323" s="56" t="n">
        <v>0.15</v>
      </c>
      <c r="K323" s="57" t="n">
        <v>492</v>
      </c>
      <c r="L323" s="22" t="s">
        <v>44</v>
      </c>
      <c r="M323" s="22" t="s">
        <v>152</v>
      </c>
      <c r="N323" s="58" t="n">
        <f aca="false">F323*P323</f>
        <v>0</v>
      </c>
      <c r="O323" s="58" t="n">
        <f aca="false">F323*Q323</f>
        <v>0</v>
      </c>
      <c r="P323" s="58" t="n">
        <v>4.8</v>
      </c>
      <c r="Q323" s="58" t="n">
        <v>0.044</v>
      </c>
      <c r="R323" s="59" t="s">
        <v>1125</v>
      </c>
      <c r="S323" s="22"/>
      <c r="T323" s="11" t="str">
        <f aca="false">"16.12.25"</f>
        <v>16.12.25</v>
      </c>
    </row>
    <row r="324" customFormat="false" ht="7.5" hidden="false" customHeight="true" outlineLevel="1" collapsed="false">
      <c r="A324" s="38"/>
      <c r="B324" s="39"/>
      <c r="C324" s="40" t="s">
        <v>1126</v>
      </c>
      <c r="D324" s="41"/>
      <c r="E324" s="42"/>
      <c r="F324" s="43"/>
      <c r="G324" s="44"/>
      <c r="H324" s="42"/>
      <c r="I324" s="45"/>
      <c r="J324" s="46"/>
      <c r="K324" s="45"/>
      <c r="L324" s="44"/>
      <c r="M324" s="44"/>
      <c r="N324" s="47"/>
      <c r="O324" s="47"/>
      <c r="P324" s="47"/>
      <c r="Q324" s="47"/>
      <c r="R324" s="39"/>
      <c r="S324" s="44"/>
      <c r="T324" s="11" t="str">
        <f aca="false">"16.12.25"</f>
        <v>16.12.25</v>
      </c>
    </row>
    <row r="325" customFormat="false" ht="7.5" hidden="false" customHeight="true" outlineLevel="2" collapsed="false">
      <c r="A325" s="60" t="str">
        <f aca="false">HYPERLINK("https://disk.360.yandex.ru/d/fRoOCw1-2YzfMA","фото")</f>
        <v>фото</v>
      </c>
      <c r="B325" s="49" t="s">
        <v>1127</v>
      </c>
      <c r="C325" s="50" t="s">
        <v>1128</v>
      </c>
      <c r="D325" s="51" t="s">
        <v>1129</v>
      </c>
      <c r="E325" s="52" t="n">
        <f aca="false">I325*(1-J325)*(100-E1)/100</f>
        <v>4531.2</v>
      </c>
      <c r="F325" s="53"/>
      <c r="G325" s="54" t="n">
        <v>6</v>
      </c>
      <c r="H325" s="52" t="n">
        <f aca="false">E325*F325</f>
        <v>0</v>
      </c>
      <c r="I325" s="55" t="n">
        <v>7080</v>
      </c>
      <c r="J325" s="56"/>
      <c r="K325" s="57" t="n">
        <v>327</v>
      </c>
      <c r="L325" s="22" t="s">
        <v>44</v>
      </c>
      <c r="M325" s="22"/>
      <c r="N325" s="58" t="n">
        <f aca="false">F325*P325</f>
        <v>0</v>
      </c>
      <c r="O325" s="58" t="n">
        <f aca="false">F325*Q325</f>
        <v>0</v>
      </c>
      <c r="P325" s="58" t="n">
        <v>2.3</v>
      </c>
      <c r="Q325" s="58" t="n">
        <v>0.009</v>
      </c>
      <c r="R325" s="59" t="s">
        <v>1130</v>
      </c>
      <c r="S325" s="22"/>
      <c r="T325" s="11" t="str">
        <f aca="false">"16.12.25"</f>
        <v>16.12.25</v>
      </c>
    </row>
    <row r="326" customFormat="false" ht="7.5" hidden="false" customHeight="true" outlineLevel="2" collapsed="false">
      <c r="A326" s="60" t="str">
        <f aca="false">HYPERLINK("https://disk.360.yandex.ru/d/a25rdsvOyx7-IQ","фото")</f>
        <v>фото</v>
      </c>
      <c r="B326" s="49" t="s">
        <v>1131</v>
      </c>
      <c r="C326" s="50" t="s">
        <v>1132</v>
      </c>
      <c r="D326" s="51" t="s">
        <v>1133</v>
      </c>
      <c r="E326" s="52" t="n">
        <f aca="false">I326*(1-J326)*(100-E1)/100</f>
        <v>3202.56</v>
      </c>
      <c r="F326" s="53"/>
      <c r="G326" s="54" t="n">
        <v>6</v>
      </c>
      <c r="H326" s="52" t="n">
        <f aca="false">E326*F326</f>
        <v>0</v>
      </c>
      <c r="I326" s="55" t="n">
        <v>5560</v>
      </c>
      <c r="J326" s="56" t="n">
        <v>0.1</v>
      </c>
      <c r="K326" s="57" t="n">
        <v>273</v>
      </c>
      <c r="L326" s="22" t="s">
        <v>44</v>
      </c>
      <c r="M326" s="22" t="s">
        <v>15</v>
      </c>
      <c r="N326" s="58" t="n">
        <f aca="false">F326*P326</f>
        <v>0</v>
      </c>
      <c r="O326" s="58" t="n">
        <f aca="false">F326*Q326</f>
        <v>0</v>
      </c>
      <c r="P326" s="58" t="n">
        <v>2</v>
      </c>
      <c r="Q326" s="58" t="n">
        <v>0.009</v>
      </c>
      <c r="R326" s="59" t="s">
        <v>1134</v>
      </c>
      <c r="S326" s="22"/>
      <c r="T326" s="11" t="str">
        <f aca="false">"16.12.25"</f>
        <v>16.12.25</v>
      </c>
    </row>
    <row r="327" customFormat="false" ht="7.5" hidden="false" customHeight="true" outlineLevel="2" collapsed="false">
      <c r="A327" s="60" t="str">
        <f aca="false">HYPERLINK("https://disk.360.yandex.ru/d/pcEpm2TQSaXe-w","фото")</f>
        <v>фото</v>
      </c>
      <c r="B327" s="49" t="s">
        <v>1135</v>
      </c>
      <c r="C327" s="50" t="s">
        <v>1136</v>
      </c>
      <c r="D327" s="51" t="s">
        <v>1137</v>
      </c>
      <c r="E327" s="52" t="n">
        <f aca="false">I327*(1-J327)*(100-E1)/100</f>
        <v>3202.56</v>
      </c>
      <c r="F327" s="53"/>
      <c r="G327" s="54" t="n">
        <v>6</v>
      </c>
      <c r="H327" s="52" t="n">
        <f aca="false">E327*F327</f>
        <v>0</v>
      </c>
      <c r="I327" s="55" t="n">
        <v>5560</v>
      </c>
      <c r="J327" s="56" t="n">
        <v>0.1</v>
      </c>
      <c r="K327" s="57" t="n">
        <v>290</v>
      </c>
      <c r="L327" s="22" t="s">
        <v>53</v>
      </c>
      <c r="M327" s="22" t="s">
        <v>15</v>
      </c>
      <c r="N327" s="58" t="n">
        <f aca="false">F327*P327</f>
        <v>0</v>
      </c>
      <c r="O327" s="58" t="n">
        <f aca="false">F327*Q327</f>
        <v>0</v>
      </c>
      <c r="P327" s="58" t="n">
        <v>1.42</v>
      </c>
      <c r="Q327" s="58" t="n">
        <v>0.01</v>
      </c>
      <c r="R327" s="59" t="s">
        <v>1138</v>
      </c>
      <c r="S327" s="22"/>
      <c r="T327" s="11" t="str">
        <f aca="false">"16.12.25"</f>
        <v>16.12.25</v>
      </c>
    </row>
    <row r="328" customFormat="false" ht="7.5" hidden="false" customHeight="true" outlineLevel="1" collapsed="false">
      <c r="A328" s="38"/>
      <c r="B328" s="39"/>
      <c r="C328" s="40" t="s">
        <v>1139</v>
      </c>
      <c r="D328" s="41"/>
      <c r="E328" s="42"/>
      <c r="F328" s="43"/>
      <c r="G328" s="44"/>
      <c r="H328" s="42"/>
      <c r="I328" s="45"/>
      <c r="J328" s="46"/>
      <c r="K328" s="45"/>
      <c r="L328" s="44"/>
      <c r="M328" s="44"/>
      <c r="N328" s="47"/>
      <c r="O328" s="47"/>
      <c r="P328" s="47"/>
      <c r="Q328" s="47"/>
      <c r="R328" s="39"/>
      <c r="S328" s="44"/>
      <c r="T328" s="11" t="str">
        <f aca="false">"16.12.25"</f>
        <v>16.12.25</v>
      </c>
    </row>
    <row r="329" customFormat="false" ht="7.5" hidden="false" customHeight="true" outlineLevel="2" collapsed="false">
      <c r="A329" s="60" t="str">
        <f aca="false">HYPERLINK("https://disk.360.yandex.ru/d/fMWQW6BfRJ06tw","фото")</f>
        <v>фото</v>
      </c>
      <c r="B329" s="49" t="s">
        <v>1140</v>
      </c>
      <c r="C329" s="50" t="s">
        <v>1141</v>
      </c>
      <c r="D329" s="51" t="s">
        <v>1142</v>
      </c>
      <c r="E329" s="52" t="n">
        <f aca="false">I329*(1-J329)*(100-E1)/100</f>
        <v>1576.96</v>
      </c>
      <c r="F329" s="53"/>
      <c r="G329" s="54" t="n">
        <v>10</v>
      </c>
      <c r="H329" s="52" t="n">
        <f aca="false">E329*F329</f>
        <v>0</v>
      </c>
      <c r="I329" s="55" t="n">
        <v>3520</v>
      </c>
      <c r="J329" s="56" t="n">
        <v>0.3</v>
      </c>
      <c r="K329" s="57" t="n">
        <v>0</v>
      </c>
      <c r="L329" s="22" t="s">
        <v>44</v>
      </c>
      <c r="M329" s="22" t="s">
        <v>15</v>
      </c>
      <c r="N329" s="58" t="n">
        <f aca="false">F329*P329</f>
        <v>0</v>
      </c>
      <c r="O329" s="58" t="n">
        <f aca="false">F329*Q329</f>
        <v>0</v>
      </c>
      <c r="P329" s="58" t="n">
        <v>1.4</v>
      </c>
      <c r="Q329" s="58" t="n">
        <v>0.003</v>
      </c>
      <c r="R329" s="59" t="s">
        <v>1143</v>
      </c>
      <c r="S329" s="22"/>
      <c r="T329" s="11" t="str">
        <f aca="false">"16.12.25"</f>
        <v>16.12.25</v>
      </c>
    </row>
    <row r="330" customFormat="false" ht="7.5" hidden="false" customHeight="true" outlineLevel="1" collapsed="false">
      <c r="A330" s="38"/>
      <c r="B330" s="39"/>
      <c r="C330" s="40" t="s">
        <v>1144</v>
      </c>
      <c r="D330" s="41"/>
      <c r="E330" s="42"/>
      <c r="F330" s="43"/>
      <c r="G330" s="44"/>
      <c r="H330" s="42"/>
      <c r="I330" s="45"/>
      <c r="J330" s="46"/>
      <c r="K330" s="45"/>
      <c r="L330" s="44"/>
      <c r="M330" s="44"/>
      <c r="N330" s="47"/>
      <c r="O330" s="47"/>
      <c r="P330" s="47"/>
      <c r="Q330" s="47"/>
      <c r="R330" s="39"/>
      <c r="S330" s="44"/>
      <c r="T330" s="11" t="str">
        <f aca="false">"16.12.25"</f>
        <v>16.12.25</v>
      </c>
    </row>
    <row r="331" customFormat="false" ht="7.5" hidden="false" customHeight="true" outlineLevel="2" collapsed="false">
      <c r="A331" s="60" t="str">
        <f aca="false">HYPERLINK("https://disk.yandex.ru/d/EMet-4JjXy0fjA","фото")</f>
        <v>фото</v>
      </c>
      <c r="B331" s="49" t="s">
        <v>1145</v>
      </c>
      <c r="C331" s="50" t="s">
        <v>1146</v>
      </c>
      <c r="D331" s="51" t="s">
        <v>1147</v>
      </c>
      <c r="E331" s="52" t="n">
        <f aca="false">I331*(1-J331)*(100-E1)/100</f>
        <v>1657.6</v>
      </c>
      <c r="F331" s="53"/>
      <c r="G331" s="54" t="n">
        <v>6</v>
      </c>
      <c r="H331" s="52" t="n">
        <f aca="false">E331*F331</f>
        <v>0</v>
      </c>
      <c r="I331" s="55" t="n">
        <v>2590</v>
      </c>
      <c r="J331" s="56"/>
      <c r="K331" s="57" t="n">
        <v>36</v>
      </c>
      <c r="L331" s="22" t="s">
        <v>44</v>
      </c>
      <c r="M331" s="22"/>
      <c r="N331" s="58" t="n">
        <f aca="false">F331*P331</f>
        <v>0</v>
      </c>
      <c r="O331" s="58" t="n">
        <f aca="false">F331*Q331</f>
        <v>0</v>
      </c>
      <c r="P331" s="58" t="n">
        <v>2.333</v>
      </c>
      <c r="Q331" s="58" t="n">
        <v>0.014</v>
      </c>
      <c r="R331" s="59" t="s">
        <v>1148</v>
      </c>
      <c r="S331" s="22"/>
      <c r="T331" s="11" t="str">
        <f aca="false">"16.12.25"</f>
        <v>16.12.25</v>
      </c>
    </row>
    <row r="332" customFormat="false" ht="7.5" hidden="false" customHeight="true" outlineLevel="2" collapsed="false">
      <c r="A332" s="60" t="str">
        <f aca="false">HYPERLINK("https://disk.yandex.ru/d/z_UAnf8pqLWm1g","фото")</f>
        <v>фото</v>
      </c>
      <c r="B332" s="49" t="s">
        <v>1149</v>
      </c>
      <c r="C332" s="50" t="s">
        <v>1150</v>
      </c>
      <c r="D332" s="51" t="s">
        <v>1151</v>
      </c>
      <c r="E332" s="52" t="n">
        <f aca="false">I332*(1-J332)*(100-E1)/100</f>
        <v>1940.48</v>
      </c>
      <c r="F332" s="53"/>
      <c r="G332" s="54" t="n">
        <v>6</v>
      </c>
      <c r="H332" s="52" t="n">
        <f aca="false">E332*F332</f>
        <v>0</v>
      </c>
      <c r="I332" s="55" t="n">
        <v>3790</v>
      </c>
      <c r="J332" s="56" t="n">
        <v>0.2</v>
      </c>
      <c r="K332" s="57" t="n">
        <v>1395</v>
      </c>
      <c r="L332" s="22" t="s">
        <v>44</v>
      </c>
      <c r="M332" s="22"/>
      <c r="N332" s="58" t="n">
        <f aca="false">F332*P332</f>
        <v>0</v>
      </c>
      <c r="O332" s="58" t="n">
        <f aca="false">F332*Q332</f>
        <v>0</v>
      </c>
      <c r="P332" s="58" t="n">
        <v>2.55</v>
      </c>
      <c r="Q332" s="58" t="n">
        <v>0.014</v>
      </c>
      <c r="R332" s="59" t="s">
        <v>1152</v>
      </c>
      <c r="S332" s="22"/>
      <c r="T332" s="11" t="str">
        <f aca="false">"16.12.25"</f>
        <v>16.12.25</v>
      </c>
    </row>
    <row r="333" customFormat="false" ht="7.5" hidden="false" customHeight="true" outlineLevel="2" collapsed="false">
      <c r="A333" s="60" t="str">
        <f aca="false">HYPERLINK("https://disk.yandex.ru/d/Ex35VaqaN5PHLw","фото")</f>
        <v>фото</v>
      </c>
      <c r="B333" s="49" t="s">
        <v>1153</v>
      </c>
      <c r="C333" s="50" t="s">
        <v>1154</v>
      </c>
      <c r="D333" s="51" t="s">
        <v>1155</v>
      </c>
      <c r="E333" s="52" t="n">
        <f aca="false">I333*(1-J333)*(100-E1)/100</f>
        <v>2611.2</v>
      </c>
      <c r="F333" s="53"/>
      <c r="G333" s="54" t="n">
        <v>4</v>
      </c>
      <c r="H333" s="52" t="n">
        <f aca="false">E333*F333</f>
        <v>0</v>
      </c>
      <c r="I333" s="55" t="n">
        <v>4080</v>
      </c>
      <c r="J333" s="56"/>
      <c r="K333" s="57" t="n">
        <v>600</v>
      </c>
      <c r="L333" s="22" t="s">
        <v>44</v>
      </c>
      <c r="M333" s="22"/>
      <c r="N333" s="58" t="n">
        <f aca="false">F333*P333</f>
        <v>0</v>
      </c>
      <c r="O333" s="58" t="n">
        <f aca="false">F333*Q333</f>
        <v>0</v>
      </c>
      <c r="P333" s="58" t="n">
        <v>2.3</v>
      </c>
      <c r="Q333" s="58" t="n">
        <v>0.018</v>
      </c>
      <c r="R333" s="59" t="s">
        <v>1156</v>
      </c>
      <c r="S333" s="22"/>
      <c r="T333" s="11" t="str">
        <f aca="false">"16.12.25"</f>
        <v>16.12.25</v>
      </c>
    </row>
    <row r="334" customFormat="false" ht="7.5" hidden="false" customHeight="true" outlineLevel="2" collapsed="false">
      <c r="A334" s="48"/>
      <c r="B334" s="49" t="s">
        <v>1157</v>
      </c>
      <c r="C334" s="50" t="s">
        <v>1158</v>
      </c>
      <c r="D334" s="51"/>
      <c r="E334" s="52" t="n">
        <f aca="false">I334*(1-J334)*(100-E1)/100</f>
        <v>1077.44</v>
      </c>
      <c r="F334" s="53"/>
      <c r="G334" s="54" t="n">
        <v>6</v>
      </c>
      <c r="H334" s="52" t="n">
        <f aca="false">E334*F334</f>
        <v>0</v>
      </c>
      <c r="I334" s="55" t="n">
        <v>2590</v>
      </c>
      <c r="J334" s="56" t="n">
        <v>0.35</v>
      </c>
      <c r="K334" s="57" t="n">
        <v>66</v>
      </c>
      <c r="L334" s="22" t="s">
        <v>44</v>
      </c>
      <c r="M334" s="22"/>
      <c r="N334" s="58" t="n">
        <f aca="false">F334*P334</f>
        <v>0</v>
      </c>
      <c r="O334" s="58" t="n">
        <f aca="false">F334*Q334</f>
        <v>0</v>
      </c>
      <c r="P334" s="58" t="n">
        <v>2.97</v>
      </c>
      <c r="Q334" s="58" t="n">
        <v>0.158</v>
      </c>
      <c r="R334" s="59" t="s">
        <v>1159</v>
      </c>
      <c r="S334" s="22"/>
      <c r="T334" s="11" t="str">
        <f aca="false">"16.12.25"</f>
        <v>16.12.25</v>
      </c>
    </row>
    <row r="335" customFormat="false" ht="7.5" hidden="false" customHeight="true" outlineLevel="2" collapsed="false">
      <c r="A335" s="48"/>
      <c r="B335" s="49" t="s">
        <v>1160</v>
      </c>
      <c r="C335" s="50" t="s">
        <v>1161</v>
      </c>
      <c r="D335" s="51"/>
      <c r="E335" s="52" t="n">
        <f aca="false">I335*(1-J335)*(100-E1)/100</f>
        <v>2425.6</v>
      </c>
      <c r="F335" s="53"/>
      <c r="G335" s="54"/>
      <c r="H335" s="52" t="n">
        <f aca="false">E335*F335</f>
        <v>0</v>
      </c>
      <c r="I335" s="55" t="n">
        <v>3790</v>
      </c>
      <c r="J335" s="56"/>
      <c r="K335" s="57" t="n">
        <v>14</v>
      </c>
      <c r="L335" s="22" t="s">
        <v>44</v>
      </c>
      <c r="M335" s="22"/>
      <c r="N335" s="58" t="n">
        <f aca="false">F335*P335</f>
        <v>0</v>
      </c>
      <c r="O335" s="58" t="n">
        <f aca="false">F335*Q335</f>
        <v>0</v>
      </c>
      <c r="P335" s="58" t="n">
        <v>2.97</v>
      </c>
      <c r="Q335" s="58" t="n">
        <v>0.158</v>
      </c>
      <c r="R335" s="59"/>
      <c r="S335" s="22"/>
      <c r="T335" s="11" t="str">
        <f aca="false">"16.12.25"</f>
        <v>16.12.25</v>
      </c>
    </row>
    <row r="336" customFormat="false" ht="7.5" hidden="false" customHeight="true" outlineLevel="2" collapsed="false">
      <c r="A336" s="60" t="str">
        <f aca="false">HYPERLINK("https://disk.360.yandex.ru/d/248r0qwR3KjDzw","фото")</f>
        <v>фото</v>
      </c>
      <c r="B336" s="49" t="s">
        <v>1162</v>
      </c>
      <c r="C336" s="50" t="s">
        <v>1163</v>
      </c>
      <c r="D336" s="51"/>
      <c r="E336" s="52" t="n">
        <f aca="false">I336*(1-J336)*(100-E1)/100</f>
        <v>1077.44</v>
      </c>
      <c r="F336" s="53"/>
      <c r="G336" s="54" t="n">
        <v>6</v>
      </c>
      <c r="H336" s="52" t="n">
        <f aca="false">E336*F336</f>
        <v>0</v>
      </c>
      <c r="I336" s="55" t="n">
        <v>2590</v>
      </c>
      <c r="J336" s="56" t="n">
        <v>0.35</v>
      </c>
      <c r="K336" s="57" t="n">
        <v>108</v>
      </c>
      <c r="L336" s="22" t="s">
        <v>364</v>
      </c>
      <c r="M336" s="22"/>
      <c r="N336" s="58" t="n">
        <f aca="false">F336*P336</f>
        <v>0</v>
      </c>
      <c r="O336" s="58" t="n">
        <f aca="false">F336*Q336</f>
        <v>0</v>
      </c>
      <c r="P336" s="58" t="n">
        <v>2.271</v>
      </c>
      <c r="Q336" s="58" t="n">
        <v>0.158</v>
      </c>
      <c r="R336" s="59" t="s">
        <v>1164</v>
      </c>
      <c r="S336" s="22"/>
      <c r="T336" s="11" t="str">
        <f aca="false">"16.12.25"</f>
        <v>16.12.25</v>
      </c>
    </row>
    <row r="337" customFormat="false" ht="7.5" hidden="false" customHeight="true" outlineLevel="2" collapsed="false">
      <c r="A337" s="48"/>
      <c r="B337" s="49" t="s">
        <v>1165</v>
      </c>
      <c r="C337" s="50" t="s">
        <v>1166</v>
      </c>
      <c r="D337" s="51"/>
      <c r="E337" s="52" t="n">
        <f aca="false">I337*(1-J337)*(100-E1)/100</f>
        <v>1077.44</v>
      </c>
      <c r="F337" s="53"/>
      <c r="G337" s="54" t="n">
        <v>6</v>
      </c>
      <c r="H337" s="52" t="n">
        <f aca="false">E337*F337</f>
        <v>0</v>
      </c>
      <c r="I337" s="55" t="n">
        <v>2590</v>
      </c>
      <c r="J337" s="56" t="n">
        <v>0.35</v>
      </c>
      <c r="K337" s="57" t="n">
        <v>6</v>
      </c>
      <c r="L337" s="22" t="s">
        <v>368</v>
      </c>
      <c r="M337" s="22"/>
      <c r="N337" s="58" t="n">
        <f aca="false">F337*P337</f>
        <v>0</v>
      </c>
      <c r="O337" s="58" t="n">
        <f aca="false">F337*Q337</f>
        <v>0</v>
      </c>
      <c r="P337" s="58" t="n">
        <v>2.087</v>
      </c>
      <c r="Q337" s="58" t="n">
        <v>0.15</v>
      </c>
      <c r="R337" s="59" t="s">
        <v>1167</v>
      </c>
      <c r="S337" s="22"/>
      <c r="T337" s="11" t="str">
        <f aca="false">"16.12.25"</f>
        <v>16.12.25</v>
      </c>
    </row>
    <row r="338" customFormat="false" ht="7.5" hidden="false" customHeight="true" outlineLevel="1" collapsed="false">
      <c r="A338" s="38"/>
      <c r="B338" s="39"/>
      <c r="C338" s="40" t="s">
        <v>1168</v>
      </c>
      <c r="D338" s="41"/>
      <c r="E338" s="42"/>
      <c r="F338" s="43"/>
      <c r="G338" s="44"/>
      <c r="H338" s="42"/>
      <c r="I338" s="45"/>
      <c r="J338" s="46"/>
      <c r="K338" s="45"/>
      <c r="L338" s="44"/>
      <c r="M338" s="44"/>
      <c r="N338" s="47"/>
      <c r="O338" s="47"/>
      <c r="P338" s="47"/>
      <c r="Q338" s="47"/>
      <c r="R338" s="39"/>
      <c r="S338" s="44"/>
      <c r="T338" s="11" t="str">
        <f aca="false">"16.12.25"</f>
        <v>16.12.25</v>
      </c>
    </row>
    <row r="339" customFormat="false" ht="7.5" hidden="false" customHeight="true" outlineLevel="2" collapsed="false">
      <c r="A339" s="60" t="str">
        <f aca="false">HYPERLINK("https://disk.yandex.ru/d/kHa4HjWLfQ0vGg","фото")</f>
        <v>фото</v>
      </c>
      <c r="B339" s="49" t="s">
        <v>1169</v>
      </c>
      <c r="C339" s="50" t="s">
        <v>1170</v>
      </c>
      <c r="D339" s="51" t="s">
        <v>1171</v>
      </c>
      <c r="E339" s="52" t="n">
        <f aca="false">I339*(1-J339)*(100-E1)/100</f>
        <v>4384</v>
      </c>
      <c r="F339" s="53"/>
      <c r="G339" s="54" t="n">
        <v>5</v>
      </c>
      <c r="H339" s="52" t="n">
        <f aca="false">E339*F339</f>
        <v>0</v>
      </c>
      <c r="I339" s="55" t="n">
        <v>6850</v>
      </c>
      <c r="J339" s="56"/>
      <c r="K339" s="57" t="n">
        <v>13</v>
      </c>
      <c r="L339" s="22" t="s">
        <v>44</v>
      </c>
      <c r="M339" s="22"/>
      <c r="N339" s="58" t="n">
        <f aca="false">F339*P339</f>
        <v>0</v>
      </c>
      <c r="O339" s="58" t="n">
        <f aca="false">F339*Q339</f>
        <v>0</v>
      </c>
      <c r="P339" s="58" t="n">
        <v>2.8</v>
      </c>
      <c r="Q339" s="58" t="n">
        <v>0.008</v>
      </c>
      <c r="R339" s="59" t="s">
        <v>1172</v>
      </c>
      <c r="S339" s="22"/>
      <c r="T339" s="11" t="str">
        <f aca="false">"16.12.25"</f>
        <v>16.12.25</v>
      </c>
    </row>
    <row r="340" customFormat="false" ht="7.5" hidden="false" customHeight="true" outlineLevel="2" collapsed="false">
      <c r="A340" s="60" t="str">
        <f aca="false">HYPERLINK("https://disk.360.yandex.ru/d/CMSVWPExlkaaBA","фото")</f>
        <v>фото</v>
      </c>
      <c r="B340" s="49" t="s">
        <v>1173</v>
      </c>
      <c r="C340" s="50" t="s">
        <v>1174</v>
      </c>
      <c r="D340" s="51" t="s">
        <v>1175</v>
      </c>
      <c r="E340" s="52" t="n">
        <f aca="false">I340*(1-J340)*(100-E1)/100</f>
        <v>2630.4</v>
      </c>
      <c r="F340" s="53"/>
      <c r="G340" s="54" t="n">
        <v>10</v>
      </c>
      <c r="H340" s="52" t="n">
        <f aca="false">E340*F340</f>
        <v>0</v>
      </c>
      <c r="I340" s="55" t="n">
        <v>4110</v>
      </c>
      <c r="J340" s="56"/>
      <c r="K340" s="57" t="n">
        <v>889</v>
      </c>
      <c r="L340" s="22" t="s">
        <v>44</v>
      </c>
      <c r="M340" s="22" t="s">
        <v>152</v>
      </c>
      <c r="N340" s="58" t="n">
        <f aca="false">F340*P340</f>
        <v>0</v>
      </c>
      <c r="O340" s="58" t="n">
        <f aca="false">F340*Q340</f>
        <v>0</v>
      </c>
      <c r="P340" s="58" t="n">
        <v>1.3</v>
      </c>
      <c r="Q340" s="58" t="n">
        <v>0.002</v>
      </c>
      <c r="R340" s="59" t="s">
        <v>1176</v>
      </c>
      <c r="S340" s="22"/>
      <c r="T340" s="11" t="str">
        <f aca="false">"16.12.25"</f>
        <v>16.12.25</v>
      </c>
    </row>
    <row r="341" customFormat="false" ht="7.5" hidden="false" customHeight="true" outlineLevel="2" collapsed="false">
      <c r="A341" s="60" t="str">
        <f aca="false">HYPERLINK("https://disk.360.yandex.ru/d/oVSl4eEskw9NGg","фото")</f>
        <v>фото</v>
      </c>
      <c r="B341" s="49" t="s">
        <v>1177</v>
      </c>
      <c r="C341" s="50" t="s">
        <v>1178</v>
      </c>
      <c r="D341" s="51" t="s">
        <v>1179</v>
      </c>
      <c r="E341" s="52" t="n">
        <f aca="false">I341*(1-J341)*(100-E1)/100</f>
        <v>7987.2</v>
      </c>
      <c r="F341" s="53"/>
      <c r="G341" s="54" t="n">
        <v>10</v>
      </c>
      <c r="H341" s="52" t="n">
        <f aca="false">E341*F341</f>
        <v>0</v>
      </c>
      <c r="I341" s="55" t="n">
        <v>12480</v>
      </c>
      <c r="J341" s="56"/>
      <c r="K341" s="57" t="n">
        <v>3</v>
      </c>
      <c r="L341" s="22" t="s">
        <v>44</v>
      </c>
      <c r="M341" s="22"/>
      <c r="N341" s="58" t="n">
        <f aca="false">F341*P341</f>
        <v>0</v>
      </c>
      <c r="O341" s="58" t="n">
        <f aca="false">F341*Q341</f>
        <v>0</v>
      </c>
      <c r="P341" s="58" t="n">
        <v>2.45</v>
      </c>
      <c r="Q341" s="58" t="n">
        <v>0.007</v>
      </c>
      <c r="R341" s="59" t="s">
        <v>1180</v>
      </c>
      <c r="S341" s="22"/>
      <c r="T341" s="11" t="str">
        <f aca="false">"16.12.25"</f>
        <v>16.12.25</v>
      </c>
    </row>
    <row r="342" customFormat="false" ht="7.5" hidden="false" customHeight="true" outlineLevel="2" collapsed="false">
      <c r="A342" s="60" t="str">
        <f aca="false">HYPERLINK("https://disk.360.yandex.ru/d/ASl91CbPVE7bhQ","фото")</f>
        <v>фото</v>
      </c>
      <c r="B342" s="49" t="s">
        <v>1181</v>
      </c>
      <c r="C342" s="50" t="s">
        <v>1182</v>
      </c>
      <c r="D342" s="51" t="s">
        <v>1183</v>
      </c>
      <c r="E342" s="52" t="n">
        <f aca="false">I342*(1-J342)*(100-E1)/100</f>
        <v>3681.28</v>
      </c>
      <c r="F342" s="53"/>
      <c r="G342" s="54" t="n">
        <v>5</v>
      </c>
      <c r="H342" s="52" t="n">
        <f aca="false">E342*F342</f>
        <v>0</v>
      </c>
      <c r="I342" s="55" t="n">
        <v>7190</v>
      </c>
      <c r="J342" s="56" t="n">
        <v>0.2</v>
      </c>
      <c r="K342" s="57" t="n">
        <v>0</v>
      </c>
      <c r="L342" s="22" t="s">
        <v>53</v>
      </c>
      <c r="M342" s="22"/>
      <c r="N342" s="58" t="n">
        <f aca="false">F342*P342</f>
        <v>0</v>
      </c>
      <c r="O342" s="58" t="n">
        <f aca="false">F342*Q342</f>
        <v>0</v>
      </c>
      <c r="P342" s="58" t="n">
        <v>2.9</v>
      </c>
      <c r="Q342" s="58" t="n">
        <v>0.008</v>
      </c>
      <c r="R342" s="59" t="s">
        <v>1184</v>
      </c>
      <c r="S342" s="22"/>
      <c r="T342" s="11" t="str">
        <f aca="false">"16.12.25"</f>
        <v>16.12.25</v>
      </c>
    </row>
    <row r="343" customFormat="false" ht="7.5" hidden="false" customHeight="true" outlineLevel="1" collapsed="false">
      <c r="A343" s="38"/>
      <c r="B343" s="39"/>
      <c r="C343" s="40" t="s">
        <v>1185</v>
      </c>
      <c r="D343" s="41"/>
      <c r="E343" s="42"/>
      <c r="F343" s="43"/>
      <c r="G343" s="44"/>
      <c r="H343" s="42"/>
      <c r="I343" s="45"/>
      <c r="J343" s="46"/>
      <c r="K343" s="45"/>
      <c r="L343" s="44"/>
      <c r="M343" s="44"/>
      <c r="N343" s="47"/>
      <c r="O343" s="47"/>
      <c r="P343" s="47"/>
      <c r="Q343" s="47"/>
      <c r="R343" s="39"/>
      <c r="S343" s="44"/>
      <c r="T343" s="11" t="str">
        <f aca="false">"16.12.25"</f>
        <v>16.12.25</v>
      </c>
    </row>
    <row r="344" customFormat="false" ht="7.5" hidden="false" customHeight="true" outlineLevel="2" collapsed="false">
      <c r="A344" s="60" t="str">
        <f aca="false">HYPERLINK("https://disk.360.yandex.ru/d/Q67mf39qyXbrtw","фото")</f>
        <v>фото</v>
      </c>
      <c r="B344" s="49" t="s">
        <v>1186</v>
      </c>
      <c r="C344" s="50" t="s">
        <v>1187</v>
      </c>
      <c r="D344" s="51" t="s">
        <v>1188</v>
      </c>
      <c r="E344" s="52" t="n">
        <f aca="false">I344*(1-J344)*(100-E1)/100</f>
        <v>5953.92</v>
      </c>
      <c r="F344" s="53"/>
      <c r="G344" s="54" t="n">
        <v>1</v>
      </c>
      <c r="H344" s="52" t="n">
        <f aca="false">E344*F344</f>
        <v>0</v>
      </c>
      <c r="I344" s="55" t="n">
        <v>13290</v>
      </c>
      <c r="J344" s="56" t="n">
        <v>0.3</v>
      </c>
      <c r="K344" s="57" t="n">
        <v>3</v>
      </c>
      <c r="L344" s="22" t="s">
        <v>44</v>
      </c>
      <c r="M344" s="22"/>
      <c r="N344" s="58" t="n">
        <f aca="false">F344*P344</f>
        <v>0</v>
      </c>
      <c r="O344" s="58" t="n">
        <f aca="false">F344*Q344</f>
        <v>0</v>
      </c>
      <c r="P344" s="58" t="n">
        <v>5.5</v>
      </c>
      <c r="Q344" s="58" t="n">
        <v>0.05</v>
      </c>
      <c r="R344" s="59" t="s">
        <v>1189</v>
      </c>
      <c r="S344" s="22"/>
      <c r="T344" s="11" t="str">
        <f aca="false">"16.12.25"</f>
        <v>16.12.25</v>
      </c>
    </row>
    <row r="345" customFormat="false" ht="7.5" hidden="false" customHeight="true" outlineLevel="2" collapsed="false">
      <c r="A345" s="60" t="str">
        <f aca="false">HYPERLINK("https://disk.yandex.ru/d/5fdvUMLZrmzO9A","фото")</f>
        <v>фото</v>
      </c>
      <c r="B345" s="49" t="s">
        <v>1190</v>
      </c>
      <c r="C345" s="50" t="s">
        <v>1191</v>
      </c>
      <c r="D345" s="51" t="s">
        <v>1192</v>
      </c>
      <c r="E345" s="52" t="n">
        <f aca="false">I345*(1-J345)*(100-E1)/100</f>
        <v>6791.68</v>
      </c>
      <c r="F345" s="53"/>
      <c r="G345" s="54" t="n">
        <v>1</v>
      </c>
      <c r="H345" s="52" t="n">
        <f aca="false">E345*F345</f>
        <v>0</v>
      </c>
      <c r="I345" s="55" t="n">
        <v>15160</v>
      </c>
      <c r="J345" s="56" t="n">
        <v>0.3</v>
      </c>
      <c r="K345" s="57" t="n">
        <v>5</v>
      </c>
      <c r="L345" s="22" t="s">
        <v>44</v>
      </c>
      <c r="M345" s="22"/>
      <c r="N345" s="58" t="n">
        <f aca="false">F345*P345</f>
        <v>0</v>
      </c>
      <c r="O345" s="58" t="n">
        <f aca="false">F345*Q345</f>
        <v>0</v>
      </c>
      <c r="P345" s="58" t="n">
        <v>6</v>
      </c>
      <c r="Q345" s="58" t="n">
        <v>0.06</v>
      </c>
      <c r="R345" s="59" t="s">
        <v>1193</v>
      </c>
      <c r="S345" s="22"/>
      <c r="T345" s="11" t="str">
        <f aca="false">"16.12.25"</f>
        <v>16.12.25</v>
      </c>
    </row>
    <row r="346" customFormat="false" ht="7.5" hidden="false" customHeight="true" outlineLevel="2" collapsed="false">
      <c r="A346" s="60" t="str">
        <f aca="false">HYPERLINK("https://disk.yandex.ru/d/CtaE0sXQBGSl-w","фото")</f>
        <v>фото</v>
      </c>
      <c r="B346" s="49" t="s">
        <v>1194</v>
      </c>
      <c r="C346" s="50" t="s">
        <v>1195</v>
      </c>
      <c r="D346" s="51" t="s">
        <v>1196</v>
      </c>
      <c r="E346" s="52" t="n">
        <f aca="false">I346*(1-J346)*(100-E1)/100</f>
        <v>8256.64</v>
      </c>
      <c r="F346" s="53"/>
      <c r="G346" s="54" t="n">
        <v>1</v>
      </c>
      <c r="H346" s="52" t="n">
        <f aca="false">E346*F346</f>
        <v>0</v>
      </c>
      <c r="I346" s="55" t="n">
        <v>18430</v>
      </c>
      <c r="J346" s="56" t="n">
        <v>0.3</v>
      </c>
      <c r="K346" s="57" t="n">
        <v>85</v>
      </c>
      <c r="L346" s="22" t="s">
        <v>44</v>
      </c>
      <c r="M346" s="22"/>
      <c r="N346" s="58" t="n">
        <f aca="false">F346*P346</f>
        <v>0</v>
      </c>
      <c r="O346" s="58" t="n">
        <f aca="false">F346*Q346</f>
        <v>0</v>
      </c>
      <c r="P346" s="58" t="n">
        <v>8</v>
      </c>
      <c r="Q346" s="58" t="n">
        <v>0.12</v>
      </c>
      <c r="R346" s="59" t="s">
        <v>1197</v>
      </c>
      <c r="S346" s="22"/>
      <c r="T346" s="11" t="str">
        <f aca="false">"16.12.25"</f>
        <v>16.12.25</v>
      </c>
    </row>
    <row r="347" customFormat="false" ht="7.5" hidden="false" customHeight="true" outlineLevel="2" collapsed="false">
      <c r="A347" s="60" t="str">
        <f aca="false">HYPERLINK("https://disk.yandex.ru/d/jSqdddenPRlwZA","фото")</f>
        <v>фото</v>
      </c>
      <c r="B347" s="49" t="s">
        <v>1198</v>
      </c>
      <c r="C347" s="50" t="s">
        <v>1199</v>
      </c>
      <c r="D347" s="51" t="s">
        <v>1188</v>
      </c>
      <c r="E347" s="52" t="n">
        <f aca="false">I347*(1-J347)*(100-E1)/100</f>
        <v>5953.92</v>
      </c>
      <c r="F347" s="53"/>
      <c r="G347" s="54" t="n">
        <v>1</v>
      </c>
      <c r="H347" s="52" t="n">
        <f aca="false">E347*F347</f>
        <v>0</v>
      </c>
      <c r="I347" s="55" t="n">
        <v>13290</v>
      </c>
      <c r="J347" s="56" t="n">
        <v>0.3</v>
      </c>
      <c r="K347" s="57" t="n">
        <v>475</v>
      </c>
      <c r="L347" s="22" t="s">
        <v>44</v>
      </c>
      <c r="M347" s="22"/>
      <c r="N347" s="58" t="n">
        <f aca="false">F347*P347</f>
        <v>0</v>
      </c>
      <c r="O347" s="58" t="n">
        <f aca="false">F347*Q347</f>
        <v>0</v>
      </c>
      <c r="P347" s="58" t="n">
        <v>5.5</v>
      </c>
      <c r="Q347" s="58" t="n">
        <v>0.06</v>
      </c>
      <c r="R347" s="59" t="s">
        <v>1200</v>
      </c>
      <c r="S347" s="22"/>
      <c r="T347" s="11" t="str">
        <f aca="false">"16.12.25"</f>
        <v>16.12.25</v>
      </c>
    </row>
    <row r="348" customFormat="false" ht="7.5" hidden="false" customHeight="true" outlineLevel="2" collapsed="false">
      <c r="A348" s="60" t="str">
        <f aca="false">HYPERLINK("https://disk.360.yandex.ru/d/YX2uOpdDy2J9aw","фото")</f>
        <v>фото</v>
      </c>
      <c r="B348" s="49" t="s">
        <v>1201</v>
      </c>
      <c r="C348" s="50" t="s">
        <v>1202</v>
      </c>
      <c r="D348" s="51" t="s">
        <v>1203</v>
      </c>
      <c r="E348" s="52" t="n">
        <f aca="false">I348*(1-J348)*(100-E1)/100</f>
        <v>6791.68</v>
      </c>
      <c r="F348" s="53"/>
      <c r="G348" s="54" t="n">
        <v>1</v>
      </c>
      <c r="H348" s="52" t="n">
        <f aca="false">E348*F348</f>
        <v>0</v>
      </c>
      <c r="I348" s="55" t="n">
        <v>15160</v>
      </c>
      <c r="J348" s="56" t="n">
        <v>0.3</v>
      </c>
      <c r="K348" s="57" t="n">
        <v>395</v>
      </c>
      <c r="L348" s="22" t="s">
        <v>44</v>
      </c>
      <c r="M348" s="22"/>
      <c r="N348" s="58" t="n">
        <f aca="false">F348*P348</f>
        <v>0</v>
      </c>
      <c r="O348" s="58" t="n">
        <f aca="false">F348*Q348</f>
        <v>0</v>
      </c>
      <c r="P348" s="58" t="n">
        <v>6</v>
      </c>
      <c r="Q348" s="58" t="n">
        <v>0.06</v>
      </c>
      <c r="R348" s="59" t="s">
        <v>1204</v>
      </c>
      <c r="S348" s="22"/>
      <c r="T348" s="11" t="str">
        <f aca="false">"16.12.25"</f>
        <v>16.12.25</v>
      </c>
    </row>
    <row r="349" customFormat="false" ht="7.5" hidden="false" customHeight="true" outlineLevel="2" collapsed="false">
      <c r="A349" s="60" t="str">
        <f aca="false">HYPERLINK("https://disk.yandex.ru/d/2TEjC3sQJFy92A","фото")</f>
        <v>фото</v>
      </c>
      <c r="B349" s="49" t="s">
        <v>1205</v>
      </c>
      <c r="C349" s="50" t="s">
        <v>1206</v>
      </c>
      <c r="D349" s="51" t="s">
        <v>1203</v>
      </c>
      <c r="E349" s="52" t="n">
        <f aca="false">I349*(1-J349)*(100-E1)/100</f>
        <v>7365.12</v>
      </c>
      <c r="F349" s="53"/>
      <c r="G349" s="54" t="n">
        <v>1</v>
      </c>
      <c r="H349" s="52" t="n">
        <f aca="false">E349*F349</f>
        <v>0</v>
      </c>
      <c r="I349" s="55" t="n">
        <v>16440</v>
      </c>
      <c r="J349" s="56" t="n">
        <v>0.3</v>
      </c>
      <c r="K349" s="57" t="n">
        <v>0</v>
      </c>
      <c r="L349" s="22" t="s">
        <v>44</v>
      </c>
      <c r="M349" s="22"/>
      <c r="N349" s="58" t="n">
        <f aca="false">F349*P349</f>
        <v>0</v>
      </c>
      <c r="O349" s="58" t="n">
        <f aca="false">F349*Q349</f>
        <v>0</v>
      </c>
      <c r="P349" s="58" t="n">
        <v>6</v>
      </c>
      <c r="Q349" s="58" t="n">
        <v>0.06</v>
      </c>
      <c r="R349" s="59" t="s">
        <v>1207</v>
      </c>
      <c r="S349" s="22"/>
      <c r="T349" s="11" t="str">
        <f aca="false">"16.12.25"</f>
        <v>16.12.25</v>
      </c>
    </row>
    <row r="350" customFormat="false" ht="7.5" hidden="false" customHeight="true" outlineLevel="2" collapsed="false">
      <c r="A350" s="60" t="str">
        <f aca="false">HYPERLINK("https://disk.yandex.ru/d/bx37CfZcEDovtA","фото")</f>
        <v>фото</v>
      </c>
      <c r="B350" s="49" t="s">
        <v>1208</v>
      </c>
      <c r="C350" s="50" t="s">
        <v>1209</v>
      </c>
      <c r="D350" s="51" t="s">
        <v>1196</v>
      </c>
      <c r="E350" s="52" t="n">
        <f aca="false">I350*(1-J350)*(100-E1)/100</f>
        <v>8256.64</v>
      </c>
      <c r="F350" s="53"/>
      <c r="G350" s="54" t="n">
        <v>1</v>
      </c>
      <c r="H350" s="52" t="n">
        <f aca="false">E350*F350</f>
        <v>0</v>
      </c>
      <c r="I350" s="55" t="n">
        <v>18430</v>
      </c>
      <c r="J350" s="56" t="n">
        <v>0.3</v>
      </c>
      <c r="K350" s="57" t="n">
        <v>3</v>
      </c>
      <c r="L350" s="22" t="s">
        <v>44</v>
      </c>
      <c r="M350" s="22"/>
      <c r="N350" s="58" t="n">
        <f aca="false">F350*P350</f>
        <v>0</v>
      </c>
      <c r="O350" s="58" t="n">
        <f aca="false">F350*Q350</f>
        <v>0</v>
      </c>
      <c r="P350" s="58" t="n">
        <v>8</v>
      </c>
      <c r="Q350" s="58" t="n">
        <v>0.1</v>
      </c>
      <c r="R350" s="59" t="s">
        <v>1210</v>
      </c>
      <c r="S350" s="22"/>
      <c r="T350" s="11" t="str">
        <f aca="false">"16.12.25"</f>
        <v>16.12.25</v>
      </c>
    </row>
    <row r="351" customFormat="false" ht="7.5" hidden="false" customHeight="true" outlineLevel="1" collapsed="false">
      <c r="A351" s="38"/>
      <c r="B351" s="39"/>
      <c r="C351" s="40" t="s">
        <v>1211</v>
      </c>
      <c r="D351" s="41"/>
      <c r="E351" s="42"/>
      <c r="F351" s="43"/>
      <c r="G351" s="44"/>
      <c r="H351" s="42"/>
      <c r="I351" s="45"/>
      <c r="J351" s="46"/>
      <c r="K351" s="45"/>
      <c r="L351" s="44"/>
      <c r="M351" s="44"/>
      <c r="N351" s="47"/>
      <c r="O351" s="47"/>
      <c r="P351" s="47"/>
      <c r="Q351" s="47"/>
      <c r="R351" s="39"/>
      <c r="S351" s="44"/>
      <c r="T351" s="11" t="str">
        <f aca="false">"16.12.25"</f>
        <v>16.12.25</v>
      </c>
    </row>
    <row r="352" customFormat="false" ht="7.5" hidden="false" customHeight="true" outlineLevel="2" collapsed="false">
      <c r="A352" s="60" t="str">
        <f aca="false">HYPERLINK("https://disk.360.yandex.ru/d/VB08bQAEuPGwWg","фото")</f>
        <v>фото</v>
      </c>
      <c r="B352" s="49" t="s">
        <v>1212</v>
      </c>
      <c r="C352" s="50" t="s">
        <v>1213</v>
      </c>
      <c r="D352" s="51" t="s">
        <v>1214</v>
      </c>
      <c r="E352" s="52" t="n">
        <f aca="false">I352*(1-J352)*(100-E1)/100</f>
        <v>3680</v>
      </c>
      <c r="F352" s="53"/>
      <c r="G352" s="54" t="n">
        <v>10</v>
      </c>
      <c r="H352" s="52" t="n">
        <f aca="false">E352*F352</f>
        <v>0</v>
      </c>
      <c r="I352" s="55" t="n">
        <v>5750</v>
      </c>
      <c r="J352" s="56"/>
      <c r="K352" s="57" t="n">
        <v>329</v>
      </c>
      <c r="L352" s="22" t="s">
        <v>44</v>
      </c>
      <c r="M352" s="22" t="s">
        <v>152</v>
      </c>
      <c r="N352" s="58" t="n">
        <f aca="false">F352*P352</f>
        <v>0</v>
      </c>
      <c r="O352" s="58" t="n">
        <f aca="false">F352*Q352</f>
        <v>0</v>
      </c>
      <c r="P352" s="58" t="n">
        <v>1.7</v>
      </c>
      <c r="Q352" s="58" t="n">
        <v>0.005</v>
      </c>
      <c r="R352" s="59" t="s">
        <v>1215</v>
      </c>
      <c r="S352" s="22"/>
      <c r="T352" s="11" t="str">
        <f aca="false">"16.12.25"</f>
        <v>16.12.25</v>
      </c>
    </row>
    <row r="353" customFormat="false" ht="7.5" hidden="false" customHeight="true" outlineLevel="1" collapsed="false">
      <c r="A353" s="38"/>
      <c r="B353" s="39"/>
      <c r="C353" s="40" t="s">
        <v>1216</v>
      </c>
      <c r="D353" s="41"/>
      <c r="E353" s="42"/>
      <c r="F353" s="43"/>
      <c r="G353" s="44"/>
      <c r="H353" s="42"/>
      <c r="I353" s="45"/>
      <c r="J353" s="46"/>
      <c r="K353" s="45"/>
      <c r="L353" s="44"/>
      <c r="M353" s="44"/>
      <c r="N353" s="47"/>
      <c r="O353" s="47"/>
      <c r="P353" s="47"/>
      <c r="Q353" s="47"/>
      <c r="R353" s="39"/>
      <c r="S353" s="44"/>
      <c r="T353" s="11" t="str">
        <f aca="false">"16.12.25"</f>
        <v>16.12.25</v>
      </c>
    </row>
    <row r="354" customFormat="false" ht="7.5" hidden="false" customHeight="true" outlineLevel="2" collapsed="false">
      <c r="A354" s="60" t="str">
        <f aca="false">HYPERLINK("https://disk.360.yandex.ru/d/3NK2RYvJweOLig","фото")</f>
        <v>фото</v>
      </c>
      <c r="B354" s="49" t="s">
        <v>1217</v>
      </c>
      <c r="C354" s="50" t="s">
        <v>1218</v>
      </c>
      <c r="D354" s="51" t="s">
        <v>1219</v>
      </c>
      <c r="E354" s="52" t="n">
        <f aca="false">I354*(1-J354)*(100-E1)/100</f>
        <v>851.2</v>
      </c>
      <c r="F354" s="53"/>
      <c r="G354" s="54" t="n">
        <v>10</v>
      </c>
      <c r="H354" s="52" t="n">
        <f aca="false">E354*F354</f>
        <v>0</v>
      </c>
      <c r="I354" s="55" t="n">
        <v>1330</v>
      </c>
      <c r="J354" s="56"/>
      <c r="K354" s="57" t="n">
        <v>0</v>
      </c>
      <c r="L354" s="22" t="s">
        <v>44</v>
      </c>
      <c r="M354" s="22"/>
      <c r="N354" s="58" t="n">
        <f aca="false">F354*P354</f>
        <v>0</v>
      </c>
      <c r="O354" s="58" t="n">
        <f aca="false">F354*Q354</f>
        <v>0</v>
      </c>
      <c r="P354" s="58" t="n">
        <v>0.4</v>
      </c>
      <c r="Q354" s="58" t="n">
        <v>0.001</v>
      </c>
      <c r="R354" s="59" t="s">
        <v>1220</v>
      </c>
      <c r="S354" s="22"/>
      <c r="T354" s="11" t="str">
        <f aca="false">"16.12.25"</f>
        <v>16.12.25</v>
      </c>
    </row>
    <row r="355" customFormat="false" ht="7.5" hidden="false" customHeight="true" outlineLevel="1" collapsed="false">
      <c r="A355" s="38"/>
      <c r="B355" s="39"/>
      <c r="C355" s="40" t="s">
        <v>1221</v>
      </c>
      <c r="D355" s="41"/>
      <c r="E355" s="42"/>
      <c r="F355" s="43"/>
      <c r="G355" s="44"/>
      <c r="H355" s="42"/>
      <c r="I355" s="45"/>
      <c r="J355" s="46"/>
      <c r="K355" s="45"/>
      <c r="L355" s="44"/>
      <c r="M355" s="44"/>
      <c r="N355" s="47"/>
      <c r="O355" s="47"/>
      <c r="P355" s="47"/>
      <c r="Q355" s="47"/>
      <c r="R355" s="39"/>
      <c r="S355" s="44"/>
      <c r="T355" s="11" t="str">
        <f aca="false">"16.12.25"</f>
        <v>16.12.25</v>
      </c>
    </row>
    <row r="356" customFormat="false" ht="7.5" hidden="false" customHeight="true" outlineLevel="2" collapsed="false">
      <c r="A356" s="60" t="str">
        <f aca="false">HYPERLINK("https://disk.yandex.ru/d/fbQRsh52441eqA","фото")</f>
        <v>фото</v>
      </c>
      <c r="B356" s="49" t="s">
        <v>1222</v>
      </c>
      <c r="C356" s="50" t="s">
        <v>1223</v>
      </c>
      <c r="D356" s="51" t="s">
        <v>1224</v>
      </c>
      <c r="E356" s="52" t="n">
        <f aca="false">I356*(1-J356)*(100-E1)/100</f>
        <v>3578.88</v>
      </c>
      <c r="F356" s="53"/>
      <c r="G356" s="54" t="n">
        <v>4</v>
      </c>
      <c r="H356" s="52" t="n">
        <f aca="false">E356*F356</f>
        <v>0</v>
      </c>
      <c r="I356" s="55" t="n">
        <v>6990</v>
      </c>
      <c r="J356" s="56" t="n">
        <v>0.2</v>
      </c>
      <c r="K356" s="57" t="n">
        <v>15</v>
      </c>
      <c r="L356" s="22" t="s">
        <v>44</v>
      </c>
      <c r="M356" s="22" t="s">
        <v>31</v>
      </c>
      <c r="N356" s="58" t="n">
        <f aca="false">F356*P356</f>
        <v>0</v>
      </c>
      <c r="O356" s="58" t="n">
        <f aca="false">F356*Q356</f>
        <v>0</v>
      </c>
      <c r="P356" s="58" t="n">
        <v>4.5</v>
      </c>
      <c r="Q356" s="58" t="n">
        <v>0.023</v>
      </c>
      <c r="R356" s="59" t="s">
        <v>1225</v>
      </c>
      <c r="S356" s="22"/>
      <c r="T356" s="11" t="str">
        <f aca="false">"16.12.25"</f>
        <v>16.12.25</v>
      </c>
    </row>
    <row r="357" customFormat="false" ht="7.5" hidden="false" customHeight="true" outlineLevel="2" collapsed="false">
      <c r="A357" s="60" t="str">
        <f aca="false">HYPERLINK("https://disk.yandex.ru/d/cJwjY80D_7p3kw","фото")</f>
        <v>фото</v>
      </c>
      <c r="B357" s="49" t="s">
        <v>1226</v>
      </c>
      <c r="C357" s="50" t="s">
        <v>1227</v>
      </c>
      <c r="D357" s="51" t="s">
        <v>1228</v>
      </c>
      <c r="E357" s="52" t="n">
        <f aca="false">I357*(1-J357)*(100-E1)/100</f>
        <v>4812.8</v>
      </c>
      <c r="F357" s="53"/>
      <c r="G357" s="54" t="n">
        <v>5</v>
      </c>
      <c r="H357" s="52" t="n">
        <f aca="false">E357*F357</f>
        <v>0</v>
      </c>
      <c r="I357" s="55" t="n">
        <v>7520</v>
      </c>
      <c r="J357" s="56"/>
      <c r="K357" s="57" t="n">
        <v>248</v>
      </c>
      <c r="L357" s="22" t="s">
        <v>44</v>
      </c>
      <c r="M357" s="22"/>
      <c r="N357" s="58" t="n">
        <f aca="false">F357*P357</f>
        <v>0</v>
      </c>
      <c r="O357" s="58" t="n">
        <f aca="false">F357*Q357</f>
        <v>0</v>
      </c>
      <c r="P357" s="58" t="n">
        <v>4.25</v>
      </c>
      <c r="Q357" s="58" t="n">
        <v>0.026</v>
      </c>
      <c r="R357" s="59" t="s">
        <v>1229</v>
      </c>
      <c r="S357" s="22"/>
      <c r="T357" s="11" t="str">
        <f aca="false">"16.12.25"</f>
        <v>16.12.25</v>
      </c>
    </row>
    <row r="358" customFormat="false" ht="7.5" hidden="false" customHeight="true" outlineLevel="2" collapsed="false">
      <c r="A358" s="60" t="str">
        <f aca="false">HYPERLINK("https://disk.360.yandex.ru/d/wMgZQEY6Zqqcvg","фото")</f>
        <v>фото</v>
      </c>
      <c r="B358" s="49" t="s">
        <v>1230</v>
      </c>
      <c r="C358" s="50" t="s">
        <v>1231</v>
      </c>
      <c r="D358" s="51" t="s">
        <v>1232</v>
      </c>
      <c r="E358" s="52" t="n">
        <f aca="false">I358*(1-J358)*(100-E1)/100</f>
        <v>1402.88</v>
      </c>
      <c r="F358" s="53"/>
      <c r="G358" s="54" t="n">
        <v>4</v>
      </c>
      <c r="H358" s="52" t="n">
        <f aca="false">E358*F358</f>
        <v>0</v>
      </c>
      <c r="I358" s="55" t="n">
        <v>2740</v>
      </c>
      <c r="J358" s="56" t="n">
        <v>0.2</v>
      </c>
      <c r="K358" s="57" t="n">
        <v>347</v>
      </c>
      <c r="L358" s="22" t="s">
        <v>44</v>
      </c>
      <c r="M358" s="22" t="s">
        <v>31</v>
      </c>
      <c r="N358" s="58" t="n">
        <f aca="false">F358*P358</f>
        <v>0</v>
      </c>
      <c r="O358" s="58" t="n">
        <f aca="false">F358*Q358</f>
        <v>0</v>
      </c>
      <c r="P358" s="58" t="n">
        <v>1.5</v>
      </c>
      <c r="Q358" s="58" t="n">
        <v>0.001</v>
      </c>
      <c r="R358" s="59" t="s">
        <v>1233</v>
      </c>
      <c r="S358" s="22"/>
      <c r="T358" s="11" t="str">
        <f aca="false">"16.12.25"</f>
        <v>16.12.25</v>
      </c>
    </row>
    <row r="359" customFormat="false" ht="7.5" hidden="false" customHeight="true" outlineLevel="1" collapsed="false">
      <c r="A359" s="38"/>
      <c r="B359" s="39"/>
      <c r="C359" s="40" t="s">
        <v>1234</v>
      </c>
      <c r="D359" s="41"/>
      <c r="E359" s="42"/>
      <c r="F359" s="43"/>
      <c r="G359" s="44"/>
      <c r="H359" s="42"/>
      <c r="I359" s="45"/>
      <c r="J359" s="46"/>
      <c r="K359" s="45"/>
      <c r="L359" s="44"/>
      <c r="M359" s="44"/>
      <c r="N359" s="47"/>
      <c r="O359" s="47"/>
      <c r="P359" s="47"/>
      <c r="Q359" s="47"/>
      <c r="R359" s="39"/>
      <c r="S359" s="44"/>
      <c r="T359" s="11" t="str">
        <f aca="false">"16.12.25"</f>
        <v>16.12.25</v>
      </c>
    </row>
    <row r="360" customFormat="false" ht="7.5" hidden="false" customHeight="true" outlineLevel="2" collapsed="false">
      <c r="A360" s="60" t="str">
        <f aca="false">HYPERLINK("https://disk.yandex.ru/d/_RsOSqnRuIjSwQ","фото")</f>
        <v>фото</v>
      </c>
      <c r="B360" s="49" t="s">
        <v>1235</v>
      </c>
      <c r="C360" s="50" t="s">
        <v>1236</v>
      </c>
      <c r="D360" s="51" t="s">
        <v>1237</v>
      </c>
      <c r="E360" s="52" t="n">
        <f aca="false">I360*(1-J360)*(100-E1)/100</f>
        <v>1836.8</v>
      </c>
      <c r="F360" s="53"/>
      <c r="G360" s="54" t="n">
        <v>10</v>
      </c>
      <c r="H360" s="52" t="n">
        <f aca="false">E360*F360</f>
        <v>0</v>
      </c>
      <c r="I360" s="55" t="n">
        <v>2870</v>
      </c>
      <c r="J360" s="56"/>
      <c r="K360" s="57" t="n">
        <v>1442</v>
      </c>
      <c r="L360" s="22" t="s">
        <v>44</v>
      </c>
      <c r="M360" s="22"/>
      <c r="N360" s="58" t="n">
        <f aca="false">F360*P360</f>
        <v>0</v>
      </c>
      <c r="O360" s="58" t="n">
        <f aca="false">F360*Q360</f>
        <v>0</v>
      </c>
      <c r="P360" s="58" t="n">
        <v>1.08</v>
      </c>
      <c r="Q360" s="58" t="n">
        <v>0.005</v>
      </c>
      <c r="R360" s="59" t="s">
        <v>1238</v>
      </c>
      <c r="S360" s="22"/>
      <c r="T360" s="11" t="str">
        <f aca="false">"16.12.25"</f>
        <v>16.12.25</v>
      </c>
    </row>
    <row r="361" customFormat="false" ht="7.5" hidden="false" customHeight="true" outlineLevel="2" collapsed="false">
      <c r="A361" s="60" t="str">
        <f aca="false">HYPERLINK("https://disk.yandex.ru/d/8ON-LDZsJ7VilQ","фото")</f>
        <v>фото</v>
      </c>
      <c r="B361" s="49" t="s">
        <v>1239</v>
      </c>
      <c r="C361" s="50" t="s">
        <v>1240</v>
      </c>
      <c r="D361" s="51" t="s">
        <v>1241</v>
      </c>
      <c r="E361" s="52" t="n">
        <f aca="false">I361*(1-J361)*(100-E1)/100</f>
        <v>2493.44</v>
      </c>
      <c r="F361" s="53"/>
      <c r="G361" s="54" t="n">
        <v>4</v>
      </c>
      <c r="H361" s="52" t="n">
        <f aca="false">E361*F361</f>
        <v>0</v>
      </c>
      <c r="I361" s="55" t="n">
        <v>4870</v>
      </c>
      <c r="J361" s="56" t="n">
        <v>0.2</v>
      </c>
      <c r="K361" s="57" t="n">
        <v>566</v>
      </c>
      <c r="L361" s="22" t="s">
        <v>44</v>
      </c>
      <c r="M361" s="22" t="s">
        <v>31</v>
      </c>
      <c r="N361" s="58" t="n">
        <f aca="false">F361*P361</f>
        <v>0</v>
      </c>
      <c r="O361" s="58" t="n">
        <f aca="false">F361*Q361</f>
        <v>0</v>
      </c>
      <c r="P361" s="58" t="n">
        <v>2.55</v>
      </c>
      <c r="Q361" s="58" t="n">
        <v>0.033</v>
      </c>
      <c r="R361" s="59" t="s">
        <v>1242</v>
      </c>
      <c r="S361" s="22"/>
      <c r="T361" s="11" t="str">
        <f aca="false">"16.12.25"</f>
        <v>16.12.25</v>
      </c>
    </row>
    <row r="362" customFormat="false" ht="7.5" hidden="false" customHeight="true" outlineLevel="1" collapsed="false">
      <c r="A362" s="38"/>
      <c r="B362" s="39"/>
      <c r="C362" s="40" t="s">
        <v>1243</v>
      </c>
      <c r="D362" s="41"/>
      <c r="E362" s="42"/>
      <c r="F362" s="43"/>
      <c r="G362" s="44"/>
      <c r="H362" s="42"/>
      <c r="I362" s="45"/>
      <c r="J362" s="46"/>
      <c r="K362" s="45"/>
      <c r="L362" s="44"/>
      <c r="M362" s="44"/>
      <c r="N362" s="47"/>
      <c r="O362" s="47"/>
      <c r="P362" s="47"/>
      <c r="Q362" s="47"/>
      <c r="R362" s="39"/>
      <c r="S362" s="44"/>
      <c r="T362" s="11" t="str">
        <f aca="false">"16.12.25"</f>
        <v>16.12.25</v>
      </c>
    </row>
    <row r="363" customFormat="false" ht="7.5" hidden="false" customHeight="true" outlineLevel="2" collapsed="false">
      <c r="A363" s="60" t="str">
        <f aca="false">HYPERLINK("https://disk.yandex.ru/d/BAshsLMavOzjXg","фото")</f>
        <v>фото</v>
      </c>
      <c r="B363" s="49" t="s">
        <v>1244</v>
      </c>
      <c r="C363" s="50" t="s">
        <v>1245</v>
      </c>
      <c r="D363" s="51" t="s">
        <v>1246</v>
      </c>
      <c r="E363" s="52" t="n">
        <f aca="false">I363*(1-J363)*(100-E1)/100</f>
        <v>2246.72</v>
      </c>
      <c r="F363" s="53"/>
      <c r="G363" s="54" t="n">
        <v>1</v>
      </c>
      <c r="H363" s="52" t="n">
        <f aca="false">E363*F363</f>
        <v>0</v>
      </c>
      <c r="I363" s="55" t="n">
        <v>4130</v>
      </c>
      <c r="J363" s="56" t="n">
        <v>0.15</v>
      </c>
      <c r="K363" s="57" t="n">
        <v>519</v>
      </c>
      <c r="L363" s="22" t="s">
        <v>44</v>
      </c>
      <c r="M363" s="22"/>
      <c r="N363" s="58" t="n">
        <f aca="false">F363*P363</f>
        <v>0</v>
      </c>
      <c r="O363" s="58" t="n">
        <f aca="false">F363*Q363</f>
        <v>0</v>
      </c>
      <c r="P363" s="58" t="n">
        <v>1.94</v>
      </c>
      <c r="Q363" s="58" t="n">
        <v>0.02</v>
      </c>
      <c r="R363" s="59" t="s">
        <v>1247</v>
      </c>
      <c r="S363" s="22"/>
      <c r="T363" s="11" t="str">
        <f aca="false">"16.12.25"</f>
        <v>16.12.25</v>
      </c>
    </row>
    <row r="364" customFormat="false" ht="7.5" hidden="false" customHeight="true" outlineLevel="2" collapsed="false">
      <c r="A364" s="60" t="str">
        <f aca="false">HYPERLINK("https://disk.yandex.ru/d/ms-USYucQlPF4g","фото")</f>
        <v>фото</v>
      </c>
      <c r="B364" s="49" t="s">
        <v>1248</v>
      </c>
      <c r="C364" s="50" t="s">
        <v>1249</v>
      </c>
      <c r="D364" s="51" t="s">
        <v>1250</v>
      </c>
      <c r="E364" s="52" t="n">
        <f aca="false">I364*(1-J364)*(100-E1)/100</f>
        <v>2453.44</v>
      </c>
      <c r="F364" s="53"/>
      <c r="G364" s="54" t="n">
        <v>1</v>
      </c>
      <c r="H364" s="52" t="n">
        <f aca="false">E364*F364</f>
        <v>0</v>
      </c>
      <c r="I364" s="55" t="n">
        <v>4510</v>
      </c>
      <c r="J364" s="56" t="n">
        <v>0.15</v>
      </c>
      <c r="K364" s="57" t="n">
        <v>965</v>
      </c>
      <c r="L364" s="22" t="s">
        <v>44</v>
      </c>
      <c r="M364" s="22"/>
      <c r="N364" s="58" t="n">
        <f aca="false">F364*P364</f>
        <v>0</v>
      </c>
      <c r="O364" s="58" t="n">
        <f aca="false">F364*Q364</f>
        <v>0</v>
      </c>
      <c r="P364" s="58" t="n">
        <v>5.25</v>
      </c>
      <c r="Q364" s="58" t="n">
        <v>0.036</v>
      </c>
      <c r="R364" s="59" t="s">
        <v>1251</v>
      </c>
      <c r="S364" s="22"/>
      <c r="T364" s="11" t="str">
        <f aca="false">"16.12.25"</f>
        <v>16.12.25</v>
      </c>
    </row>
    <row r="365" customFormat="false" ht="7.5" hidden="false" customHeight="true" outlineLevel="1" collapsed="false">
      <c r="A365" s="38"/>
      <c r="B365" s="39"/>
      <c r="C365" s="40" t="s">
        <v>1252</v>
      </c>
      <c r="D365" s="41"/>
      <c r="E365" s="42"/>
      <c r="F365" s="43"/>
      <c r="G365" s="44"/>
      <c r="H365" s="42"/>
      <c r="I365" s="45"/>
      <c r="J365" s="46"/>
      <c r="K365" s="45"/>
      <c r="L365" s="44"/>
      <c r="M365" s="44"/>
      <c r="N365" s="47"/>
      <c r="O365" s="47"/>
      <c r="P365" s="47"/>
      <c r="Q365" s="47"/>
      <c r="R365" s="39"/>
      <c r="S365" s="44"/>
      <c r="T365" s="11" t="str">
        <f aca="false">"16.12.25"</f>
        <v>16.12.25</v>
      </c>
    </row>
    <row r="366" customFormat="false" ht="7.5" hidden="false" customHeight="true" outlineLevel="2" collapsed="false">
      <c r="A366" s="60" t="str">
        <f aca="false">HYPERLINK("https://disk.360.yandex.ru/d/rGvgMBY-93fwmw","фото")</f>
        <v>фото</v>
      </c>
      <c r="B366" s="49" t="s">
        <v>1253</v>
      </c>
      <c r="C366" s="50" t="s">
        <v>1254</v>
      </c>
      <c r="D366" s="51" t="s">
        <v>1255</v>
      </c>
      <c r="E366" s="52" t="n">
        <f aca="false">I366*(1-J366)*(100-E1)/100</f>
        <v>3373.44</v>
      </c>
      <c r="F366" s="53"/>
      <c r="G366" s="54" t="n">
        <v>5</v>
      </c>
      <c r="H366" s="52" t="n">
        <f aca="false">E366*F366</f>
        <v>0</v>
      </c>
      <c r="I366" s="55" t="n">
        <v>7530</v>
      </c>
      <c r="J366" s="56" t="n">
        <v>0.3</v>
      </c>
      <c r="K366" s="57" t="n">
        <v>2711</v>
      </c>
      <c r="L366" s="22" t="s">
        <v>44</v>
      </c>
      <c r="M366" s="22"/>
      <c r="N366" s="58" t="n">
        <f aca="false">F366*P366</f>
        <v>0</v>
      </c>
      <c r="O366" s="58" t="n">
        <f aca="false">F366*Q366</f>
        <v>0</v>
      </c>
      <c r="P366" s="58" t="n">
        <v>2.65</v>
      </c>
      <c r="Q366" s="58" t="n">
        <v>0.008</v>
      </c>
      <c r="R366" s="59" t="s">
        <v>1256</v>
      </c>
      <c r="S366" s="22"/>
      <c r="T366" s="11" t="str">
        <f aca="false">"16.12.25"</f>
        <v>16.12.25</v>
      </c>
    </row>
    <row r="367" customFormat="false" ht="7.5" hidden="false" customHeight="true" outlineLevel="2" collapsed="false">
      <c r="A367" s="60" t="str">
        <f aca="false">HYPERLINK("https://disk.360.yandex.ru/d/_e5wpxJAhDX44g","фото")</f>
        <v>фото</v>
      </c>
      <c r="B367" s="49" t="s">
        <v>1257</v>
      </c>
      <c r="C367" s="50" t="s">
        <v>1258</v>
      </c>
      <c r="D367" s="51" t="s">
        <v>1259</v>
      </c>
      <c r="E367" s="52" t="n">
        <f aca="false">I367*(1-J367)*(100-E1)/100</f>
        <v>1848.32</v>
      </c>
      <c r="F367" s="53"/>
      <c r="G367" s="54" t="n">
        <v>6</v>
      </c>
      <c r="H367" s="52" t="n">
        <f aca="false">E367*F367</f>
        <v>0</v>
      </c>
      <c r="I367" s="55" t="n">
        <v>3610</v>
      </c>
      <c r="J367" s="56" t="n">
        <v>0.2</v>
      </c>
      <c r="K367" s="57" t="n">
        <v>345</v>
      </c>
      <c r="L367" s="22" t="s">
        <v>44</v>
      </c>
      <c r="M367" s="22" t="s">
        <v>31</v>
      </c>
      <c r="N367" s="58" t="n">
        <f aca="false">F367*P367</f>
        <v>0</v>
      </c>
      <c r="O367" s="58" t="n">
        <f aca="false">F367*Q367</f>
        <v>0</v>
      </c>
      <c r="P367" s="58" t="n">
        <v>2</v>
      </c>
      <c r="Q367" s="58" t="n">
        <v>0.007</v>
      </c>
      <c r="R367" s="59" t="s">
        <v>1260</v>
      </c>
      <c r="S367" s="22"/>
      <c r="T367" s="11" t="str">
        <f aca="false">"16.12.25"</f>
        <v>16.12.25</v>
      </c>
    </row>
    <row r="368" customFormat="false" ht="7.5" hidden="false" customHeight="true" outlineLevel="2" collapsed="false">
      <c r="A368" s="60" t="str">
        <f aca="false">HYPERLINK("https://disk.360.yandex.ru/d/krtvJVpllBc1Rw","фото")</f>
        <v>фото</v>
      </c>
      <c r="B368" s="49" t="s">
        <v>1261</v>
      </c>
      <c r="C368" s="50" t="s">
        <v>1262</v>
      </c>
      <c r="D368" s="51" t="s">
        <v>1263</v>
      </c>
      <c r="E368" s="52" t="n">
        <f aca="false">I368*(1-J368)*(100-E1)/100</f>
        <v>4492.8</v>
      </c>
      <c r="F368" s="53"/>
      <c r="G368" s="54" t="n">
        <v>5</v>
      </c>
      <c r="H368" s="52" t="n">
        <f aca="false">E368*F368</f>
        <v>0</v>
      </c>
      <c r="I368" s="55" t="n">
        <v>7020</v>
      </c>
      <c r="J368" s="56"/>
      <c r="K368" s="57" t="n">
        <v>115</v>
      </c>
      <c r="L368" s="22" t="s">
        <v>44</v>
      </c>
      <c r="M368" s="22"/>
      <c r="N368" s="58" t="n">
        <f aca="false">F368*P368</f>
        <v>0</v>
      </c>
      <c r="O368" s="58" t="n">
        <f aca="false">F368*Q368</f>
        <v>0</v>
      </c>
      <c r="P368" s="58" t="n">
        <v>2.9</v>
      </c>
      <c r="Q368" s="58" t="n">
        <v>0.01</v>
      </c>
      <c r="R368" s="59" t="s">
        <v>1264</v>
      </c>
      <c r="S368" s="22"/>
      <c r="T368" s="11" t="str">
        <f aca="false">"16.12.25"</f>
        <v>16.12.25</v>
      </c>
    </row>
    <row r="369" customFormat="false" ht="7.5" hidden="false" customHeight="true" outlineLevel="2" collapsed="false">
      <c r="A369" s="60" t="str">
        <f aca="false">HYPERLINK("https://disk.360.yandex.ru/d/FY-FhqViybdNsA","фото")</f>
        <v>фото</v>
      </c>
      <c r="B369" s="49" t="s">
        <v>1265</v>
      </c>
      <c r="C369" s="50" t="s">
        <v>1266</v>
      </c>
      <c r="D369" s="51" t="s">
        <v>1267</v>
      </c>
      <c r="E369" s="52" t="n">
        <f aca="false">I369*(1-J369)*(100-E1)/100</f>
        <v>5529.6</v>
      </c>
      <c r="F369" s="53"/>
      <c r="G369" s="54" t="n">
        <v>5</v>
      </c>
      <c r="H369" s="52" t="n">
        <f aca="false">E369*F369</f>
        <v>0</v>
      </c>
      <c r="I369" s="55" t="n">
        <v>8640</v>
      </c>
      <c r="J369" s="56"/>
      <c r="K369" s="57" t="n">
        <v>481</v>
      </c>
      <c r="L369" s="22" t="s">
        <v>53</v>
      </c>
      <c r="M369" s="22" t="s">
        <v>152</v>
      </c>
      <c r="N369" s="58" t="n">
        <f aca="false">F369*P369</f>
        <v>0</v>
      </c>
      <c r="O369" s="58" t="n">
        <f aca="false">F369*Q369</f>
        <v>0</v>
      </c>
      <c r="P369" s="58" t="n">
        <v>3.9</v>
      </c>
      <c r="Q369" s="58" t="n">
        <v>0.01</v>
      </c>
      <c r="R369" s="59" t="s">
        <v>1268</v>
      </c>
      <c r="S369" s="22"/>
      <c r="T369" s="11" t="str">
        <f aca="false">"16.12.25"</f>
        <v>16.12.25</v>
      </c>
    </row>
    <row r="370" customFormat="false" ht="7.5" hidden="false" customHeight="true" outlineLevel="1" collapsed="false">
      <c r="A370" s="38"/>
      <c r="B370" s="39"/>
      <c r="C370" s="40" t="s">
        <v>1269</v>
      </c>
      <c r="D370" s="41"/>
      <c r="E370" s="42"/>
      <c r="F370" s="43"/>
      <c r="G370" s="44"/>
      <c r="H370" s="42"/>
      <c r="I370" s="45"/>
      <c r="J370" s="46"/>
      <c r="K370" s="45"/>
      <c r="L370" s="44"/>
      <c r="M370" s="44"/>
      <c r="N370" s="47"/>
      <c r="O370" s="47"/>
      <c r="P370" s="47"/>
      <c r="Q370" s="47"/>
      <c r="R370" s="39"/>
      <c r="S370" s="44"/>
      <c r="T370" s="11" t="str">
        <f aca="false">"16.12.25"</f>
        <v>16.12.25</v>
      </c>
    </row>
    <row r="371" customFormat="false" ht="7.5" hidden="false" customHeight="true" outlineLevel="2" collapsed="false">
      <c r="A371" s="60" t="str">
        <f aca="false">HYPERLINK("https://disk.360.yandex.ru/d/rTp3i7NhlJvqzw","фото")</f>
        <v>фото</v>
      </c>
      <c r="B371" s="49" t="s">
        <v>1270</v>
      </c>
      <c r="C371" s="50" t="s">
        <v>1271</v>
      </c>
      <c r="D371" s="51" t="s">
        <v>1272</v>
      </c>
      <c r="E371" s="52" t="n">
        <f aca="false">I371*(1-J371)*(100-E1)/100</f>
        <v>6318.08</v>
      </c>
      <c r="F371" s="53"/>
      <c r="G371" s="54" t="n">
        <v>2</v>
      </c>
      <c r="H371" s="52" t="n">
        <f aca="false">E371*F371</f>
        <v>0</v>
      </c>
      <c r="I371" s="55" t="n">
        <v>12340</v>
      </c>
      <c r="J371" s="56" t="n">
        <v>0.2</v>
      </c>
      <c r="K371" s="57" t="n">
        <v>474</v>
      </c>
      <c r="L371" s="22" t="s">
        <v>44</v>
      </c>
      <c r="M371" s="22" t="s">
        <v>31</v>
      </c>
      <c r="N371" s="58" t="n">
        <f aca="false">F371*P371</f>
        <v>0</v>
      </c>
      <c r="O371" s="58" t="n">
        <f aca="false">F371*Q371</f>
        <v>0</v>
      </c>
      <c r="P371" s="58" t="n">
        <v>0.65</v>
      </c>
      <c r="Q371" s="58" t="n">
        <v>0.024</v>
      </c>
      <c r="R371" s="59" t="s">
        <v>1273</v>
      </c>
      <c r="S371" s="22"/>
      <c r="T371" s="11" t="str">
        <f aca="false">"16.12.25"</f>
        <v>16.12.25</v>
      </c>
    </row>
    <row r="372" customFormat="false" ht="7.5" hidden="false" customHeight="true" outlineLevel="2" collapsed="false">
      <c r="A372" s="60" t="str">
        <f aca="false">HYPERLINK("https://disk.360.yandex.ru/d/b-J8pkvPFY043g","фото")</f>
        <v>фото</v>
      </c>
      <c r="B372" s="49" t="s">
        <v>1274</v>
      </c>
      <c r="C372" s="50" t="s">
        <v>1275</v>
      </c>
      <c r="D372" s="51" t="s">
        <v>1276</v>
      </c>
      <c r="E372" s="52" t="n">
        <f aca="false">I372*(1-J372)*(100-E1)/100</f>
        <v>7308.8</v>
      </c>
      <c r="F372" s="53"/>
      <c r="G372" s="54" t="n">
        <v>6</v>
      </c>
      <c r="H372" s="52" t="n">
        <f aca="false">E372*F372</f>
        <v>0</v>
      </c>
      <c r="I372" s="55" t="n">
        <v>11420</v>
      </c>
      <c r="J372" s="56"/>
      <c r="K372" s="57" t="n">
        <v>1019</v>
      </c>
      <c r="L372" s="22" t="s">
        <v>44</v>
      </c>
      <c r="M372" s="22"/>
      <c r="N372" s="58" t="n">
        <f aca="false">F372*P372</f>
        <v>0</v>
      </c>
      <c r="O372" s="58" t="n">
        <f aca="false">F372*Q372</f>
        <v>0</v>
      </c>
      <c r="P372" s="58" t="n">
        <v>4.9</v>
      </c>
      <c r="Q372" s="58" t="n">
        <v>0.01</v>
      </c>
      <c r="R372" s="59" t="s">
        <v>1277</v>
      </c>
      <c r="S372" s="22"/>
      <c r="T372" s="11" t="str">
        <f aca="false">"16.12.25"</f>
        <v>16.12.25</v>
      </c>
    </row>
    <row r="373" customFormat="false" ht="7.5" hidden="false" customHeight="true" outlineLevel="2" collapsed="false">
      <c r="A373" s="60" t="str">
        <f aca="false">HYPERLINK("https://disk.360.yandex.ru/d/sOhzQa8NOofM8A","фото")</f>
        <v>фото</v>
      </c>
      <c r="B373" s="49" t="s">
        <v>1278</v>
      </c>
      <c r="C373" s="50" t="s">
        <v>1279</v>
      </c>
      <c r="D373" s="51" t="s">
        <v>1280</v>
      </c>
      <c r="E373" s="52" t="n">
        <f aca="false">I373*(1-J373)*(100-E1)/100</f>
        <v>6521.6</v>
      </c>
      <c r="F373" s="53"/>
      <c r="G373" s="54" t="n">
        <v>6</v>
      </c>
      <c r="H373" s="52" t="n">
        <f aca="false">E373*F373</f>
        <v>0</v>
      </c>
      <c r="I373" s="55" t="n">
        <v>10190</v>
      </c>
      <c r="J373" s="56"/>
      <c r="K373" s="57" t="n">
        <v>667</v>
      </c>
      <c r="L373" s="22" t="s">
        <v>44</v>
      </c>
      <c r="M373" s="22"/>
      <c r="N373" s="58" t="n">
        <f aca="false">F373*P373</f>
        <v>0</v>
      </c>
      <c r="O373" s="58" t="n">
        <f aca="false">F373*Q373</f>
        <v>0</v>
      </c>
      <c r="P373" s="58" t="n">
        <v>3.8</v>
      </c>
      <c r="Q373" s="58" t="n">
        <v>0.02</v>
      </c>
      <c r="R373" s="59" t="s">
        <v>1281</v>
      </c>
      <c r="S373" s="22"/>
      <c r="T373" s="11" t="str">
        <f aca="false">"16.12.25"</f>
        <v>16.12.25</v>
      </c>
    </row>
    <row r="374" customFormat="false" ht="7.5" hidden="false" customHeight="true" outlineLevel="2" collapsed="false">
      <c r="A374" s="60" t="str">
        <f aca="false">HYPERLINK("https://disk.360.yandex.ru/d/7-AgQN0IoZijcw","фото")</f>
        <v>фото</v>
      </c>
      <c r="B374" s="49" t="s">
        <v>1282</v>
      </c>
      <c r="C374" s="50" t="s">
        <v>1283</v>
      </c>
      <c r="D374" s="51" t="s">
        <v>1284</v>
      </c>
      <c r="E374" s="52" t="n">
        <f aca="false">I374*(1-J374)*(100-E1)/100</f>
        <v>11449.6</v>
      </c>
      <c r="F374" s="53"/>
      <c r="G374" s="54" t="n">
        <v>6</v>
      </c>
      <c r="H374" s="52" t="n">
        <f aca="false">E374*F374</f>
        <v>0</v>
      </c>
      <c r="I374" s="55" t="n">
        <v>17890</v>
      </c>
      <c r="J374" s="56"/>
      <c r="K374" s="57" t="n">
        <v>0</v>
      </c>
      <c r="L374" s="22" t="s">
        <v>44</v>
      </c>
      <c r="M374" s="22"/>
      <c r="N374" s="58" t="n">
        <f aca="false">F374*P374</f>
        <v>0</v>
      </c>
      <c r="O374" s="58" t="n">
        <f aca="false">F374*Q374</f>
        <v>0</v>
      </c>
      <c r="P374" s="58" t="n">
        <v>10.5</v>
      </c>
      <c r="Q374" s="58" t="n">
        <v>0.04</v>
      </c>
      <c r="R374" s="59" t="s">
        <v>1285</v>
      </c>
      <c r="S374" s="22"/>
      <c r="T374" s="11" t="str">
        <f aca="false">"16.12.25"</f>
        <v>16.12.25</v>
      </c>
    </row>
    <row r="375" customFormat="false" ht="7.5" hidden="false" customHeight="true" outlineLevel="0" collapsed="false">
      <c r="A375" s="28"/>
      <c r="B375" s="29"/>
      <c r="C375" s="30" t="s">
        <v>1286</v>
      </c>
      <c r="D375" s="31"/>
      <c r="E375" s="32"/>
      <c r="F375" s="33"/>
      <c r="G375" s="34"/>
      <c r="H375" s="32"/>
      <c r="I375" s="35"/>
      <c r="J375" s="36"/>
      <c r="K375" s="35"/>
      <c r="L375" s="34"/>
      <c r="M375" s="34"/>
      <c r="N375" s="37"/>
      <c r="O375" s="37"/>
      <c r="P375" s="37"/>
      <c r="Q375" s="37"/>
      <c r="R375" s="29"/>
      <c r="S375" s="34"/>
      <c r="T375" s="11" t="str">
        <f aca="false">"16.12.25"</f>
        <v>16.12.25</v>
      </c>
    </row>
    <row r="376" customFormat="false" ht="7.5" hidden="false" customHeight="true" outlineLevel="1" collapsed="false">
      <c r="A376" s="38"/>
      <c r="B376" s="39"/>
      <c r="C376" s="40" t="s">
        <v>1287</v>
      </c>
      <c r="D376" s="41"/>
      <c r="E376" s="42"/>
      <c r="F376" s="43"/>
      <c r="G376" s="44"/>
      <c r="H376" s="42"/>
      <c r="I376" s="45"/>
      <c r="J376" s="46"/>
      <c r="K376" s="45"/>
      <c r="L376" s="44"/>
      <c r="M376" s="44"/>
      <c r="N376" s="47"/>
      <c r="O376" s="47"/>
      <c r="P376" s="47"/>
      <c r="Q376" s="47"/>
      <c r="R376" s="39"/>
      <c r="S376" s="44"/>
      <c r="T376" s="11" t="str">
        <f aca="false">"16.12.25"</f>
        <v>16.12.25</v>
      </c>
    </row>
    <row r="377" customFormat="false" ht="7.5" hidden="false" customHeight="true" outlineLevel="2" collapsed="false">
      <c r="A377" s="60" t="str">
        <f aca="false">HYPERLINK("https://disk.360.yandex.ru/d/x-AFS9tHraUrcg","фото")</f>
        <v>фото</v>
      </c>
      <c r="B377" s="49" t="s">
        <v>1288</v>
      </c>
      <c r="C377" s="50" t="s">
        <v>1289</v>
      </c>
      <c r="D377" s="51" t="s">
        <v>1290</v>
      </c>
      <c r="E377" s="52" t="n">
        <f aca="false">I377*(1-J377)*(100-E1)/100</f>
        <v>2771.2</v>
      </c>
      <c r="F377" s="53"/>
      <c r="G377" s="54" t="n">
        <v>3</v>
      </c>
      <c r="H377" s="52" t="n">
        <f aca="false">E377*F377</f>
        <v>0</v>
      </c>
      <c r="I377" s="55" t="n">
        <v>4330</v>
      </c>
      <c r="J377" s="56"/>
      <c r="K377" s="57" t="n">
        <v>15</v>
      </c>
      <c r="L377" s="22" t="s">
        <v>1291</v>
      </c>
      <c r="M377" s="22"/>
      <c r="N377" s="58" t="n">
        <f aca="false">F377*P377</f>
        <v>0</v>
      </c>
      <c r="O377" s="58" t="n">
        <f aca="false">F377*Q377</f>
        <v>0</v>
      </c>
      <c r="P377" s="58" t="n">
        <v>2.88</v>
      </c>
      <c r="Q377" s="58" t="n">
        <v>0.01</v>
      </c>
      <c r="R377" s="59" t="s">
        <v>1292</v>
      </c>
      <c r="S377" s="22"/>
      <c r="T377" s="11" t="str">
        <f aca="false">"16.12.25"</f>
        <v>16.12.25</v>
      </c>
    </row>
    <row r="378" customFormat="false" ht="7.5" hidden="false" customHeight="true" outlineLevel="2" collapsed="false">
      <c r="A378" s="60" t="str">
        <f aca="false">HYPERLINK("https://disk.360.yandex.ru/d/8X83ahdLxH2XAg","фото")</f>
        <v>фото</v>
      </c>
      <c r="B378" s="49" t="s">
        <v>1293</v>
      </c>
      <c r="C378" s="50" t="s">
        <v>1294</v>
      </c>
      <c r="D378" s="51" t="s">
        <v>1295</v>
      </c>
      <c r="E378" s="52" t="n">
        <f aca="false">I378*(1-J378)*(100-E1)/100</f>
        <v>2604.8</v>
      </c>
      <c r="F378" s="53"/>
      <c r="G378" s="54" t="n">
        <v>4</v>
      </c>
      <c r="H378" s="52" t="n">
        <f aca="false">E378*F378</f>
        <v>0</v>
      </c>
      <c r="I378" s="55" t="n">
        <v>4070</v>
      </c>
      <c r="J378" s="56"/>
      <c r="K378" s="57" t="n">
        <v>0</v>
      </c>
      <c r="L378" s="22" t="s">
        <v>44</v>
      </c>
      <c r="M378" s="22"/>
      <c r="N378" s="58" t="n">
        <f aca="false">F378*P378</f>
        <v>0</v>
      </c>
      <c r="O378" s="58" t="n">
        <f aca="false">F378*Q378</f>
        <v>0</v>
      </c>
      <c r="P378" s="58" t="n">
        <v>3.837</v>
      </c>
      <c r="Q378" s="58" t="n">
        <v>0.013</v>
      </c>
      <c r="R378" s="59" t="s">
        <v>1296</v>
      </c>
      <c r="S378" s="22"/>
      <c r="T378" s="11" t="str">
        <f aca="false">"16.12.25"</f>
        <v>16.12.25</v>
      </c>
    </row>
    <row r="379" customFormat="false" ht="7.5" hidden="false" customHeight="true" outlineLevel="2" collapsed="false">
      <c r="A379" s="60" t="str">
        <f aca="false">HYPERLINK("https://disk.360.yandex.ru/d/nwrPjMUjDORN_A","фото")</f>
        <v>фото</v>
      </c>
      <c r="B379" s="49" t="s">
        <v>1297</v>
      </c>
      <c r="C379" s="50" t="s">
        <v>1298</v>
      </c>
      <c r="D379" s="51" t="s">
        <v>1299</v>
      </c>
      <c r="E379" s="52" t="n">
        <f aca="false">I379*(1-J379)*(100-E1)/100</f>
        <v>3910.4</v>
      </c>
      <c r="F379" s="53"/>
      <c r="G379" s="54" t="n">
        <v>4</v>
      </c>
      <c r="H379" s="52" t="n">
        <f aca="false">E379*F379</f>
        <v>0</v>
      </c>
      <c r="I379" s="55" t="n">
        <v>6110</v>
      </c>
      <c r="J379" s="56"/>
      <c r="K379" s="57" t="n">
        <v>12</v>
      </c>
      <c r="L379" s="22" t="s">
        <v>44</v>
      </c>
      <c r="M379" s="22"/>
      <c r="N379" s="58" t="n">
        <f aca="false">F379*P379</f>
        <v>0</v>
      </c>
      <c r="O379" s="58" t="n">
        <f aca="false">F379*Q379</f>
        <v>0</v>
      </c>
      <c r="P379" s="58" t="n">
        <v>5.3</v>
      </c>
      <c r="Q379" s="58" t="n">
        <v>0.019</v>
      </c>
      <c r="R379" s="59"/>
      <c r="S379" s="22"/>
      <c r="T379" s="11" t="str">
        <f aca="false">"16.12.25"</f>
        <v>16.12.25</v>
      </c>
    </row>
    <row r="380" customFormat="false" ht="7.5" hidden="false" customHeight="true" outlineLevel="2" collapsed="false">
      <c r="A380" s="60" t="str">
        <f aca="false">HYPERLINK("https://disk.yandex.ru/d/HDGzfO-kLZfKRg","фото")</f>
        <v>фото</v>
      </c>
      <c r="B380" s="49" t="s">
        <v>1300</v>
      </c>
      <c r="C380" s="50" t="s">
        <v>1301</v>
      </c>
      <c r="D380" s="51" t="s">
        <v>1302</v>
      </c>
      <c r="E380" s="52" t="n">
        <f aca="false">I380*(1-J380)*(100-E1)/100</f>
        <v>4211.2</v>
      </c>
      <c r="F380" s="53"/>
      <c r="G380" s="54" t="n">
        <v>4</v>
      </c>
      <c r="H380" s="52" t="n">
        <f aca="false">E380*F380</f>
        <v>0</v>
      </c>
      <c r="I380" s="55" t="n">
        <v>6580</v>
      </c>
      <c r="J380" s="56"/>
      <c r="K380" s="57" t="n">
        <v>91</v>
      </c>
      <c r="L380" s="22" t="s">
        <v>44</v>
      </c>
      <c r="M380" s="22"/>
      <c r="N380" s="58" t="n">
        <f aca="false">F380*P380</f>
        <v>0</v>
      </c>
      <c r="O380" s="58" t="n">
        <f aca="false">F380*Q380</f>
        <v>0</v>
      </c>
      <c r="P380" s="58" t="n">
        <v>5</v>
      </c>
      <c r="Q380" s="58" t="n">
        <v>0.02</v>
      </c>
      <c r="R380" s="59" t="s">
        <v>1303</v>
      </c>
      <c r="S380" s="22"/>
      <c r="T380" s="11" t="str">
        <f aca="false">"16.12.25"</f>
        <v>16.12.25</v>
      </c>
    </row>
    <row r="381" customFormat="false" ht="7.5" hidden="false" customHeight="true" outlineLevel="2" collapsed="false">
      <c r="A381" s="60" t="str">
        <f aca="false">HYPERLINK("https://disk.360.yandex.ru/d/OTN1CG6MElSI8Q","фото")</f>
        <v>фото</v>
      </c>
      <c r="B381" s="49" t="s">
        <v>1304</v>
      </c>
      <c r="C381" s="50" t="s">
        <v>1305</v>
      </c>
      <c r="D381" s="51" t="s">
        <v>1306</v>
      </c>
      <c r="E381" s="52" t="n">
        <f aca="false">I381*(1-J381)*(100-E1)/100</f>
        <v>4652.8</v>
      </c>
      <c r="F381" s="53"/>
      <c r="G381" s="54" t="n">
        <v>4</v>
      </c>
      <c r="H381" s="52" t="n">
        <f aca="false">E381*F381</f>
        <v>0</v>
      </c>
      <c r="I381" s="55" t="n">
        <v>7270</v>
      </c>
      <c r="J381" s="56"/>
      <c r="K381" s="57" t="n">
        <v>52</v>
      </c>
      <c r="L381" s="22" t="s">
        <v>44</v>
      </c>
      <c r="M381" s="22"/>
      <c r="N381" s="58" t="n">
        <f aca="false">F381*P381</f>
        <v>0</v>
      </c>
      <c r="O381" s="58" t="n">
        <f aca="false">F381*Q381</f>
        <v>0</v>
      </c>
      <c r="P381" s="58" t="n">
        <v>4.775</v>
      </c>
      <c r="Q381" s="58" t="n">
        <v>0.015</v>
      </c>
      <c r="R381" s="59" t="s">
        <v>1307</v>
      </c>
      <c r="S381" s="22"/>
      <c r="T381" s="11" t="str">
        <f aca="false">"16.12.25"</f>
        <v>16.12.25</v>
      </c>
    </row>
    <row r="382" customFormat="false" ht="7.5" hidden="false" customHeight="true" outlineLevel="2" collapsed="false">
      <c r="A382" s="60" t="str">
        <f aca="false">HYPERLINK("https://disk.360.yandex.ru/d/U6fmgcOasB_zXQ","фото")</f>
        <v>фото</v>
      </c>
      <c r="B382" s="49" t="s">
        <v>1308</v>
      </c>
      <c r="C382" s="50" t="s">
        <v>1309</v>
      </c>
      <c r="D382" s="51" t="s">
        <v>1310</v>
      </c>
      <c r="E382" s="52" t="n">
        <f aca="false">I382*(1-J382)*(100-E1)/100</f>
        <v>3264</v>
      </c>
      <c r="F382" s="53"/>
      <c r="G382" s="54" t="n">
        <v>6</v>
      </c>
      <c r="H382" s="52" t="n">
        <f aca="false">E382*F382</f>
        <v>0</v>
      </c>
      <c r="I382" s="55" t="n">
        <v>5100</v>
      </c>
      <c r="J382" s="56"/>
      <c r="K382" s="57" t="n">
        <v>0</v>
      </c>
      <c r="L382" s="22" t="s">
        <v>44</v>
      </c>
      <c r="M382" s="22" t="s">
        <v>721</v>
      </c>
      <c r="N382" s="58" t="n">
        <f aca="false">F382*P382</f>
        <v>0</v>
      </c>
      <c r="O382" s="58" t="n">
        <f aca="false">F382*Q382</f>
        <v>0</v>
      </c>
      <c r="P382" s="58" t="n">
        <v>3.3</v>
      </c>
      <c r="Q382" s="58" t="n">
        <v>0.01</v>
      </c>
      <c r="R382" s="59" t="s">
        <v>1311</v>
      </c>
      <c r="S382" s="22"/>
      <c r="T382" s="11" t="str">
        <f aca="false">"16.12.25"</f>
        <v>16.12.25</v>
      </c>
    </row>
    <row r="383" customFormat="false" ht="7.5" hidden="false" customHeight="true" outlineLevel="2" collapsed="false">
      <c r="A383" s="60" t="str">
        <f aca="false">HYPERLINK("https://disk.360.yandex.ru/d/5K0dCGESQg6vyQ","фото")</f>
        <v>фото</v>
      </c>
      <c r="B383" s="49" t="s">
        <v>1312</v>
      </c>
      <c r="C383" s="50" t="s">
        <v>1313</v>
      </c>
      <c r="D383" s="51" t="s">
        <v>1314</v>
      </c>
      <c r="E383" s="52" t="n">
        <f aca="false">I383*(1-J383)*(100-E1)/100</f>
        <v>7168</v>
      </c>
      <c r="F383" s="53"/>
      <c r="G383" s="54"/>
      <c r="H383" s="52" t="n">
        <f aca="false">E383*F383</f>
        <v>0</v>
      </c>
      <c r="I383" s="55" t="n">
        <v>11200</v>
      </c>
      <c r="J383" s="56"/>
      <c r="K383" s="57" t="n">
        <v>391</v>
      </c>
      <c r="L383" s="22" t="s">
        <v>44</v>
      </c>
      <c r="M383" s="22"/>
      <c r="N383" s="58" t="n">
        <f aca="false">F383*P383</f>
        <v>0</v>
      </c>
      <c r="O383" s="58" t="n">
        <f aca="false">F383*Q383</f>
        <v>0</v>
      </c>
      <c r="P383" s="58" t="n">
        <v>6.45</v>
      </c>
      <c r="Q383" s="58" t="n">
        <v>0.021</v>
      </c>
      <c r="R383" s="59"/>
      <c r="S383" s="22"/>
      <c r="T383" s="11" t="str">
        <f aca="false">"16.12.25"</f>
        <v>16.12.25</v>
      </c>
    </row>
    <row r="384" customFormat="false" ht="7.5" hidden="false" customHeight="true" outlineLevel="2" collapsed="false">
      <c r="A384" s="60" t="str">
        <f aca="false">HYPERLINK("https://disk.360.yandex.ru/d/wwoJutlSGfh-mQ","фото")</f>
        <v>фото</v>
      </c>
      <c r="B384" s="49" t="s">
        <v>1315</v>
      </c>
      <c r="C384" s="50" t="s">
        <v>1316</v>
      </c>
      <c r="D384" s="51"/>
      <c r="E384" s="52" t="n">
        <f aca="false">I384*(1-J384)*(100-E1)/100</f>
        <v>2771.2</v>
      </c>
      <c r="F384" s="53"/>
      <c r="G384" s="54" t="n">
        <v>6</v>
      </c>
      <c r="H384" s="52" t="n">
        <f aca="false">E384*F384</f>
        <v>0</v>
      </c>
      <c r="I384" s="55" t="n">
        <v>4330</v>
      </c>
      <c r="J384" s="56"/>
      <c r="K384" s="57" t="n">
        <v>0</v>
      </c>
      <c r="L384" s="22" t="s">
        <v>44</v>
      </c>
      <c r="M384" s="22"/>
      <c r="N384" s="58" t="n">
        <f aca="false">F384*P384</f>
        <v>0</v>
      </c>
      <c r="O384" s="58" t="n">
        <f aca="false">F384*Q384</f>
        <v>0</v>
      </c>
      <c r="P384" s="58" t="n">
        <v>2.94</v>
      </c>
      <c r="Q384" s="58" t="n">
        <v>0.01</v>
      </c>
      <c r="R384" s="59" t="s">
        <v>1317</v>
      </c>
      <c r="S384" s="22"/>
      <c r="T384" s="11" t="str">
        <f aca="false">"16.12.25"</f>
        <v>16.12.25</v>
      </c>
    </row>
    <row r="385" customFormat="false" ht="7.5" hidden="false" customHeight="true" outlineLevel="2" collapsed="false">
      <c r="A385" s="60" t="str">
        <f aca="false">HYPERLINK("https://disk.yandex.ru/d/ePm4xvblDbuf4A","фото")</f>
        <v>фото</v>
      </c>
      <c r="B385" s="49" t="s">
        <v>1318</v>
      </c>
      <c r="C385" s="50" t="s">
        <v>1319</v>
      </c>
      <c r="D385" s="51" t="s">
        <v>1320</v>
      </c>
      <c r="E385" s="52" t="n">
        <f aca="false">I385*(1-J385)*(100-E1)/100</f>
        <v>2771.2</v>
      </c>
      <c r="F385" s="53"/>
      <c r="G385" s="54" t="n">
        <v>6</v>
      </c>
      <c r="H385" s="52" t="n">
        <f aca="false">E385*F385</f>
        <v>0</v>
      </c>
      <c r="I385" s="55" t="n">
        <v>4330</v>
      </c>
      <c r="J385" s="56"/>
      <c r="K385" s="57" t="n">
        <v>2203</v>
      </c>
      <c r="L385" s="22" t="s">
        <v>44</v>
      </c>
      <c r="M385" s="22"/>
      <c r="N385" s="58" t="n">
        <f aca="false">F385*P385</f>
        <v>0</v>
      </c>
      <c r="O385" s="58" t="n">
        <f aca="false">F385*Q385</f>
        <v>0</v>
      </c>
      <c r="P385" s="58" t="n">
        <v>2.87</v>
      </c>
      <c r="Q385" s="58" t="n">
        <v>0.01</v>
      </c>
      <c r="R385" s="59" t="s">
        <v>1321</v>
      </c>
      <c r="S385" s="22"/>
      <c r="T385" s="11" t="str">
        <f aca="false">"16.12.25"</f>
        <v>16.12.25</v>
      </c>
    </row>
    <row r="386" customFormat="false" ht="7.5" hidden="false" customHeight="true" outlineLevel="2" collapsed="false">
      <c r="A386" s="60" t="str">
        <f aca="false">HYPERLINK("https://disk.yandex.ru/d/xrr0YrJQnDbHrQ","фото")</f>
        <v>фото</v>
      </c>
      <c r="B386" s="49" t="s">
        <v>1322</v>
      </c>
      <c r="C386" s="50" t="s">
        <v>1323</v>
      </c>
      <c r="D386" s="51" t="s">
        <v>1324</v>
      </c>
      <c r="E386" s="52" t="n">
        <f aca="false">I386*(1-J386)*(100-E1)/100</f>
        <v>3264</v>
      </c>
      <c r="F386" s="53"/>
      <c r="G386" s="54" t="n">
        <v>6</v>
      </c>
      <c r="H386" s="52" t="n">
        <f aca="false">E386*F386</f>
        <v>0</v>
      </c>
      <c r="I386" s="55" t="n">
        <v>5100</v>
      </c>
      <c r="J386" s="56"/>
      <c r="K386" s="57" t="n">
        <v>840</v>
      </c>
      <c r="L386" s="22" t="s">
        <v>44</v>
      </c>
      <c r="M386" s="22"/>
      <c r="N386" s="58" t="n">
        <f aca="false">F386*P386</f>
        <v>0</v>
      </c>
      <c r="O386" s="58" t="n">
        <f aca="false">F386*Q386</f>
        <v>0</v>
      </c>
      <c r="P386" s="58" t="n">
        <v>3.3</v>
      </c>
      <c r="Q386" s="58" t="n">
        <v>0.01</v>
      </c>
      <c r="R386" s="59" t="s">
        <v>1325</v>
      </c>
      <c r="S386" s="22"/>
      <c r="T386" s="11" t="str">
        <f aca="false">"16.12.25"</f>
        <v>16.12.25</v>
      </c>
    </row>
    <row r="387" customFormat="false" ht="7.5" hidden="false" customHeight="true" outlineLevel="2" collapsed="false">
      <c r="A387" s="60" t="str">
        <f aca="false">HYPERLINK("https://disk.360.yandex.ru/d/9U0H0OqcGsk6Rg","фото")</f>
        <v>фото</v>
      </c>
      <c r="B387" s="49" t="s">
        <v>1326</v>
      </c>
      <c r="C387" s="50" t="s">
        <v>1327</v>
      </c>
      <c r="D387" s="51" t="s">
        <v>1328</v>
      </c>
      <c r="E387" s="52" t="n">
        <f aca="false">I387*(1-J387)*(100-E1)/100</f>
        <v>2355.2</v>
      </c>
      <c r="F387" s="53"/>
      <c r="G387" s="54" t="n">
        <v>6</v>
      </c>
      <c r="H387" s="52" t="n">
        <f aca="false">E387*F387</f>
        <v>0</v>
      </c>
      <c r="I387" s="55" t="n">
        <v>3680</v>
      </c>
      <c r="J387" s="56"/>
      <c r="K387" s="57" t="n">
        <v>0</v>
      </c>
      <c r="L387" s="22" t="s">
        <v>44</v>
      </c>
      <c r="M387" s="22"/>
      <c r="N387" s="58" t="n">
        <f aca="false">F387*P387</f>
        <v>0</v>
      </c>
      <c r="O387" s="58" t="n">
        <f aca="false">F387*Q387</f>
        <v>0</v>
      </c>
      <c r="P387" s="58" t="n">
        <v>2.8</v>
      </c>
      <c r="Q387" s="58" t="n">
        <v>0.009</v>
      </c>
      <c r="R387" s="59" t="s">
        <v>1329</v>
      </c>
      <c r="S387" s="22"/>
      <c r="T387" s="11" t="str">
        <f aca="false">"16.12.25"</f>
        <v>16.12.25</v>
      </c>
    </row>
    <row r="388" customFormat="false" ht="7.5" hidden="false" customHeight="true" outlineLevel="2" collapsed="false">
      <c r="A388" s="60" t="str">
        <f aca="false">HYPERLINK("https://disk.yandex.ru/d/PkhRy6tZ-8nUug","фото")</f>
        <v>фото</v>
      </c>
      <c r="B388" s="49" t="s">
        <v>1330</v>
      </c>
      <c r="C388" s="50" t="s">
        <v>1331</v>
      </c>
      <c r="D388" s="51" t="s">
        <v>1332</v>
      </c>
      <c r="E388" s="52" t="n">
        <f aca="false">I388*(1-J388)*(100-E1)/100</f>
        <v>2425.6</v>
      </c>
      <c r="F388" s="53"/>
      <c r="G388" s="54" t="n">
        <v>6</v>
      </c>
      <c r="H388" s="52" t="n">
        <f aca="false">E388*F388</f>
        <v>0</v>
      </c>
      <c r="I388" s="55" t="n">
        <v>3790</v>
      </c>
      <c r="J388" s="56"/>
      <c r="K388" s="57" t="n">
        <v>0</v>
      </c>
      <c r="L388" s="22" t="s">
        <v>44</v>
      </c>
      <c r="M388" s="22"/>
      <c r="N388" s="58" t="n">
        <f aca="false">F388*P388</f>
        <v>0</v>
      </c>
      <c r="O388" s="58" t="n">
        <f aca="false">F388*Q388</f>
        <v>0</v>
      </c>
      <c r="P388" s="58" t="n">
        <v>3.5</v>
      </c>
      <c r="Q388" s="58" t="n">
        <v>0.01</v>
      </c>
      <c r="R388" s="59" t="s">
        <v>1333</v>
      </c>
      <c r="S388" s="22"/>
      <c r="T388" s="11" t="str">
        <f aca="false">"16.12.25"</f>
        <v>16.12.25</v>
      </c>
    </row>
    <row r="389" customFormat="false" ht="7.5" hidden="false" customHeight="true" outlineLevel="2" collapsed="false">
      <c r="A389" s="60" t="str">
        <f aca="false">HYPERLINK("https://disk.yandex.ru/d/OF4nkqBJnG3fVw","фото")</f>
        <v>фото</v>
      </c>
      <c r="B389" s="49" t="s">
        <v>1334</v>
      </c>
      <c r="C389" s="50" t="s">
        <v>1335</v>
      </c>
      <c r="D389" s="51" t="s">
        <v>1310</v>
      </c>
      <c r="E389" s="52" t="n">
        <f aca="false">I389*(1-J389)*(100-E1)/100</f>
        <v>3264</v>
      </c>
      <c r="F389" s="53"/>
      <c r="G389" s="54" t="n">
        <v>6</v>
      </c>
      <c r="H389" s="52" t="n">
        <f aca="false">E389*F389</f>
        <v>0</v>
      </c>
      <c r="I389" s="55" t="n">
        <v>5100</v>
      </c>
      <c r="J389" s="56"/>
      <c r="K389" s="57" t="n">
        <v>0</v>
      </c>
      <c r="L389" s="22" t="s">
        <v>44</v>
      </c>
      <c r="M389" s="22" t="s">
        <v>721</v>
      </c>
      <c r="N389" s="58" t="n">
        <f aca="false">F389*P389</f>
        <v>0</v>
      </c>
      <c r="O389" s="58" t="n">
        <f aca="false">F389*Q389</f>
        <v>0</v>
      </c>
      <c r="P389" s="58" t="n">
        <v>3.3</v>
      </c>
      <c r="Q389" s="58" t="n">
        <v>0.01</v>
      </c>
      <c r="R389" s="59" t="s">
        <v>1336</v>
      </c>
      <c r="S389" s="22"/>
      <c r="T389" s="11" t="str">
        <f aca="false">"16.12.25"</f>
        <v>16.12.25</v>
      </c>
    </row>
    <row r="390" customFormat="false" ht="7.5" hidden="false" customHeight="true" outlineLevel="2" collapsed="false">
      <c r="A390" s="48"/>
      <c r="B390" s="49" t="s">
        <v>1337</v>
      </c>
      <c r="C390" s="50" t="s">
        <v>1338</v>
      </c>
      <c r="D390" s="51" t="s">
        <v>1339</v>
      </c>
      <c r="E390" s="52" t="n">
        <f aca="false">I390*(1-J390)*(100-E1)/100</f>
        <v>4166.4</v>
      </c>
      <c r="F390" s="53"/>
      <c r="G390" s="54" t="n">
        <v>4</v>
      </c>
      <c r="H390" s="52" t="n">
        <f aca="false">E390*F390</f>
        <v>0</v>
      </c>
      <c r="I390" s="55" t="n">
        <v>6510</v>
      </c>
      <c r="J390" s="56"/>
      <c r="K390" s="57" t="n">
        <v>58</v>
      </c>
      <c r="L390" s="22" t="s">
        <v>44</v>
      </c>
      <c r="M390" s="22"/>
      <c r="N390" s="58" t="n">
        <f aca="false">F390*P390</f>
        <v>0</v>
      </c>
      <c r="O390" s="58" t="n">
        <f aca="false">F390*Q390</f>
        <v>0</v>
      </c>
      <c r="P390" s="58" t="n">
        <v>4.5</v>
      </c>
      <c r="Q390" s="58" t="n">
        <v>0.017</v>
      </c>
      <c r="R390" s="59" t="s">
        <v>1340</v>
      </c>
      <c r="S390" s="22"/>
      <c r="T390" s="11" t="str">
        <f aca="false">"16.12.25"</f>
        <v>16.12.25</v>
      </c>
    </row>
    <row r="391" customFormat="false" ht="7.5" hidden="false" customHeight="true" outlineLevel="2" collapsed="false">
      <c r="A391" s="60" t="str">
        <f aca="false">HYPERLINK("https://disk.360.yandex.ru/d/MjxHOAtIYQzRRw","фото")</f>
        <v>фото</v>
      </c>
      <c r="B391" s="49" t="s">
        <v>1341</v>
      </c>
      <c r="C391" s="50" t="s">
        <v>1342</v>
      </c>
      <c r="D391" s="51"/>
      <c r="E391" s="52" t="n">
        <f aca="false">I391*(1-J391)*(100-E1)/100</f>
        <v>5734.4</v>
      </c>
      <c r="F391" s="53"/>
      <c r="G391" s="54" t="n">
        <v>4</v>
      </c>
      <c r="H391" s="52" t="n">
        <f aca="false">E391*F391</f>
        <v>0</v>
      </c>
      <c r="I391" s="55" t="n">
        <v>11200</v>
      </c>
      <c r="J391" s="56" t="n">
        <v>0.2</v>
      </c>
      <c r="K391" s="57" t="n">
        <v>195</v>
      </c>
      <c r="L391" s="22" t="s">
        <v>380</v>
      </c>
      <c r="M391" s="22" t="s">
        <v>31</v>
      </c>
      <c r="N391" s="58" t="n">
        <f aca="false">F391*P391</f>
        <v>0</v>
      </c>
      <c r="O391" s="58" t="n">
        <f aca="false">F391*Q391</f>
        <v>0</v>
      </c>
      <c r="P391" s="58" t="n">
        <v>6.5</v>
      </c>
      <c r="Q391" s="58" t="n">
        <v>0.025</v>
      </c>
      <c r="R391" s="59" t="s">
        <v>1343</v>
      </c>
      <c r="S391" s="22"/>
      <c r="T391" s="11" t="str">
        <f aca="false">"16.12.25"</f>
        <v>16.12.25</v>
      </c>
    </row>
    <row r="392" customFormat="false" ht="7.5" hidden="false" customHeight="true" outlineLevel="2" collapsed="false">
      <c r="A392" s="60" t="str">
        <f aca="false">HYPERLINK("https://disk.360.yandex.ru/d/JLAx7aO73OT-zw","фото")</f>
        <v>фото</v>
      </c>
      <c r="B392" s="49" t="s">
        <v>1344</v>
      </c>
      <c r="C392" s="50" t="s">
        <v>1345</v>
      </c>
      <c r="D392" s="51"/>
      <c r="E392" s="52" t="n">
        <f aca="false">I392*(1-J392)*(100-E1)/100</f>
        <v>6092.8</v>
      </c>
      <c r="F392" s="53"/>
      <c r="G392" s="54" t="n">
        <v>4</v>
      </c>
      <c r="H392" s="52" t="n">
        <f aca="false">E392*F392</f>
        <v>0</v>
      </c>
      <c r="I392" s="55" t="n">
        <v>11900</v>
      </c>
      <c r="J392" s="56" t="n">
        <v>0.2</v>
      </c>
      <c r="K392" s="57" t="n">
        <v>206</v>
      </c>
      <c r="L392" s="22" t="s">
        <v>380</v>
      </c>
      <c r="M392" s="22" t="s">
        <v>31</v>
      </c>
      <c r="N392" s="58" t="n">
        <f aca="false">F392*P392</f>
        <v>0</v>
      </c>
      <c r="O392" s="58" t="n">
        <f aca="false">F392*Q392</f>
        <v>0</v>
      </c>
      <c r="P392" s="58" t="n">
        <v>6.5</v>
      </c>
      <c r="Q392" s="58" t="n">
        <v>0.025</v>
      </c>
      <c r="R392" s="59" t="s">
        <v>1346</v>
      </c>
      <c r="S392" s="22"/>
      <c r="T392" s="11" t="str">
        <f aca="false">"16.12.25"</f>
        <v>16.12.25</v>
      </c>
    </row>
    <row r="393" customFormat="false" ht="7.5" hidden="false" customHeight="true" outlineLevel="2" collapsed="false">
      <c r="A393" s="60" t="str">
        <f aca="false">HYPERLINK("https://disk.360.yandex.ru/d/KgvJwJ1A7ZWROA","фото")</f>
        <v>фото</v>
      </c>
      <c r="B393" s="49" t="s">
        <v>1347</v>
      </c>
      <c r="C393" s="50" t="s">
        <v>1348</v>
      </c>
      <c r="D393" s="51"/>
      <c r="E393" s="52" t="n">
        <f aca="false">I393*(1-J393)*(100-E1)/100</f>
        <v>6394.88</v>
      </c>
      <c r="F393" s="53"/>
      <c r="G393" s="54" t="n">
        <v>4</v>
      </c>
      <c r="H393" s="52" t="n">
        <f aca="false">E393*F393</f>
        <v>0</v>
      </c>
      <c r="I393" s="55" t="n">
        <v>12490</v>
      </c>
      <c r="J393" s="56" t="n">
        <v>0.2</v>
      </c>
      <c r="K393" s="57" t="n">
        <v>48</v>
      </c>
      <c r="L393" s="22" t="s">
        <v>380</v>
      </c>
      <c r="M393" s="22" t="s">
        <v>31</v>
      </c>
      <c r="N393" s="58" t="n">
        <f aca="false">F393*P393</f>
        <v>0</v>
      </c>
      <c r="O393" s="58" t="n">
        <f aca="false">F393*Q393</f>
        <v>0</v>
      </c>
      <c r="P393" s="58" t="n">
        <v>7</v>
      </c>
      <c r="Q393" s="58" t="n">
        <v>0.025</v>
      </c>
      <c r="R393" s="59" t="s">
        <v>1349</v>
      </c>
      <c r="S393" s="22"/>
      <c r="T393" s="11" t="str">
        <f aca="false">"16.12.25"</f>
        <v>16.12.25</v>
      </c>
    </row>
    <row r="394" customFormat="false" ht="7.5" hidden="false" customHeight="true" outlineLevel="2" collapsed="false">
      <c r="A394" s="48"/>
      <c r="B394" s="49" t="s">
        <v>1350</v>
      </c>
      <c r="C394" s="50" t="s">
        <v>1351</v>
      </c>
      <c r="D394" s="51"/>
      <c r="E394" s="52" t="n">
        <f aca="false">I394*(1-J394)*(100-E1)/100</f>
        <v>2083.84</v>
      </c>
      <c r="F394" s="53"/>
      <c r="G394" s="54"/>
      <c r="H394" s="52" t="n">
        <f aca="false">E394*F394</f>
        <v>0</v>
      </c>
      <c r="I394" s="55" t="n">
        <v>4070</v>
      </c>
      <c r="J394" s="56" t="n">
        <v>0.2</v>
      </c>
      <c r="K394" s="57" t="n">
        <v>342</v>
      </c>
      <c r="L394" s="22" t="s">
        <v>1352</v>
      </c>
      <c r="M394" s="22" t="s">
        <v>31</v>
      </c>
      <c r="N394" s="58" t="n">
        <f aca="false">F394*P394</f>
        <v>0</v>
      </c>
      <c r="O394" s="58" t="n">
        <f aca="false">F394*Q394</f>
        <v>0</v>
      </c>
      <c r="P394" s="58"/>
      <c r="Q394" s="58"/>
      <c r="R394" s="59"/>
      <c r="S394" s="22"/>
      <c r="T394" s="11" t="str">
        <f aca="false">"16.12.25"</f>
        <v>16.12.25</v>
      </c>
    </row>
    <row r="395" customFormat="false" ht="7.5" hidden="false" customHeight="true" outlineLevel="2" collapsed="false">
      <c r="A395" s="48"/>
      <c r="B395" s="49" t="s">
        <v>1353</v>
      </c>
      <c r="C395" s="50" t="s">
        <v>1354</v>
      </c>
      <c r="D395" s="51"/>
      <c r="E395" s="52" t="n">
        <f aca="false">I395*(1-J395)*(100-E1)/100</f>
        <v>2432</v>
      </c>
      <c r="F395" s="53"/>
      <c r="G395" s="54"/>
      <c r="H395" s="52" t="n">
        <f aca="false">E395*F395</f>
        <v>0</v>
      </c>
      <c r="I395" s="55" t="n">
        <v>4750</v>
      </c>
      <c r="J395" s="56" t="n">
        <v>0.2</v>
      </c>
      <c r="K395" s="57" t="n">
        <v>119</v>
      </c>
      <c r="L395" s="22" t="s">
        <v>1352</v>
      </c>
      <c r="M395" s="22" t="s">
        <v>31</v>
      </c>
      <c r="N395" s="58" t="n">
        <f aca="false">F395*P395</f>
        <v>0</v>
      </c>
      <c r="O395" s="58" t="n">
        <f aca="false">F395*Q395</f>
        <v>0</v>
      </c>
      <c r="P395" s="58"/>
      <c r="Q395" s="58"/>
      <c r="R395" s="59"/>
      <c r="S395" s="22"/>
      <c r="T395" s="11" t="str">
        <f aca="false">"16.12.25"</f>
        <v>16.12.25</v>
      </c>
    </row>
    <row r="396" customFormat="false" ht="7.5" hidden="false" customHeight="true" outlineLevel="2" collapsed="false">
      <c r="A396" s="48"/>
      <c r="B396" s="49" t="s">
        <v>1355</v>
      </c>
      <c r="C396" s="50" t="s">
        <v>1356</v>
      </c>
      <c r="D396" s="51"/>
      <c r="E396" s="52" t="n">
        <f aca="false">I396*(1-J396)*(100-E1)/100</f>
        <v>1704.96</v>
      </c>
      <c r="F396" s="53"/>
      <c r="G396" s="54" t="n">
        <v>4</v>
      </c>
      <c r="H396" s="52" t="n">
        <f aca="false">E396*F396</f>
        <v>0</v>
      </c>
      <c r="I396" s="55" t="n">
        <v>3330</v>
      </c>
      <c r="J396" s="56" t="n">
        <v>0.2</v>
      </c>
      <c r="K396" s="57" t="n">
        <v>41</v>
      </c>
      <c r="L396" s="22" t="s">
        <v>53</v>
      </c>
      <c r="M396" s="22" t="s">
        <v>31</v>
      </c>
      <c r="N396" s="58" t="n">
        <f aca="false">F396*P396</f>
        <v>0</v>
      </c>
      <c r="O396" s="58" t="n">
        <f aca="false">F396*Q396</f>
        <v>0</v>
      </c>
      <c r="P396" s="58" t="n">
        <v>7.4</v>
      </c>
      <c r="Q396" s="58" t="n">
        <v>0.02</v>
      </c>
      <c r="R396" s="59" t="s">
        <v>1357</v>
      </c>
      <c r="S396" s="22"/>
      <c r="T396" s="11" t="str">
        <f aca="false">"16.12.25"</f>
        <v>16.12.25</v>
      </c>
    </row>
    <row r="397" customFormat="false" ht="7.5" hidden="false" customHeight="true" outlineLevel="2" collapsed="false">
      <c r="A397" s="60" t="str">
        <f aca="false">HYPERLINK("https://disk.360.yandex.ru/d/6ch9M7YbJDCq-A","фото")</f>
        <v>фото</v>
      </c>
      <c r="B397" s="49" t="s">
        <v>1358</v>
      </c>
      <c r="C397" s="50" t="s">
        <v>1359</v>
      </c>
      <c r="D397" s="51" t="s">
        <v>1360</v>
      </c>
      <c r="E397" s="52" t="n">
        <f aca="false">I397*(1-J397)*(100-E1)/100</f>
        <v>7168</v>
      </c>
      <c r="F397" s="53"/>
      <c r="G397" s="54" t="n">
        <v>4</v>
      </c>
      <c r="H397" s="52" t="n">
        <f aca="false">E397*F397</f>
        <v>0</v>
      </c>
      <c r="I397" s="55" t="n">
        <v>11200</v>
      </c>
      <c r="J397" s="56"/>
      <c r="K397" s="57" t="n">
        <v>28</v>
      </c>
      <c r="L397" s="22" t="s">
        <v>53</v>
      </c>
      <c r="M397" s="22"/>
      <c r="N397" s="58" t="n">
        <f aca="false">F397*P397</f>
        <v>0</v>
      </c>
      <c r="O397" s="58" t="n">
        <f aca="false">F397*Q397</f>
        <v>0</v>
      </c>
      <c r="P397" s="58" t="n">
        <v>7</v>
      </c>
      <c r="Q397" s="58" t="n">
        <v>0.022</v>
      </c>
      <c r="R397" s="59" t="s">
        <v>1361</v>
      </c>
      <c r="S397" s="22"/>
      <c r="T397" s="11" t="str">
        <f aca="false">"16.12.25"</f>
        <v>16.12.25</v>
      </c>
    </row>
    <row r="398" customFormat="false" ht="7.5" hidden="false" customHeight="true" outlineLevel="2" collapsed="false">
      <c r="A398" s="60" t="str">
        <f aca="false">HYPERLINK("https://disk.360.yandex.ru/d/M_hVG1y--E7-sA","фото")</f>
        <v>фото</v>
      </c>
      <c r="B398" s="49" t="s">
        <v>1362</v>
      </c>
      <c r="C398" s="50" t="s">
        <v>1363</v>
      </c>
      <c r="D398" s="51" t="s">
        <v>1364</v>
      </c>
      <c r="E398" s="52" t="n">
        <f aca="false">I398*(1-J398)*(100-E1)/100</f>
        <v>7993.6</v>
      </c>
      <c r="F398" s="53"/>
      <c r="G398" s="54" t="n">
        <v>4</v>
      </c>
      <c r="H398" s="52" t="n">
        <f aca="false">E398*F398</f>
        <v>0</v>
      </c>
      <c r="I398" s="55" t="n">
        <v>12490</v>
      </c>
      <c r="J398" s="56"/>
      <c r="K398" s="57" t="n">
        <v>0</v>
      </c>
      <c r="L398" s="22" t="s">
        <v>53</v>
      </c>
      <c r="M398" s="22"/>
      <c r="N398" s="58" t="n">
        <f aca="false">F398*P398</f>
        <v>0</v>
      </c>
      <c r="O398" s="58" t="n">
        <f aca="false">F398*Q398</f>
        <v>0</v>
      </c>
      <c r="P398" s="58" t="n">
        <v>6.45</v>
      </c>
      <c r="Q398" s="58" t="n">
        <v>0.022</v>
      </c>
      <c r="R398" s="59" t="s">
        <v>1365</v>
      </c>
      <c r="S398" s="22"/>
      <c r="T398" s="11" t="str">
        <f aca="false">"16.12.25"</f>
        <v>16.12.25</v>
      </c>
    </row>
    <row r="399" customFormat="false" ht="7.5" hidden="false" customHeight="true" outlineLevel="2" collapsed="false">
      <c r="A399" s="60" t="str">
        <f aca="false">HYPERLINK("https://disk.360.yandex.ru/d/6pd6zyjvKMiK4Q","фото")</f>
        <v>фото</v>
      </c>
      <c r="B399" s="49" t="s">
        <v>1366</v>
      </c>
      <c r="C399" s="50" t="s">
        <v>1367</v>
      </c>
      <c r="D399" s="51" t="s">
        <v>1368</v>
      </c>
      <c r="E399" s="52" t="n">
        <f aca="false">I399*(1-J399)*(100-E1)/100</f>
        <v>7874.56</v>
      </c>
      <c r="F399" s="53"/>
      <c r="G399" s="54" t="n">
        <v>3</v>
      </c>
      <c r="H399" s="52" t="n">
        <f aca="false">E399*F399</f>
        <v>0</v>
      </c>
      <c r="I399" s="55" t="n">
        <v>15380</v>
      </c>
      <c r="J399" s="56" t="n">
        <v>0.2</v>
      </c>
      <c r="K399" s="57" t="n">
        <v>311</v>
      </c>
      <c r="L399" s="22" t="s">
        <v>1369</v>
      </c>
      <c r="M399" s="22" t="s">
        <v>31</v>
      </c>
      <c r="N399" s="58" t="n">
        <f aca="false">F399*P399</f>
        <v>0</v>
      </c>
      <c r="O399" s="58" t="n">
        <f aca="false">F399*Q399</f>
        <v>0</v>
      </c>
      <c r="P399" s="58" t="n">
        <v>8</v>
      </c>
      <c r="Q399" s="58" t="n">
        <v>0.022</v>
      </c>
      <c r="R399" s="59" t="s">
        <v>1370</v>
      </c>
      <c r="S399" s="22"/>
      <c r="T399" s="11" t="str">
        <f aca="false">"16.12.25"</f>
        <v>16.12.25</v>
      </c>
    </row>
    <row r="400" customFormat="false" ht="7.5" hidden="false" customHeight="true" outlineLevel="2" collapsed="false">
      <c r="A400" s="60" t="str">
        <f aca="false">HYPERLINK("https://disk.360.yandex.ru/d/oq_EMe3O1biyew","фото")</f>
        <v>фото</v>
      </c>
      <c r="B400" s="49" t="s">
        <v>1371</v>
      </c>
      <c r="C400" s="50" t="s">
        <v>1372</v>
      </c>
      <c r="D400" s="51" t="s">
        <v>1373</v>
      </c>
      <c r="E400" s="52" t="n">
        <f aca="false">I400*(1-J400)*(100-E1)/100</f>
        <v>41075.2</v>
      </c>
      <c r="F400" s="53"/>
      <c r="G400" s="54" t="n">
        <v>1</v>
      </c>
      <c r="H400" s="52" t="n">
        <f aca="false">E400*F400</f>
        <v>0</v>
      </c>
      <c r="I400" s="55" t="n">
        <v>64180</v>
      </c>
      <c r="J400" s="56"/>
      <c r="K400" s="57" t="n">
        <v>6</v>
      </c>
      <c r="L400" s="22" t="s">
        <v>1369</v>
      </c>
      <c r="M400" s="22"/>
      <c r="N400" s="58" t="n">
        <f aca="false">F400*P400</f>
        <v>0</v>
      </c>
      <c r="O400" s="58" t="n">
        <f aca="false">F400*Q400</f>
        <v>0</v>
      </c>
      <c r="P400" s="58" t="n">
        <v>33</v>
      </c>
      <c r="Q400" s="58" t="n">
        <v>0.149</v>
      </c>
      <c r="R400" s="59" t="s">
        <v>1374</v>
      </c>
      <c r="S400" s="22"/>
      <c r="T400" s="11" t="str">
        <f aca="false">"16.12.25"</f>
        <v>16.12.25</v>
      </c>
    </row>
    <row r="401" customFormat="false" ht="7.5" hidden="false" customHeight="true" outlineLevel="2" collapsed="false">
      <c r="A401" s="60" t="str">
        <f aca="false">HYPERLINK("https://disk.360.yandex.ru/d/vn1qxxubrW0QaQ","фото")</f>
        <v>фото</v>
      </c>
      <c r="B401" s="49" t="s">
        <v>1375</v>
      </c>
      <c r="C401" s="50" t="s">
        <v>1376</v>
      </c>
      <c r="D401" s="51" t="s">
        <v>1377</v>
      </c>
      <c r="E401" s="52" t="n">
        <f aca="false">I401*(1-J401)*(100-E1)/100</f>
        <v>46566.4</v>
      </c>
      <c r="F401" s="53"/>
      <c r="G401" s="54" t="n">
        <v>1</v>
      </c>
      <c r="H401" s="52" t="n">
        <f aca="false">E401*F401</f>
        <v>0</v>
      </c>
      <c r="I401" s="55" t="n">
        <v>72760</v>
      </c>
      <c r="J401" s="56"/>
      <c r="K401" s="57" t="n">
        <v>1</v>
      </c>
      <c r="L401" s="22" t="s">
        <v>1369</v>
      </c>
      <c r="M401" s="22"/>
      <c r="N401" s="58" t="n">
        <f aca="false">F401*P401</f>
        <v>0</v>
      </c>
      <c r="O401" s="58" t="n">
        <f aca="false">F401*Q401</f>
        <v>0</v>
      </c>
      <c r="P401" s="58" t="n">
        <v>32</v>
      </c>
      <c r="Q401" s="58" t="n">
        <v>0.149</v>
      </c>
      <c r="R401" s="59" t="s">
        <v>1378</v>
      </c>
      <c r="S401" s="22"/>
      <c r="T401" s="11" t="str">
        <f aca="false">"16.12.25"</f>
        <v>16.12.25</v>
      </c>
    </row>
    <row r="402" customFormat="false" ht="7.5" hidden="false" customHeight="true" outlineLevel="2" collapsed="false">
      <c r="A402" s="60" t="str">
        <f aca="false">HYPERLINK("https://disk.360.yandex.ru/d/gndtUAGC6dqhTg","фото")</f>
        <v>фото</v>
      </c>
      <c r="B402" s="49" t="s">
        <v>1379</v>
      </c>
      <c r="C402" s="50" t="s">
        <v>1380</v>
      </c>
      <c r="D402" s="51" t="s">
        <v>1381</v>
      </c>
      <c r="E402" s="52" t="n">
        <f aca="false">I402*(1-J402)*(100-E1)/100</f>
        <v>58636.8</v>
      </c>
      <c r="F402" s="53"/>
      <c r="G402" s="54" t="n">
        <v>1</v>
      </c>
      <c r="H402" s="52" t="n">
        <f aca="false">E402*F402</f>
        <v>0</v>
      </c>
      <c r="I402" s="55" t="n">
        <v>91620</v>
      </c>
      <c r="J402" s="56"/>
      <c r="K402" s="57" t="n">
        <v>15</v>
      </c>
      <c r="L402" s="22" t="s">
        <v>1369</v>
      </c>
      <c r="M402" s="22"/>
      <c r="N402" s="58" t="n">
        <f aca="false">F402*P402</f>
        <v>0</v>
      </c>
      <c r="O402" s="58" t="n">
        <f aca="false">F402*Q402</f>
        <v>0</v>
      </c>
      <c r="P402" s="58" t="n">
        <v>40</v>
      </c>
      <c r="Q402" s="58" t="n">
        <v>0.181</v>
      </c>
      <c r="R402" s="59" t="s">
        <v>1382</v>
      </c>
      <c r="S402" s="22"/>
      <c r="T402" s="11" t="str">
        <f aca="false">"16.12.25"</f>
        <v>16.12.25</v>
      </c>
    </row>
    <row r="403" customFormat="false" ht="7.5" hidden="false" customHeight="true" outlineLevel="2" collapsed="false">
      <c r="A403" s="60" t="str">
        <f aca="false">HYPERLINK("https://disk.yandex.ru/d/scDCeHaeJvAkCA","фото")</f>
        <v>фото</v>
      </c>
      <c r="B403" s="49" t="s">
        <v>1383</v>
      </c>
      <c r="C403" s="50" t="s">
        <v>1384</v>
      </c>
      <c r="D403" s="51" t="s">
        <v>1385</v>
      </c>
      <c r="E403" s="52" t="n">
        <f aca="false">I403*(1-J403)*(100-E1)/100</f>
        <v>18796.8</v>
      </c>
      <c r="F403" s="53"/>
      <c r="G403" s="54" t="n">
        <v>1</v>
      </c>
      <c r="H403" s="52" t="n">
        <f aca="false">E403*F403</f>
        <v>0</v>
      </c>
      <c r="I403" s="55" t="n">
        <v>29370</v>
      </c>
      <c r="J403" s="56"/>
      <c r="K403" s="57" t="n">
        <v>4</v>
      </c>
      <c r="L403" s="22" t="s">
        <v>53</v>
      </c>
      <c r="M403" s="22"/>
      <c r="N403" s="58" t="n">
        <f aca="false">F403*P403</f>
        <v>0</v>
      </c>
      <c r="O403" s="58" t="n">
        <f aca="false">F403*Q403</f>
        <v>0</v>
      </c>
      <c r="P403" s="58" t="n">
        <v>15</v>
      </c>
      <c r="Q403" s="58" t="n">
        <v>0.072</v>
      </c>
      <c r="R403" s="59" t="s">
        <v>1386</v>
      </c>
      <c r="S403" s="22"/>
      <c r="T403" s="11" t="str">
        <f aca="false">"16.12.25"</f>
        <v>16.12.25</v>
      </c>
    </row>
    <row r="404" customFormat="false" ht="7.5" hidden="false" customHeight="true" outlineLevel="2" collapsed="false">
      <c r="A404" s="60" t="str">
        <f aca="false">HYPERLINK("https://disk.360.yandex.ru/d/lz6zvkdwImUXxw","фото")</f>
        <v>фото</v>
      </c>
      <c r="B404" s="49" t="s">
        <v>1387</v>
      </c>
      <c r="C404" s="50" t="s">
        <v>1388</v>
      </c>
      <c r="D404" s="51" t="s">
        <v>1389</v>
      </c>
      <c r="E404" s="52" t="n">
        <f aca="false">I404*(1-J404)*(100-E1)/100</f>
        <v>20435.2</v>
      </c>
      <c r="F404" s="53"/>
      <c r="G404" s="54" t="n">
        <v>1</v>
      </c>
      <c r="H404" s="52" t="n">
        <f aca="false">E404*F404</f>
        <v>0</v>
      </c>
      <c r="I404" s="55" t="n">
        <v>31930</v>
      </c>
      <c r="J404" s="56"/>
      <c r="K404" s="57" t="n">
        <v>11</v>
      </c>
      <c r="L404" s="22" t="s">
        <v>53</v>
      </c>
      <c r="M404" s="22" t="s">
        <v>31</v>
      </c>
      <c r="N404" s="58" t="n">
        <f aca="false">F404*P404</f>
        <v>0</v>
      </c>
      <c r="O404" s="58" t="n">
        <f aca="false">F404*Q404</f>
        <v>0</v>
      </c>
      <c r="P404" s="58"/>
      <c r="Q404" s="58" t="n">
        <v>0.077</v>
      </c>
      <c r="R404" s="59" t="s">
        <v>1390</v>
      </c>
      <c r="S404" s="22"/>
      <c r="T404" s="11" t="str">
        <f aca="false">"16.12.25"</f>
        <v>16.12.25</v>
      </c>
    </row>
    <row r="405" customFormat="false" ht="7.5" hidden="false" customHeight="true" outlineLevel="1" collapsed="false">
      <c r="A405" s="38"/>
      <c r="B405" s="39"/>
      <c r="C405" s="40" t="s">
        <v>1391</v>
      </c>
      <c r="D405" s="41"/>
      <c r="E405" s="42"/>
      <c r="F405" s="43"/>
      <c r="G405" s="44"/>
      <c r="H405" s="42"/>
      <c r="I405" s="45"/>
      <c r="J405" s="46"/>
      <c r="K405" s="45"/>
      <c r="L405" s="44"/>
      <c r="M405" s="44"/>
      <c r="N405" s="47"/>
      <c r="O405" s="47"/>
      <c r="P405" s="47"/>
      <c r="Q405" s="47"/>
      <c r="R405" s="39"/>
      <c r="S405" s="44"/>
      <c r="T405" s="11" t="str">
        <f aca="false">"16.12.25"</f>
        <v>16.12.25</v>
      </c>
    </row>
    <row r="406" customFormat="false" ht="7.5" hidden="false" customHeight="true" outlineLevel="2" collapsed="false">
      <c r="A406" s="60" t="str">
        <f aca="false">HYPERLINK("https://disk.360.yandex.ru/d/bcBIOF5SNGQrYg","фото")</f>
        <v>фото</v>
      </c>
      <c r="B406" s="49" t="s">
        <v>1392</v>
      </c>
      <c r="C406" s="50" t="s">
        <v>1393</v>
      </c>
      <c r="D406" s="51" t="s">
        <v>1394</v>
      </c>
      <c r="E406" s="52" t="n">
        <f aca="false">I406*(1-J406)*(100-E1)/100</f>
        <v>10516.48</v>
      </c>
      <c r="F406" s="53"/>
      <c r="G406" s="54" t="n">
        <v>1</v>
      </c>
      <c r="H406" s="52" t="n">
        <f aca="false">E406*F406</f>
        <v>0</v>
      </c>
      <c r="I406" s="55" t="n">
        <v>20540</v>
      </c>
      <c r="J406" s="56" t="n">
        <v>0.2</v>
      </c>
      <c r="K406" s="57" t="n">
        <v>3445</v>
      </c>
      <c r="L406" s="22" t="s">
        <v>44</v>
      </c>
      <c r="M406" s="22" t="s">
        <v>15</v>
      </c>
      <c r="N406" s="58" t="n">
        <f aca="false">F406*P406</f>
        <v>0</v>
      </c>
      <c r="O406" s="58" t="n">
        <f aca="false">F406*Q406</f>
        <v>0</v>
      </c>
      <c r="P406" s="58" t="n">
        <v>13.58</v>
      </c>
      <c r="Q406" s="58" t="n">
        <v>0.054</v>
      </c>
      <c r="R406" s="59" t="s">
        <v>1395</v>
      </c>
      <c r="S406" s="22"/>
      <c r="T406" s="11" t="str">
        <f aca="false">"16.12.25"</f>
        <v>16.12.25</v>
      </c>
    </row>
    <row r="407" customFormat="false" ht="7.5" hidden="false" customHeight="true" outlineLevel="2" collapsed="false">
      <c r="A407" s="60" t="str">
        <f aca="false">HYPERLINK("https://disk.yandex.ru/d/dQjK6M1E94tblg","фото")</f>
        <v>фото</v>
      </c>
      <c r="B407" s="49" t="s">
        <v>1396</v>
      </c>
      <c r="C407" s="50" t="s">
        <v>1397</v>
      </c>
      <c r="D407" s="51" t="s">
        <v>1398</v>
      </c>
      <c r="E407" s="52" t="n">
        <f aca="false">I407*(1-J407)*(100-E1)/100</f>
        <v>5049.6</v>
      </c>
      <c r="F407" s="53"/>
      <c r="G407" s="54" t="n">
        <v>4</v>
      </c>
      <c r="H407" s="52" t="n">
        <f aca="false">E407*F407</f>
        <v>0</v>
      </c>
      <c r="I407" s="55" t="n">
        <v>7890</v>
      </c>
      <c r="J407" s="56"/>
      <c r="K407" s="57" t="n">
        <v>16</v>
      </c>
      <c r="L407" s="22" t="s">
        <v>44</v>
      </c>
      <c r="M407" s="22" t="s">
        <v>721</v>
      </c>
      <c r="N407" s="58" t="n">
        <f aca="false">F407*P407</f>
        <v>0</v>
      </c>
      <c r="O407" s="58" t="n">
        <f aca="false">F407*Q407</f>
        <v>0</v>
      </c>
      <c r="P407" s="58" t="n">
        <v>5.45</v>
      </c>
      <c r="Q407" s="58" t="n">
        <v>0.07</v>
      </c>
      <c r="R407" s="59" t="s">
        <v>1399</v>
      </c>
      <c r="S407" s="22"/>
      <c r="T407" s="11" t="str">
        <f aca="false">"16.12.25"</f>
        <v>16.12.25</v>
      </c>
    </row>
    <row r="408" customFormat="false" ht="7.5" hidden="false" customHeight="true" outlineLevel="2" collapsed="false">
      <c r="A408" s="60" t="str">
        <f aca="false">HYPERLINK("https://disk.yandex.ru/d/wLiZadYxfuy1ig","фото")</f>
        <v>фото</v>
      </c>
      <c r="B408" s="49" t="s">
        <v>1400</v>
      </c>
      <c r="C408" s="50" t="s">
        <v>1401</v>
      </c>
      <c r="D408" s="51"/>
      <c r="E408" s="52" t="n">
        <f aca="false">I408*(1-J408)*(100-E1)/100</f>
        <v>5280</v>
      </c>
      <c r="F408" s="53"/>
      <c r="G408" s="54" t="n">
        <v>4</v>
      </c>
      <c r="H408" s="52" t="n">
        <f aca="false">E408*F408</f>
        <v>0</v>
      </c>
      <c r="I408" s="55" t="n">
        <v>8250</v>
      </c>
      <c r="J408" s="56"/>
      <c r="K408" s="57" t="n">
        <v>0</v>
      </c>
      <c r="L408" s="22" t="s">
        <v>44</v>
      </c>
      <c r="M408" s="22" t="s">
        <v>721</v>
      </c>
      <c r="N408" s="58" t="n">
        <f aca="false">F408*P408</f>
        <v>0</v>
      </c>
      <c r="O408" s="58" t="n">
        <f aca="false">F408*Q408</f>
        <v>0</v>
      </c>
      <c r="P408" s="58" t="n">
        <v>5.7</v>
      </c>
      <c r="Q408" s="58" t="n">
        <v>0.08</v>
      </c>
      <c r="R408" s="59" t="s">
        <v>1402</v>
      </c>
      <c r="S408" s="22"/>
      <c r="T408" s="11" t="str">
        <f aca="false">"16.12.25"</f>
        <v>16.12.25</v>
      </c>
    </row>
    <row r="409" customFormat="false" ht="7.5" hidden="false" customHeight="true" outlineLevel="2" collapsed="false">
      <c r="A409" s="60" t="str">
        <f aca="false">HYPERLINK("https://disk.yandex.ru/d/BF9MsO3vZbxhzQ","фото")</f>
        <v>фото</v>
      </c>
      <c r="B409" s="49" t="s">
        <v>1403</v>
      </c>
      <c r="C409" s="50" t="s">
        <v>1404</v>
      </c>
      <c r="D409" s="51"/>
      <c r="E409" s="52" t="n">
        <f aca="false">I409*(1-J409)*(100-E1)/100</f>
        <v>13779.2</v>
      </c>
      <c r="F409" s="53"/>
      <c r="G409" s="54" t="n">
        <v>1</v>
      </c>
      <c r="H409" s="52" t="n">
        <f aca="false">E409*F409</f>
        <v>0</v>
      </c>
      <c r="I409" s="55" t="n">
        <v>21530</v>
      </c>
      <c r="J409" s="56"/>
      <c r="K409" s="57" t="n">
        <v>0</v>
      </c>
      <c r="L409" s="22" t="s">
        <v>44</v>
      </c>
      <c r="M409" s="22" t="s">
        <v>721</v>
      </c>
      <c r="N409" s="58" t="n">
        <f aca="false">F409*P409</f>
        <v>0</v>
      </c>
      <c r="O409" s="58" t="n">
        <f aca="false">F409*Q409</f>
        <v>0</v>
      </c>
      <c r="P409" s="58" t="n">
        <v>14</v>
      </c>
      <c r="Q409" s="58" t="n">
        <v>0.06</v>
      </c>
      <c r="R409" s="59" t="s">
        <v>1405</v>
      </c>
      <c r="S409" s="22"/>
      <c r="T409" s="11" t="str">
        <f aca="false">"16.12.25"</f>
        <v>16.12.25</v>
      </c>
    </row>
    <row r="410" customFormat="false" ht="7.5" hidden="false" customHeight="true" outlineLevel="2" collapsed="false">
      <c r="A410" s="60" t="str">
        <f aca="false">HYPERLINK("https://disk.yandex.ru/d/g4zg89Pi1XcvPA","фото")</f>
        <v>фото</v>
      </c>
      <c r="B410" s="49" t="s">
        <v>1406</v>
      </c>
      <c r="C410" s="50" t="s">
        <v>1407</v>
      </c>
      <c r="D410" s="51" t="s">
        <v>1408</v>
      </c>
      <c r="E410" s="52" t="n">
        <f aca="false">I410*(1-J410)*(100-E1)/100</f>
        <v>13145.6</v>
      </c>
      <c r="F410" s="53"/>
      <c r="G410" s="54" t="n">
        <v>1</v>
      </c>
      <c r="H410" s="52" t="n">
        <f aca="false">E410*F410</f>
        <v>0</v>
      </c>
      <c r="I410" s="55" t="n">
        <v>20540</v>
      </c>
      <c r="J410" s="56"/>
      <c r="K410" s="57" t="n">
        <v>0</v>
      </c>
      <c r="L410" s="22" t="s">
        <v>44</v>
      </c>
      <c r="M410" s="22" t="s">
        <v>721</v>
      </c>
      <c r="N410" s="58" t="n">
        <f aca="false">F410*P410</f>
        <v>0</v>
      </c>
      <c r="O410" s="58" t="n">
        <f aca="false">F410*Q410</f>
        <v>0</v>
      </c>
      <c r="P410" s="58" t="n">
        <v>13.5</v>
      </c>
      <c r="Q410" s="58" t="n">
        <v>0.06</v>
      </c>
      <c r="R410" s="59" t="s">
        <v>1409</v>
      </c>
      <c r="S410" s="22"/>
      <c r="T410" s="11" t="str">
        <f aca="false">"16.12.25"</f>
        <v>16.12.25</v>
      </c>
    </row>
    <row r="411" customFormat="false" ht="7.5" hidden="false" customHeight="true" outlineLevel="2" collapsed="false">
      <c r="A411" s="60" t="str">
        <f aca="false">HYPERLINK("https://disk.yandex.ru/d/UrYdzVpONj9eZQ","фото")</f>
        <v>фото</v>
      </c>
      <c r="B411" s="49" t="s">
        <v>1410</v>
      </c>
      <c r="C411" s="50" t="s">
        <v>1411</v>
      </c>
      <c r="D411" s="51"/>
      <c r="E411" s="52" t="n">
        <f aca="false">I411*(1-J411)*(100-E1)/100</f>
        <v>15923.2</v>
      </c>
      <c r="F411" s="53"/>
      <c r="G411" s="54" t="n">
        <v>1</v>
      </c>
      <c r="H411" s="52" t="n">
        <f aca="false">E411*F411</f>
        <v>0</v>
      </c>
      <c r="I411" s="55" t="n">
        <v>24880</v>
      </c>
      <c r="J411" s="56"/>
      <c r="K411" s="57" t="n">
        <v>0</v>
      </c>
      <c r="L411" s="22" t="s">
        <v>44</v>
      </c>
      <c r="M411" s="22" t="s">
        <v>721</v>
      </c>
      <c r="N411" s="58" t="n">
        <f aca="false">F411*P411</f>
        <v>0</v>
      </c>
      <c r="O411" s="58" t="n">
        <f aca="false">F411*Q411</f>
        <v>0</v>
      </c>
      <c r="P411" s="58" t="n">
        <v>14.5</v>
      </c>
      <c r="Q411" s="58" t="n">
        <v>0.06</v>
      </c>
      <c r="R411" s="59" t="s">
        <v>1412</v>
      </c>
      <c r="S411" s="22"/>
      <c r="T411" s="11" t="str">
        <f aca="false">"16.12.25"</f>
        <v>16.12.25</v>
      </c>
    </row>
    <row r="412" customFormat="false" ht="7.5" hidden="false" customHeight="true" outlineLevel="2" collapsed="false">
      <c r="A412" s="60" t="str">
        <f aca="false">HYPERLINK("https://disk.360.yandex.ru/d/hgCsizU2J7ELjg","фото")</f>
        <v>фото</v>
      </c>
      <c r="B412" s="49" t="s">
        <v>1413</v>
      </c>
      <c r="C412" s="50" t="s">
        <v>1414</v>
      </c>
      <c r="D412" s="51" t="s">
        <v>1415</v>
      </c>
      <c r="E412" s="52" t="n">
        <f aca="false">I412*(1-J412)*(100-E1)/100</f>
        <v>5619.2</v>
      </c>
      <c r="F412" s="53"/>
      <c r="G412" s="54" t="n">
        <v>4</v>
      </c>
      <c r="H412" s="52" t="n">
        <f aca="false">E412*F412</f>
        <v>0</v>
      </c>
      <c r="I412" s="55" t="n">
        <v>8780</v>
      </c>
      <c r="J412" s="56"/>
      <c r="K412" s="57" t="n">
        <v>2</v>
      </c>
      <c r="L412" s="22" t="s">
        <v>44</v>
      </c>
      <c r="M412" s="22" t="s">
        <v>721</v>
      </c>
      <c r="N412" s="58" t="n">
        <f aca="false">F412*P412</f>
        <v>0</v>
      </c>
      <c r="O412" s="58" t="n">
        <f aca="false">F412*Q412</f>
        <v>0</v>
      </c>
      <c r="P412" s="58" t="n">
        <v>5.6</v>
      </c>
      <c r="Q412" s="58" t="n">
        <v>0.02</v>
      </c>
      <c r="R412" s="59" t="s">
        <v>1416</v>
      </c>
      <c r="S412" s="22"/>
      <c r="T412" s="11" t="str">
        <f aca="false">"16.12.25"</f>
        <v>16.12.25</v>
      </c>
    </row>
    <row r="413" customFormat="false" ht="7.5" hidden="false" customHeight="true" outlineLevel="2" collapsed="false">
      <c r="A413" s="60" t="str">
        <f aca="false">HYPERLINK("https://disk.360.yandex.ru/d/shFuOkRSZsSvTA","фото")</f>
        <v>фото</v>
      </c>
      <c r="B413" s="49" t="s">
        <v>1417</v>
      </c>
      <c r="C413" s="50" t="s">
        <v>1418</v>
      </c>
      <c r="D413" s="51" t="s">
        <v>1419</v>
      </c>
      <c r="E413" s="52" t="n">
        <f aca="false">I413*(1-J413)*(100-E1)/100</f>
        <v>13145.6</v>
      </c>
      <c r="F413" s="53"/>
      <c r="G413" s="54" t="n">
        <v>1</v>
      </c>
      <c r="H413" s="52" t="n">
        <f aca="false">E413*F413</f>
        <v>0</v>
      </c>
      <c r="I413" s="55" t="n">
        <v>20540</v>
      </c>
      <c r="J413" s="56"/>
      <c r="K413" s="57" t="n">
        <v>7</v>
      </c>
      <c r="L413" s="22" t="s">
        <v>44</v>
      </c>
      <c r="M413" s="22" t="s">
        <v>721</v>
      </c>
      <c r="N413" s="58" t="n">
        <f aca="false">F413*P413</f>
        <v>0</v>
      </c>
      <c r="O413" s="58" t="n">
        <f aca="false">F413*Q413</f>
        <v>0</v>
      </c>
      <c r="P413" s="58" t="n">
        <v>13.26</v>
      </c>
      <c r="Q413" s="58" t="n">
        <v>0.05</v>
      </c>
      <c r="R413" s="59" t="s">
        <v>1420</v>
      </c>
      <c r="S413" s="22"/>
      <c r="T413" s="11" t="str">
        <f aca="false">"16.12.25"</f>
        <v>16.12.25</v>
      </c>
    </row>
    <row r="414" customFormat="false" ht="7.5" hidden="false" customHeight="true" outlineLevel="2" collapsed="false">
      <c r="A414" s="60" t="str">
        <f aca="false">HYPERLINK("https://disk.yandex.ru/d/rUErKF-REtNm6w","фото")</f>
        <v>фото</v>
      </c>
      <c r="B414" s="49" t="s">
        <v>1421</v>
      </c>
      <c r="C414" s="50" t="s">
        <v>1422</v>
      </c>
      <c r="D414" s="51"/>
      <c r="E414" s="52" t="n">
        <f aca="false">I414*(1-J414)*(100-E1)/100</f>
        <v>5228.8</v>
      </c>
      <c r="F414" s="53"/>
      <c r="G414" s="54" t="n">
        <v>1</v>
      </c>
      <c r="H414" s="52" t="n">
        <f aca="false">E414*F414</f>
        <v>0</v>
      </c>
      <c r="I414" s="55" t="n">
        <v>8170</v>
      </c>
      <c r="J414" s="56"/>
      <c r="K414" s="57" t="n">
        <v>0</v>
      </c>
      <c r="L414" s="22" t="s">
        <v>44</v>
      </c>
      <c r="M414" s="22"/>
      <c r="N414" s="58" t="n">
        <f aca="false">F414*P414</f>
        <v>0</v>
      </c>
      <c r="O414" s="58" t="n">
        <f aca="false">F414*Q414</f>
        <v>0</v>
      </c>
      <c r="P414" s="58" t="n">
        <v>4.6</v>
      </c>
      <c r="Q414" s="58" t="n">
        <v>0.012</v>
      </c>
      <c r="R414" s="59" t="s">
        <v>1423</v>
      </c>
      <c r="S414" s="22"/>
      <c r="T414" s="11" t="str">
        <f aca="false">"16.12.25"</f>
        <v>16.12.25</v>
      </c>
    </row>
    <row r="415" customFormat="false" ht="7.5" hidden="false" customHeight="true" outlineLevel="2" collapsed="false">
      <c r="A415" s="60" t="str">
        <f aca="false">HYPERLINK("https://disk.yandex.ru/d/Er3s8rlSHa34eA","фото")</f>
        <v>фото</v>
      </c>
      <c r="B415" s="49" t="s">
        <v>1424</v>
      </c>
      <c r="C415" s="50" t="s">
        <v>1425</v>
      </c>
      <c r="D415" s="51"/>
      <c r="E415" s="52" t="n">
        <f aca="false">I415*(1-J415)*(100-E1)/100</f>
        <v>7846.4</v>
      </c>
      <c r="F415" s="53"/>
      <c r="G415" s="54" t="n">
        <v>1</v>
      </c>
      <c r="H415" s="52" t="n">
        <f aca="false">E415*F415</f>
        <v>0</v>
      </c>
      <c r="I415" s="55" t="n">
        <v>12260</v>
      </c>
      <c r="J415" s="56"/>
      <c r="K415" s="57" t="n">
        <v>79</v>
      </c>
      <c r="L415" s="22" t="s">
        <v>44</v>
      </c>
      <c r="M415" s="22"/>
      <c r="N415" s="58" t="n">
        <f aca="false">F415*P415</f>
        <v>0</v>
      </c>
      <c r="O415" s="58" t="n">
        <f aca="false">F415*Q415</f>
        <v>0</v>
      </c>
      <c r="P415" s="58" t="n">
        <v>6.4</v>
      </c>
      <c r="Q415" s="58" t="n">
        <v>0.011</v>
      </c>
      <c r="R415" s="59" t="s">
        <v>1426</v>
      </c>
      <c r="S415" s="22"/>
      <c r="T415" s="11" t="str">
        <f aca="false">"16.12.25"</f>
        <v>16.12.25</v>
      </c>
    </row>
    <row r="416" customFormat="false" ht="7.5" hidden="false" customHeight="true" outlineLevel="2" collapsed="false">
      <c r="A416" s="60" t="str">
        <f aca="false">HYPERLINK("https://disk.yandex.ru/d/XFZhbLtOjp64ZA","фото")</f>
        <v>фото</v>
      </c>
      <c r="B416" s="49" t="s">
        <v>1427</v>
      </c>
      <c r="C416" s="50" t="s">
        <v>1428</v>
      </c>
      <c r="D416" s="51"/>
      <c r="E416" s="52" t="n">
        <f aca="false">I416*(1-J416)*(100-E1)/100</f>
        <v>4659.2</v>
      </c>
      <c r="F416" s="53"/>
      <c r="G416" s="54" t="n">
        <v>4</v>
      </c>
      <c r="H416" s="52" t="n">
        <f aca="false">E416*F416</f>
        <v>0</v>
      </c>
      <c r="I416" s="55" t="n">
        <v>7280</v>
      </c>
      <c r="J416" s="56"/>
      <c r="K416" s="57" t="n">
        <v>19</v>
      </c>
      <c r="L416" s="22" t="s">
        <v>44</v>
      </c>
      <c r="M416" s="22" t="s">
        <v>721</v>
      </c>
      <c r="N416" s="58" t="n">
        <f aca="false">F416*P416</f>
        <v>0</v>
      </c>
      <c r="O416" s="58" t="n">
        <f aca="false">F416*Q416</f>
        <v>0</v>
      </c>
      <c r="P416" s="58" t="n">
        <v>4.6</v>
      </c>
      <c r="Q416" s="58" t="n">
        <v>0.015</v>
      </c>
      <c r="R416" s="59" t="s">
        <v>1429</v>
      </c>
      <c r="S416" s="22"/>
      <c r="T416" s="11" t="str">
        <f aca="false">"16.12.25"</f>
        <v>16.12.25</v>
      </c>
    </row>
    <row r="417" customFormat="false" ht="7.5" hidden="false" customHeight="true" outlineLevel="2" collapsed="false">
      <c r="A417" s="60" t="str">
        <f aca="false">HYPERLINK("https://disk.360.yandex.ru/d/kVdmy9k3hGjdiQ","фото")</f>
        <v>фото</v>
      </c>
      <c r="B417" s="49" t="s">
        <v>1430</v>
      </c>
      <c r="C417" s="50" t="s">
        <v>1431</v>
      </c>
      <c r="D417" s="51" t="s">
        <v>1432</v>
      </c>
      <c r="E417" s="52" t="n">
        <f aca="false">I417*(1-J417)*(100-E1)/100</f>
        <v>5049.6</v>
      </c>
      <c r="F417" s="53"/>
      <c r="G417" s="54" t="n">
        <v>4</v>
      </c>
      <c r="H417" s="52" t="n">
        <f aca="false">E417*F417</f>
        <v>0</v>
      </c>
      <c r="I417" s="55" t="n">
        <v>7890</v>
      </c>
      <c r="J417" s="56"/>
      <c r="K417" s="57" t="n">
        <v>0</v>
      </c>
      <c r="L417" s="22" t="s">
        <v>44</v>
      </c>
      <c r="M417" s="22" t="s">
        <v>721</v>
      </c>
      <c r="N417" s="58" t="n">
        <f aca="false">F417*P417</f>
        <v>0</v>
      </c>
      <c r="O417" s="58" t="n">
        <f aca="false">F417*Q417</f>
        <v>0</v>
      </c>
      <c r="P417" s="58" t="n">
        <v>20.24</v>
      </c>
      <c r="Q417" s="58" t="n">
        <v>0.018</v>
      </c>
      <c r="R417" s="59" t="s">
        <v>1433</v>
      </c>
      <c r="S417" s="22"/>
      <c r="T417" s="11" t="str">
        <f aca="false">"16.12.25"</f>
        <v>16.12.25</v>
      </c>
    </row>
    <row r="418" customFormat="false" ht="7.5" hidden="false" customHeight="true" outlineLevel="2" collapsed="false">
      <c r="A418" s="60" t="str">
        <f aca="false">HYPERLINK("https://disk.360.yandex.ru/d/5AmWte3lty8nZA","фото")</f>
        <v>фото</v>
      </c>
      <c r="B418" s="49" t="s">
        <v>1434</v>
      </c>
      <c r="C418" s="50" t="s">
        <v>1435</v>
      </c>
      <c r="D418" s="51" t="s">
        <v>1436</v>
      </c>
      <c r="E418" s="52" t="n">
        <f aca="false">I418*(1-J418)*(100-E1)/100</f>
        <v>5280</v>
      </c>
      <c r="F418" s="53"/>
      <c r="G418" s="54" t="n">
        <v>4</v>
      </c>
      <c r="H418" s="52" t="n">
        <f aca="false">E418*F418</f>
        <v>0</v>
      </c>
      <c r="I418" s="55" t="n">
        <v>8250</v>
      </c>
      <c r="J418" s="56"/>
      <c r="K418" s="57" t="n">
        <v>0</v>
      </c>
      <c r="L418" s="22" t="s">
        <v>44</v>
      </c>
      <c r="M418" s="22" t="s">
        <v>721</v>
      </c>
      <c r="N418" s="58" t="n">
        <f aca="false">F418*P418</f>
        <v>0</v>
      </c>
      <c r="O418" s="58" t="n">
        <f aca="false">F418*Q418</f>
        <v>0</v>
      </c>
      <c r="P418" s="58" t="n">
        <v>5.63</v>
      </c>
      <c r="Q418" s="58" t="n">
        <v>0.013</v>
      </c>
      <c r="R418" s="59" t="s">
        <v>1437</v>
      </c>
      <c r="S418" s="22"/>
      <c r="T418" s="11" t="str">
        <f aca="false">"16.12.25"</f>
        <v>16.12.25</v>
      </c>
    </row>
    <row r="419" customFormat="false" ht="7.5" hidden="false" customHeight="true" outlineLevel="2" collapsed="false">
      <c r="A419" s="60" t="str">
        <f aca="false">HYPERLINK("https://disk.360.yandex.ru/d/ilRXCGvxtq-sXA","фото")</f>
        <v>фото</v>
      </c>
      <c r="B419" s="49" t="s">
        <v>1438</v>
      </c>
      <c r="C419" s="50" t="s">
        <v>1439</v>
      </c>
      <c r="D419" s="51" t="s">
        <v>1440</v>
      </c>
      <c r="E419" s="52" t="n">
        <f aca="false">I419*(1-J419)*(100-E1)/100</f>
        <v>7046.4</v>
      </c>
      <c r="F419" s="53"/>
      <c r="G419" s="54" t="n">
        <v>3</v>
      </c>
      <c r="H419" s="52" t="n">
        <f aca="false">E419*F419</f>
        <v>0</v>
      </c>
      <c r="I419" s="55" t="n">
        <v>11010</v>
      </c>
      <c r="J419" s="56"/>
      <c r="K419" s="57" t="n">
        <v>0</v>
      </c>
      <c r="L419" s="22" t="s">
        <v>44</v>
      </c>
      <c r="M419" s="22"/>
      <c r="N419" s="58" t="n">
        <f aca="false">F419*P419</f>
        <v>0</v>
      </c>
      <c r="O419" s="58" t="n">
        <f aca="false">F419*Q419</f>
        <v>0</v>
      </c>
      <c r="P419" s="58" t="n">
        <v>20.24</v>
      </c>
      <c r="Q419" s="58" t="n">
        <v>0.027</v>
      </c>
      <c r="R419" s="59" t="s">
        <v>1441</v>
      </c>
      <c r="S419" s="22"/>
      <c r="T419" s="11" t="str">
        <f aca="false">"16.12.25"</f>
        <v>16.12.25</v>
      </c>
    </row>
    <row r="420" customFormat="false" ht="7.5" hidden="false" customHeight="true" outlineLevel="2" collapsed="false">
      <c r="A420" s="60" t="str">
        <f aca="false">HYPERLINK("https://disk.360.yandex.ru/d/CriEpCO86rPKpA","фото")</f>
        <v>фото</v>
      </c>
      <c r="B420" s="49" t="s">
        <v>1442</v>
      </c>
      <c r="C420" s="50" t="s">
        <v>1443</v>
      </c>
      <c r="D420" s="51" t="s">
        <v>1432</v>
      </c>
      <c r="E420" s="52" t="n">
        <f aca="false">I420*(1-J420)*(100-E1)/100</f>
        <v>7846.4</v>
      </c>
      <c r="F420" s="53"/>
      <c r="G420" s="54" t="n">
        <v>3</v>
      </c>
      <c r="H420" s="52" t="n">
        <f aca="false">E420*F420</f>
        <v>0</v>
      </c>
      <c r="I420" s="55" t="n">
        <v>12260</v>
      </c>
      <c r="J420" s="56"/>
      <c r="K420" s="57" t="n">
        <v>456</v>
      </c>
      <c r="L420" s="22" t="s">
        <v>44</v>
      </c>
      <c r="M420" s="22"/>
      <c r="N420" s="58" t="n">
        <f aca="false">F420*P420</f>
        <v>0</v>
      </c>
      <c r="O420" s="58" t="n">
        <f aca="false">F420*Q420</f>
        <v>0</v>
      </c>
      <c r="P420" s="58" t="n">
        <v>11</v>
      </c>
      <c r="Q420" s="58" t="n">
        <v>0.026</v>
      </c>
      <c r="R420" s="59" t="s">
        <v>1444</v>
      </c>
      <c r="S420" s="22"/>
      <c r="T420" s="11" t="str">
        <f aca="false">"16.12.25"</f>
        <v>16.12.25</v>
      </c>
    </row>
    <row r="421" customFormat="false" ht="7.5" hidden="false" customHeight="true" outlineLevel="2" collapsed="false">
      <c r="A421" s="60" t="str">
        <f aca="false">HYPERLINK("https://disk.360.yandex.ru/d/IKg7HcJXdOpPiQ","фото")</f>
        <v>фото</v>
      </c>
      <c r="B421" s="49" t="s">
        <v>1445</v>
      </c>
      <c r="C421" s="50" t="s">
        <v>1446</v>
      </c>
      <c r="D421" s="51" t="s">
        <v>1447</v>
      </c>
      <c r="E421" s="52" t="n">
        <f aca="false">I421*(1-J421)*(100-E1)/100</f>
        <v>4224</v>
      </c>
      <c r="F421" s="53"/>
      <c r="G421" s="54" t="n">
        <v>4</v>
      </c>
      <c r="H421" s="52" t="n">
        <f aca="false">E421*F421</f>
        <v>0</v>
      </c>
      <c r="I421" s="55" t="n">
        <v>8250</v>
      </c>
      <c r="J421" s="56" t="n">
        <v>0.2</v>
      </c>
      <c r="K421" s="57" t="n">
        <v>99</v>
      </c>
      <c r="L421" s="22" t="s">
        <v>44</v>
      </c>
      <c r="M421" s="22" t="s">
        <v>31</v>
      </c>
      <c r="N421" s="58" t="n">
        <f aca="false">F421*P421</f>
        <v>0</v>
      </c>
      <c r="O421" s="58" t="n">
        <f aca="false">F421*Q421</f>
        <v>0</v>
      </c>
      <c r="P421" s="58" t="n">
        <v>5.6</v>
      </c>
      <c r="Q421" s="58" t="n">
        <v>0.01</v>
      </c>
      <c r="R421" s="59" t="s">
        <v>1448</v>
      </c>
      <c r="S421" s="22"/>
      <c r="T421" s="11" t="str">
        <f aca="false">"16.12.25"</f>
        <v>16.12.25</v>
      </c>
    </row>
    <row r="422" customFormat="false" ht="7.5" hidden="false" customHeight="true" outlineLevel="2" collapsed="false">
      <c r="A422" s="60" t="str">
        <f aca="false">HYPERLINK("https://disk.360.yandex.ru/d/l4tFxnPObgyzYQ","фото")</f>
        <v>фото</v>
      </c>
      <c r="B422" s="49" t="s">
        <v>1449</v>
      </c>
      <c r="C422" s="50" t="s">
        <v>1450</v>
      </c>
      <c r="D422" s="51" t="s">
        <v>1451</v>
      </c>
      <c r="E422" s="52" t="n">
        <f aca="false">I422*(1-J422)*(100-E1)/100</f>
        <v>11023.36</v>
      </c>
      <c r="F422" s="53"/>
      <c r="G422" s="54" t="n">
        <v>1</v>
      </c>
      <c r="H422" s="52" t="n">
        <f aca="false">E422*F422</f>
        <v>0</v>
      </c>
      <c r="I422" s="55" t="n">
        <v>21530</v>
      </c>
      <c r="J422" s="56" t="n">
        <v>0.2</v>
      </c>
      <c r="K422" s="57" t="n">
        <v>35</v>
      </c>
      <c r="L422" s="22" t="s">
        <v>44</v>
      </c>
      <c r="M422" s="22" t="s">
        <v>31</v>
      </c>
      <c r="N422" s="58" t="n">
        <f aca="false">F422*P422</f>
        <v>0</v>
      </c>
      <c r="O422" s="58" t="n">
        <f aca="false">F422*Q422</f>
        <v>0</v>
      </c>
      <c r="P422" s="58" t="n">
        <v>14</v>
      </c>
      <c r="Q422" s="58" t="n">
        <v>0.06</v>
      </c>
      <c r="R422" s="59" t="s">
        <v>1452</v>
      </c>
      <c r="S422" s="22"/>
      <c r="T422" s="11" t="str">
        <f aca="false">"16.12.25"</f>
        <v>16.12.25</v>
      </c>
    </row>
    <row r="423" customFormat="false" ht="7.5" hidden="false" customHeight="true" outlineLevel="2" collapsed="false">
      <c r="A423" s="60" t="str">
        <f aca="false">HYPERLINK("https://disk.360.yandex.ru/d/mzNeZLQgeAnbZA","фото")</f>
        <v>фото</v>
      </c>
      <c r="B423" s="49" t="s">
        <v>1453</v>
      </c>
      <c r="C423" s="50" t="s">
        <v>1454</v>
      </c>
      <c r="D423" s="51" t="s">
        <v>1455</v>
      </c>
      <c r="E423" s="52" t="n">
        <f aca="false">I423*(1-J423)*(100-E1)/100</f>
        <v>3351.04</v>
      </c>
      <c r="F423" s="53"/>
      <c r="G423" s="54" t="n">
        <v>4</v>
      </c>
      <c r="H423" s="52" t="n">
        <f aca="false">E423*F423</f>
        <v>0</v>
      </c>
      <c r="I423" s="55" t="n">
        <v>6160</v>
      </c>
      <c r="J423" s="56" t="n">
        <v>0.15</v>
      </c>
      <c r="K423" s="57" t="n">
        <v>1010</v>
      </c>
      <c r="L423" s="22" t="s">
        <v>44</v>
      </c>
      <c r="M423" s="22"/>
      <c r="N423" s="58" t="n">
        <f aca="false">F423*P423</f>
        <v>0</v>
      </c>
      <c r="O423" s="58" t="n">
        <f aca="false">F423*Q423</f>
        <v>0</v>
      </c>
      <c r="P423" s="58" t="n">
        <v>4.322</v>
      </c>
      <c r="Q423" s="58" t="n">
        <v>0.017</v>
      </c>
      <c r="R423" s="59" t="s">
        <v>1456</v>
      </c>
      <c r="S423" s="22"/>
      <c r="T423" s="11" t="str">
        <f aca="false">"16.12.25"</f>
        <v>16.12.25</v>
      </c>
    </row>
    <row r="424" customFormat="false" ht="7.5" hidden="false" customHeight="true" outlineLevel="2" collapsed="false">
      <c r="A424" s="60" t="str">
        <f aca="false">HYPERLINK("https://disk.yandex.ru/d/ulkOIAIvxMur0A","фото")</f>
        <v>фото</v>
      </c>
      <c r="B424" s="49" t="s">
        <v>1457</v>
      </c>
      <c r="C424" s="50" t="s">
        <v>1458</v>
      </c>
      <c r="D424" s="51" t="s">
        <v>1455</v>
      </c>
      <c r="E424" s="52" t="n">
        <f aca="false">I424*(1-J424)*(100-E1)/100</f>
        <v>3960.32</v>
      </c>
      <c r="F424" s="53"/>
      <c r="G424" s="54" t="n">
        <v>4</v>
      </c>
      <c r="H424" s="52" t="n">
        <f aca="false">E424*F424</f>
        <v>0</v>
      </c>
      <c r="I424" s="55" t="n">
        <v>7280</v>
      </c>
      <c r="J424" s="56" t="n">
        <v>0.15</v>
      </c>
      <c r="K424" s="57" t="n">
        <v>2205</v>
      </c>
      <c r="L424" s="22" t="s">
        <v>44</v>
      </c>
      <c r="M424" s="22" t="s">
        <v>15</v>
      </c>
      <c r="N424" s="58" t="n">
        <f aca="false">F424*P424</f>
        <v>0</v>
      </c>
      <c r="O424" s="58" t="n">
        <f aca="false">F424*Q424</f>
        <v>0</v>
      </c>
      <c r="P424" s="58" t="n">
        <v>5.2</v>
      </c>
      <c r="Q424" s="58" t="n">
        <v>0.02</v>
      </c>
      <c r="R424" s="59" t="s">
        <v>1459</v>
      </c>
      <c r="S424" s="22"/>
      <c r="T424" s="11" t="str">
        <f aca="false">"16.12.25"</f>
        <v>16.12.25</v>
      </c>
    </row>
    <row r="425" customFormat="false" ht="7.5" hidden="false" customHeight="true" outlineLevel="2" collapsed="false">
      <c r="A425" s="60" t="str">
        <f aca="false">HYPERLINK("https://disk.yandex.ru/d/8lXyqHcILMfPWQ","фото")</f>
        <v>фото</v>
      </c>
      <c r="B425" s="49" t="s">
        <v>1460</v>
      </c>
      <c r="C425" s="50" t="s">
        <v>1461</v>
      </c>
      <c r="D425" s="51" t="s">
        <v>1462</v>
      </c>
      <c r="E425" s="52" t="n">
        <f aca="false">I425*(1-J425)*(100-E1)/100</f>
        <v>7046.4</v>
      </c>
      <c r="F425" s="53"/>
      <c r="G425" s="54" t="n">
        <v>3</v>
      </c>
      <c r="H425" s="52" t="n">
        <f aca="false">E425*F425</f>
        <v>0</v>
      </c>
      <c r="I425" s="55" t="n">
        <v>11010</v>
      </c>
      <c r="J425" s="56"/>
      <c r="K425" s="57" t="n">
        <v>0</v>
      </c>
      <c r="L425" s="22" t="s">
        <v>44</v>
      </c>
      <c r="M425" s="22"/>
      <c r="N425" s="58" t="n">
        <f aca="false">F425*P425</f>
        <v>0</v>
      </c>
      <c r="O425" s="58" t="n">
        <f aca="false">F425*Q425</f>
        <v>0</v>
      </c>
      <c r="P425" s="58" t="n">
        <v>8.5</v>
      </c>
      <c r="Q425" s="58" t="n">
        <v>0.025</v>
      </c>
      <c r="R425" s="59" t="s">
        <v>1463</v>
      </c>
      <c r="S425" s="22"/>
      <c r="T425" s="11" t="str">
        <f aca="false">"16.12.25"</f>
        <v>16.12.25</v>
      </c>
    </row>
    <row r="426" customFormat="false" ht="7.5" hidden="false" customHeight="true" outlineLevel="2" collapsed="false">
      <c r="A426" s="60" t="str">
        <f aca="false">HYPERLINK("https://disk.360.yandex.ru/d/UjT_b47Tu1LRDQ","фото")</f>
        <v>фото</v>
      </c>
      <c r="B426" s="49" t="s">
        <v>1464</v>
      </c>
      <c r="C426" s="50" t="s">
        <v>1465</v>
      </c>
      <c r="D426" s="51" t="s">
        <v>1466</v>
      </c>
      <c r="E426" s="52" t="n">
        <f aca="false">I426*(1-J426)*(100-E1)/100</f>
        <v>6653.12</v>
      </c>
      <c r="F426" s="53"/>
      <c r="G426" s="54" t="n">
        <v>1</v>
      </c>
      <c r="H426" s="52" t="n">
        <f aca="false">E426*F426</f>
        <v>0</v>
      </c>
      <c r="I426" s="55" t="n">
        <v>12230</v>
      </c>
      <c r="J426" s="56" t="n">
        <v>0.15</v>
      </c>
      <c r="K426" s="57" t="n">
        <v>0</v>
      </c>
      <c r="L426" s="22" t="s">
        <v>44</v>
      </c>
      <c r="M426" s="22"/>
      <c r="N426" s="58" t="n">
        <f aca="false">F426*P426</f>
        <v>0</v>
      </c>
      <c r="O426" s="58" t="n">
        <f aca="false">F426*Q426</f>
        <v>0</v>
      </c>
      <c r="P426" s="58" t="n">
        <v>8.1</v>
      </c>
      <c r="Q426" s="58" t="n">
        <v>0.05</v>
      </c>
      <c r="R426" s="59" t="s">
        <v>1467</v>
      </c>
      <c r="S426" s="22"/>
      <c r="T426" s="11" t="str">
        <f aca="false">"16.12.25"</f>
        <v>16.12.25</v>
      </c>
    </row>
    <row r="427" customFormat="false" ht="7.5" hidden="false" customHeight="true" outlineLevel="2" collapsed="false">
      <c r="A427" s="60" t="str">
        <f aca="false">HYPERLINK("https://disk.360.yandex.ru/d/vW_a8516BLZHYw","фото")</f>
        <v>фото</v>
      </c>
      <c r="B427" s="49" t="s">
        <v>1468</v>
      </c>
      <c r="C427" s="50" t="s">
        <v>1469</v>
      </c>
      <c r="D427" s="51" t="s">
        <v>1470</v>
      </c>
      <c r="E427" s="52" t="n">
        <f aca="false">I427*(1-J427)*(100-E1)/100</f>
        <v>7846.4</v>
      </c>
      <c r="F427" s="53"/>
      <c r="G427" s="54" t="n">
        <v>3</v>
      </c>
      <c r="H427" s="52" t="n">
        <f aca="false">E427*F427</f>
        <v>0</v>
      </c>
      <c r="I427" s="55" t="n">
        <v>12260</v>
      </c>
      <c r="J427" s="56"/>
      <c r="K427" s="57" t="n">
        <v>809</v>
      </c>
      <c r="L427" s="22" t="s">
        <v>44</v>
      </c>
      <c r="M427" s="22"/>
      <c r="N427" s="58" t="n">
        <f aca="false">F427*P427</f>
        <v>0</v>
      </c>
      <c r="O427" s="58" t="n">
        <f aca="false">F427*Q427</f>
        <v>0</v>
      </c>
      <c r="P427" s="58" t="n">
        <v>8.63</v>
      </c>
      <c r="Q427" s="58" t="n">
        <v>0.033</v>
      </c>
      <c r="R427" s="59" t="s">
        <v>1471</v>
      </c>
      <c r="S427" s="22"/>
      <c r="T427" s="11" t="str">
        <f aca="false">"16.12.25"</f>
        <v>16.12.25</v>
      </c>
    </row>
    <row r="428" customFormat="false" ht="7.5" hidden="false" customHeight="true" outlineLevel="2" collapsed="false">
      <c r="A428" s="60" t="str">
        <f aca="false">HYPERLINK("https://disk.yandex.ru/d/m9SfwRCeGL1wdg","фото")</f>
        <v>фото</v>
      </c>
      <c r="B428" s="49" t="s">
        <v>1472</v>
      </c>
      <c r="C428" s="50" t="s">
        <v>1473</v>
      </c>
      <c r="D428" s="51" t="s">
        <v>1474</v>
      </c>
      <c r="E428" s="52" t="n">
        <f aca="false">I428*(1-J428)*(100-E1)/100</f>
        <v>4495.36</v>
      </c>
      <c r="F428" s="53"/>
      <c r="G428" s="54" t="n">
        <v>4</v>
      </c>
      <c r="H428" s="52" t="n">
        <f aca="false">E428*F428</f>
        <v>0</v>
      </c>
      <c r="I428" s="55" t="n">
        <v>8780</v>
      </c>
      <c r="J428" s="56" t="n">
        <v>0.2</v>
      </c>
      <c r="K428" s="57" t="n">
        <v>874</v>
      </c>
      <c r="L428" s="22" t="s">
        <v>44</v>
      </c>
      <c r="M428" s="22" t="s">
        <v>31</v>
      </c>
      <c r="N428" s="58" t="n">
        <f aca="false">F428*P428</f>
        <v>0</v>
      </c>
      <c r="O428" s="58" t="n">
        <f aca="false">F428*Q428</f>
        <v>0</v>
      </c>
      <c r="P428" s="58" t="n">
        <v>5.6</v>
      </c>
      <c r="Q428" s="58" t="n">
        <v>0.02</v>
      </c>
      <c r="R428" s="59" t="s">
        <v>1475</v>
      </c>
      <c r="S428" s="22"/>
      <c r="T428" s="11" t="str">
        <f aca="false">"16.12.25"</f>
        <v>16.12.25</v>
      </c>
    </row>
    <row r="429" customFormat="false" ht="7.5" hidden="false" customHeight="true" outlineLevel="2" collapsed="false">
      <c r="A429" s="60" t="str">
        <f aca="false">HYPERLINK("https://disk.360.yandex.ru/d/KQbisBFrwjYOXw","фото")</f>
        <v>фото</v>
      </c>
      <c r="B429" s="49" t="s">
        <v>1476</v>
      </c>
      <c r="C429" s="50" t="s">
        <v>1477</v>
      </c>
      <c r="D429" s="51" t="s">
        <v>1478</v>
      </c>
      <c r="E429" s="52" t="n">
        <f aca="false">I429*(1-J429)*(100-E1)/100</f>
        <v>6073.6</v>
      </c>
      <c r="F429" s="53"/>
      <c r="G429" s="54" t="n">
        <v>1</v>
      </c>
      <c r="H429" s="52" t="n">
        <f aca="false">E429*F429</f>
        <v>0</v>
      </c>
      <c r="I429" s="55" t="n">
        <v>9490</v>
      </c>
      <c r="J429" s="56"/>
      <c r="K429" s="57" t="n">
        <v>1962</v>
      </c>
      <c r="L429" s="22" t="s">
        <v>44</v>
      </c>
      <c r="M429" s="22"/>
      <c r="N429" s="58" t="n">
        <f aca="false">F429*P429</f>
        <v>0</v>
      </c>
      <c r="O429" s="58" t="n">
        <f aca="false">F429*Q429</f>
        <v>0</v>
      </c>
      <c r="P429" s="58" t="n">
        <v>5.99</v>
      </c>
      <c r="Q429" s="58" t="n">
        <v>0.08</v>
      </c>
      <c r="R429" s="59" t="s">
        <v>1479</v>
      </c>
      <c r="S429" s="22"/>
      <c r="T429" s="11" t="str">
        <f aca="false">"16.12.25"</f>
        <v>16.12.25</v>
      </c>
    </row>
    <row r="430" customFormat="false" ht="7.5" hidden="false" customHeight="true" outlineLevel="2" collapsed="false">
      <c r="A430" s="60" t="str">
        <f aca="false">HYPERLINK("https://disk.yandex.ru/d/rjZvFfUb6E0MVg","фото")</f>
        <v>фото</v>
      </c>
      <c r="B430" s="49" t="s">
        <v>1480</v>
      </c>
      <c r="C430" s="50" t="s">
        <v>1481</v>
      </c>
      <c r="D430" s="51" t="s">
        <v>1482</v>
      </c>
      <c r="E430" s="52" t="n">
        <f aca="false">I430*(1-J430)*(100-E1)/100</f>
        <v>11411.2</v>
      </c>
      <c r="F430" s="53"/>
      <c r="G430" s="54" t="n">
        <v>1</v>
      </c>
      <c r="H430" s="52" t="n">
        <f aca="false">E430*F430</f>
        <v>0</v>
      </c>
      <c r="I430" s="55" t="n">
        <v>17830</v>
      </c>
      <c r="J430" s="56"/>
      <c r="K430" s="57" t="n">
        <v>21</v>
      </c>
      <c r="L430" s="22" t="s">
        <v>44</v>
      </c>
      <c r="M430" s="22"/>
      <c r="N430" s="58" t="n">
        <f aca="false">F430*P430</f>
        <v>0</v>
      </c>
      <c r="O430" s="58" t="n">
        <f aca="false">F430*Q430</f>
        <v>0</v>
      </c>
      <c r="P430" s="58" t="n">
        <v>12</v>
      </c>
      <c r="Q430" s="58" t="n">
        <v>0.061</v>
      </c>
      <c r="R430" s="59" t="s">
        <v>1483</v>
      </c>
      <c r="S430" s="22"/>
      <c r="T430" s="11" t="str">
        <f aca="false">"16.12.25"</f>
        <v>16.12.25</v>
      </c>
    </row>
    <row r="431" customFormat="false" ht="7.5" hidden="false" customHeight="true" outlineLevel="2" collapsed="false">
      <c r="A431" s="60" t="str">
        <f aca="false">HYPERLINK("https://disk.360.yandex.ru/d/RdD82SUY8iCzPg","фото")</f>
        <v>фото</v>
      </c>
      <c r="B431" s="49" t="s">
        <v>1484</v>
      </c>
      <c r="C431" s="50" t="s">
        <v>1485</v>
      </c>
      <c r="D431" s="51" t="s">
        <v>1486</v>
      </c>
      <c r="E431" s="52" t="n">
        <f aca="false">I431*(1-J431)*(100-E1)/100</f>
        <v>13779.2</v>
      </c>
      <c r="F431" s="53"/>
      <c r="G431" s="54" t="n">
        <v>1</v>
      </c>
      <c r="H431" s="52" t="n">
        <f aca="false">E431*F431</f>
        <v>0</v>
      </c>
      <c r="I431" s="55" t="n">
        <v>21530</v>
      </c>
      <c r="J431" s="56"/>
      <c r="K431" s="57" t="n">
        <v>1706</v>
      </c>
      <c r="L431" s="22" t="s">
        <v>44</v>
      </c>
      <c r="M431" s="22"/>
      <c r="N431" s="58" t="n">
        <f aca="false">F431*P431</f>
        <v>0</v>
      </c>
      <c r="O431" s="58" t="n">
        <f aca="false">F431*Q431</f>
        <v>0</v>
      </c>
      <c r="P431" s="58" t="n">
        <v>15</v>
      </c>
      <c r="Q431" s="58" t="n">
        <v>0.065</v>
      </c>
      <c r="R431" s="59" t="s">
        <v>1487</v>
      </c>
      <c r="S431" s="22"/>
      <c r="T431" s="11" t="str">
        <f aca="false">"16.12.25"</f>
        <v>16.12.25</v>
      </c>
    </row>
    <row r="432" customFormat="false" ht="7.5" hidden="false" customHeight="true" outlineLevel="2" collapsed="false">
      <c r="A432" s="60" t="str">
        <f aca="false">HYPERLINK("https://disk.yandex.ru/d/c-wfaeTA_p7uxw","фото")</f>
        <v>фото</v>
      </c>
      <c r="B432" s="49" t="s">
        <v>1488</v>
      </c>
      <c r="C432" s="50" t="s">
        <v>1489</v>
      </c>
      <c r="D432" s="51" t="s">
        <v>1490</v>
      </c>
      <c r="E432" s="52" t="n">
        <f aca="false">I432*(1-J432)*(100-E1)/100</f>
        <v>8070.4</v>
      </c>
      <c r="F432" s="53"/>
      <c r="G432" s="54"/>
      <c r="H432" s="52" t="n">
        <f aca="false">E432*F432</f>
        <v>0</v>
      </c>
      <c r="I432" s="55" t="n">
        <v>12610</v>
      </c>
      <c r="J432" s="56"/>
      <c r="K432" s="57" t="n">
        <v>1993</v>
      </c>
      <c r="L432" s="22" t="s">
        <v>44</v>
      </c>
      <c r="M432" s="22" t="s">
        <v>152</v>
      </c>
      <c r="N432" s="58" t="n">
        <f aca="false">F432*P432</f>
        <v>0</v>
      </c>
      <c r="O432" s="58" t="n">
        <f aca="false">F432*Q432</f>
        <v>0</v>
      </c>
      <c r="P432" s="58" t="n">
        <v>13</v>
      </c>
      <c r="Q432" s="58" t="n">
        <v>0.063</v>
      </c>
      <c r="R432" s="59" t="s">
        <v>1491</v>
      </c>
      <c r="S432" s="22"/>
      <c r="T432" s="11" t="str">
        <f aca="false">"16.12.25"</f>
        <v>16.12.25</v>
      </c>
    </row>
    <row r="433" customFormat="false" ht="7.5" hidden="false" customHeight="true" outlineLevel="2" collapsed="false">
      <c r="A433" s="60" t="str">
        <f aca="false">HYPERLINK("https://disk.yandex.ru/d/VxKme264ara1jg","фото")</f>
        <v>фото</v>
      </c>
      <c r="B433" s="49" t="s">
        <v>1492</v>
      </c>
      <c r="C433" s="50" t="s">
        <v>1493</v>
      </c>
      <c r="D433" s="51" t="s">
        <v>1490</v>
      </c>
      <c r="E433" s="52" t="n">
        <f aca="false">I433*(1-J433)*(100-E1)/100</f>
        <v>14105.6</v>
      </c>
      <c r="F433" s="53"/>
      <c r="G433" s="54" t="n">
        <v>1</v>
      </c>
      <c r="H433" s="52" t="n">
        <f aca="false">E433*F433</f>
        <v>0</v>
      </c>
      <c r="I433" s="55" t="n">
        <v>22040</v>
      </c>
      <c r="J433" s="56"/>
      <c r="K433" s="57" t="n">
        <v>-1</v>
      </c>
      <c r="L433" s="22" t="s">
        <v>44</v>
      </c>
      <c r="M433" s="22"/>
      <c r="N433" s="58" t="n">
        <f aca="false">F433*P433</f>
        <v>0</v>
      </c>
      <c r="O433" s="58" t="n">
        <f aca="false">F433*Q433</f>
        <v>0</v>
      </c>
      <c r="P433" s="58" t="n">
        <v>12.15</v>
      </c>
      <c r="Q433" s="58" t="n">
        <v>0.063</v>
      </c>
      <c r="R433" s="59" t="s">
        <v>1494</v>
      </c>
      <c r="S433" s="22"/>
      <c r="T433" s="11" t="str">
        <f aca="false">"16.12.25"</f>
        <v>16.12.25</v>
      </c>
    </row>
    <row r="434" customFormat="false" ht="7.5" hidden="false" customHeight="true" outlineLevel="2" collapsed="false">
      <c r="A434" s="60" t="str">
        <f aca="false">HYPERLINK("https://disk.yandex.ru/d/IZGulTrOSZQFXg","фото")</f>
        <v>фото</v>
      </c>
      <c r="B434" s="49" t="s">
        <v>1495</v>
      </c>
      <c r="C434" s="50" t="s">
        <v>1496</v>
      </c>
      <c r="D434" s="51" t="s">
        <v>1497</v>
      </c>
      <c r="E434" s="52" t="n">
        <f aca="false">I434*(1-J434)*(100-E1)/100</f>
        <v>14451.2</v>
      </c>
      <c r="F434" s="53"/>
      <c r="G434" s="54" t="n">
        <v>1</v>
      </c>
      <c r="H434" s="52" t="n">
        <f aca="false">E434*F434</f>
        <v>0</v>
      </c>
      <c r="I434" s="55" t="n">
        <v>22580</v>
      </c>
      <c r="J434" s="56"/>
      <c r="K434" s="57" t="n">
        <v>785</v>
      </c>
      <c r="L434" s="22" t="s">
        <v>44</v>
      </c>
      <c r="M434" s="22"/>
      <c r="N434" s="58" t="n">
        <f aca="false">F434*P434</f>
        <v>0</v>
      </c>
      <c r="O434" s="58" t="n">
        <f aca="false">F434*Q434</f>
        <v>0</v>
      </c>
      <c r="P434" s="58" t="n">
        <v>13</v>
      </c>
      <c r="Q434" s="58" t="n">
        <v>0.063</v>
      </c>
      <c r="R434" s="59" t="s">
        <v>1498</v>
      </c>
      <c r="S434" s="22"/>
      <c r="T434" s="11" t="str">
        <f aca="false">"16.12.25"</f>
        <v>16.12.25</v>
      </c>
    </row>
    <row r="435" customFormat="false" ht="7.5" hidden="false" customHeight="true" outlineLevel="2" collapsed="false">
      <c r="A435" s="60" t="str">
        <f aca="false">HYPERLINK("https://disk.yandex.ru/d/KQTdX2JFIqiGfw","фото")</f>
        <v>фото</v>
      </c>
      <c r="B435" s="49" t="s">
        <v>1499</v>
      </c>
      <c r="C435" s="50" t="s">
        <v>1500</v>
      </c>
      <c r="D435" s="51" t="s">
        <v>1501</v>
      </c>
      <c r="E435" s="52" t="n">
        <f aca="false">I435*(1-J435)*(100-E1)/100</f>
        <v>15372.8</v>
      </c>
      <c r="F435" s="53"/>
      <c r="G435" s="54" t="n">
        <v>1</v>
      </c>
      <c r="H435" s="52" t="n">
        <f aca="false">E435*F435</f>
        <v>0</v>
      </c>
      <c r="I435" s="55" t="n">
        <v>24020</v>
      </c>
      <c r="J435" s="56"/>
      <c r="K435" s="57" t="n">
        <v>687</v>
      </c>
      <c r="L435" s="22" t="s">
        <v>44</v>
      </c>
      <c r="M435" s="22"/>
      <c r="N435" s="58" t="n">
        <f aca="false">F435*P435</f>
        <v>0</v>
      </c>
      <c r="O435" s="58" t="n">
        <f aca="false">F435*Q435</f>
        <v>0</v>
      </c>
      <c r="P435" s="58" t="n">
        <v>14.18</v>
      </c>
      <c r="Q435" s="58" t="n">
        <v>0.05</v>
      </c>
      <c r="R435" s="59" t="s">
        <v>1502</v>
      </c>
      <c r="S435" s="22"/>
      <c r="T435" s="11" t="str">
        <f aca="false">"16.12.25"</f>
        <v>16.12.25</v>
      </c>
    </row>
    <row r="436" customFormat="false" ht="7.5" hidden="false" customHeight="true" outlineLevel="2" collapsed="false">
      <c r="A436" s="60" t="str">
        <f aca="false">HYPERLINK("https://disk.yandex.ru/d/qFXw4ej8To7Cnw","фото")</f>
        <v>фото</v>
      </c>
      <c r="B436" s="49" t="s">
        <v>1503</v>
      </c>
      <c r="C436" s="50" t="s">
        <v>1504</v>
      </c>
      <c r="D436" s="51" t="s">
        <v>1505</v>
      </c>
      <c r="E436" s="52" t="n">
        <f aca="false">I436*(1-J436)*(100-E1)/100</f>
        <v>4224</v>
      </c>
      <c r="F436" s="53"/>
      <c r="G436" s="54" t="n">
        <v>3</v>
      </c>
      <c r="H436" s="52" t="n">
        <f aca="false">E436*F436</f>
        <v>0</v>
      </c>
      <c r="I436" s="55" t="n">
        <v>8250</v>
      </c>
      <c r="J436" s="56" t="n">
        <v>0.2</v>
      </c>
      <c r="K436" s="57" t="n">
        <v>5633</v>
      </c>
      <c r="L436" s="22" t="s">
        <v>44</v>
      </c>
      <c r="M436" s="22" t="s">
        <v>15</v>
      </c>
      <c r="N436" s="58" t="n">
        <f aca="false">F436*P436</f>
        <v>0</v>
      </c>
      <c r="O436" s="58" t="n">
        <f aca="false">F436*Q436</f>
        <v>0</v>
      </c>
      <c r="P436" s="58" t="n">
        <v>5.58</v>
      </c>
      <c r="Q436" s="58" t="n">
        <v>0.02</v>
      </c>
      <c r="R436" s="59" t="s">
        <v>1506</v>
      </c>
      <c r="S436" s="22"/>
      <c r="T436" s="11" t="str">
        <f aca="false">"16.12.25"</f>
        <v>16.12.25</v>
      </c>
    </row>
    <row r="437" customFormat="false" ht="7.5" hidden="false" customHeight="true" outlineLevel="2" collapsed="false">
      <c r="A437" s="60" t="str">
        <f aca="false">HYPERLINK("https://disk.360.yandex.ru/d/ZqN8xgimlfkqxA","фото")</f>
        <v>фото</v>
      </c>
      <c r="B437" s="49" t="s">
        <v>1507</v>
      </c>
      <c r="C437" s="50" t="s">
        <v>1508</v>
      </c>
      <c r="D437" s="51" t="s">
        <v>1509</v>
      </c>
      <c r="E437" s="52" t="n">
        <f aca="false">I437*(1-J437)*(100-E1)/100</f>
        <v>4659.2</v>
      </c>
      <c r="F437" s="53"/>
      <c r="G437" s="54" t="n">
        <v>4</v>
      </c>
      <c r="H437" s="52" t="n">
        <f aca="false">E437*F437</f>
        <v>0</v>
      </c>
      <c r="I437" s="55" t="n">
        <v>7280</v>
      </c>
      <c r="J437" s="56"/>
      <c r="K437" s="57" t="n">
        <v>454</v>
      </c>
      <c r="L437" s="22" t="s">
        <v>44</v>
      </c>
      <c r="M437" s="22" t="s">
        <v>721</v>
      </c>
      <c r="N437" s="58" t="n">
        <f aca="false">F437*P437</f>
        <v>0</v>
      </c>
      <c r="O437" s="58" t="n">
        <f aca="false">F437*Q437</f>
        <v>0</v>
      </c>
      <c r="P437" s="58" t="n">
        <v>5.525</v>
      </c>
      <c r="Q437" s="58" t="n">
        <v>0.017</v>
      </c>
      <c r="R437" s="59" t="s">
        <v>1510</v>
      </c>
      <c r="S437" s="22"/>
      <c r="T437" s="11" t="str">
        <f aca="false">"16.12.25"</f>
        <v>16.12.25</v>
      </c>
    </row>
    <row r="438" customFormat="false" ht="7.5" hidden="false" customHeight="true" outlineLevel="2" collapsed="false">
      <c r="A438" s="60" t="str">
        <f aca="false">HYPERLINK("https://disk.360.yandex.ru/d/1Zh1h4ZVF9SBMQ","фото")</f>
        <v>фото</v>
      </c>
      <c r="B438" s="49" t="s">
        <v>1511</v>
      </c>
      <c r="C438" s="50" t="s">
        <v>1512</v>
      </c>
      <c r="D438" s="51" t="s">
        <v>1509</v>
      </c>
      <c r="E438" s="52" t="n">
        <f aca="false">I438*(1-J438)*(100-E1)/100</f>
        <v>5280</v>
      </c>
      <c r="F438" s="53"/>
      <c r="G438" s="54" t="n">
        <v>4</v>
      </c>
      <c r="H438" s="52" t="n">
        <f aca="false">E438*F438</f>
        <v>0</v>
      </c>
      <c r="I438" s="55" t="n">
        <v>8250</v>
      </c>
      <c r="J438" s="56"/>
      <c r="K438" s="57" t="n">
        <v>525</v>
      </c>
      <c r="L438" s="22" t="s">
        <v>44</v>
      </c>
      <c r="M438" s="22" t="s">
        <v>721</v>
      </c>
      <c r="N438" s="58" t="n">
        <f aca="false">F438*P438</f>
        <v>0</v>
      </c>
      <c r="O438" s="58" t="n">
        <f aca="false">F438*Q438</f>
        <v>0</v>
      </c>
      <c r="P438" s="58" t="n">
        <v>5.7</v>
      </c>
      <c r="Q438" s="58" t="n">
        <v>0.017</v>
      </c>
      <c r="R438" s="59" t="s">
        <v>1513</v>
      </c>
      <c r="S438" s="22"/>
      <c r="T438" s="11" t="str">
        <f aca="false">"16.12.25"</f>
        <v>16.12.25</v>
      </c>
    </row>
    <row r="439" customFormat="false" ht="7.5" hidden="false" customHeight="true" outlineLevel="2" collapsed="false">
      <c r="A439" s="60" t="str">
        <f aca="false">HYPERLINK("https://disk.360.yandex.ru/d/w40pU7KHcIMyyw","фото")</f>
        <v>фото</v>
      </c>
      <c r="B439" s="49" t="s">
        <v>1514</v>
      </c>
      <c r="C439" s="50" t="s">
        <v>1515</v>
      </c>
      <c r="D439" s="51" t="s">
        <v>1516</v>
      </c>
      <c r="E439" s="52" t="n">
        <f aca="false">I439*(1-J439)*(100-E1)/100</f>
        <v>13779.2</v>
      </c>
      <c r="F439" s="53"/>
      <c r="G439" s="54" t="n">
        <v>1</v>
      </c>
      <c r="H439" s="52" t="n">
        <f aca="false">E439*F439</f>
        <v>0</v>
      </c>
      <c r="I439" s="55" t="n">
        <v>21530</v>
      </c>
      <c r="J439" s="56"/>
      <c r="K439" s="57" t="n">
        <v>163</v>
      </c>
      <c r="L439" s="22" t="s">
        <v>44</v>
      </c>
      <c r="M439" s="22" t="s">
        <v>721</v>
      </c>
      <c r="N439" s="58" t="n">
        <f aca="false">F439*P439</f>
        <v>0</v>
      </c>
      <c r="O439" s="58" t="n">
        <f aca="false">F439*Q439</f>
        <v>0</v>
      </c>
      <c r="P439" s="58" t="n">
        <v>13.5</v>
      </c>
      <c r="Q439" s="58" t="n">
        <v>0.05</v>
      </c>
      <c r="R439" s="59" t="s">
        <v>1517</v>
      </c>
      <c r="S439" s="22"/>
      <c r="T439" s="11" t="str">
        <f aca="false">"16.12.25"</f>
        <v>16.12.25</v>
      </c>
    </row>
    <row r="440" customFormat="false" ht="7.5" hidden="false" customHeight="true" outlineLevel="2" collapsed="false">
      <c r="A440" s="60" t="str">
        <f aca="false">HYPERLINK("https://disk.360.yandex.ru/d/hx8DfdCU7C9Vvw","фото")</f>
        <v>фото</v>
      </c>
      <c r="B440" s="49" t="s">
        <v>1518</v>
      </c>
      <c r="C440" s="50" t="s">
        <v>1519</v>
      </c>
      <c r="D440" s="51" t="s">
        <v>1520</v>
      </c>
      <c r="E440" s="52" t="n">
        <f aca="false">I440*(1-J440)*(100-E1)/100</f>
        <v>13145.6</v>
      </c>
      <c r="F440" s="53"/>
      <c r="G440" s="54" t="n">
        <v>1</v>
      </c>
      <c r="H440" s="52" t="n">
        <f aca="false">E440*F440</f>
        <v>0</v>
      </c>
      <c r="I440" s="55" t="n">
        <v>20540</v>
      </c>
      <c r="J440" s="56"/>
      <c r="K440" s="57" t="n">
        <v>110</v>
      </c>
      <c r="L440" s="22" t="s">
        <v>44</v>
      </c>
      <c r="M440" s="22" t="s">
        <v>721</v>
      </c>
      <c r="N440" s="58" t="n">
        <f aca="false">F440*P440</f>
        <v>0</v>
      </c>
      <c r="O440" s="58" t="n">
        <f aca="false">F440*Q440</f>
        <v>0</v>
      </c>
      <c r="P440" s="58" t="n">
        <v>13</v>
      </c>
      <c r="Q440" s="58" t="n">
        <v>0.05</v>
      </c>
      <c r="R440" s="59" t="s">
        <v>1521</v>
      </c>
      <c r="S440" s="22"/>
      <c r="T440" s="11" t="str">
        <f aca="false">"16.12.25"</f>
        <v>16.12.25</v>
      </c>
    </row>
    <row r="441" customFormat="false" ht="7.5" hidden="false" customHeight="true" outlineLevel="2" collapsed="false">
      <c r="A441" s="60" t="str">
        <f aca="false">HYPERLINK("https://disk.yandex.ru/d/xoC1BUof5Diuaw","фото")</f>
        <v>фото</v>
      </c>
      <c r="B441" s="49" t="s">
        <v>1522</v>
      </c>
      <c r="C441" s="50" t="s">
        <v>1523</v>
      </c>
      <c r="D441" s="51" t="s">
        <v>1524</v>
      </c>
      <c r="E441" s="52" t="n">
        <f aca="false">I441*(1-J441)*(100-E1)/100</f>
        <v>5619.2</v>
      </c>
      <c r="F441" s="53"/>
      <c r="G441" s="54" t="n">
        <v>4</v>
      </c>
      <c r="H441" s="52" t="n">
        <f aca="false">E441*F441</f>
        <v>0</v>
      </c>
      <c r="I441" s="55" t="n">
        <v>8780</v>
      </c>
      <c r="J441" s="56"/>
      <c r="K441" s="57" t="n">
        <v>0</v>
      </c>
      <c r="L441" s="22" t="s">
        <v>44</v>
      </c>
      <c r="M441" s="22" t="s">
        <v>721</v>
      </c>
      <c r="N441" s="58" t="n">
        <f aca="false">F441*P441</f>
        <v>0</v>
      </c>
      <c r="O441" s="58" t="n">
        <f aca="false">F441*Q441</f>
        <v>0</v>
      </c>
      <c r="P441" s="58" t="n">
        <v>5.67</v>
      </c>
      <c r="Q441" s="58" t="n">
        <v>0.02</v>
      </c>
      <c r="R441" s="59" t="s">
        <v>1525</v>
      </c>
      <c r="S441" s="22"/>
      <c r="T441" s="11" t="str">
        <f aca="false">"16.12.25"</f>
        <v>16.12.25</v>
      </c>
    </row>
    <row r="442" customFormat="false" ht="7.5" hidden="false" customHeight="true" outlineLevel="2" collapsed="false">
      <c r="A442" s="60" t="str">
        <f aca="false">HYPERLINK("https://disk.yandex.ru/d/IFrdzQMf00Y68Q","фото")</f>
        <v>фото</v>
      </c>
      <c r="B442" s="49" t="s">
        <v>1526</v>
      </c>
      <c r="C442" s="50" t="s">
        <v>1527</v>
      </c>
      <c r="D442" s="51" t="s">
        <v>1528</v>
      </c>
      <c r="E442" s="52" t="n">
        <f aca="false">I442*(1-J442)*(100-E1)/100</f>
        <v>5280</v>
      </c>
      <c r="F442" s="53"/>
      <c r="G442" s="54" t="n">
        <v>4</v>
      </c>
      <c r="H442" s="52" t="n">
        <f aca="false">E442*F442</f>
        <v>0</v>
      </c>
      <c r="I442" s="55" t="n">
        <v>8250</v>
      </c>
      <c r="J442" s="56"/>
      <c r="K442" s="57" t="n">
        <v>2</v>
      </c>
      <c r="L442" s="22" t="s">
        <v>44</v>
      </c>
      <c r="M442" s="22" t="s">
        <v>721</v>
      </c>
      <c r="N442" s="58" t="n">
        <f aca="false">F442*P442</f>
        <v>0</v>
      </c>
      <c r="O442" s="58" t="n">
        <f aca="false">F442*Q442</f>
        <v>0</v>
      </c>
      <c r="P442" s="58" t="n">
        <v>6.307</v>
      </c>
      <c r="Q442" s="58" t="n">
        <v>0.022</v>
      </c>
      <c r="R442" s="59" t="s">
        <v>1529</v>
      </c>
      <c r="S442" s="22"/>
      <c r="T442" s="11" t="str">
        <f aca="false">"16.12.25"</f>
        <v>16.12.25</v>
      </c>
    </row>
    <row r="443" customFormat="false" ht="7.5" hidden="false" customHeight="true" outlineLevel="2" collapsed="false">
      <c r="A443" s="60" t="str">
        <f aca="false">HYPERLINK("https://disk.yandex.ru/d/oYSgYHlnpUffYg","фото")</f>
        <v>фото</v>
      </c>
      <c r="B443" s="49" t="s">
        <v>1530</v>
      </c>
      <c r="C443" s="50" t="s">
        <v>1531</v>
      </c>
      <c r="D443" s="51" t="s">
        <v>1419</v>
      </c>
      <c r="E443" s="52" t="n">
        <f aca="false">I443*(1-J443)*(100-E1)/100</f>
        <v>15923.2</v>
      </c>
      <c r="F443" s="53"/>
      <c r="G443" s="54" t="n">
        <v>1</v>
      </c>
      <c r="H443" s="52" t="n">
        <f aca="false">E443*F443</f>
        <v>0</v>
      </c>
      <c r="I443" s="55" t="n">
        <v>24880</v>
      </c>
      <c r="J443" s="56"/>
      <c r="K443" s="57" t="n">
        <v>0</v>
      </c>
      <c r="L443" s="22" t="s">
        <v>44</v>
      </c>
      <c r="M443" s="22" t="s">
        <v>721</v>
      </c>
      <c r="N443" s="58" t="n">
        <f aca="false">F443*P443</f>
        <v>0</v>
      </c>
      <c r="O443" s="58" t="n">
        <f aca="false">F443*Q443</f>
        <v>0</v>
      </c>
      <c r="P443" s="58" t="n">
        <v>13</v>
      </c>
      <c r="Q443" s="58" t="n">
        <v>0.05</v>
      </c>
      <c r="R443" s="59" t="s">
        <v>1532</v>
      </c>
      <c r="S443" s="22"/>
      <c r="T443" s="11" t="str">
        <f aca="false">"16.12.25"</f>
        <v>16.12.25</v>
      </c>
    </row>
    <row r="444" customFormat="false" ht="7.5" hidden="false" customHeight="true" outlineLevel="2" collapsed="false">
      <c r="A444" s="60" t="str">
        <f aca="false">HYPERLINK("https://disk.yandex.ru/d/ukUcxp53qohgpA","фото")</f>
        <v>фото</v>
      </c>
      <c r="B444" s="49" t="s">
        <v>1533</v>
      </c>
      <c r="C444" s="50" t="s">
        <v>1534</v>
      </c>
      <c r="D444" s="51" t="s">
        <v>1535</v>
      </c>
      <c r="E444" s="52" t="n">
        <f aca="false">I444*(1-J444)*(100-E1)/100</f>
        <v>15968</v>
      </c>
      <c r="F444" s="53"/>
      <c r="G444" s="54" t="n">
        <v>1</v>
      </c>
      <c r="H444" s="52" t="n">
        <f aca="false">E444*F444</f>
        <v>0</v>
      </c>
      <c r="I444" s="55" t="n">
        <v>24950</v>
      </c>
      <c r="J444" s="56"/>
      <c r="K444" s="57" t="n">
        <v>657</v>
      </c>
      <c r="L444" s="22" t="s">
        <v>44</v>
      </c>
      <c r="M444" s="22"/>
      <c r="N444" s="58" t="n">
        <f aca="false">F444*P444</f>
        <v>0</v>
      </c>
      <c r="O444" s="58" t="n">
        <f aca="false">F444*Q444</f>
        <v>0</v>
      </c>
      <c r="P444" s="58" t="n">
        <v>15.1</v>
      </c>
      <c r="Q444" s="58" t="n">
        <v>0.09</v>
      </c>
      <c r="R444" s="59" t="s">
        <v>1536</v>
      </c>
      <c r="S444" s="22"/>
      <c r="T444" s="11" t="str">
        <f aca="false">"16.12.25"</f>
        <v>16.12.25</v>
      </c>
    </row>
    <row r="445" customFormat="false" ht="7.5" hidden="false" customHeight="true" outlineLevel="2" collapsed="false">
      <c r="A445" s="60" t="str">
        <f aca="false">HYPERLINK("https://disk.360.yandex.ru/d/xLRBm27yM36agg","фото")</f>
        <v>фото</v>
      </c>
      <c r="B445" s="49" t="s">
        <v>1537</v>
      </c>
      <c r="C445" s="50" t="s">
        <v>1538</v>
      </c>
      <c r="D445" s="51" t="s">
        <v>1539</v>
      </c>
      <c r="E445" s="52" t="n">
        <f aca="false">I445*(1-J445)*(100-E1)/100</f>
        <v>5305.6</v>
      </c>
      <c r="F445" s="53"/>
      <c r="G445" s="54" t="n">
        <v>4</v>
      </c>
      <c r="H445" s="52" t="n">
        <f aca="false">E445*F445</f>
        <v>0</v>
      </c>
      <c r="I445" s="55" t="n">
        <v>8290</v>
      </c>
      <c r="J445" s="56"/>
      <c r="K445" s="57" t="n">
        <v>3262</v>
      </c>
      <c r="L445" s="22" t="s">
        <v>44</v>
      </c>
      <c r="M445" s="22"/>
      <c r="N445" s="58" t="n">
        <f aca="false">F445*P445</f>
        <v>0</v>
      </c>
      <c r="O445" s="58" t="n">
        <f aca="false">F445*Q445</f>
        <v>0</v>
      </c>
      <c r="P445" s="58" t="n">
        <v>5.75</v>
      </c>
      <c r="Q445" s="58" t="n">
        <v>0.02</v>
      </c>
      <c r="R445" s="59" t="s">
        <v>1540</v>
      </c>
      <c r="S445" s="22"/>
      <c r="T445" s="11" t="str">
        <f aca="false">"16.12.25"</f>
        <v>16.12.25</v>
      </c>
    </row>
    <row r="446" customFormat="false" ht="7.5" hidden="false" customHeight="true" outlineLevel="2" collapsed="false">
      <c r="A446" s="60" t="str">
        <f aca="false">HYPERLINK("https://disk.360.yandex.ru/d/ydsN0vyMK6o7Sg","фото")</f>
        <v>фото</v>
      </c>
      <c r="B446" s="49" t="s">
        <v>1541</v>
      </c>
      <c r="C446" s="50" t="s">
        <v>1542</v>
      </c>
      <c r="D446" s="51" t="s">
        <v>1543</v>
      </c>
      <c r="E446" s="52" t="n">
        <f aca="false">I446*(1-J446)*(100-E1)/100</f>
        <v>5657.6</v>
      </c>
      <c r="F446" s="53"/>
      <c r="G446" s="54" t="n">
        <v>4</v>
      </c>
      <c r="H446" s="52" t="n">
        <f aca="false">E446*F446</f>
        <v>0</v>
      </c>
      <c r="I446" s="55" t="n">
        <v>8840</v>
      </c>
      <c r="J446" s="56"/>
      <c r="K446" s="57" t="n">
        <v>1651</v>
      </c>
      <c r="L446" s="22" t="s">
        <v>44</v>
      </c>
      <c r="M446" s="22"/>
      <c r="N446" s="58" t="n">
        <f aca="false">F446*P446</f>
        <v>0</v>
      </c>
      <c r="O446" s="58" t="n">
        <f aca="false">F446*Q446</f>
        <v>0</v>
      </c>
      <c r="P446" s="58" t="n">
        <v>5.84</v>
      </c>
      <c r="Q446" s="58" t="n">
        <v>0.02</v>
      </c>
      <c r="R446" s="59" t="s">
        <v>1544</v>
      </c>
      <c r="S446" s="22"/>
      <c r="T446" s="11" t="str">
        <f aca="false">"16.12.25"</f>
        <v>16.12.25</v>
      </c>
    </row>
    <row r="447" customFormat="false" ht="7.5" hidden="false" customHeight="true" outlineLevel="2" collapsed="false">
      <c r="A447" s="60" t="str">
        <f aca="false">HYPERLINK("https://disk.yandex.ru/d/bDT3VpJGIPR5LQ","фото")</f>
        <v>фото</v>
      </c>
      <c r="B447" s="49" t="s">
        <v>1545</v>
      </c>
      <c r="C447" s="50" t="s">
        <v>1546</v>
      </c>
      <c r="D447" s="51" t="s">
        <v>1547</v>
      </c>
      <c r="E447" s="52" t="n">
        <f aca="false">I447*(1-J447)*(100-E1)/100</f>
        <v>12467.2</v>
      </c>
      <c r="F447" s="53"/>
      <c r="G447" s="54" t="n">
        <v>1</v>
      </c>
      <c r="H447" s="52" t="n">
        <f aca="false">E447*F447</f>
        <v>0</v>
      </c>
      <c r="I447" s="55" t="n">
        <v>19480</v>
      </c>
      <c r="J447" s="56"/>
      <c r="K447" s="57" t="n">
        <v>507</v>
      </c>
      <c r="L447" s="22" t="s">
        <v>44</v>
      </c>
      <c r="M447" s="22"/>
      <c r="N447" s="58" t="n">
        <f aca="false">F447*P447</f>
        <v>0</v>
      </c>
      <c r="O447" s="58" t="n">
        <f aca="false">F447*Q447</f>
        <v>0</v>
      </c>
      <c r="P447" s="58" t="n">
        <v>13.9</v>
      </c>
      <c r="Q447" s="58" t="n">
        <v>0.09</v>
      </c>
      <c r="R447" s="59" t="s">
        <v>1548</v>
      </c>
      <c r="S447" s="22"/>
      <c r="T447" s="11" t="str">
        <f aca="false">"16.12.25"</f>
        <v>16.12.25</v>
      </c>
    </row>
    <row r="448" customFormat="false" ht="7.5" hidden="false" customHeight="true" outlineLevel="2" collapsed="false">
      <c r="A448" s="60" t="str">
        <f aca="false">HYPERLINK("https://disk.yandex.ru/d/AcM5dQoXpyZjgQ","фото")</f>
        <v>фото</v>
      </c>
      <c r="B448" s="49" t="s">
        <v>1549</v>
      </c>
      <c r="C448" s="50" t="s">
        <v>1550</v>
      </c>
      <c r="D448" s="51" t="s">
        <v>1551</v>
      </c>
      <c r="E448" s="52" t="n">
        <f aca="false">I448*(1-J448)*(100-E1)/100</f>
        <v>13766.4</v>
      </c>
      <c r="F448" s="53"/>
      <c r="G448" s="54" t="n">
        <v>1</v>
      </c>
      <c r="H448" s="52" t="n">
        <f aca="false">E448*F448</f>
        <v>0</v>
      </c>
      <c r="I448" s="55" t="n">
        <v>21510</v>
      </c>
      <c r="J448" s="56"/>
      <c r="K448" s="57" t="n">
        <v>757</v>
      </c>
      <c r="L448" s="22" t="s">
        <v>44</v>
      </c>
      <c r="M448" s="22"/>
      <c r="N448" s="58" t="n">
        <f aca="false">F448*P448</f>
        <v>0</v>
      </c>
      <c r="O448" s="58" t="n">
        <f aca="false">F448*Q448</f>
        <v>0</v>
      </c>
      <c r="P448" s="58" t="n">
        <v>13.7</v>
      </c>
      <c r="Q448" s="58" t="n">
        <v>0.09</v>
      </c>
      <c r="R448" s="59" t="s">
        <v>1552</v>
      </c>
      <c r="S448" s="22"/>
      <c r="T448" s="11" t="str">
        <f aca="false">"16.12.25"</f>
        <v>16.12.25</v>
      </c>
    </row>
    <row r="449" customFormat="false" ht="7.5" hidden="false" customHeight="true" outlineLevel="2" collapsed="false">
      <c r="A449" s="60" t="str">
        <f aca="false">HYPERLINK("https://disk.yandex.ru/d/CQFhNswYvIqvfQ","фото")</f>
        <v>фото</v>
      </c>
      <c r="B449" s="49" t="s">
        <v>1553</v>
      </c>
      <c r="C449" s="50" t="s">
        <v>1554</v>
      </c>
      <c r="D449" s="51" t="s">
        <v>1555</v>
      </c>
      <c r="E449" s="52" t="n">
        <f aca="false">I449*(1-J449)*(100-E1)/100</f>
        <v>14752</v>
      </c>
      <c r="F449" s="53"/>
      <c r="G449" s="54" t="n">
        <v>1</v>
      </c>
      <c r="H449" s="52" t="n">
        <f aca="false">E449*F449</f>
        <v>0</v>
      </c>
      <c r="I449" s="55" t="n">
        <v>23050</v>
      </c>
      <c r="J449" s="56"/>
      <c r="K449" s="57" t="n">
        <v>467</v>
      </c>
      <c r="L449" s="22" t="s">
        <v>44</v>
      </c>
      <c r="M449" s="22"/>
      <c r="N449" s="58" t="n">
        <f aca="false">F449*P449</f>
        <v>0</v>
      </c>
      <c r="O449" s="58" t="n">
        <f aca="false">F449*Q449</f>
        <v>0</v>
      </c>
      <c r="P449" s="58" t="n">
        <v>14.1</v>
      </c>
      <c r="Q449" s="58" t="n">
        <v>0.09</v>
      </c>
      <c r="R449" s="59" t="s">
        <v>1556</v>
      </c>
      <c r="S449" s="22"/>
      <c r="T449" s="11" t="str">
        <f aca="false">"16.12.25"</f>
        <v>16.12.25</v>
      </c>
    </row>
    <row r="450" customFormat="false" ht="7.5" hidden="false" customHeight="true" outlineLevel="2" collapsed="false">
      <c r="A450" s="60" t="str">
        <f aca="false">HYPERLINK("https://disk.360.yandex.ru/d/f2zLdsDxIjWlrg","фото")</f>
        <v>фото</v>
      </c>
      <c r="B450" s="49" t="s">
        <v>1557</v>
      </c>
      <c r="C450" s="50" t="s">
        <v>1558</v>
      </c>
      <c r="D450" s="51" t="s">
        <v>1559</v>
      </c>
      <c r="E450" s="52" t="n">
        <f aca="false">I450*(1-J450)*(100-E1)/100</f>
        <v>7827.2</v>
      </c>
      <c r="F450" s="53"/>
      <c r="G450" s="54" t="n">
        <v>1</v>
      </c>
      <c r="H450" s="52" t="n">
        <f aca="false">E450*F450</f>
        <v>0</v>
      </c>
      <c r="I450" s="55" t="n">
        <v>12230</v>
      </c>
      <c r="J450" s="56"/>
      <c r="K450" s="57" t="n">
        <v>188</v>
      </c>
      <c r="L450" s="22" t="s">
        <v>157</v>
      </c>
      <c r="M450" s="22"/>
      <c r="N450" s="58" t="n">
        <f aca="false">F450*P450</f>
        <v>0</v>
      </c>
      <c r="O450" s="58" t="n">
        <f aca="false">F450*Q450</f>
        <v>0</v>
      </c>
      <c r="P450" s="58" t="n">
        <v>7.95</v>
      </c>
      <c r="Q450" s="58" t="n">
        <v>0.05</v>
      </c>
      <c r="R450" s="59" t="s">
        <v>1560</v>
      </c>
      <c r="S450" s="22"/>
      <c r="T450" s="11" t="str">
        <f aca="false">"16.12.25"</f>
        <v>16.12.25</v>
      </c>
    </row>
    <row r="451" customFormat="false" ht="7.5" hidden="false" customHeight="true" outlineLevel="2" collapsed="false">
      <c r="A451" s="60" t="str">
        <f aca="false">HYPERLINK("https://disk.360.yandex.ru/d/axWPh_HEKNLwyQ","фото")</f>
        <v>фото</v>
      </c>
      <c r="B451" s="49" t="s">
        <v>1561</v>
      </c>
      <c r="C451" s="50" t="s">
        <v>1562</v>
      </c>
      <c r="D451" s="51" t="s">
        <v>1563</v>
      </c>
      <c r="E451" s="52" t="n">
        <f aca="false">I451*(1-J451)*(100-E1)/100</f>
        <v>14451.2</v>
      </c>
      <c r="F451" s="53"/>
      <c r="G451" s="54" t="n">
        <v>1</v>
      </c>
      <c r="H451" s="52" t="n">
        <f aca="false">E451*F451</f>
        <v>0</v>
      </c>
      <c r="I451" s="55" t="n">
        <v>22580</v>
      </c>
      <c r="J451" s="56"/>
      <c r="K451" s="57" t="n">
        <v>302</v>
      </c>
      <c r="L451" s="22" t="s">
        <v>157</v>
      </c>
      <c r="M451" s="22" t="s">
        <v>721</v>
      </c>
      <c r="N451" s="58" t="n">
        <f aca="false">F451*P451</f>
        <v>0</v>
      </c>
      <c r="O451" s="58" t="n">
        <f aca="false">F451*Q451</f>
        <v>0</v>
      </c>
      <c r="P451" s="58" t="n">
        <v>13.8</v>
      </c>
      <c r="Q451" s="58" t="n">
        <v>0.06</v>
      </c>
      <c r="R451" s="59" t="s">
        <v>1564</v>
      </c>
      <c r="S451" s="22"/>
      <c r="T451" s="11" t="str">
        <f aca="false">"16.12.25"</f>
        <v>16.12.25</v>
      </c>
    </row>
    <row r="452" customFormat="false" ht="7.5" hidden="false" customHeight="true" outlineLevel="2" collapsed="false">
      <c r="A452" s="60" t="str">
        <f aca="false">HYPERLINK("https://disk.yandex.ru/d/j-Q59O8kKAEg1Q","фото")</f>
        <v>фото</v>
      </c>
      <c r="B452" s="49" t="s">
        <v>1565</v>
      </c>
      <c r="C452" s="50" t="s">
        <v>1566</v>
      </c>
      <c r="D452" s="51"/>
      <c r="E452" s="52" t="n">
        <f aca="false">I452*(1-J452)*(100-E1)/100</f>
        <v>5049.6</v>
      </c>
      <c r="F452" s="53"/>
      <c r="G452" s="54" t="n">
        <v>4</v>
      </c>
      <c r="H452" s="52" t="n">
        <f aca="false">E452*F452</f>
        <v>0</v>
      </c>
      <c r="I452" s="55" t="n">
        <v>7890</v>
      </c>
      <c r="J452" s="56"/>
      <c r="K452" s="57" t="n">
        <v>3</v>
      </c>
      <c r="L452" s="22" t="s">
        <v>157</v>
      </c>
      <c r="M452" s="22"/>
      <c r="N452" s="58" t="n">
        <f aca="false">F452*P452</f>
        <v>0</v>
      </c>
      <c r="O452" s="58" t="n">
        <f aca="false">F452*Q452</f>
        <v>0</v>
      </c>
      <c r="P452" s="58" t="n">
        <v>5.51</v>
      </c>
      <c r="Q452" s="58" t="n">
        <v>0.013</v>
      </c>
      <c r="R452" s="59" t="s">
        <v>1567</v>
      </c>
      <c r="S452" s="22"/>
      <c r="T452" s="11" t="str">
        <f aca="false">"16.12.25"</f>
        <v>16.12.25</v>
      </c>
    </row>
    <row r="453" customFormat="false" ht="7.5" hidden="false" customHeight="true" outlineLevel="2" collapsed="false">
      <c r="A453" s="60" t="str">
        <f aca="false">HYPERLINK("https://disk.yandex.ru/d/YOklsU-EnDUh1w","фото")</f>
        <v>фото</v>
      </c>
      <c r="B453" s="49" t="s">
        <v>1568</v>
      </c>
      <c r="C453" s="50" t="s">
        <v>1569</v>
      </c>
      <c r="D453" s="51"/>
      <c r="E453" s="52" t="n">
        <f aca="false">I453*(1-J453)*(100-E1)/100</f>
        <v>5280</v>
      </c>
      <c r="F453" s="53"/>
      <c r="G453" s="54" t="n">
        <v>4</v>
      </c>
      <c r="H453" s="52" t="n">
        <f aca="false">E453*F453</f>
        <v>0</v>
      </c>
      <c r="I453" s="55" t="n">
        <v>8250</v>
      </c>
      <c r="J453" s="56"/>
      <c r="K453" s="57" t="n">
        <v>4</v>
      </c>
      <c r="L453" s="22" t="s">
        <v>157</v>
      </c>
      <c r="M453" s="22" t="s">
        <v>721</v>
      </c>
      <c r="N453" s="58" t="n">
        <f aca="false">F453*P453</f>
        <v>0</v>
      </c>
      <c r="O453" s="58" t="n">
        <f aca="false">F453*Q453</f>
        <v>0</v>
      </c>
      <c r="P453" s="58" t="n">
        <v>5.5</v>
      </c>
      <c r="Q453" s="58" t="n">
        <v>0.015</v>
      </c>
      <c r="R453" s="59" t="s">
        <v>1570</v>
      </c>
      <c r="S453" s="22"/>
      <c r="T453" s="11" t="str">
        <f aca="false">"16.12.25"</f>
        <v>16.12.25</v>
      </c>
    </row>
    <row r="454" customFormat="false" ht="7.5" hidden="false" customHeight="true" outlineLevel="2" collapsed="false">
      <c r="A454" s="60" t="str">
        <f aca="false">HYPERLINK("https://disk.yandex.ru/d/pWrP4WAtrHt9QA","фото")</f>
        <v>фото</v>
      </c>
      <c r="B454" s="49" t="s">
        <v>1571</v>
      </c>
      <c r="C454" s="50" t="s">
        <v>1572</v>
      </c>
      <c r="D454" s="51"/>
      <c r="E454" s="52" t="n">
        <f aca="false">I454*(1-J454)*(100-E1)/100</f>
        <v>4932.48</v>
      </c>
      <c r="F454" s="53"/>
      <c r="G454" s="54" t="n">
        <v>3</v>
      </c>
      <c r="H454" s="52" t="n">
        <f aca="false">E454*F454</f>
        <v>0</v>
      </c>
      <c r="I454" s="55" t="n">
        <v>11010</v>
      </c>
      <c r="J454" s="56" t="n">
        <v>0.3</v>
      </c>
      <c r="K454" s="57" t="n">
        <v>33</v>
      </c>
      <c r="L454" s="22" t="s">
        <v>157</v>
      </c>
      <c r="M454" s="22" t="s">
        <v>31</v>
      </c>
      <c r="N454" s="58" t="n">
        <f aca="false">F454*P454</f>
        <v>0</v>
      </c>
      <c r="O454" s="58" t="n">
        <f aca="false">F454*Q454</f>
        <v>0</v>
      </c>
      <c r="P454" s="58" t="n">
        <v>9.5</v>
      </c>
      <c r="Q454" s="58" t="n">
        <v>0.025</v>
      </c>
      <c r="R454" s="59" t="s">
        <v>1573</v>
      </c>
      <c r="S454" s="22"/>
      <c r="T454" s="11" t="str">
        <f aca="false">"16.12.25"</f>
        <v>16.12.25</v>
      </c>
    </row>
    <row r="455" customFormat="false" ht="7.5" hidden="false" customHeight="true" outlineLevel="2" collapsed="false">
      <c r="A455" s="60" t="str">
        <f aca="false">HYPERLINK("https://disk.yandex.ru/d/1ARr7Gajcx2lqQ","фото")</f>
        <v>фото</v>
      </c>
      <c r="B455" s="49" t="s">
        <v>1574</v>
      </c>
      <c r="C455" s="50" t="s">
        <v>1575</v>
      </c>
      <c r="D455" s="51" t="s">
        <v>1576</v>
      </c>
      <c r="E455" s="52" t="n">
        <f aca="false">I455*(1-J455)*(100-E1)/100</f>
        <v>5492.48</v>
      </c>
      <c r="F455" s="53"/>
      <c r="G455" s="54" t="n">
        <v>3</v>
      </c>
      <c r="H455" s="52" t="n">
        <f aca="false">E455*F455</f>
        <v>0</v>
      </c>
      <c r="I455" s="55" t="n">
        <v>12260</v>
      </c>
      <c r="J455" s="56" t="n">
        <v>0.3</v>
      </c>
      <c r="K455" s="57" t="n">
        <v>498</v>
      </c>
      <c r="L455" s="22" t="s">
        <v>157</v>
      </c>
      <c r="M455" s="22" t="s">
        <v>31</v>
      </c>
      <c r="N455" s="58" t="n">
        <f aca="false">F455*P455</f>
        <v>0</v>
      </c>
      <c r="O455" s="58" t="n">
        <f aca="false">F455*Q455</f>
        <v>0</v>
      </c>
      <c r="P455" s="58" t="n">
        <v>8.65</v>
      </c>
      <c r="Q455" s="58" t="n">
        <v>0.014</v>
      </c>
      <c r="R455" s="59" t="s">
        <v>1577</v>
      </c>
      <c r="S455" s="22"/>
      <c r="T455" s="11" t="str">
        <f aca="false">"16.12.25"</f>
        <v>16.12.25</v>
      </c>
    </row>
    <row r="456" customFormat="false" ht="7.5" hidden="false" customHeight="true" outlineLevel="2" collapsed="false">
      <c r="A456" s="60" t="str">
        <f aca="false">HYPERLINK("https://disk.yandex.ru/d/hIrhoa_V48_M0w","фото")</f>
        <v>фото</v>
      </c>
      <c r="B456" s="49" t="s">
        <v>1578</v>
      </c>
      <c r="C456" s="50" t="s">
        <v>1579</v>
      </c>
      <c r="D456" s="51"/>
      <c r="E456" s="52" t="n">
        <f aca="false">I456*(1-J456)*(100-E1)/100</f>
        <v>6222.72</v>
      </c>
      <c r="F456" s="53"/>
      <c r="G456" s="54" t="n">
        <v>3</v>
      </c>
      <c r="H456" s="52" t="n">
        <f aca="false">E456*F456</f>
        <v>0</v>
      </c>
      <c r="I456" s="55" t="n">
        <v>13890</v>
      </c>
      <c r="J456" s="56" t="n">
        <v>0.3</v>
      </c>
      <c r="K456" s="57" t="n">
        <v>183</v>
      </c>
      <c r="L456" s="22" t="s">
        <v>157</v>
      </c>
      <c r="M456" s="22" t="s">
        <v>31</v>
      </c>
      <c r="N456" s="58" t="n">
        <f aca="false">F456*P456</f>
        <v>0</v>
      </c>
      <c r="O456" s="58" t="n">
        <f aca="false">F456*Q456</f>
        <v>0</v>
      </c>
      <c r="P456" s="58" t="n">
        <v>9.5</v>
      </c>
      <c r="Q456" s="58" t="n">
        <v>0.025</v>
      </c>
      <c r="R456" s="59" t="s">
        <v>1580</v>
      </c>
      <c r="S456" s="22"/>
      <c r="T456" s="11" t="str">
        <f aca="false">"16.12.25"</f>
        <v>16.12.25</v>
      </c>
    </row>
    <row r="457" customFormat="false" ht="7.5" hidden="false" customHeight="true" outlineLevel="2" collapsed="false">
      <c r="A457" s="60" t="str">
        <f aca="false">HYPERLINK("https://disk.yandex.ru/d/US2OSEeBYzBoVQ","фото")</f>
        <v>фото</v>
      </c>
      <c r="B457" s="49" t="s">
        <v>1581</v>
      </c>
      <c r="C457" s="50" t="s">
        <v>1582</v>
      </c>
      <c r="D457" s="51"/>
      <c r="E457" s="52" t="n">
        <f aca="false">I457*(1-J457)*(100-E1)/100</f>
        <v>11411.2</v>
      </c>
      <c r="F457" s="53"/>
      <c r="G457" s="54" t="n">
        <v>1</v>
      </c>
      <c r="H457" s="52" t="n">
        <f aca="false">E457*F457</f>
        <v>0</v>
      </c>
      <c r="I457" s="55" t="n">
        <v>17830</v>
      </c>
      <c r="J457" s="56"/>
      <c r="K457" s="57" t="n">
        <v>0</v>
      </c>
      <c r="L457" s="22" t="s">
        <v>157</v>
      </c>
      <c r="M457" s="22" t="s">
        <v>721</v>
      </c>
      <c r="N457" s="58" t="n">
        <f aca="false">F457*P457</f>
        <v>0</v>
      </c>
      <c r="O457" s="58" t="n">
        <f aca="false">F457*Q457</f>
        <v>0</v>
      </c>
      <c r="P457" s="58" t="n">
        <v>11.9</v>
      </c>
      <c r="Q457" s="58" t="n">
        <v>0.054</v>
      </c>
      <c r="R457" s="59" t="s">
        <v>1583</v>
      </c>
      <c r="S457" s="22"/>
      <c r="T457" s="11" t="str">
        <f aca="false">"16.12.25"</f>
        <v>16.12.25</v>
      </c>
    </row>
    <row r="458" customFormat="false" ht="7.5" hidden="false" customHeight="true" outlineLevel="2" collapsed="false">
      <c r="A458" s="60" t="str">
        <f aca="false">HYPERLINK("https://disk.yandex.ru/d/zP59E7-6Gt_9_Q","фото")</f>
        <v>фото</v>
      </c>
      <c r="B458" s="49" t="s">
        <v>1584</v>
      </c>
      <c r="C458" s="50" t="s">
        <v>1585</v>
      </c>
      <c r="D458" s="51"/>
      <c r="E458" s="52" t="n">
        <f aca="false">I458*(1-J458)*(100-E1)/100</f>
        <v>14105.6</v>
      </c>
      <c r="F458" s="53"/>
      <c r="G458" s="54" t="n">
        <v>1</v>
      </c>
      <c r="H458" s="52" t="n">
        <f aca="false">E458*F458</f>
        <v>0</v>
      </c>
      <c r="I458" s="55" t="n">
        <v>22040</v>
      </c>
      <c r="J458" s="56"/>
      <c r="K458" s="57" t="n">
        <v>0</v>
      </c>
      <c r="L458" s="22" t="s">
        <v>157</v>
      </c>
      <c r="M458" s="22"/>
      <c r="N458" s="58" t="n">
        <f aca="false">F458*P458</f>
        <v>0</v>
      </c>
      <c r="O458" s="58" t="n">
        <f aca="false">F458*Q458</f>
        <v>0</v>
      </c>
      <c r="P458" s="58" t="n">
        <v>12.65</v>
      </c>
      <c r="Q458" s="58" t="n">
        <v>0.054</v>
      </c>
      <c r="R458" s="59" t="s">
        <v>1586</v>
      </c>
      <c r="S458" s="22"/>
      <c r="T458" s="11" t="str">
        <f aca="false">"16.12.25"</f>
        <v>16.12.25</v>
      </c>
    </row>
    <row r="459" customFormat="false" ht="7.5" hidden="false" customHeight="true" outlineLevel="2" collapsed="false">
      <c r="A459" s="60" t="str">
        <f aca="false">HYPERLINK("https://disk.yandex.ru/d/fuF9G4IG7G7sWg","фото")</f>
        <v>фото</v>
      </c>
      <c r="B459" s="49" t="s">
        <v>1587</v>
      </c>
      <c r="C459" s="50" t="s">
        <v>1588</v>
      </c>
      <c r="D459" s="51"/>
      <c r="E459" s="52" t="n">
        <f aca="false">I459*(1-J459)*(100-E1)/100</f>
        <v>13779.2</v>
      </c>
      <c r="F459" s="53"/>
      <c r="G459" s="54" t="n">
        <v>1</v>
      </c>
      <c r="H459" s="52" t="n">
        <f aca="false">E459*F459</f>
        <v>0</v>
      </c>
      <c r="I459" s="55" t="n">
        <v>21530</v>
      </c>
      <c r="J459" s="56"/>
      <c r="K459" s="57" t="n">
        <v>300</v>
      </c>
      <c r="L459" s="22" t="s">
        <v>157</v>
      </c>
      <c r="M459" s="22" t="s">
        <v>721</v>
      </c>
      <c r="N459" s="58" t="n">
        <f aca="false">F459*P459</f>
        <v>0</v>
      </c>
      <c r="O459" s="58" t="n">
        <f aca="false">F459*Q459</f>
        <v>0</v>
      </c>
      <c r="P459" s="58" t="n">
        <v>10.5</v>
      </c>
      <c r="Q459" s="58" t="n">
        <v>0.054</v>
      </c>
      <c r="R459" s="59" t="s">
        <v>1589</v>
      </c>
      <c r="S459" s="22"/>
      <c r="T459" s="11" t="str">
        <f aca="false">"16.12.25"</f>
        <v>16.12.25</v>
      </c>
    </row>
    <row r="460" customFormat="false" ht="7.5" hidden="false" customHeight="true" outlineLevel="2" collapsed="false">
      <c r="A460" s="48"/>
      <c r="B460" s="49" t="s">
        <v>1590</v>
      </c>
      <c r="C460" s="50" t="s">
        <v>1591</v>
      </c>
      <c r="D460" s="51"/>
      <c r="E460" s="52" t="n">
        <f aca="false">I460*(1-J460)*(100-E1)/100</f>
        <v>5120</v>
      </c>
      <c r="F460" s="53"/>
      <c r="G460" s="54" t="n">
        <v>1</v>
      </c>
      <c r="H460" s="52" t="n">
        <f aca="false">E460*F460</f>
        <v>0</v>
      </c>
      <c r="I460" s="55" t="n">
        <v>8000</v>
      </c>
      <c r="J460" s="56"/>
      <c r="K460" s="57" t="n">
        <v>10</v>
      </c>
      <c r="L460" s="22" t="s">
        <v>364</v>
      </c>
      <c r="M460" s="22"/>
      <c r="N460" s="58" t="n">
        <f aca="false">F460*P460</f>
        <v>0</v>
      </c>
      <c r="O460" s="58" t="n">
        <f aca="false">F460*Q460</f>
        <v>0</v>
      </c>
      <c r="P460" s="58" t="n">
        <v>4.3</v>
      </c>
      <c r="Q460" s="58" t="n">
        <v>0.01</v>
      </c>
      <c r="R460" s="59" t="s">
        <v>1592</v>
      </c>
      <c r="S460" s="22"/>
      <c r="T460" s="11" t="str">
        <f aca="false">"16.12.25"</f>
        <v>16.12.25</v>
      </c>
    </row>
    <row r="461" customFormat="false" ht="7.5" hidden="false" customHeight="true" outlineLevel="2" collapsed="false">
      <c r="A461" s="48"/>
      <c r="B461" s="49" t="s">
        <v>1593</v>
      </c>
      <c r="C461" s="50" t="s">
        <v>1594</v>
      </c>
      <c r="D461" s="51"/>
      <c r="E461" s="52" t="n">
        <f aca="false">I461*(1-J461)*(100-E1)/100</f>
        <v>5670.4</v>
      </c>
      <c r="F461" s="53"/>
      <c r="G461" s="54" t="n">
        <v>4</v>
      </c>
      <c r="H461" s="52" t="n">
        <f aca="false">E461*F461</f>
        <v>0</v>
      </c>
      <c r="I461" s="55" t="n">
        <v>8860</v>
      </c>
      <c r="J461" s="56"/>
      <c r="K461" s="57" t="n">
        <v>1</v>
      </c>
      <c r="L461" s="22" t="s">
        <v>364</v>
      </c>
      <c r="M461" s="22"/>
      <c r="N461" s="58" t="n">
        <f aca="false">F461*P461</f>
        <v>0</v>
      </c>
      <c r="O461" s="58" t="n">
        <f aca="false">F461*Q461</f>
        <v>0</v>
      </c>
      <c r="P461" s="58" t="n">
        <v>4.87</v>
      </c>
      <c r="Q461" s="58" t="n">
        <v>0.015</v>
      </c>
      <c r="R461" s="59" t="s">
        <v>1595</v>
      </c>
      <c r="S461" s="22"/>
      <c r="T461" s="11" t="str">
        <f aca="false">"16.12.25"</f>
        <v>16.12.25</v>
      </c>
    </row>
    <row r="462" customFormat="false" ht="7.5" hidden="false" customHeight="true" outlineLevel="2" collapsed="false">
      <c r="A462" s="48"/>
      <c r="B462" s="49" t="s">
        <v>1596</v>
      </c>
      <c r="C462" s="50" t="s">
        <v>1597</v>
      </c>
      <c r="D462" s="51"/>
      <c r="E462" s="52" t="n">
        <f aca="false">I462*(1-J462)*(100-E1)/100</f>
        <v>7097.6</v>
      </c>
      <c r="F462" s="53"/>
      <c r="G462" s="54" t="n">
        <v>3</v>
      </c>
      <c r="H462" s="52" t="n">
        <f aca="false">E462*F462</f>
        <v>0</v>
      </c>
      <c r="I462" s="55" t="n">
        <v>11090</v>
      </c>
      <c r="J462" s="56"/>
      <c r="K462" s="57" t="n">
        <v>254</v>
      </c>
      <c r="L462" s="22" t="s">
        <v>364</v>
      </c>
      <c r="M462" s="22"/>
      <c r="N462" s="58" t="n">
        <f aca="false">F462*P462</f>
        <v>0</v>
      </c>
      <c r="O462" s="58" t="n">
        <f aca="false">F462*Q462</f>
        <v>0</v>
      </c>
      <c r="P462" s="58" t="n">
        <v>6.66</v>
      </c>
      <c r="Q462" s="58" t="n">
        <v>0.022</v>
      </c>
      <c r="R462" s="59" t="s">
        <v>1598</v>
      </c>
      <c r="S462" s="22"/>
      <c r="T462" s="11" t="str">
        <f aca="false">"16.12.25"</f>
        <v>16.12.25</v>
      </c>
    </row>
    <row r="463" customFormat="false" ht="7.5" hidden="false" customHeight="true" outlineLevel="2" collapsed="false">
      <c r="A463" s="48"/>
      <c r="B463" s="49" t="s">
        <v>1599</v>
      </c>
      <c r="C463" s="50" t="s">
        <v>1600</v>
      </c>
      <c r="D463" s="51"/>
      <c r="E463" s="52" t="n">
        <f aca="false">I463*(1-J463)*(100-E1)/100</f>
        <v>5120</v>
      </c>
      <c r="F463" s="53"/>
      <c r="G463" s="54"/>
      <c r="H463" s="52" t="n">
        <f aca="false">E463*F463</f>
        <v>0</v>
      </c>
      <c r="I463" s="55" t="n">
        <v>8000</v>
      </c>
      <c r="J463" s="56"/>
      <c r="K463" s="57" t="n">
        <v>584</v>
      </c>
      <c r="L463" s="22" t="s">
        <v>364</v>
      </c>
      <c r="M463" s="22"/>
      <c r="N463" s="58" t="n">
        <f aca="false">F463*P463</f>
        <v>0</v>
      </c>
      <c r="O463" s="58" t="n">
        <f aca="false">F463*Q463</f>
        <v>0</v>
      </c>
      <c r="P463" s="58" t="n">
        <v>5</v>
      </c>
      <c r="Q463" s="58" t="n">
        <v>0.009</v>
      </c>
      <c r="R463" s="59"/>
      <c r="S463" s="22"/>
      <c r="T463" s="11" t="str">
        <f aca="false">"16.12.25"</f>
        <v>16.12.25</v>
      </c>
    </row>
    <row r="464" customFormat="false" ht="7.5" hidden="false" customHeight="true" outlineLevel="2" collapsed="false">
      <c r="A464" s="48"/>
      <c r="B464" s="49" t="s">
        <v>1601</v>
      </c>
      <c r="C464" s="50" t="s">
        <v>1602</v>
      </c>
      <c r="D464" s="51"/>
      <c r="E464" s="52" t="n">
        <f aca="false">I464*(1-J464)*(100-E1)/100</f>
        <v>29728</v>
      </c>
      <c r="F464" s="53"/>
      <c r="G464" s="54" t="n">
        <v>1</v>
      </c>
      <c r="H464" s="52" t="n">
        <f aca="false">E464*F464</f>
        <v>0</v>
      </c>
      <c r="I464" s="55" t="n">
        <v>46450</v>
      </c>
      <c r="J464" s="56"/>
      <c r="K464" s="57" t="n">
        <v>18</v>
      </c>
      <c r="L464" s="22" t="s">
        <v>364</v>
      </c>
      <c r="M464" s="22"/>
      <c r="N464" s="58" t="n">
        <f aca="false">F464*P464</f>
        <v>0</v>
      </c>
      <c r="O464" s="58" t="n">
        <f aca="false">F464*Q464</f>
        <v>0</v>
      </c>
      <c r="P464" s="58" t="n">
        <v>20</v>
      </c>
      <c r="Q464" s="58" t="n">
        <v>0.1</v>
      </c>
      <c r="R464" s="59" t="s">
        <v>1603</v>
      </c>
      <c r="S464" s="22"/>
      <c r="T464" s="11" t="str">
        <f aca="false">"16.12.25"</f>
        <v>16.12.25</v>
      </c>
    </row>
    <row r="465" customFormat="false" ht="7.5" hidden="false" customHeight="true" outlineLevel="2" collapsed="false">
      <c r="A465" s="48"/>
      <c r="B465" s="49" t="s">
        <v>1604</v>
      </c>
      <c r="C465" s="50" t="s">
        <v>1605</v>
      </c>
      <c r="D465" s="51"/>
      <c r="E465" s="52" t="n">
        <f aca="false">I465*(1-J465)*(100-E1)/100</f>
        <v>5120</v>
      </c>
      <c r="F465" s="53"/>
      <c r="G465" s="54" t="n">
        <v>1</v>
      </c>
      <c r="H465" s="52" t="n">
        <f aca="false">E465*F465</f>
        <v>0</v>
      </c>
      <c r="I465" s="55" t="n">
        <v>8000</v>
      </c>
      <c r="J465" s="56"/>
      <c r="K465" s="57" t="n">
        <v>665</v>
      </c>
      <c r="L465" s="22" t="s">
        <v>368</v>
      </c>
      <c r="M465" s="22"/>
      <c r="N465" s="58" t="n">
        <f aca="false">F465*P465</f>
        <v>0</v>
      </c>
      <c r="O465" s="58" t="n">
        <f aca="false">F465*Q465</f>
        <v>0</v>
      </c>
      <c r="P465" s="58" t="n">
        <v>5.06</v>
      </c>
      <c r="Q465" s="58" t="n">
        <v>0.013</v>
      </c>
      <c r="R465" s="59" t="s">
        <v>1606</v>
      </c>
      <c r="S465" s="22"/>
      <c r="T465" s="11" t="str">
        <f aca="false">"16.12.25"</f>
        <v>16.12.25</v>
      </c>
    </row>
    <row r="466" customFormat="false" ht="7.5" hidden="false" customHeight="true" outlineLevel="2" collapsed="false">
      <c r="A466" s="48"/>
      <c r="B466" s="49" t="s">
        <v>1607</v>
      </c>
      <c r="C466" s="50" t="s">
        <v>1608</v>
      </c>
      <c r="D466" s="51"/>
      <c r="E466" s="52" t="n">
        <f aca="false">I466*(1-J466)*(100-E1)/100</f>
        <v>7308.8</v>
      </c>
      <c r="F466" s="53"/>
      <c r="G466" s="54" t="n">
        <v>1</v>
      </c>
      <c r="H466" s="52" t="n">
        <f aca="false">E466*F466</f>
        <v>0</v>
      </c>
      <c r="I466" s="55" t="n">
        <v>11420</v>
      </c>
      <c r="J466" s="56"/>
      <c r="K466" s="57" t="n">
        <v>410</v>
      </c>
      <c r="L466" s="22" t="s">
        <v>368</v>
      </c>
      <c r="M466" s="22"/>
      <c r="N466" s="58" t="n">
        <f aca="false">F466*P466</f>
        <v>0</v>
      </c>
      <c r="O466" s="58" t="n">
        <f aca="false">F466*Q466</f>
        <v>0</v>
      </c>
      <c r="P466" s="58" t="n">
        <v>6.4</v>
      </c>
      <c r="Q466" s="58" t="n">
        <v>0.02</v>
      </c>
      <c r="R466" s="59" t="s">
        <v>1609</v>
      </c>
      <c r="S466" s="22"/>
      <c r="T466" s="11" t="str">
        <f aca="false">"16.12.25"</f>
        <v>16.12.25</v>
      </c>
    </row>
    <row r="467" customFormat="false" ht="7.5" hidden="false" customHeight="true" outlineLevel="2" collapsed="false">
      <c r="A467" s="48"/>
      <c r="B467" s="49" t="s">
        <v>1610</v>
      </c>
      <c r="C467" s="50" t="s">
        <v>1611</v>
      </c>
      <c r="D467" s="51"/>
      <c r="E467" s="52" t="n">
        <f aca="false">I467*(1-J467)*(100-E1)/100</f>
        <v>7308.8</v>
      </c>
      <c r="F467" s="53"/>
      <c r="G467" s="54" t="n">
        <v>1</v>
      </c>
      <c r="H467" s="52" t="n">
        <f aca="false">E467*F467</f>
        <v>0</v>
      </c>
      <c r="I467" s="55" t="n">
        <v>11420</v>
      </c>
      <c r="J467" s="56"/>
      <c r="K467" s="57" t="n">
        <v>1</v>
      </c>
      <c r="L467" s="22" t="s">
        <v>368</v>
      </c>
      <c r="M467" s="22"/>
      <c r="N467" s="58" t="n">
        <f aca="false">F467*P467</f>
        <v>0</v>
      </c>
      <c r="O467" s="58" t="n">
        <f aca="false">F467*Q467</f>
        <v>0</v>
      </c>
      <c r="P467" s="58" t="n">
        <v>6</v>
      </c>
      <c r="Q467" s="58" t="n">
        <v>0.021</v>
      </c>
      <c r="R467" s="59" t="s">
        <v>1612</v>
      </c>
      <c r="S467" s="22"/>
      <c r="T467" s="11" t="str">
        <f aca="false">"16.12.25"</f>
        <v>16.12.25</v>
      </c>
    </row>
    <row r="468" customFormat="false" ht="7.5" hidden="false" customHeight="true" outlineLevel="2" collapsed="false">
      <c r="A468" s="48"/>
      <c r="B468" s="49" t="s">
        <v>1613</v>
      </c>
      <c r="C468" s="50" t="s">
        <v>1614</v>
      </c>
      <c r="D468" s="51"/>
      <c r="E468" s="52" t="n">
        <f aca="false">I468*(1-J468)*(100-E1)/100</f>
        <v>4480</v>
      </c>
      <c r="F468" s="53"/>
      <c r="G468" s="54" t="n">
        <v>4</v>
      </c>
      <c r="H468" s="52" t="n">
        <f aca="false">E468*F468</f>
        <v>0</v>
      </c>
      <c r="I468" s="55" t="n">
        <v>7000</v>
      </c>
      <c r="J468" s="56"/>
      <c r="K468" s="57" t="n">
        <v>0</v>
      </c>
      <c r="L468" s="22" t="s">
        <v>368</v>
      </c>
      <c r="M468" s="22"/>
      <c r="N468" s="58" t="n">
        <f aca="false">F468*P468</f>
        <v>0</v>
      </c>
      <c r="O468" s="58" t="n">
        <f aca="false">F468*Q468</f>
        <v>0</v>
      </c>
      <c r="P468" s="58" t="n">
        <v>5</v>
      </c>
      <c r="Q468" s="58" t="n">
        <v>0.015</v>
      </c>
      <c r="R468" s="59" t="s">
        <v>1615</v>
      </c>
      <c r="S468" s="22"/>
      <c r="T468" s="11" t="str">
        <f aca="false">"16.12.25"</f>
        <v>16.12.25</v>
      </c>
    </row>
    <row r="469" customFormat="false" ht="7.5" hidden="false" customHeight="true" outlineLevel="2" collapsed="false">
      <c r="A469" s="48"/>
      <c r="B469" s="49" t="s">
        <v>1616</v>
      </c>
      <c r="C469" s="50" t="s">
        <v>1617</v>
      </c>
      <c r="D469" s="51"/>
      <c r="E469" s="52" t="n">
        <f aca="false">I469*(1-J469)*(100-E1)/100</f>
        <v>7097.6</v>
      </c>
      <c r="F469" s="53"/>
      <c r="G469" s="54" t="n">
        <v>1</v>
      </c>
      <c r="H469" s="52" t="n">
        <f aca="false">E469*F469</f>
        <v>0</v>
      </c>
      <c r="I469" s="55" t="n">
        <v>11090</v>
      </c>
      <c r="J469" s="56"/>
      <c r="K469" s="57" t="n">
        <v>634</v>
      </c>
      <c r="L469" s="22" t="s">
        <v>368</v>
      </c>
      <c r="M469" s="22"/>
      <c r="N469" s="58" t="n">
        <f aca="false">F469*P469</f>
        <v>0</v>
      </c>
      <c r="O469" s="58" t="n">
        <f aca="false">F469*Q469</f>
        <v>0</v>
      </c>
      <c r="P469" s="58" t="n">
        <v>6</v>
      </c>
      <c r="Q469" s="58" t="n">
        <v>0.02</v>
      </c>
      <c r="R469" s="59" t="s">
        <v>1618</v>
      </c>
      <c r="S469" s="22"/>
      <c r="T469" s="11" t="str">
        <f aca="false">"16.12.25"</f>
        <v>16.12.25</v>
      </c>
    </row>
    <row r="470" customFormat="false" ht="7.5" hidden="false" customHeight="true" outlineLevel="2" collapsed="false">
      <c r="A470" s="48"/>
      <c r="B470" s="49" t="s">
        <v>1619</v>
      </c>
      <c r="C470" s="50" t="s">
        <v>1620</v>
      </c>
      <c r="D470" s="51"/>
      <c r="E470" s="52" t="n">
        <f aca="false">I470*(1-J470)*(100-E1)/100</f>
        <v>5120</v>
      </c>
      <c r="F470" s="53"/>
      <c r="G470" s="54" t="n">
        <v>4</v>
      </c>
      <c r="H470" s="52" t="n">
        <f aca="false">E470*F470</f>
        <v>0</v>
      </c>
      <c r="I470" s="55" t="n">
        <v>8000</v>
      </c>
      <c r="J470" s="56"/>
      <c r="K470" s="57" t="n">
        <v>1141</v>
      </c>
      <c r="L470" s="22" t="s">
        <v>368</v>
      </c>
      <c r="M470" s="22"/>
      <c r="N470" s="58" t="n">
        <f aca="false">F470*P470</f>
        <v>0</v>
      </c>
      <c r="O470" s="58" t="n">
        <f aca="false">F470*Q470</f>
        <v>0</v>
      </c>
      <c r="P470" s="58" t="n">
        <v>4.72</v>
      </c>
      <c r="Q470" s="58" t="n">
        <v>0.016</v>
      </c>
      <c r="R470" s="59" t="s">
        <v>1621</v>
      </c>
      <c r="S470" s="22"/>
      <c r="T470" s="11" t="str">
        <f aca="false">"16.12.25"</f>
        <v>16.12.25</v>
      </c>
    </row>
    <row r="471" customFormat="false" ht="7.5" hidden="false" customHeight="true" outlineLevel="2" collapsed="false">
      <c r="A471" s="48"/>
      <c r="B471" s="49" t="s">
        <v>1622</v>
      </c>
      <c r="C471" s="50" t="s">
        <v>1623</v>
      </c>
      <c r="D471" s="51"/>
      <c r="E471" s="52" t="n">
        <f aca="false">I471*(1-J471)*(100-E1)/100</f>
        <v>7097.6</v>
      </c>
      <c r="F471" s="53"/>
      <c r="G471" s="54" t="n">
        <v>1</v>
      </c>
      <c r="H471" s="52" t="n">
        <f aca="false">E471*F471</f>
        <v>0</v>
      </c>
      <c r="I471" s="55" t="n">
        <v>11090</v>
      </c>
      <c r="J471" s="56"/>
      <c r="K471" s="57" t="n">
        <v>86</v>
      </c>
      <c r="L471" s="22" t="s">
        <v>368</v>
      </c>
      <c r="M471" s="22"/>
      <c r="N471" s="58" t="n">
        <f aca="false">F471*P471</f>
        <v>0</v>
      </c>
      <c r="O471" s="58" t="n">
        <f aca="false">F471*Q471</f>
        <v>0</v>
      </c>
      <c r="P471" s="58" t="n">
        <v>7.64</v>
      </c>
      <c r="Q471" s="58" t="n">
        <v>0.02</v>
      </c>
      <c r="R471" s="59" t="s">
        <v>1624</v>
      </c>
      <c r="S471" s="22"/>
      <c r="T471" s="11" t="str">
        <f aca="false">"16.12.25"</f>
        <v>16.12.25</v>
      </c>
    </row>
    <row r="472" customFormat="false" ht="7.5" hidden="false" customHeight="true" outlineLevel="2" collapsed="false">
      <c r="A472" s="48"/>
      <c r="B472" s="49" t="s">
        <v>1625</v>
      </c>
      <c r="C472" s="50" t="s">
        <v>1626</v>
      </c>
      <c r="D472" s="51"/>
      <c r="E472" s="52" t="n">
        <f aca="false">I472*(1-J472)*(100-E1)/100</f>
        <v>12140.8</v>
      </c>
      <c r="F472" s="53"/>
      <c r="G472" s="54" t="n">
        <v>1</v>
      </c>
      <c r="H472" s="52" t="n">
        <f aca="false">E472*F472</f>
        <v>0</v>
      </c>
      <c r="I472" s="55" t="n">
        <v>18970</v>
      </c>
      <c r="J472" s="56"/>
      <c r="K472" s="57" t="n">
        <v>56</v>
      </c>
      <c r="L472" s="22" t="s">
        <v>368</v>
      </c>
      <c r="M472" s="22"/>
      <c r="N472" s="58" t="n">
        <f aca="false">F472*P472</f>
        <v>0</v>
      </c>
      <c r="O472" s="58" t="n">
        <f aca="false">F472*Q472</f>
        <v>0</v>
      </c>
      <c r="P472" s="58" t="n">
        <v>12</v>
      </c>
      <c r="Q472" s="58" t="n">
        <v>0.061</v>
      </c>
      <c r="R472" s="59" t="s">
        <v>1627</v>
      </c>
      <c r="S472" s="22"/>
      <c r="T472" s="11" t="str">
        <f aca="false">"16.12.25"</f>
        <v>16.12.25</v>
      </c>
    </row>
    <row r="473" customFormat="false" ht="7.5" hidden="false" customHeight="true" outlineLevel="2" collapsed="false">
      <c r="A473" s="48"/>
      <c r="B473" s="49" t="s">
        <v>1628</v>
      </c>
      <c r="C473" s="50" t="s">
        <v>1629</v>
      </c>
      <c r="D473" s="51"/>
      <c r="E473" s="52" t="n">
        <f aca="false">I473*(1-J473)*(100-E1)/100</f>
        <v>14387.2</v>
      </c>
      <c r="F473" s="53"/>
      <c r="G473" s="54" t="n">
        <v>1</v>
      </c>
      <c r="H473" s="52" t="n">
        <f aca="false">E473*F473</f>
        <v>0</v>
      </c>
      <c r="I473" s="55" t="n">
        <v>22480</v>
      </c>
      <c r="J473" s="56"/>
      <c r="K473" s="57" t="n">
        <v>0</v>
      </c>
      <c r="L473" s="22" t="s">
        <v>368</v>
      </c>
      <c r="M473" s="22"/>
      <c r="N473" s="58" t="n">
        <f aca="false">F473*P473</f>
        <v>0</v>
      </c>
      <c r="O473" s="58" t="n">
        <f aca="false">F473*Q473</f>
        <v>0</v>
      </c>
      <c r="P473" s="58" t="n">
        <v>13.1</v>
      </c>
      <c r="Q473" s="58" t="n">
        <v>0.06</v>
      </c>
      <c r="R473" s="59" t="s">
        <v>1630</v>
      </c>
      <c r="S473" s="22"/>
      <c r="T473" s="11" t="str">
        <f aca="false">"16.12.25"</f>
        <v>16.12.25</v>
      </c>
    </row>
    <row r="474" customFormat="false" ht="7.5" hidden="false" customHeight="true" outlineLevel="2" collapsed="false">
      <c r="A474" s="48"/>
      <c r="B474" s="49" t="s">
        <v>1631</v>
      </c>
      <c r="C474" s="50" t="s">
        <v>1632</v>
      </c>
      <c r="D474" s="51"/>
      <c r="E474" s="52" t="n">
        <f aca="false">I474*(1-J474)*(100-E1)/100</f>
        <v>36416</v>
      </c>
      <c r="F474" s="53"/>
      <c r="G474" s="54" t="n">
        <v>1</v>
      </c>
      <c r="H474" s="52" t="n">
        <f aca="false">E474*F474</f>
        <v>0</v>
      </c>
      <c r="I474" s="55" t="n">
        <v>56900</v>
      </c>
      <c r="J474" s="56"/>
      <c r="K474" s="57" t="n">
        <v>20</v>
      </c>
      <c r="L474" s="22" t="s">
        <v>368</v>
      </c>
      <c r="M474" s="22"/>
      <c r="N474" s="58" t="n">
        <f aca="false">F474*P474</f>
        <v>0</v>
      </c>
      <c r="O474" s="58" t="n">
        <f aca="false">F474*Q474</f>
        <v>0</v>
      </c>
      <c r="P474" s="58" t="n">
        <v>15.35</v>
      </c>
      <c r="Q474" s="58" t="n">
        <v>0.06</v>
      </c>
      <c r="R474" s="59" t="s">
        <v>1633</v>
      </c>
      <c r="S474" s="22"/>
      <c r="T474" s="11" t="str">
        <f aca="false">"16.12.25"</f>
        <v>16.12.25</v>
      </c>
    </row>
    <row r="475" customFormat="false" ht="7.5" hidden="false" customHeight="true" outlineLevel="2" collapsed="false">
      <c r="A475" s="48"/>
      <c r="B475" s="49" t="s">
        <v>1634</v>
      </c>
      <c r="C475" s="50" t="s">
        <v>1635</v>
      </c>
      <c r="D475" s="51"/>
      <c r="E475" s="52" t="n">
        <f aca="false">I475*(1-J475)*(100-E1)/100</f>
        <v>24185.6</v>
      </c>
      <c r="F475" s="53"/>
      <c r="G475" s="54" t="n">
        <v>1</v>
      </c>
      <c r="H475" s="52" t="n">
        <f aca="false">E475*F475</f>
        <v>0</v>
      </c>
      <c r="I475" s="55" t="n">
        <v>37790</v>
      </c>
      <c r="J475" s="56"/>
      <c r="K475" s="57" t="n">
        <v>6</v>
      </c>
      <c r="L475" s="22" t="s">
        <v>368</v>
      </c>
      <c r="M475" s="22"/>
      <c r="N475" s="58" t="n">
        <f aca="false">F475*P475</f>
        <v>0</v>
      </c>
      <c r="O475" s="58" t="n">
        <f aca="false">F475*Q475</f>
        <v>0</v>
      </c>
      <c r="P475" s="58" t="n">
        <v>18.05</v>
      </c>
      <c r="Q475" s="58" t="n">
        <v>0.08</v>
      </c>
      <c r="R475" s="59" t="s">
        <v>1636</v>
      </c>
      <c r="S475" s="22"/>
      <c r="T475" s="11" t="str">
        <f aca="false">"16.12.25"</f>
        <v>16.12.25</v>
      </c>
    </row>
    <row r="476" customFormat="false" ht="7.5" hidden="false" customHeight="true" outlineLevel="2" collapsed="false">
      <c r="A476" s="48"/>
      <c r="B476" s="49" t="s">
        <v>1637</v>
      </c>
      <c r="C476" s="50" t="s">
        <v>1638</v>
      </c>
      <c r="D476" s="51"/>
      <c r="E476" s="52" t="n">
        <f aca="false">I476*(1-J476)*(100-E1)/100</f>
        <v>26374.4</v>
      </c>
      <c r="F476" s="53"/>
      <c r="G476" s="54" t="n">
        <v>1</v>
      </c>
      <c r="H476" s="52" t="n">
        <f aca="false">E476*F476</f>
        <v>0</v>
      </c>
      <c r="I476" s="55" t="n">
        <v>41210</v>
      </c>
      <c r="J476" s="56"/>
      <c r="K476" s="57" t="n">
        <v>2</v>
      </c>
      <c r="L476" s="22" t="s">
        <v>368</v>
      </c>
      <c r="M476" s="22"/>
      <c r="N476" s="58" t="n">
        <f aca="false">F476*P476</f>
        <v>0</v>
      </c>
      <c r="O476" s="58" t="n">
        <f aca="false">F476*Q476</f>
        <v>0</v>
      </c>
      <c r="P476" s="58" t="n">
        <v>18.2</v>
      </c>
      <c r="Q476" s="58" t="n">
        <v>0.08</v>
      </c>
      <c r="R476" s="59" t="s">
        <v>1639</v>
      </c>
      <c r="S476" s="22"/>
      <c r="T476" s="11" t="str">
        <f aca="false">"16.12.25"</f>
        <v>16.12.25</v>
      </c>
    </row>
    <row r="477" customFormat="false" ht="7.5" hidden="false" customHeight="true" outlineLevel="2" collapsed="false">
      <c r="A477" s="48"/>
      <c r="B477" s="49" t="s">
        <v>1640</v>
      </c>
      <c r="C477" s="50" t="s">
        <v>1641</v>
      </c>
      <c r="D477" s="51"/>
      <c r="E477" s="52" t="n">
        <f aca="false">I477*(1-J477)*(100-E1)/100</f>
        <v>198624</v>
      </c>
      <c r="F477" s="53"/>
      <c r="G477" s="54" t="n">
        <v>4</v>
      </c>
      <c r="H477" s="52" t="n">
        <f aca="false">E477*F477</f>
        <v>0</v>
      </c>
      <c r="I477" s="55" t="n">
        <v>310350</v>
      </c>
      <c r="J477" s="56"/>
      <c r="K477" s="57" t="n">
        <v>6</v>
      </c>
      <c r="L477" s="22" t="s">
        <v>368</v>
      </c>
      <c r="M477" s="22"/>
      <c r="N477" s="58" t="n">
        <f aca="false">F477*P477</f>
        <v>0</v>
      </c>
      <c r="O477" s="58" t="n">
        <f aca="false">F477*Q477</f>
        <v>0</v>
      </c>
      <c r="P477" s="58"/>
      <c r="Q477" s="58"/>
      <c r="R477" s="59"/>
      <c r="S477" s="22"/>
      <c r="T477" s="11" t="str">
        <f aca="false">"16.12.25"</f>
        <v>16.12.25</v>
      </c>
    </row>
    <row r="478" customFormat="false" ht="7.5" hidden="false" customHeight="true" outlineLevel="2" collapsed="false">
      <c r="A478" s="48"/>
      <c r="B478" s="49" t="s">
        <v>1642</v>
      </c>
      <c r="C478" s="50" t="s">
        <v>1643</v>
      </c>
      <c r="D478" s="51"/>
      <c r="E478" s="52" t="n">
        <f aca="false">I478*(1-J478)*(100-E1)/100</f>
        <v>7097.6</v>
      </c>
      <c r="F478" s="53"/>
      <c r="G478" s="54" t="n">
        <v>3</v>
      </c>
      <c r="H478" s="52" t="n">
        <f aca="false">E478*F478</f>
        <v>0</v>
      </c>
      <c r="I478" s="55" t="n">
        <v>11090</v>
      </c>
      <c r="J478" s="56"/>
      <c r="K478" s="57" t="n">
        <v>604</v>
      </c>
      <c r="L478" s="22" t="s">
        <v>800</v>
      </c>
      <c r="M478" s="22"/>
      <c r="N478" s="58" t="n">
        <f aca="false">F478*P478</f>
        <v>0</v>
      </c>
      <c r="O478" s="58" t="n">
        <f aca="false">F478*Q478</f>
        <v>0</v>
      </c>
      <c r="P478" s="58" t="n">
        <v>6.66</v>
      </c>
      <c r="Q478" s="58" t="n">
        <v>0.02</v>
      </c>
      <c r="R478" s="59" t="s">
        <v>1644</v>
      </c>
      <c r="S478" s="22"/>
      <c r="T478" s="11" t="str">
        <f aca="false">"16.12.25"</f>
        <v>16.12.25</v>
      </c>
    </row>
    <row r="479" customFormat="false" ht="7.5" hidden="false" customHeight="true" outlineLevel="2" collapsed="false">
      <c r="A479" s="48"/>
      <c r="B479" s="49" t="s">
        <v>1645</v>
      </c>
      <c r="C479" s="50" t="s">
        <v>1646</v>
      </c>
      <c r="D479" s="51"/>
      <c r="E479" s="52" t="n">
        <f aca="false">I479*(1-J479)*(100-E1)/100</f>
        <v>7308.8</v>
      </c>
      <c r="F479" s="53"/>
      <c r="G479" s="54" t="n">
        <v>3</v>
      </c>
      <c r="H479" s="52" t="n">
        <f aca="false">E479*F479</f>
        <v>0</v>
      </c>
      <c r="I479" s="55" t="n">
        <v>11420</v>
      </c>
      <c r="J479" s="56"/>
      <c r="K479" s="57" t="n">
        <v>130</v>
      </c>
      <c r="L479" s="22" t="s">
        <v>800</v>
      </c>
      <c r="M479" s="22"/>
      <c r="N479" s="58" t="n">
        <f aca="false">F479*P479</f>
        <v>0</v>
      </c>
      <c r="O479" s="58" t="n">
        <f aca="false">F479*Q479</f>
        <v>0</v>
      </c>
      <c r="P479" s="58" t="n">
        <v>6.5</v>
      </c>
      <c r="Q479" s="58" t="n">
        <v>0.023</v>
      </c>
      <c r="R479" s="59" t="s">
        <v>1647</v>
      </c>
      <c r="S479" s="22"/>
      <c r="T479" s="11" t="str">
        <f aca="false">"16.12.25"</f>
        <v>16.12.25</v>
      </c>
    </row>
    <row r="480" customFormat="false" ht="7.5" hidden="false" customHeight="true" outlineLevel="2" collapsed="false">
      <c r="A480" s="48"/>
      <c r="B480" s="49" t="s">
        <v>1648</v>
      </c>
      <c r="C480" s="50" t="s">
        <v>1649</v>
      </c>
      <c r="D480" s="51"/>
      <c r="E480" s="52" t="n">
        <f aca="false">I480*(1-J480)*(100-E1)/100</f>
        <v>5120</v>
      </c>
      <c r="F480" s="53"/>
      <c r="G480" s="54" t="n">
        <v>4</v>
      </c>
      <c r="H480" s="52" t="n">
        <f aca="false">E480*F480</f>
        <v>0</v>
      </c>
      <c r="I480" s="55" t="n">
        <v>8000</v>
      </c>
      <c r="J480" s="56"/>
      <c r="K480" s="57" t="n">
        <v>0</v>
      </c>
      <c r="L480" s="22" t="s">
        <v>800</v>
      </c>
      <c r="M480" s="22"/>
      <c r="N480" s="58" t="n">
        <f aca="false">F480*P480</f>
        <v>0</v>
      </c>
      <c r="O480" s="58" t="n">
        <f aca="false">F480*Q480</f>
        <v>0</v>
      </c>
      <c r="P480" s="58" t="n">
        <v>5</v>
      </c>
      <c r="Q480" s="58" t="n">
        <v>0.015</v>
      </c>
      <c r="R480" s="59" t="s">
        <v>1650</v>
      </c>
      <c r="S480" s="22"/>
      <c r="T480" s="11" t="str">
        <f aca="false">"16.12.25"</f>
        <v>16.12.25</v>
      </c>
    </row>
    <row r="481" customFormat="false" ht="7.5" hidden="false" customHeight="true" outlineLevel="2" collapsed="false">
      <c r="A481" s="48"/>
      <c r="B481" s="49" t="s">
        <v>1651</v>
      </c>
      <c r="C481" s="50" t="s">
        <v>1652</v>
      </c>
      <c r="D481" s="51"/>
      <c r="E481" s="52" t="n">
        <f aca="false">I481*(1-J481)*(100-E1)/100</f>
        <v>7308.8</v>
      </c>
      <c r="F481" s="53"/>
      <c r="G481" s="54" t="n">
        <v>3</v>
      </c>
      <c r="H481" s="52" t="n">
        <f aca="false">E481*F481</f>
        <v>0</v>
      </c>
      <c r="I481" s="55" t="n">
        <v>11420</v>
      </c>
      <c r="J481" s="56"/>
      <c r="K481" s="57" t="n">
        <v>1</v>
      </c>
      <c r="L481" s="22" t="s">
        <v>1653</v>
      </c>
      <c r="M481" s="22"/>
      <c r="N481" s="58" t="n">
        <f aca="false">F481*P481</f>
        <v>0</v>
      </c>
      <c r="O481" s="58" t="n">
        <f aca="false">F481*Q481</f>
        <v>0</v>
      </c>
      <c r="P481" s="58" t="n">
        <v>6.66</v>
      </c>
      <c r="Q481" s="58" t="n">
        <v>0.023</v>
      </c>
      <c r="R481" s="59" t="s">
        <v>1654</v>
      </c>
      <c r="S481" s="22"/>
      <c r="T481" s="11" t="str">
        <f aca="false">"16.12.25"</f>
        <v>16.12.25</v>
      </c>
    </row>
    <row r="482" customFormat="false" ht="7.5" hidden="false" customHeight="true" outlineLevel="2" collapsed="false">
      <c r="A482" s="48"/>
      <c r="B482" s="49" t="s">
        <v>1655</v>
      </c>
      <c r="C482" s="50" t="s">
        <v>1656</v>
      </c>
      <c r="D482" s="51"/>
      <c r="E482" s="52" t="n">
        <f aca="false">I482*(1-J482)*(100-E1)/100</f>
        <v>7097.6</v>
      </c>
      <c r="F482" s="53"/>
      <c r="G482" s="54" t="n">
        <v>3</v>
      </c>
      <c r="H482" s="52" t="n">
        <f aca="false">E482*F482</f>
        <v>0</v>
      </c>
      <c r="I482" s="55" t="n">
        <v>11090</v>
      </c>
      <c r="J482" s="56"/>
      <c r="K482" s="57" t="n">
        <v>0</v>
      </c>
      <c r="L482" s="22" t="s">
        <v>1653</v>
      </c>
      <c r="M482" s="22"/>
      <c r="N482" s="58" t="n">
        <f aca="false">F482*P482</f>
        <v>0</v>
      </c>
      <c r="O482" s="58" t="n">
        <f aca="false">F482*Q482</f>
        <v>0</v>
      </c>
      <c r="P482" s="58" t="n">
        <v>6.66</v>
      </c>
      <c r="Q482" s="58" t="n">
        <v>0.023</v>
      </c>
      <c r="R482" s="59" t="s">
        <v>1657</v>
      </c>
      <c r="S482" s="22"/>
      <c r="T482" s="11" t="str">
        <f aca="false">"16.12.25"</f>
        <v>16.12.25</v>
      </c>
    </row>
    <row r="483" customFormat="false" ht="7.5" hidden="false" customHeight="true" outlineLevel="2" collapsed="false">
      <c r="A483" s="48"/>
      <c r="B483" s="49" t="s">
        <v>1658</v>
      </c>
      <c r="C483" s="50" t="s">
        <v>1659</v>
      </c>
      <c r="D483" s="51"/>
      <c r="E483" s="52" t="n">
        <f aca="false">I483*(1-J483)*(100-E1)/100</f>
        <v>4480</v>
      </c>
      <c r="F483" s="53"/>
      <c r="G483" s="54" t="n">
        <v>4</v>
      </c>
      <c r="H483" s="52" t="n">
        <f aca="false">E483*F483</f>
        <v>0</v>
      </c>
      <c r="I483" s="55" t="n">
        <v>7000</v>
      </c>
      <c r="J483" s="56"/>
      <c r="K483" s="57" t="n">
        <v>1319</v>
      </c>
      <c r="L483" s="22" t="s">
        <v>1653</v>
      </c>
      <c r="M483" s="22"/>
      <c r="N483" s="58" t="n">
        <f aca="false">F483*P483</f>
        <v>0</v>
      </c>
      <c r="O483" s="58" t="n">
        <f aca="false">F483*Q483</f>
        <v>0</v>
      </c>
      <c r="P483" s="58" t="n">
        <v>4.875</v>
      </c>
      <c r="Q483" s="58" t="n">
        <v>0.015</v>
      </c>
      <c r="R483" s="59" t="s">
        <v>1660</v>
      </c>
      <c r="S483" s="22"/>
      <c r="T483" s="11" t="str">
        <f aca="false">"16.12.25"</f>
        <v>16.12.25</v>
      </c>
    </row>
    <row r="484" customFormat="false" ht="7.5" hidden="false" customHeight="true" outlineLevel="2" collapsed="false">
      <c r="A484" s="48"/>
      <c r="B484" s="49" t="s">
        <v>1661</v>
      </c>
      <c r="C484" s="50" t="s">
        <v>1662</v>
      </c>
      <c r="D484" s="51"/>
      <c r="E484" s="52" t="n">
        <f aca="false">I484*(1-J484)*(100-E1)/100</f>
        <v>5120</v>
      </c>
      <c r="F484" s="53"/>
      <c r="G484" s="54" t="n">
        <v>4</v>
      </c>
      <c r="H484" s="52" t="n">
        <f aca="false">E484*F484</f>
        <v>0</v>
      </c>
      <c r="I484" s="55" t="n">
        <v>8000</v>
      </c>
      <c r="J484" s="56"/>
      <c r="K484" s="57" t="n">
        <v>764</v>
      </c>
      <c r="L484" s="22" t="s">
        <v>372</v>
      </c>
      <c r="M484" s="22"/>
      <c r="N484" s="58" t="n">
        <f aca="false">F484*P484</f>
        <v>0</v>
      </c>
      <c r="O484" s="58" t="n">
        <f aca="false">F484*Q484</f>
        <v>0</v>
      </c>
      <c r="P484" s="58" t="n">
        <v>5.25</v>
      </c>
      <c r="Q484" s="58" t="n">
        <v>0.02</v>
      </c>
      <c r="R484" s="59" t="s">
        <v>1663</v>
      </c>
      <c r="S484" s="22"/>
      <c r="T484" s="11" t="str">
        <f aca="false">"16.12.25"</f>
        <v>16.12.25</v>
      </c>
    </row>
    <row r="485" customFormat="false" ht="7.5" hidden="false" customHeight="true" outlineLevel="2" collapsed="false">
      <c r="A485" s="48"/>
      <c r="B485" s="49" t="s">
        <v>1664</v>
      </c>
      <c r="C485" s="50" t="s">
        <v>1665</v>
      </c>
      <c r="D485" s="51"/>
      <c r="E485" s="52" t="n">
        <f aca="false">I485*(1-J485)*(100-E1)/100</f>
        <v>7097.6</v>
      </c>
      <c r="F485" s="53"/>
      <c r="G485" s="54" t="n">
        <v>1</v>
      </c>
      <c r="H485" s="52" t="n">
        <f aca="false">E485*F485</f>
        <v>0</v>
      </c>
      <c r="I485" s="55" t="n">
        <v>11090</v>
      </c>
      <c r="J485" s="56"/>
      <c r="K485" s="57" t="n">
        <v>60</v>
      </c>
      <c r="L485" s="22" t="s">
        <v>372</v>
      </c>
      <c r="M485" s="22"/>
      <c r="N485" s="58" t="n">
        <f aca="false">F485*P485</f>
        <v>0</v>
      </c>
      <c r="O485" s="58" t="n">
        <f aca="false">F485*Q485</f>
        <v>0</v>
      </c>
      <c r="P485" s="58" t="n">
        <v>6</v>
      </c>
      <c r="Q485" s="58" t="n">
        <v>0.02</v>
      </c>
      <c r="R485" s="59" t="s">
        <v>1666</v>
      </c>
      <c r="S485" s="22"/>
      <c r="T485" s="11" t="str">
        <f aca="false">"16.12.25"</f>
        <v>16.12.25</v>
      </c>
    </row>
    <row r="486" customFormat="false" ht="7.5" hidden="false" customHeight="true" outlineLevel="2" collapsed="false">
      <c r="A486" s="48"/>
      <c r="B486" s="49" t="s">
        <v>1667</v>
      </c>
      <c r="C486" s="50" t="s">
        <v>1668</v>
      </c>
      <c r="D486" s="51"/>
      <c r="E486" s="52" t="n">
        <f aca="false">I486*(1-J486)*(100-E1)/100</f>
        <v>4480</v>
      </c>
      <c r="F486" s="53"/>
      <c r="G486" s="54" t="n">
        <v>1</v>
      </c>
      <c r="H486" s="52" t="n">
        <f aca="false">E486*F486</f>
        <v>0</v>
      </c>
      <c r="I486" s="55" t="n">
        <v>7000</v>
      </c>
      <c r="J486" s="56"/>
      <c r="K486" s="57" t="n">
        <v>3</v>
      </c>
      <c r="L486" s="22" t="s">
        <v>372</v>
      </c>
      <c r="M486" s="22"/>
      <c r="N486" s="58" t="n">
        <f aca="false">F486*P486</f>
        <v>0</v>
      </c>
      <c r="O486" s="58" t="n">
        <f aca="false">F486*Q486</f>
        <v>0</v>
      </c>
      <c r="P486" s="58" t="n">
        <v>4.55</v>
      </c>
      <c r="Q486" s="58" t="n">
        <v>0.01</v>
      </c>
      <c r="R486" s="59" t="s">
        <v>1669</v>
      </c>
      <c r="S486" s="22"/>
      <c r="T486" s="11" t="str">
        <f aca="false">"16.12.25"</f>
        <v>16.12.25</v>
      </c>
    </row>
    <row r="487" customFormat="false" ht="7.5" hidden="false" customHeight="true" outlineLevel="2" collapsed="false">
      <c r="A487" s="48"/>
      <c r="B487" s="49" t="s">
        <v>1670</v>
      </c>
      <c r="C487" s="50" t="s">
        <v>1671</v>
      </c>
      <c r="D487" s="51"/>
      <c r="E487" s="52" t="n">
        <f aca="false">I487*(1-J487)*(100-E1)/100</f>
        <v>7308.8</v>
      </c>
      <c r="F487" s="53"/>
      <c r="G487" s="54" t="n">
        <v>1</v>
      </c>
      <c r="H487" s="52" t="n">
        <f aca="false">E487*F487</f>
        <v>0</v>
      </c>
      <c r="I487" s="55" t="n">
        <v>11420</v>
      </c>
      <c r="J487" s="56"/>
      <c r="K487" s="57" t="n">
        <v>126</v>
      </c>
      <c r="L487" s="22" t="s">
        <v>372</v>
      </c>
      <c r="M487" s="22"/>
      <c r="N487" s="58" t="n">
        <f aca="false">F487*P487</f>
        <v>0</v>
      </c>
      <c r="O487" s="58" t="n">
        <f aca="false">F487*Q487</f>
        <v>0</v>
      </c>
      <c r="P487" s="58" t="n">
        <v>6.44</v>
      </c>
      <c r="Q487" s="58" t="n">
        <v>0.02</v>
      </c>
      <c r="R487" s="59" t="s">
        <v>1672</v>
      </c>
      <c r="S487" s="22"/>
      <c r="T487" s="11" t="str">
        <f aca="false">"16.12.25"</f>
        <v>16.12.25</v>
      </c>
    </row>
    <row r="488" customFormat="false" ht="7.5" hidden="false" customHeight="true" outlineLevel="2" collapsed="false">
      <c r="A488" s="48"/>
      <c r="B488" s="49" t="s">
        <v>1673</v>
      </c>
      <c r="C488" s="50" t="s">
        <v>1674</v>
      </c>
      <c r="D488" s="51"/>
      <c r="E488" s="52" t="n">
        <f aca="false">I488*(1-J488)*(100-E1)/100</f>
        <v>7097.6</v>
      </c>
      <c r="F488" s="53"/>
      <c r="G488" s="54" t="n">
        <v>3</v>
      </c>
      <c r="H488" s="52" t="n">
        <f aca="false">E488*F488</f>
        <v>0</v>
      </c>
      <c r="I488" s="55" t="n">
        <v>11090</v>
      </c>
      <c r="J488" s="56"/>
      <c r="K488" s="57" t="n">
        <v>0</v>
      </c>
      <c r="L488" s="22" t="s">
        <v>372</v>
      </c>
      <c r="M488" s="22"/>
      <c r="N488" s="58" t="n">
        <f aca="false">F488*P488</f>
        <v>0</v>
      </c>
      <c r="O488" s="58" t="n">
        <f aca="false">F488*Q488</f>
        <v>0</v>
      </c>
      <c r="P488" s="58" t="n">
        <v>6.74</v>
      </c>
      <c r="Q488" s="58" t="n">
        <v>0.02</v>
      </c>
      <c r="R488" s="59" t="s">
        <v>1675</v>
      </c>
      <c r="S488" s="22"/>
      <c r="T488" s="11" t="str">
        <f aca="false">"16.12.25"</f>
        <v>16.12.25</v>
      </c>
    </row>
    <row r="489" customFormat="false" ht="7.5" hidden="false" customHeight="true" outlineLevel="2" collapsed="false">
      <c r="A489" s="48"/>
      <c r="B489" s="49" t="s">
        <v>1676</v>
      </c>
      <c r="C489" s="50" t="s">
        <v>1677</v>
      </c>
      <c r="D489" s="51"/>
      <c r="E489" s="52" t="n">
        <f aca="false">I489*(1-J489)*(100-E1)/100</f>
        <v>7308.8</v>
      </c>
      <c r="F489" s="53"/>
      <c r="G489" s="54" t="n">
        <v>3</v>
      </c>
      <c r="H489" s="52" t="n">
        <f aca="false">E489*F489</f>
        <v>0</v>
      </c>
      <c r="I489" s="55" t="n">
        <v>11420</v>
      </c>
      <c r="J489" s="56"/>
      <c r="K489" s="57" t="n">
        <v>0</v>
      </c>
      <c r="L489" s="22" t="s">
        <v>372</v>
      </c>
      <c r="M489" s="22"/>
      <c r="N489" s="58" t="n">
        <f aca="false">F489*P489</f>
        <v>0</v>
      </c>
      <c r="O489" s="58" t="n">
        <f aca="false">F489*Q489</f>
        <v>0</v>
      </c>
      <c r="P489" s="58" t="n">
        <v>6.74</v>
      </c>
      <c r="Q489" s="58" t="n">
        <v>0.02</v>
      </c>
      <c r="R489" s="59" t="s">
        <v>1678</v>
      </c>
      <c r="S489" s="22"/>
      <c r="T489" s="11" t="str">
        <f aca="false">"16.12.25"</f>
        <v>16.12.25</v>
      </c>
    </row>
    <row r="490" customFormat="false" ht="7.5" hidden="false" customHeight="true" outlineLevel="2" collapsed="false">
      <c r="A490" s="48"/>
      <c r="B490" s="49" t="s">
        <v>1679</v>
      </c>
      <c r="C490" s="50" t="s">
        <v>1680</v>
      </c>
      <c r="D490" s="51"/>
      <c r="E490" s="52" t="n">
        <f aca="false">I490*(1-J490)*(100-E1)/100</f>
        <v>7097.6</v>
      </c>
      <c r="F490" s="53"/>
      <c r="G490" s="54" t="n">
        <v>3</v>
      </c>
      <c r="H490" s="52" t="n">
        <f aca="false">E490*F490</f>
        <v>0</v>
      </c>
      <c r="I490" s="55" t="n">
        <v>11090</v>
      </c>
      <c r="J490" s="56"/>
      <c r="K490" s="57" t="n">
        <v>423</v>
      </c>
      <c r="L490" s="22" t="s">
        <v>372</v>
      </c>
      <c r="M490" s="22"/>
      <c r="N490" s="58" t="n">
        <f aca="false">F490*P490</f>
        <v>0</v>
      </c>
      <c r="O490" s="58" t="n">
        <f aca="false">F490*Q490</f>
        <v>0</v>
      </c>
      <c r="P490" s="58" t="n">
        <v>6.75</v>
      </c>
      <c r="Q490" s="58" t="n">
        <v>0.033</v>
      </c>
      <c r="R490" s="59" t="s">
        <v>1681</v>
      </c>
      <c r="S490" s="22"/>
      <c r="T490" s="11" t="str">
        <f aca="false">"16.12.25"</f>
        <v>16.12.25</v>
      </c>
    </row>
    <row r="491" customFormat="false" ht="7.5" hidden="false" customHeight="true" outlineLevel="2" collapsed="false">
      <c r="A491" s="48"/>
      <c r="B491" s="49" t="s">
        <v>1682</v>
      </c>
      <c r="C491" s="50" t="s">
        <v>1683</v>
      </c>
      <c r="D491" s="51"/>
      <c r="E491" s="52" t="n">
        <f aca="false">I491*(1-J491)*(100-E1)/100</f>
        <v>12140.8</v>
      </c>
      <c r="F491" s="53"/>
      <c r="G491" s="54" t="n">
        <v>1</v>
      </c>
      <c r="H491" s="52" t="n">
        <f aca="false">E491*F491</f>
        <v>0</v>
      </c>
      <c r="I491" s="55" t="n">
        <v>18970</v>
      </c>
      <c r="J491" s="56"/>
      <c r="K491" s="57" t="n">
        <v>0</v>
      </c>
      <c r="L491" s="22" t="s">
        <v>372</v>
      </c>
      <c r="M491" s="22"/>
      <c r="N491" s="58" t="n">
        <f aca="false">F491*P491</f>
        <v>0</v>
      </c>
      <c r="O491" s="58" t="n">
        <f aca="false">F491*Q491</f>
        <v>0</v>
      </c>
      <c r="P491" s="58" t="n">
        <v>12.2</v>
      </c>
      <c r="Q491" s="58" t="n">
        <v>0.05</v>
      </c>
      <c r="R491" s="59" t="s">
        <v>1684</v>
      </c>
      <c r="S491" s="22"/>
      <c r="T491" s="11" t="str">
        <f aca="false">"16.12.25"</f>
        <v>16.12.25</v>
      </c>
    </row>
    <row r="492" customFormat="false" ht="7.5" hidden="false" customHeight="true" outlineLevel="2" collapsed="false">
      <c r="A492" s="48"/>
      <c r="B492" s="49" t="s">
        <v>1685</v>
      </c>
      <c r="C492" s="50" t="s">
        <v>1686</v>
      </c>
      <c r="D492" s="51"/>
      <c r="E492" s="52" t="n">
        <f aca="false">I492*(1-J492)*(100-E1)/100</f>
        <v>12490.24</v>
      </c>
      <c r="F492" s="53"/>
      <c r="G492" s="54" t="n">
        <v>1</v>
      </c>
      <c r="H492" s="52" t="n">
        <f aca="false">E492*F492</f>
        <v>0</v>
      </c>
      <c r="I492" s="55" t="n">
        <v>27880</v>
      </c>
      <c r="J492" s="56" t="n">
        <v>0.3</v>
      </c>
      <c r="K492" s="57" t="n">
        <v>152</v>
      </c>
      <c r="L492" s="22" t="s">
        <v>380</v>
      </c>
      <c r="M492" s="22" t="s">
        <v>31</v>
      </c>
      <c r="N492" s="58" t="n">
        <f aca="false">F492*P492</f>
        <v>0</v>
      </c>
      <c r="O492" s="58" t="n">
        <f aca="false">F492*Q492</f>
        <v>0</v>
      </c>
      <c r="P492" s="58" t="n">
        <v>15.85</v>
      </c>
      <c r="Q492" s="58" t="n">
        <v>0.061</v>
      </c>
      <c r="R492" s="59" t="s">
        <v>1687</v>
      </c>
      <c r="S492" s="22"/>
      <c r="T492" s="11" t="str">
        <f aca="false">"16.12.25"</f>
        <v>16.12.25</v>
      </c>
    </row>
    <row r="493" customFormat="false" ht="7.5" hidden="false" customHeight="true" outlineLevel="2" collapsed="false">
      <c r="A493" s="48"/>
      <c r="B493" s="49" t="s">
        <v>1688</v>
      </c>
      <c r="C493" s="50" t="s">
        <v>1689</v>
      </c>
      <c r="D493" s="51"/>
      <c r="E493" s="52" t="n">
        <f aca="false">I493*(1-J493)*(100-E1)/100</f>
        <v>14313.6</v>
      </c>
      <c r="F493" s="53"/>
      <c r="G493" s="54" t="n">
        <v>1</v>
      </c>
      <c r="H493" s="52" t="n">
        <f aca="false">E493*F493</f>
        <v>0</v>
      </c>
      <c r="I493" s="55" t="n">
        <v>31950</v>
      </c>
      <c r="J493" s="56" t="n">
        <v>0.3</v>
      </c>
      <c r="K493" s="57" t="n">
        <v>91</v>
      </c>
      <c r="L493" s="22" t="s">
        <v>380</v>
      </c>
      <c r="M493" s="22" t="s">
        <v>31</v>
      </c>
      <c r="N493" s="58" t="n">
        <f aca="false">F493*P493</f>
        <v>0</v>
      </c>
      <c r="O493" s="58" t="n">
        <f aca="false">F493*Q493</f>
        <v>0</v>
      </c>
      <c r="P493" s="58" t="n">
        <v>13.25</v>
      </c>
      <c r="Q493" s="58" t="n">
        <v>0.061</v>
      </c>
      <c r="R493" s="59" t="s">
        <v>1690</v>
      </c>
      <c r="S493" s="22"/>
      <c r="T493" s="11" t="str">
        <f aca="false">"16.12.25"</f>
        <v>16.12.25</v>
      </c>
    </row>
    <row r="494" customFormat="false" ht="7.5" hidden="false" customHeight="true" outlineLevel="2" collapsed="false">
      <c r="A494" s="48"/>
      <c r="B494" s="49" t="s">
        <v>1691</v>
      </c>
      <c r="C494" s="50" t="s">
        <v>1692</v>
      </c>
      <c r="D494" s="51"/>
      <c r="E494" s="52" t="n">
        <f aca="false">I494*(1-J494)*(100-E1)/100</f>
        <v>13377.28</v>
      </c>
      <c r="F494" s="53"/>
      <c r="G494" s="54" t="n">
        <v>1</v>
      </c>
      <c r="H494" s="52" t="n">
        <f aca="false">E494*F494</f>
        <v>0</v>
      </c>
      <c r="I494" s="55" t="n">
        <v>29860</v>
      </c>
      <c r="J494" s="56" t="n">
        <v>0.3</v>
      </c>
      <c r="K494" s="57" t="n">
        <v>48</v>
      </c>
      <c r="L494" s="22" t="s">
        <v>380</v>
      </c>
      <c r="M494" s="22" t="s">
        <v>31</v>
      </c>
      <c r="N494" s="58" t="n">
        <f aca="false">F494*P494</f>
        <v>0</v>
      </c>
      <c r="O494" s="58" t="n">
        <f aca="false">F494*Q494</f>
        <v>0</v>
      </c>
      <c r="P494" s="58" t="n">
        <v>15.4</v>
      </c>
      <c r="Q494" s="58" t="n">
        <v>0.061</v>
      </c>
      <c r="R494" s="59" t="s">
        <v>1693</v>
      </c>
      <c r="S494" s="22"/>
      <c r="T494" s="11" t="str">
        <f aca="false">"16.12.25"</f>
        <v>16.12.25</v>
      </c>
    </row>
    <row r="495" customFormat="false" ht="7.5" hidden="false" customHeight="true" outlineLevel="2" collapsed="false">
      <c r="A495" s="48"/>
      <c r="B495" s="49" t="s">
        <v>1694</v>
      </c>
      <c r="C495" s="50" t="s">
        <v>1695</v>
      </c>
      <c r="D495" s="51"/>
      <c r="E495" s="52" t="n">
        <f aca="false">I495*(1-J495)*(100-E1)/100</f>
        <v>15447.04</v>
      </c>
      <c r="F495" s="53"/>
      <c r="G495" s="54" t="n">
        <v>1</v>
      </c>
      <c r="H495" s="52" t="n">
        <f aca="false">E495*F495</f>
        <v>0</v>
      </c>
      <c r="I495" s="55" t="n">
        <v>34480</v>
      </c>
      <c r="J495" s="56" t="n">
        <v>0.3</v>
      </c>
      <c r="K495" s="57" t="n">
        <v>134</v>
      </c>
      <c r="L495" s="22" t="s">
        <v>380</v>
      </c>
      <c r="M495" s="22" t="s">
        <v>31</v>
      </c>
      <c r="N495" s="58" t="n">
        <f aca="false">F495*P495</f>
        <v>0</v>
      </c>
      <c r="O495" s="58" t="n">
        <f aca="false">F495*Q495</f>
        <v>0</v>
      </c>
      <c r="P495" s="58" t="n">
        <v>16.04</v>
      </c>
      <c r="Q495" s="58" t="n">
        <v>0.061</v>
      </c>
      <c r="R495" s="59" t="s">
        <v>1696</v>
      </c>
      <c r="S495" s="22"/>
      <c r="T495" s="11" t="str">
        <f aca="false">"16.12.25"</f>
        <v>16.12.25</v>
      </c>
    </row>
    <row r="496" customFormat="false" ht="7.5" hidden="false" customHeight="true" outlineLevel="2" collapsed="false">
      <c r="A496" s="60" t="str">
        <f aca="false">HYPERLINK("https://disk.360.yandex.ru/d/UR6a9eGFVPmftg","фото")</f>
        <v>фото</v>
      </c>
      <c r="B496" s="49" t="s">
        <v>1697</v>
      </c>
      <c r="C496" s="50" t="s">
        <v>1698</v>
      </c>
      <c r="D496" s="51" t="s">
        <v>1699</v>
      </c>
      <c r="E496" s="52" t="n">
        <f aca="false">I496*(1-J496)*(100-E1)/100</f>
        <v>16929.92</v>
      </c>
      <c r="F496" s="53"/>
      <c r="G496" s="54" t="n">
        <v>1</v>
      </c>
      <c r="H496" s="52" t="n">
        <f aca="false">E496*F496</f>
        <v>0</v>
      </c>
      <c r="I496" s="55" t="n">
        <v>37790</v>
      </c>
      <c r="J496" s="56" t="n">
        <v>0.3</v>
      </c>
      <c r="K496" s="57" t="n">
        <v>82</v>
      </c>
      <c r="L496" s="22" t="s">
        <v>380</v>
      </c>
      <c r="M496" s="22" t="s">
        <v>31</v>
      </c>
      <c r="N496" s="58" t="n">
        <f aca="false">F496*P496</f>
        <v>0</v>
      </c>
      <c r="O496" s="58" t="n">
        <f aca="false">F496*Q496</f>
        <v>0</v>
      </c>
      <c r="P496" s="58" t="n">
        <v>11.36</v>
      </c>
      <c r="Q496" s="58" t="n">
        <v>0.049</v>
      </c>
      <c r="R496" s="59" t="s">
        <v>1700</v>
      </c>
      <c r="S496" s="22"/>
      <c r="T496" s="11" t="str">
        <f aca="false">"16.12.25"</f>
        <v>16.12.25</v>
      </c>
    </row>
    <row r="497" customFormat="false" ht="7.5" hidden="false" customHeight="true" outlineLevel="2" collapsed="false">
      <c r="A497" s="60" t="str">
        <f aca="false">HYPERLINK("https://disk.360.yandex.ru/d/dSRXtcxQ9DOAcw","фото")</f>
        <v>фото</v>
      </c>
      <c r="B497" s="49" t="s">
        <v>1701</v>
      </c>
      <c r="C497" s="50" t="s">
        <v>1702</v>
      </c>
      <c r="D497" s="51" t="s">
        <v>1699</v>
      </c>
      <c r="E497" s="52" t="n">
        <f aca="false">I497*(1-J497)*(100-E1)/100</f>
        <v>19617.92</v>
      </c>
      <c r="F497" s="53"/>
      <c r="G497" s="54" t="n">
        <v>1</v>
      </c>
      <c r="H497" s="52" t="n">
        <f aca="false">E497*F497</f>
        <v>0</v>
      </c>
      <c r="I497" s="55" t="n">
        <v>43790</v>
      </c>
      <c r="J497" s="56" t="n">
        <v>0.3</v>
      </c>
      <c r="K497" s="57" t="n">
        <v>43</v>
      </c>
      <c r="L497" s="22" t="s">
        <v>380</v>
      </c>
      <c r="M497" s="22" t="s">
        <v>31</v>
      </c>
      <c r="N497" s="58" t="n">
        <f aca="false">F497*P497</f>
        <v>0</v>
      </c>
      <c r="O497" s="58" t="n">
        <f aca="false">F497*Q497</f>
        <v>0</v>
      </c>
      <c r="P497" s="58" t="n">
        <v>19.3</v>
      </c>
      <c r="Q497" s="58" t="n">
        <v>0.1</v>
      </c>
      <c r="R497" s="59" t="s">
        <v>1703</v>
      </c>
      <c r="S497" s="22"/>
      <c r="T497" s="11" t="str">
        <f aca="false">"16.12.25"</f>
        <v>16.12.25</v>
      </c>
    </row>
    <row r="498" customFormat="false" ht="7.5" hidden="false" customHeight="true" outlineLevel="2" collapsed="false">
      <c r="A498" s="48"/>
      <c r="B498" s="49" t="s">
        <v>1704</v>
      </c>
      <c r="C498" s="50" t="s">
        <v>1705</v>
      </c>
      <c r="D498" s="51" t="s">
        <v>1699</v>
      </c>
      <c r="E498" s="52" t="n">
        <f aca="false">I498*(1-J498)*(100-E1)/100</f>
        <v>7226.24</v>
      </c>
      <c r="F498" s="53"/>
      <c r="G498" s="54" t="n">
        <v>1</v>
      </c>
      <c r="H498" s="52" t="n">
        <f aca="false">E498*F498</f>
        <v>0</v>
      </c>
      <c r="I498" s="55" t="n">
        <v>16130</v>
      </c>
      <c r="J498" s="56" t="n">
        <v>0.3</v>
      </c>
      <c r="K498" s="57" t="n">
        <v>181</v>
      </c>
      <c r="L498" s="22" t="s">
        <v>380</v>
      </c>
      <c r="M498" s="22" t="s">
        <v>31</v>
      </c>
      <c r="N498" s="58" t="n">
        <f aca="false">F498*P498</f>
        <v>0</v>
      </c>
      <c r="O498" s="58" t="n">
        <f aca="false">F498*Q498</f>
        <v>0</v>
      </c>
      <c r="P498" s="58" t="n">
        <v>11.6</v>
      </c>
      <c r="Q498" s="58" t="n">
        <v>0.06</v>
      </c>
      <c r="R498" s="59"/>
      <c r="S498" s="22"/>
      <c r="T498" s="11" t="str">
        <f aca="false">"16.12.25"</f>
        <v>16.12.25</v>
      </c>
    </row>
    <row r="499" customFormat="false" ht="7.5" hidden="false" customHeight="true" outlineLevel="2" collapsed="false">
      <c r="A499" s="60" t="str">
        <f aca="false">HYPERLINK("https://disk.360.yandex.ru/d/eardUVwnT8m6VA","фото")</f>
        <v>фото</v>
      </c>
      <c r="B499" s="49" t="s">
        <v>1706</v>
      </c>
      <c r="C499" s="50" t="s">
        <v>1707</v>
      </c>
      <c r="D499" s="51" t="s">
        <v>1699</v>
      </c>
      <c r="E499" s="52" t="n">
        <f aca="false">I499*(1-J499)*(100-E1)/100</f>
        <v>18462.08</v>
      </c>
      <c r="F499" s="53"/>
      <c r="G499" s="54" t="n">
        <v>1</v>
      </c>
      <c r="H499" s="52" t="n">
        <f aca="false">E499*F499</f>
        <v>0</v>
      </c>
      <c r="I499" s="55" t="n">
        <v>41210</v>
      </c>
      <c r="J499" s="56" t="n">
        <v>0.3</v>
      </c>
      <c r="K499" s="57" t="n">
        <v>47</v>
      </c>
      <c r="L499" s="22" t="s">
        <v>380</v>
      </c>
      <c r="M499" s="22" t="s">
        <v>31</v>
      </c>
      <c r="N499" s="58" t="n">
        <f aca="false">F499*P499</f>
        <v>0</v>
      </c>
      <c r="O499" s="58" t="n">
        <f aca="false">F499*Q499</f>
        <v>0</v>
      </c>
      <c r="P499" s="58" t="n">
        <v>11.36</v>
      </c>
      <c r="Q499" s="58" t="n">
        <v>0.049</v>
      </c>
      <c r="R499" s="59" t="s">
        <v>1708</v>
      </c>
      <c r="S499" s="22"/>
      <c r="T499" s="11" t="str">
        <f aca="false">"16.12.25"</f>
        <v>16.12.25</v>
      </c>
    </row>
    <row r="500" customFormat="false" ht="7.5" hidden="false" customHeight="true" outlineLevel="2" collapsed="false">
      <c r="A500" s="48"/>
      <c r="B500" s="49" t="s">
        <v>1709</v>
      </c>
      <c r="C500" s="50" t="s">
        <v>1710</v>
      </c>
      <c r="D500" s="51" t="s">
        <v>1699</v>
      </c>
      <c r="E500" s="52" t="n">
        <f aca="false">I500*(1-J500)*(100-E1)/100</f>
        <v>20809.6</v>
      </c>
      <c r="F500" s="53"/>
      <c r="G500" s="54" t="n">
        <v>1</v>
      </c>
      <c r="H500" s="52" t="n">
        <f aca="false">E500*F500</f>
        <v>0</v>
      </c>
      <c r="I500" s="55" t="n">
        <v>46450</v>
      </c>
      <c r="J500" s="56" t="n">
        <v>0.3</v>
      </c>
      <c r="K500" s="57" t="n">
        <v>34</v>
      </c>
      <c r="L500" s="22" t="s">
        <v>380</v>
      </c>
      <c r="M500" s="22" t="s">
        <v>31</v>
      </c>
      <c r="N500" s="58" t="n">
        <f aca="false">F500*P500</f>
        <v>0</v>
      </c>
      <c r="O500" s="58" t="n">
        <f aca="false">F500*Q500</f>
        <v>0</v>
      </c>
      <c r="P500" s="58" t="n">
        <v>11.36</v>
      </c>
      <c r="Q500" s="58" t="n">
        <v>0.049</v>
      </c>
      <c r="R500" s="59" t="s">
        <v>1711</v>
      </c>
      <c r="S500" s="22"/>
      <c r="T500" s="11" t="str">
        <f aca="false">"16.12.25"</f>
        <v>16.12.25</v>
      </c>
    </row>
    <row r="501" customFormat="false" ht="7.5" hidden="false" customHeight="true" outlineLevel="2" collapsed="false">
      <c r="A501" s="48"/>
      <c r="B501" s="49" t="s">
        <v>1712</v>
      </c>
      <c r="C501" s="50" t="s">
        <v>1713</v>
      </c>
      <c r="D501" s="51" t="s">
        <v>1699</v>
      </c>
      <c r="E501" s="52" t="n">
        <f aca="false">I501*(1-J501)*(100-E1)/100</f>
        <v>9873.92</v>
      </c>
      <c r="F501" s="53"/>
      <c r="G501" s="54"/>
      <c r="H501" s="52" t="n">
        <f aca="false">E501*F501</f>
        <v>0</v>
      </c>
      <c r="I501" s="55" t="n">
        <v>22040</v>
      </c>
      <c r="J501" s="56" t="n">
        <v>0.3</v>
      </c>
      <c r="K501" s="57" t="n">
        <v>62</v>
      </c>
      <c r="L501" s="22" t="s">
        <v>380</v>
      </c>
      <c r="M501" s="22" t="s">
        <v>31</v>
      </c>
      <c r="N501" s="58" t="n">
        <f aca="false">F501*P501</f>
        <v>0</v>
      </c>
      <c r="O501" s="58" t="n">
        <f aca="false">F501*Q501</f>
        <v>0</v>
      </c>
      <c r="P501" s="58" t="n">
        <v>11.36</v>
      </c>
      <c r="Q501" s="58" t="n">
        <v>0.049</v>
      </c>
      <c r="R501" s="59"/>
      <c r="S501" s="22"/>
      <c r="T501" s="11" t="str">
        <f aca="false">"16.12.25"</f>
        <v>16.12.25</v>
      </c>
    </row>
    <row r="502" customFormat="false" ht="7.5" hidden="false" customHeight="true" outlineLevel="2" collapsed="false">
      <c r="A502" s="60" t="str">
        <f aca="false">HYPERLINK("https://disk.360.yandex.ru/d/msd5a0clK_4QRw","фото")</f>
        <v>фото</v>
      </c>
      <c r="B502" s="49" t="s">
        <v>1714</v>
      </c>
      <c r="C502" s="50" t="s">
        <v>1715</v>
      </c>
      <c r="D502" s="51" t="s">
        <v>1716</v>
      </c>
      <c r="E502" s="52" t="n">
        <f aca="false">I502*(1-J502)*(100-E1)/100</f>
        <v>15166.72</v>
      </c>
      <c r="F502" s="53"/>
      <c r="G502" s="54" t="n">
        <v>1</v>
      </c>
      <c r="H502" s="52" t="n">
        <f aca="false">E502*F502</f>
        <v>0</v>
      </c>
      <c r="I502" s="55" t="n">
        <v>27880</v>
      </c>
      <c r="J502" s="56" t="n">
        <v>0.15</v>
      </c>
      <c r="K502" s="57" t="n">
        <v>224</v>
      </c>
      <c r="L502" s="22" t="s">
        <v>53</v>
      </c>
      <c r="M502" s="22" t="s">
        <v>15</v>
      </c>
      <c r="N502" s="58" t="n">
        <f aca="false">F502*P502</f>
        <v>0</v>
      </c>
      <c r="O502" s="58" t="n">
        <f aca="false">F502*Q502</f>
        <v>0</v>
      </c>
      <c r="P502" s="58" t="n">
        <v>14.25</v>
      </c>
      <c r="Q502" s="58" t="n">
        <v>0.067</v>
      </c>
      <c r="R502" s="59" t="s">
        <v>1717</v>
      </c>
      <c r="S502" s="22"/>
      <c r="T502" s="11" t="str">
        <f aca="false">"16.12.25"</f>
        <v>16.12.25</v>
      </c>
    </row>
    <row r="503" customFormat="false" ht="7.5" hidden="false" customHeight="true" outlineLevel="2" collapsed="false">
      <c r="A503" s="60" t="str">
        <f aca="false">HYPERLINK("https://disk.360.yandex.ru/d/LKZHjO3qoalbhA","фото")</f>
        <v>фото</v>
      </c>
      <c r="B503" s="49" t="s">
        <v>1718</v>
      </c>
      <c r="C503" s="50" t="s">
        <v>1719</v>
      </c>
      <c r="D503" s="51" t="s">
        <v>1720</v>
      </c>
      <c r="E503" s="52" t="n">
        <f aca="false">I503*(1-J503)*(100-E1)/100</f>
        <v>17380.8</v>
      </c>
      <c r="F503" s="53"/>
      <c r="G503" s="54" t="n">
        <v>1</v>
      </c>
      <c r="H503" s="52" t="n">
        <f aca="false">E503*F503</f>
        <v>0</v>
      </c>
      <c r="I503" s="55" t="n">
        <v>31950</v>
      </c>
      <c r="J503" s="56" t="n">
        <v>0.15</v>
      </c>
      <c r="K503" s="57" t="n">
        <v>415</v>
      </c>
      <c r="L503" s="22" t="s">
        <v>53</v>
      </c>
      <c r="M503" s="22" t="s">
        <v>15</v>
      </c>
      <c r="N503" s="58" t="n">
        <f aca="false">F503*P503</f>
        <v>0</v>
      </c>
      <c r="O503" s="58" t="n">
        <f aca="false">F503*Q503</f>
        <v>0</v>
      </c>
      <c r="P503" s="58" t="n">
        <v>14.5</v>
      </c>
      <c r="Q503" s="58" t="n">
        <v>0.067</v>
      </c>
      <c r="R503" s="59" t="s">
        <v>1721</v>
      </c>
      <c r="S503" s="22"/>
      <c r="T503" s="11" t="str">
        <f aca="false">"16.12.25"</f>
        <v>16.12.25</v>
      </c>
    </row>
    <row r="504" customFormat="false" ht="7.5" hidden="false" customHeight="true" outlineLevel="2" collapsed="false">
      <c r="A504" s="60" t="str">
        <f aca="false">HYPERLINK("https://disk.360.yandex.ru/d/z_DQW_FaT1yu6Q","фото")</f>
        <v>фото</v>
      </c>
      <c r="B504" s="49" t="s">
        <v>1722</v>
      </c>
      <c r="C504" s="50" t="s">
        <v>1723</v>
      </c>
      <c r="D504" s="51" t="s">
        <v>1724</v>
      </c>
      <c r="E504" s="52" t="n">
        <f aca="false">I504*(1-J504)*(100-E1)/100</f>
        <v>16243.84</v>
      </c>
      <c r="F504" s="53"/>
      <c r="G504" s="54" t="n">
        <v>1</v>
      </c>
      <c r="H504" s="52" t="n">
        <f aca="false">E504*F504</f>
        <v>0</v>
      </c>
      <c r="I504" s="55" t="n">
        <v>29860</v>
      </c>
      <c r="J504" s="56" t="n">
        <v>0.15</v>
      </c>
      <c r="K504" s="57" t="n">
        <v>0</v>
      </c>
      <c r="L504" s="22" t="s">
        <v>53</v>
      </c>
      <c r="M504" s="22" t="s">
        <v>15</v>
      </c>
      <c r="N504" s="58" t="n">
        <f aca="false">F504*P504</f>
        <v>0</v>
      </c>
      <c r="O504" s="58" t="n">
        <f aca="false">F504*Q504</f>
        <v>0</v>
      </c>
      <c r="P504" s="58" t="n">
        <v>15</v>
      </c>
      <c r="Q504" s="58" t="n">
        <v>0.069</v>
      </c>
      <c r="R504" s="59" t="s">
        <v>1725</v>
      </c>
      <c r="S504" s="22"/>
      <c r="T504" s="11" t="str">
        <f aca="false">"16.12.25"</f>
        <v>16.12.25</v>
      </c>
    </row>
    <row r="505" customFormat="false" ht="7.5" hidden="false" customHeight="true" outlineLevel="2" collapsed="false">
      <c r="A505" s="60" t="str">
        <f aca="false">HYPERLINK("https://disk.360.yandex.ru/d/DLRGmdaxMjumLg","фото")</f>
        <v>фото</v>
      </c>
      <c r="B505" s="49" t="s">
        <v>1726</v>
      </c>
      <c r="C505" s="50" t="s">
        <v>1727</v>
      </c>
      <c r="D505" s="51" t="s">
        <v>1728</v>
      </c>
      <c r="E505" s="52" t="n">
        <f aca="false">I505*(1-J505)*(100-E1)/100</f>
        <v>18757.12</v>
      </c>
      <c r="F505" s="53"/>
      <c r="G505" s="54" t="n">
        <v>1</v>
      </c>
      <c r="H505" s="52" t="n">
        <f aca="false">E505*F505</f>
        <v>0</v>
      </c>
      <c r="I505" s="55" t="n">
        <v>34480</v>
      </c>
      <c r="J505" s="56" t="n">
        <v>0.15</v>
      </c>
      <c r="K505" s="57" t="n">
        <v>197</v>
      </c>
      <c r="L505" s="22" t="s">
        <v>53</v>
      </c>
      <c r="M505" s="22" t="s">
        <v>15</v>
      </c>
      <c r="N505" s="58" t="n">
        <f aca="false">F505*P505</f>
        <v>0</v>
      </c>
      <c r="O505" s="58" t="n">
        <f aca="false">F505*Q505</f>
        <v>0</v>
      </c>
      <c r="P505" s="58" t="n">
        <v>14.5</v>
      </c>
      <c r="Q505" s="58" t="n">
        <v>0.067</v>
      </c>
      <c r="R505" s="59" t="s">
        <v>1729</v>
      </c>
      <c r="S505" s="22"/>
      <c r="T505" s="11" t="str">
        <f aca="false">"16.12.25"</f>
        <v>16.12.25</v>
      </c>
    </row>
    <row r="506" customFormat="false" ht="7.5" hidden="false" customHeight="true" outlineLevel="2" collapsed="false">
      <c r="A506" s="60" t="str">
        <f aca="false">HYPERLINK("https://disk.360.yandex.ru/d/iC-mqd_-CsbGhQ","фото")</f>
        <v>фото</v>
      </c>
      <c r="B506" s="49" t="s">
        <v>1730</v>
      </c>
      <c r="C506" s="50" t="s">
        <v>1731</v>
      </c>
      <c r="D506" s="51" t="s">
        <v>1732</v>
      </c>
      <c r="E506" s="52" t="n">
        <f aca="false">I506*(1-J506)*(100-E1)/100</f>
        <v>38205.12</v>
      </c>
      <c r="F506" s="53"/>
      <c r="G506" s="54" t="n">
        <v>1</v>
      </c>
      <c r="H506" s="52" t="n">
        <f aca="false">E506*F506</f>
        <v>0</v>
      </c>
      <c r="I506" s="55" t="n">
        <v>70230</v>
      </c>
      <c r="J506" s="56" t="n">
        <v>0.15</v>
      </c>
      <c r="K506" s="57" t="n">
        <v>129</v>
      </c>
      <c r="L506" s="22" t="s">
        <v>53</v>
      </c>
      <c r="M506" s="22" t="s">
        <v>15</v>
      </c>
      <c r="N506" s="58" t="n">
        <f aca="false">F506*P506</f>
        <v>0</v>
      </c>
      <c r="O506" s="58" t="n">
        <f aca="false">F506*Q506</f>
        <v>0</v>
      </c>
      <c r="P506" s="58" t="n">
        <v>30</v>
      </c>
      <c r="Q506" s="58" t="n">
        <v>0.132</v>
      </c>
      <c r="R506" s="59" t="s">
        <v>1733</v>
      </c>
      <c r="S506" s="22"/>
      <c r="T506" s="11" t="str">
        <f aca="false">"16.12.25"</f>
        <v>16.12.25</v>
      </c>
    </row>
    <row r="507" customFormat="false" ht="7.5" hidden="false" customHeight="true" outlineLevel="2" collapsed="false">
      <c r="A507" s="60" t="str">
        <f aca="false">HYPERLINK("https://disk.360.yandex.ru/d/0PxHwTi6B23RLg","фото")</f>
        <v>фото</v>
      </c>
      <c r="B507" s="49" t="s">
        <v>1734</v>
      </c>
      <c r="C507" s="50" t="s">
        <v>1735</v>
      </c>
      <c r="D507" s="51" t="s">
        <v>1736</v>
      </c>
      <c r="E507" s="52" t="n">
        <f aca="false">I507*(1-J507)*(100-E1)/100</f>
        <v>14720.64</v>
      </c>
      <c r="F507" s="53"/>
      <c r="G507" s="54" t="n">
        <v>1</v>
      </c>
      <c r="H507" s="52" t="n">
        <f aca="false">E507*F507</f>
        <v>0</v>
      </c>
      <c r="I507" s="55" t="n">
        <v>27060</v>
      </c>
      <c r="J507" s="56" t="n">
        <v>0.15</v>
      </c>
      <c r="K507" s="57" t="n">
        <v>498</v>
      </c>
      <c r="L507" s="22" t="s">
        <v>53</v>
      </c>
      <c r="M507" s="22" t="s">
        <v>15</v>
      </c>
      <c r="N507" s="58" t="n">
        <f aca="false">F507*P507</f>
        <v>0</v>
      </c>
      <c r="O507" s="58" t="n">
        <f aca="false">F507*Q507</f>
        <v>0</v>
      </c>
      <c r="P507" s="58" t="n">
        <v>13.85</v>
      </c>
      <c r="Q507" s="58" t="n">
        <v>0.07</v>
      </c>
      <c r="R507" s="59" t="s">
        <v>1737</v>
      </c>
      <c r="S507" s="22"/>
      <c r="T507" s="11" t="str">
        <f aca="false">"16.12.25"</f>
        <v>16.12.25</v>
      </c>
    </row>
    <row r="508" customFormat="false" ht="7.5" hidden="false" customHeight="true" outlineLevel="2" collapsed="false">
      <c r="A508" s="60" t="str">
        <f aca="false">HYPERLINK("https://disk.360.yandex.ru/d/8esd_s8dHJyxbQ","фото")</f>
        <v>фото</v>
      </c>
      <c r="B508" s="49" t="s">
        <v>1738</v>
      </c>
      <c r="C508" s="50" t="s">
        <v>1739</v>
      </c>
      <c r="D508" s="51"/>
      <c r="E508" s="52" t="n">
        <f aca="false">I508*(1-J508)*(100-E1)/100</f>
        <v>16450.56</v>
      </c>
      <c r="F508" s="53"/>
      <c r="G508" s="54" t="n">
        <v>1</v>
      </c>
      <c r="H508" s="52" t="n">
        <f aca="false">E508*F508</f>
        <v>0</v>
      </c>
      <c r="I508" s="55" t="n">
        <v>30240</v>
      </c>
      <c r="J508" s="56" t="n">
        <v>0.15</v>
      </c>
      <c r="K508" s="57" t="n">
        <v>207</v>
      </c>
      <c r="L508" s="22" t="s">
        <v>53</v>
      </c>
      <c r="M508" s="22" t="s">
        <v>15</v>
      </c>
      <c r="N508" s="58" t="n">
        <f aca="false">F508*P508</f>
        <v>0</v>
      </c>
      <c r="O508" s="58" t="n">
        <f aca="false">F508*Q508</f>
        <v>0</v>
      </c>
      <c r="P508" s="58" t="n">
        <v>15.2</v>
      </c>
      <c r="Q508" s="58" t="n">
        <v>0.06</v>
      </c>
      <c r="R508" s="59" t="s">
        <v>1740</v>
      </c>
      <c r="S508" s="22"/>
      <c r="T508" s="11" t="str">
        <f aca="false">"16.12.25"</f>
        <v>16.12.25</v>
      </c>
    </row>
    <row r="509" customFormat="false" ht="7.5" hidden="false" customHeight="true" outlineLevel="2" collapsed="false">
      <c r="A509" s="60" t="str">
        <f aca="false">HYPERLINK("https://disk.360.yandex.ru/d/pNYxgX-BLJGXnw","фото")</f>
        <v>фото</v>
      </c>
      <c r="B509" s="49" t="s">
        <v>1741</v>
      </c>
      <c r="C509" s="50" t="s">
        <v>1742</v>
      </c>
      <c r="D509" s="51" t="s">
        <v>1743</v>
      </c>
      <c r="E509" s="52" t="n">
        <f aca="false">I509*(1-J509)*(100-E1)/100</f>
        <v>5305.6</v>
      </c>
      <c r="F509" s="53"/>
      <c r="G509" s="54" t="n">
        <v>4</v>
      </c>
      <c r="H509" s="52" t="n">
        <f aca="false">E509*F509</f>
        <v>0</v>
      </c>
      <c r="I509" s="55" t="n">
        <v>8290</v>
      </c>
      <c r="J509" s="56"/>
      <c r="K509" s="57" t="n">
        <v>418</v>
      </c>
      <c r="L509" s="22" t="s">
        <v>53</v>
      </c>
      <c r="M509" s="22"/>
      <c r="N509" s="58" t="n">
        <f aca="false">F509*P509</f>
        <v>0</v>
      </c>
      <c r="O509" s="58" t="n">
        <f aca="false">F509*Q509</f>
        <v>0</v>
      </c>
      <c r="P509" s="58" t="n">
        <v>5.6</v>
      </c>
      <c r="Q509" s="58" t="n">
        <v>0.02</v>
      </c>
      <c r="R509" s="59" t="s">
        <v>1744</v>
      </c>
      <c r="S509" s="22"/>
      <c r="T509" s="11" t="str">
        <f aca="false">"16.12.25"</f>
        <v>16.12.25</v>
      </c>
    </row>
    <row r="510" customFormat="false" ht="7.5" hidden="false" customHeight="true" outlineLevel="2" collapsed="false">
      <c r="A510" s="60" t="str">
        <f aca="false">HYPERLINK("https://disk.yandex.ru/d/EiUQ8-jlq875SA","фото")</f>
        <v>фото</v>
      </c>
      <c r="B510" s="49" t="s">
        <v>1745</v>
      </c>
      <c r="C510" s="50" t="s">
        <v>1746</v>
      </c>
      <c r="D510" s="51" t="s">
        <v>1747</v>
      </c>
      <c r="E510" s="52" t="n">
        <f aca="false">I510*(1-J510)*(100-E1)/100</f>
        <v>5657.6</v>
      </c>
      <c r="F510" s="53"/>
      <c r="G510" s="54" t="n">
        <v>4</v>
      </c>
      <c r="H510" s="52" t="n">
        <f aca="false">E510*F510</f>
        <v>0</v>
      </c>
      <c r="I510" s="55" t="n">
        <v>8840</v>
      </c>
      <c r="J510" s="56"/>
      <c r="K510" s="57" t="n">
        <v>493</v>
      </c>
      <c r="L510" s="22" t="s">
        <v>53</v>
      </c>
      <c r="M510" s="22"/>
      <c r="N510" s="58" t="n">
        <f aca="false">F510*P510</f>
        <v>0</v>
      </c>
      <c r="O510" s="58" t="n">
        <f aca="false">F510*Q510</f>
        <v>0</v>
      </c>
      <c r="P510" s="58" t="n">
        <v>5.55</v>
      </c>
      <c r="Q510" s="58" t="n">
        <v>0.02</v>
      </c>
      <c r="R510" s="59" t="s">
        <v>1748</v>
      </c>
      <c r="S510" s="22"/>
      <c r="T510" s="11" t="str">
        <f aca="false">"16.12.25"</f>
        <v>16.12.25</v>
      </c>
    </row>
    <row r="511" customFormat="false" ht="7.5" hidden="false" customHeight="true" outlineLevel="2" collapsed="false">
      <c r="A511" s="60" t="str">
        <f aca="false">HYPERLINK("https://disk.yandex.ru/d/ZJFRpdyOVjWt4g","фото")</f>
        <v>фото</v>
      </c>
      <c r="B511" s="49" t="s">
        <v>1749</v>
      </c>
      <c r="C511" s="50" t="s">
        <v>1750</v>
      </c>
      <c r="D511" s="51" t="s">
        <v>1751</v>
      </c>
      <c r="E511" s="52" t="n">
        <f aca="false">I511*(1-J511)*(100-E1)/100</f>
        <v>14348.8</v>
      </c>
      <c r="F511" s="53"/>
      <c r="G511" s="54" t="n">
        <v>1</v>
      </c>
      <c r="H511" s="52" t="n">
        <f aca="false">E511*F511</f>
        <v>0</v>
      </c>
      <c r="I511" s="55" t="n">
        <v>22420</v>
      </c>
      <c r="J511" s="56"/>
      <c r="K511" s="57" t="n">
        <v>72</v>
      </c>
      <c r="L511" s="22" t="s">
        <v>53</v>
      </c>
      <c r="M511" s="22"/>
      <c r="N511" s="58" t="n">
        <f aca="false">F511*P511</f>
        <v>0</v>
      </c>
      <c r="O511" s="58" t="n">
        <f aca="false">F511*Q511</f>
        <v>0</v>
      </c>
      <c r="P511" s="58" t="n">
        <v>15.28</v>
      </c>
      <c r="Q511" s="58" t="n">
        <v>0.02</v>
      </c>
      <c r="R511" s="59" t="s">
        <v>1752</v>
      </c>
      <c r="S511" s="22"/>
      <c r="T511" s="11" t="str">
        <f aca="false">"16.12.25"</f>
        <v>16.12.25</v>
      </c>
    </row>
    <row r="512" customFormat="false" ht="7.5" hidden="false" customHeight="true" outlineLevel="2" collapsed="false">
      <c r="A512" s="60" t="str">
        <f aca="false">HYPERLINK("https://disk.yandex.ru/d/bync3J98_HS-2g","фото")</f>
        <v>фото</v>
      </c>
      <c r="B512" s="49" t="s">
        <v>1753</v>
      </c>
      <c r="C512" s="50" t="s">
        <v>1754</v>
      </c>
      <c r="D512" s="51" t="s">
        <v>1755</v>
      </c>
      <c r="E512" s="52" t="n">
        <f aca="false">I512*(1-J512)*(100-E1)/100</f>
        <v>15641.6</v>
      </c>
      <c r="F512" s="53"/>
      <c r="G512" s="54" t="n">
        <v>1</v>
      </c>
      <c r="H512" s="52" t="n">
        <f aca="false">E512*F512</f>
        <v>0</v>
      </c>
      <c r="I512" s="55" t="n">
        <v>24440</v>
      </c>
      <c r="J512" s="56"/>
      <c r="K512" s="57" t="n">
        <v>86</v>
      </c>
      <c r="L512" s="22" t="s">
        <v>53</v>
      </c>
      <c r="M512" s="22"/>
      <c r="N512" s="58" t="n">
        <f aca="false">F512*P512</f>
        <v>0</v>
      </c>
      <c r="O512" s="58" t="n">
        <f aca="false">F512*Q512</f>
        <v>0</v>
      </c>
      <c r="P512" s="58" t="n">
        <v>13</v>
      </c>
      <c r="Q512" s="58" t="n">
        <v>0.08</v>
      </c>
      <c r="R512" s="59" t="s">
        <v>1756</v>
      </c>
      <c r="S512" s="22"/>
      <c r="T512" s="11" t="str">
        <f aca="false">"16.12.25"</f>
        <v>16.12.25</v>
      </c>
    </row>
    <row r="513" customFormat="false" ht="7.5" hidden="false" customHeight="true" outlineLevel="2" collapsed="false">
      <c r="A513" s="60" t="str">
        <f aca="false">HYPERLINK("https://disk.360.yandex.ru/d/3ESW6_vmAUEJGg","фото")</f>
        <v>фото</v>
      </c>
      <c r="B513" s="49" t="s">
        <v>1757</v>
      </c>
      <c r="C513" s="50" t="s">
        <v>1758</v>
      </c>
      <c r="D513" s="51" t="s">
        <v>1759</v>
      </c>
      <c r="E513" s="52" t="n">
        <f aca="false">I513*(1-J513)*(100-E1)/100</f>
        <v>18041.6</v>
      </c>
      <c r="F513" s="53"/>
      <c r="G513" s="54" t="n">
        <v>1</v>
      </c>
      <c r="H513" s="52" t="n">
        <f aca="false">E513*F513</f>
        <v>0</v>
      </c>
      <c r="I513" s="55" t="n">
        <v>28190</v>
      </c>
      <c r="J513" s="56"/>
      <c r="K513" s="57" t="n">
        <v>17</v>
      </c>
      <c r="L513" s="22" t="s">
        <v>53</v>
      </c>
      <c r="M513" s="22"/>
      <c r="N513" s="58" t="n">
        <f aca="false">F513*P513</f>
        <v>0</v>
      </c>
      <c r="O513" s="58" t="n">
        <f aca="false">F513*Q513</f>
        <v>0</v>
      </c>
      <c r="P513" s="58" t="n">
        <v>14.33</v>
      </c>
      <c r="Q513" s="58" t="n">
        <v>0.08</v>
      </c>
      <c r="R513" s="59" t="s">
        <v>1760</v>
      </c>
      <c r="S513" s="22"/>
      <c r="T513" s="11" t="str">
        <f aca="false">"16.12.25"</f>
        <v>16.12.25</v>
      </c>
    </row>
    <row r="514" customFormat="false" ht="7.5" hidden="false" customHeight="true" outlineLevel="2" collapsed="false">
      <c r="A514" s="60" t="str">
        <f aca="false">HYPERLINK("https://disk.yandex.ru/d/gzxMJqoUbGa24A","фото")</f>
        <v>фото</v>
      </c>
      <c r="B514" s="49" t="s">
        <v>1761</v>
      </c>
      <c r="C514" s="50" t="s">
        <v>1762</v>
      </c>
      <c r="D514" s="51" t="s">
        <v>1763</v>
      </c>
      <c r="E514" s="52" t="n">
        <f aca="false">I514*(1-J514)*(100-E1)/100</f>
        <v>18316.8</v>
      </c>
      <c r="F514" s="53"/>
      <c r="G514" s="54" t="n">
        <v>1</v>
      </c>
      <c r="H514" s="52" t="n">
        <f aca="false">E514*F514</f>
        <v>0</v>
      </c>
      <c r="I514" s="55" t="n">
        <v>28620</v>
      </c>
      <c r="J514" s="56"/>
      <c r="K514" s="57" t="n">
        <v>287</v>
      </c>
      <c r="L514" s="22" t="s">
        <v>53</v>
      </c>
      <c r="M514" s="22"/>
      <c r="N514" s="58" t="n">
        <f aca="false">F514*P514</f>
        <v>0</v>
      </c>
      <c r="O514" s="58" t="n">
        <f aca="false">F514*Q514</f>
        <v>0</v>
      </c>
      <c r="P514" s="58" t="n">
        <v>16.4</v>
      </c>
      <c r="Q514" s="58" t="n">
        <v>0.08</v>
      </c>
      <c r="R514" s="59" t="s">
        <v>1764</v>
      </c>
      <c r="S514" s="22"/>
      <c r="T514" s="11" t="str">
        <f aca="false">"16.12.25"</f>
        <v>16.12.25</v>
      </c>
    </row>
    <row r="515" customFormat="false" ht="7.5" hidden="false" customHeight="true" outlineLevel="2" collapsed="false">
      <c r="A515" s="60" t="str">
        <f aca="false">HYPERLINK("https://disk.360.yandex.ru/d/jvytzHn31yvc1Q","фото")</f>
        <v>фото</v>
      </c>
      <c r="B515" s="49" t="s">
        <v>1765</v>
      </c>
      <c r="C515" s="50" t="s">
        <v>1766</v>
      </c>
      <c r="D515" s="51" t="s">
        <v>1767</v>
      </c>
      <c r="E515" s="52" t="n">
        <f aca="false">I515*(1-J515)*(100-E1)/100</f>
        <v>24844.8</v>
      </c>
      <c r="F515" s="53"/>
      <c r="G515" s="54" t="n">
        <v>1</v>
      </c>
      <c r="H515" s="52" t="n">
        <f aca="false">E515*F515</f>
        <v>0</v>
      </c>
      <c r="I515" s="55" t="n">
        <v>38820</v>
      </c>
      <c r="J515" s="56"/>
      <c r="K515" s="57" t="n">
        <v>92</v>
      </c>
      <c r="L515" s="22" t="s">
        <v>1369</v>
      </c>
      <c r="M515" s="22"/>
      <c r="N515" s="58" t="n">
        <f aca="false">F515*P515</f>
        <v>0</v>
      </c>
      <c r="O515" s="58" t="n">
        <f aca="false">F515*Q515</f>
        <v>0</v>
      </c>
      <c r="P515" s="58" t="n">
        <v>21</v>
      </c>
      <c r="Q515" s="58" t="n">
        <v>0.103</v>
      </c>
      <c r="R515" s="59" t="s">
        <v>1768</v>
      </c>
      <c r="S515" s="22"/>
      <c r="T515" s="11" t="str">
        <f aca="false">"16.12.25"</f>
        <v>16.12.25</v>
      </c>
    </row>
    <row r="516" customFormat="false" ht="7.5" hidden="false" customHeight="true" outlineLevel="2" collapsed="false">
      <c r="A516" s="60" t="str">
        <f aca="false">HYPERLINK("https://disk.360.yandex.ru/d/F5X2rwVl95VDmQ","фото")</f>
        <v>фото</v>
      </c>
      <c r="B516" s="49" t="s">
        <v>1769</v>
      </c>
      <c r="C516" s="50" t="s">
        <v>1770</v>
      </c>
      <c r="D516" s="51"/>
      <c r="E516" s="52" t="n">
        <f aca="false">I516*(1-J516)*(100-E1)/100</f>
        <v>25932.8</v>
      </c>
      <c r="F516" s="53"/>
      <c r="G516" s="54" t="n">
        <v>1</v>
      </c>
      <c r="H516" s="52" t="n">
        <f aca="false">E516*F516</f>
        <v>0</v>
      </c>
      <c r="I516" s="55" t="n">
        <v>40520</v>
      </c>
      <c r="J516" s="56"/>
      <c r="K516" s="57" t="n">
        <v>85</v>
      </c>
      <c r="L516" s="22" t="s">
        <v>53</v>
      </c>
      <c r="M516" s="22"/>
      <c r="N516" s="58" t="n">
        <f aca="false">F516*P516</f>
        <v>0</v>
      </c>
      <c r="O516" s="58" t="n">
        <f aca="false">F516*Q516</f>
        <v>0</v>
      </c>
      <c r="P516" s="58" t="n">
        <v>20.3</v>
      </c>
      <c r="Q516" s="58" t="n">
        <v>0.104</v>
      </c>
      <c r="R516" s="59" t="s">
        <v>1771</v>
      </c>
      <c r="S516" s="22"/>
      <c r="T516" s="11" t="str">
        <f aca="false">"16.12.25"</f>
        <v>16.12.25</v>
      </c>
    </row>
    <row r="517" customFormat="false" ht="7.5" hidden="false" customHeight="true" outlineLevel="2" collapsed="false">
      <c r="A517" s="60" t="str">
        <f aca="false">HYPERLINK("https://disk.360.yandex.ru/d/iBBk7VXsELx63A","фото")</f>
        <v>фото</v>
      </c>
      <c r="B517" s="49" t="s">
        <v>1772</v>
      </c>
      <c r="C517" s="50" t="s">
        <v>1773</v>
      </c>
      <c r="D517" s="51"/>
      <c r="E517" s="52" t="n">
        <f aca="false">I517*(1-J517)*(100-E1)/100</f>
        <v>22168</v>
      </c>
      <c r="F517" s="53"/>
      <c r="G517" s="54" t="n">
        <v>1</v>
      </c>
      <c r="H517" s="52" t="n">
        <f aca="false">E517*F517</f>
        <v>0</v>
      </c>
      <c r="I517" s="55" t="n">
        <v>40750</v>
      </c>
      <c r="J517" s="56" t="n">
        <v>0.15</v>
      </c>
      <c r="K517" s="57" t="n">
        <v>82</v>
      </c>
      <c r="L517" s="22" t="s">
        <v>53</v>
      </c>
      <c r="M517" s="22" t="s">
        <v>15</v>
      </c>
      <c r="N517" s="58" t="n">
        <f aca="false">F517*P517</f>
        <v>0</v>
      </c>
      <c r="O517" s="58" t="n">
        <f aca="false">F517*Q517</f>
        <v>0</v>
      </c>
      <c r="P517" s="58" t="n">
        <v>20.7</v>
      </c>
      <c r="Q517" s="58" t="n">
        <v>0.103</v>
      </c>
      <c r="R517" s="59" t="s">
        <v>1774</v>
      </c>
      <c r="S517" s="22"/>
      <c r="T517" s="11" t="str">
        <f aca="false">"16.12.25"</f>
        <v>16.12.25</v>
      </c>
    </row>
    <row r="518" customFormat="false" ht="7.5" hidden="false" customHeight="true" outlineLevel="2" collapsed="false">
      <c r="A518" s="60" t="str">
        <f aca="false">HYPERLINK("https://disk.360.yandex.ru/d/OtXN1W9eyrxbzg","фото")</f>
        <v>фото</v>
      </c>
      <c r="B518" s="49" t="s">
        <v>1775</v>
      </c>
      <c r="C518" s="50" t="s">
        <v>1776</v>
      </c>
      <c r="D518" s="51" t="s">
        <v>1777</v>
      </c>
      <c r="E518" s="52" t="n">
        <f aca="false">I518*(1-J518)*(100-E1)/100</f>
        <v>53107.2</v>
      </c>
      <c r="F518" s="53"/>
      <c r="G518" s="54" t="n">
        <v>1</v>
      </c>
      <c r="H518" s="52" t="n">
        <f aca="false">E518*F518</f>
        <v>0</v>
      </c>
      <c r="I518" s="55" t="n">
        <v>82980</v>
      </c>
      <c r="J518" s="56"/>
      <c r="K518" s="57" t="n">
        <v>8</v>
      </c>
      <c r="L518" s="22" t="s">
        <v>1369</v>
      </c>
      <c r="M518" s="22"/>
      <c r="N518" s="58" t="n">
        <f aca="false">F518*P518</f>
        <v>0</v>
      </c>
      <c r="O518" s="58" t="n">
        <f aca="false">F518*Q518</f>
        <v>0</v>
      </c>
      <c r="P518" s="58" t="n">
        <v>37.55</v>
      </c>
      <c r="Q518" s="58" t="n">
        <v>0.15</v>
      </c>
      <c r="R518" s="59" t="s">
        <v>1778</v>
      </c>
      <c r="S518" s="22"/>
      <c r="T518" s="11" t="str">
        <f aca="false">"16.12.25"</f>
        <v>16.12.25</v>
      </c>
    </row>
    <row r="519" customFormat="false" ht="7.5" hidden="false" customHeight="true" outlineLevel="2" collapsed="false">
      <c r="A519" s="60" t="str">
        <f aca="false">HYPERLINK("https://disk.360.yandex.ru/d/jWKbX1UIlaPkVg","фото")</f>
        <v>фото</v>
      </c>
      <c r="B519" s="49" t="s">
        <v>1779</v>
      </c>
      <c r="C519" s="50" t="s">
        <v>1780</v>
      </c>
      <c r="D519" s="51" t="s">
        <v>1781</v>
      </c>
      <c r="E519" s="52" t="n">
        <f aca="false">I519*(1-J519)*(100-E1)/100</f>
        <v>79724.8</v>
      </c>
      <c r="F519" s="53"/>
      <c r="G519" s="54" t="n">
        <v>1</v>
      </c>
      <c r="H519" s="52" t="n">
        <f aca="false">E519*F519</f>
        <v>0</v>
      </c>
      <c r="I519" s="55" t="n">
        <v>124570</v>
      </c>
      <c r="J519" s="56"/>
      <c r="K519" s="57" t="n">
        <v>44</v>
      </c>
      <c r="L519" s="22" t="s">
        <v>1369</v>
      </c>
      <c r="M519" s="22"/>
      <c r="N519" s="58" t="n">
        <f aca="false">F519*P519</f>
        <v>0</v>
      </c>
      <c r="O519" s="58" t="n">
        <f aca="false">F519*Q519</f>
        <v>0</v>
      </c>
      <c r="P519" s="58" t="n">
        <v>84.35</v>
      </c>
      <c r="Q519" s="58" t="n">
        <v>0.465</v>
      </c>
      <c r="R519" s="59" t="s">
        <v>1782</v>
      </c>
      <c r="S519" s="22"/>
      <c r="T519" s="11" t="str">
        <f aca="false">"16.12.25"</f>
        <v>16.12.25</v>
      </c>
    </row>
    <row r="520" customFormat="false" ht="7.5" hidden="false" customHeight="true" outlineLevel="2" collapsed="false">
      <c r="A520" s="60" t="str">
        <f aca="false">HYPERLINK("https://disk.360.yandex.ru/d/GAwIM2O2g_ZlLw","фото")</f>
        <v>фото</v>
      </c>
      <c r="B520" s="49" t="s">
        <v>1783</v>
      </c>
      <c r="C520" s="50" t="s">
        <v>1784</v>
      </c>
      <c r="D520" s="51" t="s">
        <v>1785</v>
      </c>
      <c r="E520" s="52" t="n">
        <f aca="false">I520*(1-J520)*(100-E1)/100</f>
        <v>86150.4</v>
      </c>
      <c r="F520" s="53"/>
      <c r="G520" s="54" t="n">
        <v>1</v>
      </c>
      <c r="H520" s="52" t="n">
        <f aca="false">E520*F520</f>
        <v>0</v>
      </c>
      <c r="I520" s="55" t="n">
        <v>134610</v>
      </c>
      <c r="J520" s="56"/>
      <c r="K520" s="57" t="n">
        <v>22</v>
      </c>
      <c r="L520" s="22" t="s">
        <v>1369</v>
      </c>
      <c r="M520" s="22"/>
      <c r="N520" s="58" t="n">
        <f aca="false">F520*P520</f>
        <v>0</v>
      </c>
      <c r="O520" s="58" t="n">
        <f aca="false">F520*Q520</f>
        <v>0</v>
      </c>
      <c r="P520" s="58" t="n">
        <v>87</v>
      </c>
      <c r="Q520" s="58" t="n">
        <v>0.47</v>
      </c>
      <c r="R520" s="59" t="s">
        <v>1786</v>
      </c>
      <c r="S520" s="22"/>
      <c r="T520" s="11" t="str">
        <f aca="false">"16.12.25"</f>
        <v>16.12.25</v>
      </c>
    </row>
    <row r="521" customFormat="false" ht="7.5" hidden="false" customHeight="true" outlineLevel="2" collapsed="false">
      <c r="A521" s="48"/>
      <c r="B521" s="49" t="s">
        <v>1787</v>
      </c>
      <c r="C521" s="50" t="s">
        <v>1788</v>
      </c>
      <c r="D521" s="51" t="s">
        <v>1789</v>
      </c>
      <c r="E521" s="52" t="n">
        <f aca="false">I521*(1-J521)*(100-E1)/100</f>
        <v>127814.4</v>
      </c>
      <c r="F521" s="53"/>
      <c r="G521" s="54" t="n">
        <v>1</v>
      </c>
      <c r="H521" s="52" t="n">
        <f aca="false">E521*F521</f>
        <v>0</v>
      </c>
      <c r="I521" s="55" t="n">
        <v>199710</v>
      </c>
      <c r="J521" s="56"/>
      <c r="K521" s="57" t="n">
        <v>9</v>
      </c>
      <c r="L521" s="22" t="s">
        <v>1369</v>
      </c>
      <c r="M521" s="22"/>
      <c r="N521" s="58" t="n">
        <f aca="false">F521*P521</f>
        <v>0</v>
      </c>
      <c r="O521" s="58" t="n">
        <f aca="false">F521*Q521</f>
        <v>0</v>
      </c>
      <c r="P521" s="58" t="n">
        <v>75</v>
      </c>
      <c r="Q521" s="58" t="n">
        <v>0.504</v>
      </c>
      <c r="R521" s="59" t="s">
        <v>1790</v>
      </c>
      <c r="S521" s="22"/>
      <c r="T521" s="11" t="str">
        <f aca="false">"16.12.25"</f>
        <v>16.12.25</v>
      </c>
    </row>
    <row r="522" customFormat="false" ht="7.5" hidden="false" customHeight="true" outlineLevel="2" collapsed="false">
      <c r="A522" s="60" t="str">
        <f aca="false">HYPERLINK("https://disk.360.yandex.ru/d/qkxSHb3I9RvESA","фото")</f>
        <v>фото</v>
      </c>
      <c r="B522" s="49" t="s">
        <v>1791</v>
      </c>
      <c r="C522" s="50" t="s">
        <v>1792</v>
      </c>
      <c r="D522" s="51" t="s">
        <v>1785</v>
      </c>
      <c r="E522" s="52" t="n">
        <f aca="false">I522*(1-J522)*(100-E1)/100</f>
        <v>103622.4</v>
      </c>
      <c r="F522" s="53"/>
      <c r="G522" s="54" t="n">
        <v>1</v>
      </c>
      <c r="H522" s="52" t="n">
        <f aca="false">E522*F522</f>
        <v>0</v>
      </c>
      <c r="I522" s="55" t="n">
        <v>161910</v>
      </c>
      <c r="J522" s="56"/>
      <c r="K522" s="57" t="n">
        <v>1</v>
      </c>
      <c r="L522" s="22" t="s">
        <v>1369</v>
      </c>
      <c r="M522" s="22"/>
      <c r="N522" s="58" t="n">
        <f aca="false">F522*P522</f>
        <v>0</v>
      </c>
      <c r="O522" s="58" t="n">
        <f aca="false">F522*Q522</f>
        <v>0</v>
      </c>
      <c r="P522" s="58" t="n">
        <v>99</v>
      </c>
      <c r="Q522" s="58" t="n">
        <v>0.47</v>
      </c>
      <c r="R522" s="59" t="s">
        <v>1793</v>
      </c>
      <c r="S522" s="22"/>
      <c r="T522" s="11" t="str">
        <f aca="false">"16.12.25"</f>
        <v>16.12.25</v>
      </c>
    </row>
    <row r="523" customFormat="false" ht="7.5" hidden="false" customHeight="true" outlineLevel="2" collapsed="false">
      <c r="A523" s="48"/>
      <c r="B523" s="49" t="s">
        <v>1794</v>
      </c>
      <c r="C523" s="50" t="s">
        <v>1795</v>
      </c>
      <c r="D523" s="51"/>
      <c r="E523" s="52" t="n">
        <f aca="false">I523*(1-J523)*(100-E1)/100</f>
        <v>198624</v>
      </c>
      <c r="F523" s="53"/>
      <c r="G523" s="54" t="n">
        <v>4</v>
      </c>
      <c r="H523" s="52" t="n">
        <f aca="false">E523*F523</f>
        <v>0</v>
      </c>
      <c r="I523" s="55" t="n">
        <v>310350</v>
      </c>
      <c r="J523" s="56"/>
      <c r="K523" s="57" t="n">
        <v>12</v>
      </c>
      <c r="L523" s="22" t="s">
        <v>53</v>
      </c>
      <c r="M523" s="22"/>
      <c r="N523" s="58" t="n">
        <f aca="false">F523*P523</f>
        <v>0</v>
      </c>
      <c r="O523" s="58" t="n">
        <f aca="false">F523*Q523</f>
        <v>0</v>
      </c>
      <c r="P523" s="58" t="n">
        <v>28.6</v>
      </c>
      <c r="Q523" s="58" t="n">
        <v>0.127</v>
      </c>
      <c r="R523" s="59" t="s">
        <v>1796</v>
      </c>
      <c r="S523" s="22"/>
      <c r="T523" s="11" t="str">
        <f aca="false">"16.12.25"</f>
        <v>16.12.25</v>
      </c>
    </row>
    <row r="524" customFormat="false" ht="7.5" hidden="false" customHeight="true" outlineLevel="2" collapsed="false">
      <c r="A524" s="60" t="str">
        <f aca="false">HYPERLINK("https://disk.360.yandex.ru/d/w3Dn3ATJ0hP1Zw","фото")</f>
        <v>фото</v>
      </c>
      <c r="B524" s="49" t="s">
        <v>1797</v>
      </c>
      <c r="C524" s="50" t="s">
        <v>1798</v>
      </c>
      <c r="D524" s="51" t="s">
        <v>1799</v>
      </c>
      <c r="E524" s="52" t="n">
        <f aca="false">I524*(1-J524)*(100-E1)/100</f>
        <v>25811.2</v>
      </c>
      <c r="F524" s="53"/>
      <c r="G524" s="54" t="n">
        <v>1</v>
      </c>
      <c r="H524" s="52" t="n">
        <f aca="false">E524*F524</f>
        <v>0</v>
      </c>
      <c r="I524" s="55" t="n">
        <v>40330</v>
      </c>
      <c r="J524" s="56"/>
      <c r="K524" s="57" t="n">
        <v>74</v>
      </c>
      <c r="L524" s="22" t="s">
        <v>1369</v>
      </c>
      <c r="M524" s="22"/>
      <c r="N524" s="58" t="n">
        <f aca="false">F524*P524</f>
        <v>0</v>
      </c>
      <c r="O524" s="58" t="n">
        <f aca="false">F524*Q524</f>
        <v>0</v>
      </c>
      <c r="P524" s="58" t="n">
        <v>18.85</v>
      </c>
      <c r="Q524" s="58" t="n">
        <v>0.08</v>
      </c>
      <c r="R524" s="59" t="s">
        <v>1800</v>
      </c>
      <c r="S524" s="22"/>
      <c r="T524" s="11" t="str">
        <f aca="false">"16.12.25"</f>
        <v>16.12.25</v>
      </c>
    </row>
    <row r="525" customFormat="false" ht="7.5" hidden="false" customHeight="true" outlineLevel="2" collapsed="false">
      <c r="A525" s="60" t="str">
        <f aca="false">HYPERLINK("https://disk.yandex.ru/d/ya6_X9SKuK-4Lw","фото")</f>
        <v>фото</v>
      </c>
      <c r="B525" s="49" t="s">
        <v>1801</v>
      </c>
      <c r="C525" s="50" t="s">
        <v>1802</v>
      </c>
      <c r="D525" s="51" t="s">
        <v>1803</v>
      </c>
      <c r="E525" s="52" t="n">
        <f aca="false">I525*(1-J525)*(100-E1)/100</f>
        <v>36416</v>
      </c>
      <c r="F525" s="53"/>
      <c r="G525" s="54" t="n">
        <v>1</v>
      </c>
      <c r="H525" s="52" t="n">
        <f aca="false">E525*F525</f>
        <v>0</v>
      </c>
      <c r="I525" s="55" t="n">
        <v>56900</v>
      </c>
      <c r="J525" s="56"/>
      <c r="K525" s="57" t="n">
        <v>24</v>
      </c>
      <c r="L525" s="22" t="s">
        <v>53</v>
      </c>
      <c r="M525" s="22"/>
      <c r="N525" s="58" t="n">
        <f aca="false">F525*P525</f>
        <v>0</v>
      </c>
      <c r="O525" s="58" t="n">
        <f aca="false">F525*Q525</f>
        <v>0</v>
      </c>
      <c r="P525" s="58" t="n">
        <v>18.2</v>
      </c>
      <c r="Q525" s="58" t="n">
        <v>0.065</v>
      </c>
      <c r="R525" s="59" t="s">
        <v>1804</v>
      </c>
      <c r="S525" s="22"/>
      <c r="T525" s="11" t="str">
        <f aca="false">"16.12.25"</f>
        <v>16.12.25</v>
      </c>
    </row>
    <row r="526" customFormat="false" ht="7.5" hidden="false" customHeight="true" outlineLevel="2" collapsed="false">
      <c r="A526" s="60" t="str">
        <f aca="false">HYPERLINK("https://disk.360.yandex.ru/d/HI6rpaQkejuxpQ","фото")</f>
        <v>фото</v>
      </c>
      <c r="B526" s="49" t="s">
        <v>1805</v>
      </c>
      <c r="C526" s="50" t="s">
        <v>1806</v>
      </c>
      <c r="D526" s="51" t="s">
        <v>1807</v>
      </c>
      <c r="E526" s="52" t="n">
        <f aca="false">I526*(1-J526)*(100-E1)/100</f>
        <v>22118.4</v>
      </c>
      <c r="F526" s="53"/>
      <c r="G526" s="54" t="n">
        <v>1</v>
      </c>
      <c r="H526" s="52" t="n">
        <f aca="false">E526*F526</f>
        <v>0</v>
      </c>
      <c r="I526" s="55" t="n">
        <v>34560</v>
      </c>
      <c r="J526" s="56"/>
      <c r="K526" s="57" t="n">
        <v>207</v>
      </c>
      <c r="L526" s="22" t="s">
        <v>1369</v>
      </c>
      <c r="M526" s="22"/>
      <c r="N526" s="58" t="n">
        <f aca="false">F526*P526</f>
        <v>0</v>
      </c>
      <c r="O526" s="58" t="n">
        <f aca="false">F526*Q526</f>
        <v>0</v>
      </c>
      <c r="P526" s="58" t="n">
        <v>19</v>
      </c>
      <c r="Q526" s="58" t="n">
        <v>0.08</v>
      </c>
      <c r="R526" s="59" t="s">
        <v>1808</v>
      </c>
      <c r="S526" s="22"/>
      <c r="T526" s="11" t="str">
        <f aca="false">"16.12.25"</f>
        <v>16.12.25</v>
      </c>
    </row>
    <row r="527" customFormat="false" ht="7.5" hidden="false" customHeight="true" outlineLevel="2" collapsed="false">
      <c r="A527" s="48"/>
      <c r="B527" s="49" t="s">
        <v>1809</v>
      </c>
      <c r="C527" s="50" t="s">
        <v>1810</v>
      </c>
      <c r="D527" s="51"/>
      <c r="E527" s="52" t="n">
        <f aca="false">I527*(1-J527)*(100-E1)/100</f>
        <v>7046.4</v>
      </c>
      <c r="F527" s="53"/>
      <c r="G527" s="54" t="n">
        <v>3</v>
      </c>
      <c r="H527" s="52" t="n">
        <f aca="false">E527*F527</f>
        <v>0</v>
      </c>
      <c r="I527" s="55" t="n">
        <v>11010</v>
      </c>
      <c r="J527" s="56"/>
      <c r="K527" s="57" t="n">
        <v>264</v>
      </c>
      <c r="L527" s="22" t="s">
        <v>1811</v>
      </c>
      <c r="M527" s="22"/>
      <c r="N527" s="58" t="n">
        <f aca="false">F527*P527</f>
        <v>0</v>
      </c>
      <c r="O527" s="58" t="n">
        <f aca="false">F527*Q527</f>
        <v>0</v>
      </c>
      <c r="P527" s="58" t="n">
        <v>8.6</v>
      </c>
      <c r="Q527" s="58" t="n">
        <v>0.026</v>
      </c>
      <c r="R527" s="59" t="s">
        <v>1812</v>
      </c>
      <c r="S527" s="22"/>
      <c r="T527" s="11" t="str">
        <f aca="false">"16.12.25"</f>
        <v>16.12.25</v>
      </c>
    </row>
    <row r="528" customFormat="false" ht="7.5" hidden="false" customHeight="true" outlineLevel="2" collapsed="false">
      <c r="A528" s="48"/>
      <c r="B528" s="49" t="s">
        <v>1813</v>
      </c>
      <c r="C528" s="50" t="s">
        <v>1814</v>
      </c>
      <c r="D528" s="51"/>
      <c r="E528" s="52" t="n">
        <f aca="false">I528*(1-J528)*(100-E1)/100</f>
        <v>4934.4</v>
      </c>
      <c r="F528" s="53"/>
      <c r="G528" s="54" t="n">
        <v>1</v>
      </c>
      <c r="H528" s="52" t="n">
        <f aca="false">E528*F528</f>
        <v>0</v>
      </c>
      <c r="I528" s="55" t="n">
        <v>7710</v>
      </c>
      <c r="J528" s="56"/>
      <c r="K528" s="57" t="n">
        <v>437</v>
      </c>
      <c r="L528" s="22" t="s">
        <v>1815</v>
      </c>
      <c r="M528" s="22"/>
      <c r="N528" s="58" t="n">
        <f aca="false">F528*P528</f>
        <v>0</v>
      </c>
      <c r="O528" s="58" t="n">
        <f aca="false">F528*Q528</f>
        <v>0</v>
      </c>
      <c r="P528" s="58" t="n">
        <v>4.82</v>
      </c>
      <c r="Q528" s="58" t="n">
        <v>0.013</v>
      </c>
      <c r="R528" s="59" t="s">
        <v>1816</v>
      </c>
      <c r="S528" s="22"/>
      <c r="T528" s="11" t="str">
        <f aca="false">"16.12.25"</f>
        <v>16.12.25</v>
      </c>
    </row>
    <row r="529" customFormat="false" ht="7.5" hidden="false" customHeight="true" outlineLevel="2" collapsed="false">
      <c r="A529" s="60" t="str">
        <f aca="false">HYPERLINK("https://disk.360.yandex.ru/d/AQQZYqadApjEtA","фото")</f>
        <v>фото</v>
      </c>
      <c r="B529" s="49" t="s">
        <v>1817</v>
      </c>
      <c r="C529" s="50" t="s">
        <v>1818</v>
      </c>
      <c r="D529" s="51" t="s">
        <v>1819</v>
      </c>
      <c r="E529" s="52" t="n">
        <f aca="false">I529*(1-J529)*(100-E1)/100</f>
        <v>4659.2</v>
      </c>
      <c r="F529" s="53"/>
      <c r="G529" s="54" t="n">
        <v>4</v>
      </c>
      <c r="H529" s="52" t="n">
        <f aca="false">E529*F529</f>
        <v>0</v>
      </c>
      <c r="I529" s="55" t="n">
        <v>7280</v>
      </c>
      <c r="J529" s="56"/>
      <c r="K529" s="57" t="n">
        <v>8</v>
      </c>
      <c r="L529" s="22" t="s">
        <v>1291</v>
      </c>
      <c r="M529" s="22" t="s">
        <v>721</v>
      </c>
      <c r="N529" s="58" t="n">
        <f aca="false">F529*P529</f>
        <v>0</v>
      </c>
      <c r="O529" s="58" t="n">
        <f aca="false">F529*Q529</f>
        <v>0</v>
      </c>
      <c r="P529" s="58" t="n">
        <v>5.25</v>
      </c>
      <c r="Q529" s="58" t="n">
        <v>0.02</v>
      </c>
      <c r="R529" s="59" t="s">
        <v>1820</v>
      </c>
      <c r="S529" s="22"/>
      <c r="T529" s="11" t="str">
        <f aca="false">"16.12.25"</f>
        <v>16.12.25</v>
      </c>
    </row>
    <row r="530" customFormat="false" ht="7.5" hidden="false" customHeight="true" outlineLevel="2" collapsed="false">
      <c r="A530" s="60" t="str">
        <f aca="false">HYPERLINK("https://disk.360.yandex.ru/d/n05ilF90rtchzQ","фото")</f>
        <v>фото</v>
      </c>
      <c r="B530" s="49" t="s">
        <v>1821</v>
      </c>
      <c r="C530" s="50" t="s">
        <v>1822</v>
      </c>
      <c r="D530" s="51"/>
      <c r="E530" s="52" t="n">
        <f aca="false">I530*(1-J530)*(100-E1)/100</f>
        <v>12473.6</v>
      </c>
      <c r="F530" s="53"/>
      <c r="G530" s="54" t="n">
        <v>1</v>
      </c>
      <c r="H530" s="52" t="n">
        <f aca="false">E530*F530</f>
        <v>0</v>
      </c>
      <c r="I530" s="55" t="n">
        <v>19490</v>
      </c>
      <c r="J530" s="56"/>
      <c r="K530" s="57" t="n">
        <v>0</v>
      </c>
      <c r="L530" s="22" t="s">
        <v>1291</v>
      </c>
      <c r="M530" s="22" t="s">
        <v>721</v>
      </c>
      <c r="N530" s="58" t="n">
        <f aca="false">F530*P530</f>
        <v>0</v>
      </c>
      <c r="O530" s="58" t="n">
        <f aca="false">F530*Q530</f>
        <v>0</v>
      </c>
      <c r="P530" s="58" t="n">
        <v>14.58</v>
      </c>
      <c r="Q530" s="58" t="n">
        <v>0.08</v>
      </c>
      <c r="R530" s="59" t="s">
        <v>1823</v>
      </c>
      <c r="S530" s="22"/>
      <c r="T530" s="11" t="str">
        <f aca="false">"16.12.25"</f>
        <v>16.12.25</v>
      </c>
    </row>
    <row r="531" customFormat="false" ht="7.5" hidden="false" customHeight="true" outlineLevel="2" collapsed="false">
      <c r="A531" s="60" t="str">
        <f aca="false">HYPERLINK("https://disk.360.yandex.ru/d/BHNXkBave5iPxg","фото")</f>
        <v>фото</v>
      </c>
      <c r="B531" s="49" t="s">
        <v>1824</v>
      </c>
      <c r="C531" s="50" t="s">
        <v>1825</v>
      </c>
      <c r="D531" s="51" t="s">
        <v>1826</v>
      </c>
      <c r="E531" s="52" t="n">
        <f aca="false">I531*(1-J531)*(100-E1)/100</f>
        <v>13651.2</v>
      </c>
      <c r="F531" s="53"/>
      <c r="G531" s="54" t="n">
        <v>1</v>
      </c>
      <c r="H531" s="52" t="n">
        <f aca="false">E531*F531</f>
        <v>0</v>
      </c>
      <c r="I531" s="55" t="n">
        <v>21330</v>
      </c>
      <c r="J531" s="56"/>
      <c r="K531" s="57" t="n">
        <v>0</v>
      </c>
      <c r="L531" s="22" t="s">
        <v>1291</v>
      </c>
      <c r="M531" s="22" t="s">
        <v>1827</v>
      </c>
      <c r="N531" s="58" t="n">
        <f aca="false">F531*P531</f>
        <v>0</v>
      </c>
      <c r="O531" s="58" t="n">
        <f aca="false">F531*Q531</f>
        <v>0</v>
      </c>
      <c r="P531" s="58" t="n">
        <v>14.62</v>
      </c>
      <c r="Q531" s="58" t="n">
        <v>0.08</v>
      </c>
      <c r="R531" s="59" t="s">
        <v>1828</v>
      </c>
      <c r="S531" s="22"/>
      <c r="T531" s="11" t="str">
        <f aca="false">"16.12.25"</f>
        <v>16.12.25</v>
      </c>
    </row>
    <row r="532" customFormat="false" ht="7.5" hidden="false" customHeight="true" outlineLevel="2" collapsed="false">
      <c r="A532" s="60" t="str">
        <f aca="false">HYPERLINK("https://disk.360.yandex.ru/d/uyKADerhUhbXTg","фото")</f>
        <v>фото</v>
      </c>
      <c r="B532" s="49" t="s">
        <v>1829</v>
      </c>
      <c r="C532" s="50" t="s">
        <v>1830</v>
      </c>
      <c r="D532" s="51"/>
      <c r="E532" s="52" t="n">
        <f aca="false">I532*(1-J532)*(100-E1)/100</f>
        <v>16582.4</v>
      </c>
      <c r="F532" s="53"/>
      <c r="G532" s="54" t="n">
        <v>1</v>
      </c>
      <c r="H532" s="52" t="n">
        <f aca="false">E532*F532</f>
        <v>0</v>
      </c>
      <c r="I532" s="55" t="n">
        <v>25910</v>
      </c>
      <c r="J532" s="56"/>
      <c r="K532" s="57" t="n">
        <v>4</v>
      </c>
      <c r="L532" s="22" t="s">
        <v>1291</v>
      </c>
      <c r="M532" s="22" t="s">
        <v>721</v>
      </c>
      <c r="N532" s="58" t="n">
        <f aca="false">F532*P532</f>
        <v>0</v>
      </c>
      <c r="O532" s="58" t="n">
        <f aca="false">F532*Q532</f>
        <v>0</v>
      </c>
      <c r="P532" s="58" t="n">
        <v>15.4</v>
      </c>
      <c r="Q532" s="58" t="n">
        <v>0.08</v>
      </c>
      <c r="R532" s="59" t="s">
        <v>1831</v>
      </c>
      <c r="S532" s="22"/>
      <c r="T532" s="11" t="str">
        <f aca="false">"16.12.25"</f>
        <v>16.12.25</v>
      </c>
    </row>
    <row r="533" customFormat="false" ht="7.5" hidden="false" customHeight="true" outlineLevel="2" collapsed="false">
      <c r="A533" s="60" t="str">
        <f aca="false">HYPERLINK("https://disk.360.yandex.ru/d/f9unvDCvD_tIQw","фото")</f>
        <v>фото</v>
      </c>
      <c r="B533" s="49" t="s">
        <v>1832</v>
      </c>
      <c r="C533" s="50" t="s">
        <v>1833</v>
      </c>
      <c r="D533" s="51" t="s">
        <v>1834</v>
      </c>
      <c r="E533" s="52" t="n">
        <f aca="false">I533*(1-J533)*(100-E1)/100</f>
        <v>4659.2</v>
      </c>
      <c r="F533" s="53"/>
      <c r="G533" s="54" t="n">
        <v>4</v>
      </c>
      <c r="H533" s="52" t="n">
        <f aca="false">E533*F533</f>
        <v>0</v>
      </c>
      <c r="I533" s="55" t="n">
        <v>7280</v>
      </c>
      <c r="J533" s="56"/>
      <c r="K533" s="57" t="n">
        <v>1710</v>
      </c>
      <c r="L533" s="22" t="s">
        <v>1291</v>
      </c>
      <c r="M533" s="22"/>
      <c r="N533" s="58" t="n">
        <f aca="false">F533*P533</f>
        <v>0</v>
      </c>
      <c r="O533" s="58" t="n">
        <f aca="false">F533*Q533</f>
        <v>0</v>
      </c>
      <c r="P533" s="58" t="n">
        <v>5.45</v>
      </c>
      <c r="Q533" s="58" t="n">
        <v>0.02</v>
      </c>
      <c r="R533" s="59" t="s">
        <v>1835</v>
      </c>
      <c r="S533" s="22"/>
      <c r="T533" s="11" t="str">
        <f aca="false">"16.12.25"</f>
        <v>16.12.25</v>
      </c>
    </row>
    <row r="534" customFormat="false" ht="7.5" hidden="false" customHeight="true" outlineLevel="2" collapsed="false">
      <c r="A534" s="60" t="str">
        <f aca="false">HYPERLINK("https://disk.360.yandex.ru/d/Pc1rAUeCe7jT6Q","фото")</f>
        <v>фото</v>
      </c>
      <c r="B534" s="49" t="s">
        <v>1836</v>
      </c>
      <c r="C534" s="50" t="s">
        <v>1837</v>
      </c>
      <c r="D534" s="51" t="s">
        <v>1838</v>
      </c>
      <c r="E534" s="52" t="n">
        <f aca="false">I534*(1-J534)*(100-E1)/100</f>
        <v>7827.2</v>
      </c>
      <c r="F534" s="53"/>
      <c r="G534" s="54" t="n">
        <v>1</v>
      </c>
      <c r="H534" s="52" t="n">
        <f aca="false">E534*F534</f>
        <v>0</v>
      </c>
      <c r="I534" s="55" t="n">
        <v>12230</v>
      </c>
      <c r="J534" s="56"/>
      <c r="K534" s="57" t="n">
        <v>0</v>
      </c>
      <c r="L534" s="22" t="s">
        <v>1291</v>
      </c>
      <c r="M534" s="22"/>
      <c r="N534" s="58" t="n">
        <f aca="false">F534*P534</f>
        <v>0</v>
      </c>
      <c r="O534" s="58" t="n">
        <f aca="false">F534*Q534</f>
        <v>0</v>
      </c>
      <c r="P534" s="58" t="n">
        <v>7.96</v>
      </c>
      <c r="Q534" s="58" t="n">
        <v>0.05</v>
      </c>
      <c r="R534" s="59" t="s">
        <v>1839</v>
      </c>
      <c r="S534" s="22"/>
      <c r="T534" s="11" t="str">
        <f aca="false">"16.12.25"</f>
        <v>16.12.25</v>
      </c>
    </row>
    <row r="535" customFormat="false" ht="7.5" hidden="false" customHeight="true" outlineLevel="2" collapsed="false">
      <c r="A535" s="60" t="str">
        <f aca="false">HYPERLINK("https://disk.360.yandex.ru/d/Qyh_FTvwt8N_-Q","фото")</f>
        <v>фото</v>
      </c>
      <c r="B535" s="49" t="s">
        <v>1840</v>
      </c>
      <c r="C535" s="50" t="s">
        <v>1841</v>
      </c>
      <c r="D535" s="51" t="s">
        <v>1842</v>
      </c>
      <c r="E535" s="52" t="n">
        <f aca="false">I535*(1-J535)*(100-E1)/100</f>
        <v>15372.8</v>
      </c>
      <c r="F535" s="53"/>
      <c r="G535" s="54" t="n">
        <v>1</v>
      </c>
      <c r="H535" s="52" t="n">
        <f aca="false">E535*F535</f>
        <v>0</v>
      </c>
      <c r="I535" s="55" t="n">
        <v>24020</v>
      </c>
      <c r="J535" s="56"/>
      <c r="K535" s="57" t="n">
        <v>3</v>
      </c>
      <c r="L535" s="22" t="s">
        <v>1291</v>
      </c>
      <c r="M535" s="22"/>
      <c r="N535" s="58" t="n">
        <f aca="false">F535*P535</f>
        <v>0</v>
      </c>
      <c r="O535" s="58" t="n">
        <f aca="false">F535*Q535</f>
        <v>0</v>
      </c>
      <c r="P535" s="58" t="n">
        <v>14.143</v>
      </c>
      <c r="Q535" s="58" t="n">
        <v>0.05</v>
      </c>
      <c r="R535" s="59" t="s">
        <v>1843</v>
      </c>
      <c r="S535" s="22"/>
      <c r="T535" s="11" t="str">
        <f aca="false">"16.12.25"</f>
        <v>16.12.25</v>
      </c>
    </row>
    <row r="536" customFormat="false" ht="7.5" hidden="false" customHeight="true" outlineLevel="2" collapsed="false">
      <c r="A536" s="48"/>
      <c r="B536" s="49" t="s">
        <v>1844</v>
      </c>
      <c r="C536" s="50" t="s">
        <v>1845</v>
      </c>
      <c r="D536" s="51"/>
      <c r="E536" s="52" t="n">
        <f aca="false">I536*(1-J536)*(100-E1)/100</f>
        <v>5280</v>
      </c>
      <c r="F536" s="53"/>
      <c r="G536" s="54" t="n">
        <v>4</v>
      </c>
      <c r="H536" s="52" t="n">
        <f aca="false">E536*F536</f>
        <v>0</v>
      </c>
      <c r="I536" s="55" t="n">
        <v>8250</v>
      </c>
      <c r="J536" s="56"/>
      <c r="K536" s="57" t="n">
        <v>258</v>
      </c>
      <c r="L536" s="22" t="s">
        <v>1291</v>
      </c>
      <c r="M536" s="22"/>
      <c r="N536" s="58" t="n">
        <f aca="false">F536*P536</f>
        <v>0</v>
      </c>
      <c r="O536" s="58" t="n">
        <f aca="false">F536*Q536</f>
        <v>0</v>
      </c>
      <c r="P536" s="58" t="n">
        <v>5.5</v>
      </c>
      <c r="Q536" s="58" t="n">
        <v>0.017</v>
      </c>
      <c r="R536" s="59" t="s">
        <v>1846</v>
      </c>
      <c r="S536" s="22"/>
      <c r="T536" s="11" t="str">
        <f aca="false">"16.12.25"</f>
        <v>16.12.25</v>
      </c>
    </row>
    <row r="537" customFormat="false" ht="7.5" hidden="false" customHeight="true" outlineLevel="2" collapsed="false">
      <c r="A537" s="48"/>
      <c r="B537" s="49" t="s">
        <v>1847</v>
      </c>
      <c r="C537" s="50" t="s">
        <v>1848</v>
      </c>
      <c r="D537" s="51" t="s">
        <v>1432</v>
      </c>
      <c r="E537" s="52" t="n">
        <f aca="false">I537*(1-J537)*(100-E1)/100</f>
        <v>7046.4</v>
      </c>
      <c r="F537" s="53"/>
      <c r="G537" s="54" t="n">
        <v>3</v>
      </c>
      <c r="H537" s="52" t="n">
        <f aca="false">E537*F537</f>
        <v>0</v>
      </c>
      <c r="I537" s="55" t="n">
        <v>11010</v>
      </c>
      <c r="J537" s="56"/>
      <c r="K537" s="57" t="n">
        <v>417</v>
      </c>
      <c r="L537" s="22" t="s">
        <v>1291</v>
      </c>
      <c r="M537" s="22"/>
      <c r="N537" s="58" t="n">
        <f aca="false">F537*P537</f>
        <v>0</v>
      </c>
      <c r="O537" s="58" t="n">
        <f aca="false">F537*Q537</f>
        <v>0</v>
      </c>
      <c r="P537" s="58" t="n">
        <v>9.5</v>
      </c>
      <c r="Q537" s="58" t="n">
        <v>0.025</v>
      </c>
      <c r="R537" s="59" t="s">
        <v>1849</v>
      </c>
      <c r="S537" s="22"/>
      <c r="T537" s="11" t="str">
        <f aca="false">"16.12.25"</f>
        <v>16.12.25</v>
      </c>
    </row>
    <row r="538" customFormat="false" ht="7.5" hidden="false" customHeight="true" outlineLevel="2" collapsed="false">
      <c r="A538" s="48"/>
      <c r="B538" s="49" t="s">
        <v>1850</v>
      </c>
      <c r="C538" s="50" t="s">
        <v>1851</v>
      </c>
      <c r="D538" s="51" t="s">
        <v>1432</v>
      </c>
      <c r="E538" s="52" t="n">
        <f aca="false">I538*(1-J538)*(100-E1)/100</f>
        <v>7846.4</v>
      </c>
      <c r="F538" s="53"/>
      <c r="G538" s="54" t="n">
        <v>3</v>
      </c>
      <c r="H538" s="52" t="n">
        <f aca="false">E538*F538</f>
        <v>0</v>
      </c>
      <c r="I538" s="55" t="n">
        <v>12260</v>
      </c>
      <c r="J538" s="56"/>
      <c r="K538" s="57" t="n">
        <v>128</v>
      </c>
      <c r="L538" s="22" t="s">
        <v>1291</v>
      </c>
      <c r="M538" s="22"/>
      <c r="N538" s="58" t="n">
        <f aca="false">F538*P538</f>
        <v>0</v>
      </c>
      <c r="O538" s="58" t="n">
        <f aca="false">F538*Q538</f>
        <v>0</v>
      </c>
      <c r="P538" s="58"/>
      <c r="Q538" s="58"/>
      <c r="R538" s="59" t="s">
        <v>1852</v>
      </c>
      <c r="S538" s="22"/>
      <c r="T538" s="11" t="str">
        <f aca="false">"16.12.25"</f>
        <v>16.12.25</v>
      </c>
    </row>
    <row r="539" customFormat="false" ht="7.5" hidden="false" customHeight="true" outlineLevel="2" collapsed="false">
      <c r="A539" s="48"/>
      <c r="B539" s="49" t="s">
        <v>1853</v>
      </c>
      <c r="C539" s="50" t="s">
        <v>1854</v>
      </c>
      <c r="D539" s="51" t="s">
        <v>1432</v>
      </c>
      <c r="E539" s="52" t="n">
        <f aca="false">I539*(1-J539)*(100-E1)/100</f>
        <v>11411.2</v>
      </c>
      <c r="F539" s="53"/>
      <c r="G539" s="54" t="n">
        <v>1</v>
      </c>
      <c r="H539" s="52" t="n">
        <f aca="false">E539*F539</f>
        <v>0</v>
      </c>
      <c r="I539" s="55" t="n">
        <v>17830</v>
      </c>
      <c r="J539" s="56"/>
      <c r="K539" s="57" t="n">
        <v>0</v>
      </c>
      <c r="L539" s="22" t="s">
        <v>1291</v>
      </c>
      <c r="M539" s="22"/>
      <c r="N539" s="58" t="n">
        <f aca="false">F539*P539</f>
        <v>0</v>
      </c>
      <c r="O539" s="58" t="n">
        <f aca="false">F539*Q539</f>
        <v>0</v>
      </c>
      <c r="P539" s="58"/>
      <c r="Q539" s="58"/>
      <c r="R539" s="59" t="s">
        <v>1855</v>
      </c>
      <c r="S539" s="22"/>
      <c r="T539" s="11" t="str">
        <f aca="false">"16.12.25"</f>
        <v>16.12.25</v>
      </c>
    </row>
    <row r="540" customFormat="false" ht="7.5" hidden="false" customHeight="true" outlineLevel="2" collapsed="false">
      <c r="A540" s="48"/>
      <c r="B540" s="49" t="s">
        <v>1856</v>
      </c>
      <c r="C540" s="50" t="s">
        <v>1857</v>
      </c>
      <c r="D540" s="51" t="s">
        <v>1858</v>
      </c>
      <c r="E540" s="52" t="n">
        <f aca="false">I540*(1-J540)*(100-E1)/100</f>
        <v>5228.8</v>
      </c>
      <c r="F540" s="53"/>
      <c r="G540" s="54" t="n">
        <v>4</v>
      </c>
      <c r="H540" s="52" t="n">
        <f aca="false">E540*F540</f>
        <v>0</v>
      </c>
      <c r="I540" s="55" t="n">
        <v>8170</v>
      </c>
      <c r="J540" s="56"/>
      <c r="K540" s="57" t="n">
        <v>0</v>
      </c>
      <c r="L540" s="22" t="s">
        <v>835</v>
      </c>
      <c r="M540" s="22"/>
      <c r="N540" s="58" t="n">
        <f aca="false">F540*P540</f>
        <v>0</v>
      </c>
      <c r="O540" s="58" t="n">
        <f aca="false">F540*Q540</f>
        <v>0</v>
      </c>
      <c r="P540" s="58" t="n">
        <v>6.45</v>
      </c>
      <c r="Q540" s="58" t="n">
        <v>0.02</v>
      </c>
      <c r="R540" s="59" t="s">
        <v>1859</v>
      </c>
      <c r="S540" s="22"/>
      <c r="T540" s="11" t="str">
        <f aca="false">"16.12.25"</f>
        <v>16.12.25</v>
      </c>
    </row>
    <row r="541" customFormat="false" ht="7.5" hidden="false" customHeight="true" outlineLevel="2" collapsed="false">
      <c r="A541" s="48"/>
      <c r="B541" s="49" t="s">
        <v>1860</v>
      </c>
      <c r="C541" s="50" t="s">
        <v>1861</v>
      </c>
      <c r="D541" s="51"/>
      <c r="E541" s="52" t="n">
        <f aca="false">I541*(1-J541)*(100-E1)/100</f>
        <v>7097.6</v>
      </c>
      <c r="F541" s="53"/>
      <c r="G541" s="54" t="n">
        <v>3</v>
      </c>
      <c r="H541" s="52" t="n">
        <f aca="false">E541*F541</f>
        <v>0</v>
      </c>
      <c r="I541" s="55" t="n">
        <v>11090</v>
      </c>
      <c r="J541" s="56"/>
      <c r="K541" s="57" t="n">
        <v>247</v>
      </c>
      <c r="L541" s="22" t="s">
        <v>835</v>
      </c>
      <c r="M541" s="22"/>
      <c r="N541" s="58" t="n">
        <f aca="false">F541*P541</f>
        <v>0</v>
      </c>
      <c r="O541" s="58" t="n">
        <f aca="false">F541*Q541</f>
        <v>0</v>
      </c>
      <c r="P541" s="58" t="n">
        <v>8</v>
      </c>
      <c r="Q541" s="58" t="n">
        <v>0.025</v>
      </c>
      <c r="R541" s="59" t="s">
        <v>1862</v>
      </c>
      <c r="S541" s="22"/>
      <c r="T541" s="11" t="str">
        <f aca="false">"16.12.25"</f>
        <v>16.12.25</v>
      </c>
    </row>
    <row r="542" customFormat="false" ht="7.5" hidden="false" customHeight="true" outlineLevel="2" collapsed="false">
      <c r="A542" s="48"/>
      <c r="B542" s="49" t="s">
        <v>1863</v>
      </c>
      <c r="C542" s="50" t="s">
        <v>1864</v>
      </c>
      <c r="D542" s="51"/>
      <c r="E542" s="52" t="n">
        <f aca="false">I542*(1-J542)*(100-E1)/100</f>
        <v>7097.6</v>
      </c>
      <c r="F542" s="53"/>
      <c r="G542" s="54" t="n">
        <v>3</v>
      </c>
      <c r="H542" s="52" t="n">
        <f aca="false">E542*F542</f>
        <v>0</v>
      </c>
      <c r="I542" s="55" t="n">
        <v>11090</v>
      </c>
      <c r="J542" s="56"/>
      <c r="K542" s="57" t="n">
        <v>188</v>
      </c>
      <c r="L542" s="22" t="s">
        <v>835</v>
      </c>
      <c r="M542" s="22"/>
      <c r="N542" s="58" t="n">
        <f aca="false">F542*P542</f>
        <v>0</v>
      </c>
      <c r="O542" s="58" t="n">
        <f aca="false">F542*Q542</f>
        <v>0</v>
      </c>
      <c r="P542" s="58" t="n">
        <v>8.516</v>
      </c>
      <c r="Q542" s="58" t="n">
        <v>0.026</v>
      </c>
      <c r="R542" s="59" t="s">
        <v>1865</v>
      </c>
      <c r="S542" s="22"/>
      <c r="T542" s="11" t="str">
        <f aca="false">"16.12.25"</f>
        <v>16.12.25</v>
      </c>
    </row>
    <row r="543" customFormat="false" ht="7.5" hidden="false" customHeight="true" outlineLevel="2" collapsed="false">
      <c r="A543" s="48"/>
      <c r="B543" s="49" t="s">
        <v>1866</v>
      </c>
      <c r="C543" s="50" t="s">
        <v>1867</v>
      </c>
      <c r="D543" s="51"/>
      <c r="E543" s="52" t="n">
        <f aca="false">I543*(1-J543)*(100-E1)/100</f>
        <v>12140.8</v>
      </c>
      <c r="F543" s="53"/>
      <c r="G543" s="54" t="n">
        <v>1</v>
      </c>
      <c r="H543" s="52" t="n">
        <f aca="false">E543*F543</f>
        <v>0</v>
      </c>
      <c r="I543" s="55" t="n">
        <v>18970</v>
      </c>
      <c r="J543" s="56"/>
      <c r="K543" s="57" t="n">
        <v>0</v>
      </c>
      <c r="L543" s="22" t="s">
        <v>835</v>
      </c>
      <c r="M543" s="22"/>
      <c r="N543" s="58" t="n">
        <f aca="false">F543*P543</f>
        <v>0</v>
      </c>
      <c r="O543" s="58" t="n">
        <f aca="false">F543*Q543</f>
        <v>0</v>
      </c>
      <c r="P543" s="58" t="n">
        <v>11.45</v>
      </c>
      <c r="Q543" s="58" t="n">
        <v>0.05</v>
      </c>
      <c r="R543" s="59" t="s">
        <v>1868</v>
      </c>
      <c r="S543" s="22"/>
      <c r="T543" s="11" t="str">
        <f aca="false">"16.12.25"</f>
        <v>16.12.25</v>
      </c>
    </row>
    <row r="544" customFormat="false" ht="7.5" hidden="false" customHeight="true" outlineLevel="2" collapsed="false">
      <c r="A544" s="48"/>
      <c r="B544" s="49" t="s">
        <v>1869</v>
      </c>
      <c r="C544" s="50" t="s">
        <v>1870</v>
      </c>
      <c r="D544" s="51"/>
      <c r="E544" s="52" t="n">
        <f aca="false">I544*(1-J544)*(100-E1)/100</f>
        <v>8025.6</v>
      </c>
      <c r="F544" s="53"/>
      <c r="G544" s="54" t="n">
        <v>3</v>
      </c>
      <c r="H544" s="52" t="n">
        <f aca="false">E544*F544</f>
        <v>0</v>
      </c>
      <c r="I544" s="55" t="n">
        <v>12540</v>
      </c>
      <c r="J544" s="56"/>
      <c r="K544" s="57" t="n">
        <v>0</v>
      </c>
      <c r="L544" s="22" t="s">
        <v>835</v>
      </c>
      <c r="M544" s="22"/>
      <c r="N544" s="58" t="n">
        <f aca="false">F544*P544</f>
        <v>0</v>
      </c>
      <c r="O544" s="58" t="n">
        <f aca="false">F544*Q544</f>
        <v>0</v>
      </c>
      <c r="P544" s="58" t="n">
        <v>6.6</v>
      </c>
      <c r="Q544" s="58" t="n">
        <v>0.03</v>
      </c>
      <c r="R544" s="59" t="s">
        <v>1871</v>
      </c>
      <c r="S544" s="22"/>
      <c r="T544" s="11" t="str">
        <f aca="false">"16.12.25"</f>
        <v>16.12.25</v>
      </c>
    </row>
    <row r="545" customFormat="false" ht="7.5" hidden="false" customHeight="true" outlineLevel="1" collapsed="false">
      <c r="A545" s="38"/>
      <c r="B545" s="39"/>
      <c r="C545" s="40" t="s">
        <v>1872</v>
      </c>
      <c r="D545" s="41"/>
      <c r="E545" s="42"/>
      <c r="F545" s="43"/>
      <c r="G545" s="44"/>
      <c r="H545" s="42"/>
      <c r="I545" s="45"/>
      <c r="J545" s="46"/>
      <c r="K545" s="45"/>
      <c r="L545" s="44"/>
      <c r="M545" s="44"/>
      <c r="N545" s="47"/>
      <c r="O545" s="47"/>
      <c r="P545" s="47"/>
      <c r="Q545" s="47"/>
      <c r="R545" s="39"/>
      <c r="S545" s="44"/>
      <c r="T545" s="11" t="str">
        <f aca="false">"16.12.25"</f>
        <v>16.12.25</v>
      </c>
    </row>
    <row r="546" customFormat="false" ht="7.5" hidden="false" customHeight="true" outlineLevel="2" collapsed="false">
      <c r="A546" s="60" t="str">
        <f aca="false">HYPERLINK("https://disk.360.yandex.ru/d/mhfjWDcSwnB6QA","фото")</f>
        <v>фото</v>
      </c>
      <c r="B546" s="49" t="s">
        <v>1873</v>
      </c>
      <c r="C546" s="50" t="s">
        <v>1874</v>
      </c>
      <c r="D546" s="51" t="s">
        <v>1875</v>
      </c>
      <c r="E546" s="52" t="n">
        <f aca="false">I546*(1-J546)*(100-E1)/100</f>
        <v>21856</v>
      </c>
      <c r="F546" s="53"/>
      <c r="G546" s="54" t="n">
        <v>1</v>
      </c>
      <c r="H546" s="52" t="n">
        <f aca="false">E546*F546</f>
        <v>0</v>
      </c>
      <c r="I546" s="55" t="n">
        <v>34150</v>
      </c>
      <c r="J546" s="56"/>
      <c r="K546" s="57" t="n">
        <v>0</v>
      </c>
      <c r="L546" s="22" t="s">
        <v>44</v>
      </c>
      <c r="M546" s="22"/>
      <c r="N546" s="58" t="n">
        <f aca="false">F546*P546</f>
        <v>0</v>
      </c>
      <c r="O546" s="58" t="n">
        <f aca="false">F546*Q546</f>
        <v>0</v>
      </c>
      <c r="P546" s="58" t="n">
        <v>12.4</v>
      </c>
      <c r="Q546" s="58" t="n">
        <v>0.06</v>
      </c>
      <c r="R546" s="59" t="s">
        <v>1876</v>
      </c>
      <c r="S546" s="22"/>
      <c r="T546" s="11" t="str">
        <f aca="false">"16.12.25"</f>
        <v>16.12.25</v>
      </c>
    </row>
    <row r="547" customFormat="false" ht="7.5" hidden="false" customHeight="true" outlineLevel="2" collapsed="false">
      <c r="A547" s="60" t="str">
        <f aca="false">HYPERLINK("https://disk.360.yandex.ru/d/JHPSEJW-395jbA","фото")</f>
        <v>фото</v>
      </c>
      <c r="B547" s="49" t="s">
        <v>1877</v>
      </c>
      <c r="C547" s="50" t="s">
        <v>1878</v>
      </c>
      <c r="D547" s="51" t="s">
        <v>1879</v>
      </c>
      <c r="E547" s="52" t="n">
        <f aca="false">I547*(1-J547)*(100-E1)/100</f>
        <v>11603.2</v>
      </c>
      <c r="F547" s="53"/>
      <c r="G547" s="54" t="n">
        <v>1</v>
      </c>
      <c r="H547" s="52" t="n">
        <f aca="false">E547*F547</f>
        <v>0</v>
      </c>
      <c r="I547" s="55" t="n">
        <v>18130</v>
      </c>
      <c r="J547" s="56"/>
      <c r="K547" s="57" t="n">
        <v>0</v>
      </c>
      <c r="L547" s="22" t="s">
        <v>44</v>
      </c>
      <c r="M547" s="22"/>
      <c r="N547" s="58" t="n">
        <f aca="false">F547*P547</f>
        <v>0</v>
      </c>
      <c r="O547" s="58" t="n">
        <f aca="false">F547*Q547</f>
        <v>0</v>
      </c>
      <c r="P547" s="58" t="n">
        <v>6.7</v>
      </c>
      <c r="Q547" s="58" t="n">
        <v>0.03</v>
      </c>
      <c r="R547" s="59" t="s">
        <v>1880</v>
      </c>
      <c r="S547" s="22"/>
      <c r="T547" s="11" t="str">
        <f aca="false">"16.12.25"</f>
        <v>16.12.25</v>
      </c>
    </row>
    <row r="548" customFormat="false" ht="7.5" hidden="false" customHeight="true" outlineLevel="2" collapsed="false">
      <c r="A548" s="60" t="str">
        <f aca="false">HYPERLINK("https://disk.yandex.ru/d/LKJMOhNHruRe8A","фото")</f>
        <v>фото</v>
      </c>
      <c r="B548" s="49" t="s">
        <v>1881</v>
      </c>
      <c r="C548" s="50" t="s">
        <v>1882</v>
      </c>
      <c r="D548" s="51" t="s">
        <v>1883</v>
      </c>
      <c r="E548" s="52" t="n">
        <f aca="false">I548*(1-J548)*(100-E1)/100</f>
        <v>21856</v>
      </c>
      <c r="F548" s="53"/>
      <c r="G548" s="54" t="n">
        <v>1</v>
      </c>
      <c r="H548" s="52" t="n">
        <f aca="false">E548*F548</f>
        <v>0</v>
      </c>
      <c r="I548" s="55" t="n">
        <v>34150</v>
      </c>
      <c r="J548" s="56"/>
      <c r="K548" s="57" t="n">
        <v>113</v>
      </c>
      <c r="L548" s="22" t="s">
        <v>44</v>
      </c>
      <c r="M548" s="22"/>
      <c r="N548" s="58" t="n">
        <f aca="false">F548*P548</f>
        <v>0</v>
      </c>
      <c r="O548" s="58" t="n">
        <f aca="false">F548*Q548</f>
        <v>0</v>
      </c>
      <c r="P548" s="58" t="n">
        <v>12.5</v>
      </c>
      <c r="Q548" s="58" t="n">
        <v>0.057</v>
      </c>
      <c r="R548" s="59" t="s">
        <v>1884</v>
      </c>
      <c r="S548" s="22"/>
      <c r="T548" s="11" t="str">
        <f aca="false">"16.12.25"</f>
        <v>16.12.25</v>
      </c>
    </row>
    <row r="549" customFormat="false" ht="7.5" hidden="false" customHeight="true" outlineLevel="2" collapsed="false">
      <c r="A549" s="60" t="str">
        <f aca="false">HYPERLINK("https://disk.yandex.ru/d/IeYbvbQ9rVAsbA","фото")</f>
        <v>фото</v>
      </c>
      <c r="B549" s="49" t="s">
        <v>1885</v>
      </c>
      <c r="C549" s="50" t="s">
        <v>1886</v>
      </c>
      <c r="D549" s="51" t="s">
        <v>1879</v>
      </c>
      <c r="E549" s="52" t="n">
        <f aca="false">I549*(1-J549)*(100-E1)/100</f>
        <v>11603.2</v>
      </c>
      <c r="F549" s="53"/>
      <c r="G549" s="54" t="n">
        <v>1</v>
      </c>
      <c r="H549" s="52" t="n">
        <f aca="false">E549*F549</f>
        <v>0</v>
      </c>
      <c r="I549" s="55" t="n">
        <v>18130</v>
      </c>
      <c r="J549" s="56"/>
      <c r="K549" s="57" t="n">
        <v>22</v>
      </c>
      <c r="L549" s="22" t="s">
        <v>44</v>
      </c>
      <c r="M549" s="22"/>
      <c r="N549" s="58" t="n">
        <f aca="false">F549*P549</f>
        <v>0</v>
      </c>
      <c r="O549" s="58" t="n">
        <f aca="false">F549*Q549</f>
        <v>0</v>
      </c>
      <c r="P549" s="58" t="n">
        <v>6.69</v>
      </c>
      <c r="Q549" s="58" t="n">
        <v>0.03</v>
      </c>
      <c r="R549" s="59" t="s">
        <v>1887</v>
      </c>
      <c r="S549" s="22"/>
      <c r="T549" s="11" t="str">
        <f aca="false">"16.12.25"</f>
        <v>16.12.25</v>
      </c>
    </row>
    <row r="550" customFormat="false" ht="7.5" hidden="false" customHeight="true" outlineLevel="2" collapsed="false">
      <c r="A550" s="60" t="str">
        <f aca="false">HYPERLINK("https://disk.360.yandex.ru/d/wWtCspChiqhhpw","фото")</f>
        <v>фото</v>
      </c>
      <c r="B550" s="49" t="s">
        <v>1888</v>
      </c>
      <c r="C550" s="50" t="s">
        <v>1889</v>
      </c>
      <c r="D550" s="51"/>
      <c r="E550" s="52" t="n">
        <f aca="false">I550*(1-J550)*(100-E1)/100</f>
        <v>22828.8</v>
      </c>
      <c r="F550" s="53"/>
      <c r="G550" s="54"/>
      <c r="H550" s="52" t="n">
        <f aca="false">E550*F550</f>
        <v>0</v>
      </c>
      <c r="I550" s="55" t="n">
        <v>35670</v>
      </c>
      <c r="J550" s="56"/>
      <c r="K550" s="57" t="n">
        <v>0</v>
      </c>
      <c r="L550" s="22" t="s">
        <v>157</v>
      </c>
      <c r="M550" s="22"/>
      <c r="N550" s="58" t="n">
        <f aca="false">F550*P550</f>
        <v>0</v>
      </c>
      <c r="O550" s="58" t="n">
        <f aca="false">F550*Q550</f>
        <v>0</v>
      </c>
      <c r="P550" s="58" t="n">
        <v>12.4</v>
      </c>
      <c r="Q550" s="58" t="n">
        <v>0.06</v>
      </c>
      <c r="R550" s="59" t="s">
        <v>1890</v>
      </c>
      <c r="S550" s="22"/>
      <c r="T550" s="11" t="str">
        <f aca="false">"16.12.25"</f>
        <v>16.12.25</v>
      </c>
    </row>
    <row r="551" customFormat="false" ht="7.5" hidden="false" customHeight="true" outlineLevel="2" collapsed="false">
      <c r="A551" s="48"/>
      <c r="B551" s="49" t="s">
        <v>1891</v>
      </c>
      <c r="C551" s="50" t="s">
        <v>1892</v>
      </c>
      <c r="D551" s="51"/>
      <c r="E551" s="52" t="n">
        <f aca="false">I551*(1-J551)*(100-E1)/100</f>
        <v>51814.4</v>
      </c>
      <c r="F551" s="53"/>
      <c r="G551" s="54" t="n">
        <v>1</v>
      </c>
      <c r="H551" s="52" t="n">
        <f aca="false">E551*F551</f>
        <v>0</v>
      </c>
      <c r="I551" s="55" t="n">
        <v>80960</v>
      </c>
      <c r="J551" s="56"/>
      <c r="K551" s="57" t="n">
        <v>7</v>
      </c>
      <c r="L551" s="22" t="s">
        <v>380</v>
      </c>
      <c r="M551" s="22"/>
      <c r="N551" s="58" t="n">
        <f aca="false">F551*P551</f>
        <v>0</v>
      </c>
      <c r="O551" s="58" t="n">
        <f aca="false">F551*Q551</f>
        <v>0</v>
      </c>
      <c r="P551" s="58" t="n">
        <v>34</v>
      </c>
      <c r="Q551" s="58" t="n">
        <v>0.12</v>
      </c>
      <c r="R551" s="59" t="s">
        <v>1893</v>
      </c>
      <c r="S551" s="22"/>
      <c r="T551" s="11" t="str">
        <f aca="false">"16.12.25"</f>
        <v>16.12.25</v>
      </c>
    </row>
    <row r="552" customFormat="false" ht="7.5" hidden="false" customHeight="true" outlineLevel="2" collapsed="false">
      <c r="A552" s="60" t="str">
        <f aca="false">HYPERLINK("https://disk.360.yandex.ru/d/rCdQy3--sUd--A","фото")</f>
        <v>фото</v>
      </c>
      <c r="B552" s="49" t="s">
        <v>1894</v>
      </c>
      <c r="C552" s="50" t="s">
        <v>1895</v>
      </c>
      <c r="D552" s="51" t="s">
        <v>1896</v>
      </c>
      <c r="E552" s="52" t="n">
        <f aca="false">I552*(1-J552)*(100-E1)/100</f>
        <v>11728.64</v>
      </c>
      <c r="F552" s="53"/>
      <c r="G552" s="54" t="n">
        <v>1</v>
      </c>
      <c r="H552" s="52" t="n">
        <f aca="false">E552*F552</f>
        <v>0</v>
      </c>
      <c r="I552" s="55" t="n">
        <v>26180</v>
      </c>
      <c r="J552" s="56" t="n">
        <v>0.3</v>
      </c>
      <c r="K552" s="57" t="n">
        <v>43</v>
      </c>
      <c r="L552" s="22" t="s">
        <v>53</v>
      </c>
      <c r="M552" s="22" t="s">
        <v>31</v>
      </c>
      <c r="N552" s="58" t="n">
        <f aca="false">F552*P552</f>
        <v>0</v>
      </c>
      <c r="O552" s="58" t="n">
        <f aca="false">F552*Q552</f>
        <v>0</v>
      </c>
      <c r="P552" s="58" t="n">
        <v>10</v>
      </c>
      <c r="Q552" s="58" t="n">
        <v>0.048</v>
      </c>
      <c r="R552" s="59" t="s">
        <v>1897</v>
      </c>
      <c r="S552" s="22"/>
      <c r="T552" s="11" t="str">
        <f aca="false">"16.12.25"</f>
        <v>16.12.25</v>
      </c>
    </row>
    <row r="553" customFormat="false" ht="7.5" hidden="false" customHeight="true" outlineLevel="2" collapsed="false">
      <c r="A553" s="60" t="str">
        <f aca="false">HYPERLINK("https://disk.360.yandex.ru/d/K7NWD4VpfEtoXw","фото")</f>
        <v>фото</v>
      </c>
      <c r="B553" s="49" t="s">
        <v>1898</v>
      </c>
      <c r="C553" s="50" t="s">
        <v>1899</v>
      </c>
      <c r="D553" s="51" t="s">
        <v>1900</v>
      </c>
      <c r="E553" s="52" t="n">
        <f aca="false">I553*(1-J553)*(100-E1)/100</f>
        <v>79436.8</v>
      </c>
      <c r="F553" s="53"/>
      <c r="G553" s="54" t="n">
        <v>1</v>
      </c>
      <c r="H553" s="52" t="n">
        <f aca="false">E553*F553</f>
        <v>0</v>
      </c>
      <c r="I553" s="55" t="n">
        <v>124120</v>
      </c>
      <c r="J553" s="56"/>
      <c r="K553" s="57" t="n">
        <v>27</v>
      </c>
      <c r="L553" s="22" t="s">
        <v>1369</v>
      </c>
      <c r="M553" s="22" t="s">
        <v>31</v>
      </c>
      <c r="N553" s="58" t="n">
        <f aca="false">F553*P553</f>
        <v>0</v>
      </c>
      <c r="O553" s="58" t="n">
        <f aca="false">F553*Q553</f>
        <v>0</v>
      </c>
      <c r="P553" s="58" t="n">
        <v>95</v>
      </c>
      <c r="Q553" s="58" t="n">
        <v>0.65</v>
      </c>
      <c r="R553" s="59" t="s">
        <v>1901</v>
      </c>
      <c r="S553" s="22"/>
      <c r="T553" s="11" t="str">
        <f aca="false">"16.12.25"</f>
        <v>16.12.25</v>
      </c>
    </row>
    <row r="554" customFormat="false" ht="7.5" hidden="false" customHeight="true" outlineLevel="2" collapsed="false">
      <c r="A554" s="60" t="str">
        <f aca="false">HYPERLINK("https://disk.360.yandex.ru/d/DP3Yy-N--YaEMQ","фото")</f>
        <v>фото</v>
      </c>
      <c r="B554" s="49" t="s">
        <v>1902</v>
      </c>
      <c r="C554" s="50" t="s">
        <v>1903</v>
      </c>
      <c r="D554" s="51" t="s">
        <v>1904</v>
      </c>
      <c r="E554" s="52" t="n">
        <f aca="false">I554*(1-J554)*(100-E1)/100</f>
        <v>94144</v>
      </c>
      <c r="F554" s="53"/>
      <c r="G554" s="54" t="n">
        <v>1</v>
      </c>
      <c r="H554" s="52" t="n">
        <f aca="false">E554*F554</f>
        <v>0</v>
      </c>
      <c r="I554" s="55" t="n">
        <v>147100</v>
      </c>
      <c r="J554" s="56"/>
      <c r="K554" s="57" t="n">
        <v>18</v>
      </c>
      <c r="L554" s="22" t="s">
        <v>1369</v>
      </c>
      <c r="M554" s="22" t="s">
        <v>31</v>
      </c>
      <c r="N554" s="58" t="n">
        <f aca="false">F554*P554</f>
        <v>0</v>
      </c>
      <c r="O554" s="58" t="n">
        <f aca="false">F554*Q554</f>
        <v>0</v>
      </c>
      <c r="P554" s="58" t="n">
        <v>107.05</v>
      </c>
      <c r="Q554" s="58" t="n">
        <v>0.65</v>
      </c>
      <c r="R554" s="59" t="s">
        <v>1905</v>
      </c>
      <c r="S554" s="22"/>
      <c r="T554" s="11" t="str">
        <f aca="false">"16.12.25"</f>
        <v>16.12.25</v>
      </c>
    </row>
    <row r="555" customFormat="false" ht="7.5" hidden="false" customHeight="true" outlineLevel="2" collapsed="false">
      <c r="A555" s="60" t="str">
        <f aca="false">HYPERLINK("https://disk.yandex.ru/d/89ri_qyxr3915w","фото")</f>
        <v>фото</v>
      </c>
      <c r="B555" s="49" t="s">
        <v>1906</v>
      </c>
      <c r="C555" s="50" t="s">
        <v>1907</v>
      </c>
      <c r="D555" s="51" t="s">
        <v>1908</v>
      </c>
      <c r="E555" s="52" t="n">
        <f aca="false">I555*(1-J555)*(100-E1)/100</f>
        <v>29420.8</v>
      </c>
      <c r="F555" s="53"/>
      <c r="G555" s="54" t="n">
        <v>1</v>
      </c>
      <c r="H555" s="52" t="n">
        <f aca="false">E555*F555</f>
        <v>0</v>
      </c>
      <c r="I555" s="55" t="n">
        <v>45970</v>
      </c>
      <c r="J555" s="56"/>
      <c r="K555" s="57" t="n">
        <v>18</v>
      </c>
      <c r="L555" s="22" t="s">
        <v>1369</v>
      </c>
      <c r="M555" s="22"/>
      <c r="N555" s="58" t="n">
        <f aca="false">F555*P555</f>
        <v>0</v>
      </c>
      <c r="O555" s="58" t="n">
        <f aca="false">F555*Q555</f>
        <v>0</v>
      </c>
      <c r="P555" s="58"/>
      <c r="Q555" s="58"/>
      <c r="R555" s="59" t="s">
        <v>1909</v>
      </c>
      <c r="S555" s="22"/>
      <c r="T555" s="11" t="str">
        <f aca="false">"16.12.25"</f>
        <v>16.12.25</v>
      </c>
    </row>
    <row r="556" customFormat="false" ht="7.5" hidden="false" customHeight="true" outlineLevel="2" collapsed="false">
      <c r="A556" s="60" t="str">
        <f aca="false">HYPERLINK("https://disk.yandex.ru/d/PjBxTrlfKJMidw","фото")</f>
        <v>фото</v>
      </c>
      <c r="B556" s="49" t="s">
        <v>1910</v>
      </c>
      <c r="C556" s="50" t="s">
        <v>1911</v>
      </c>
      <c r="D556" s="51" t="s">
        <v>1912</v>
      </c>
      <c r="E556" s="52" t="n">
        <f aca="false">I556*(1-J556)*(100-E1)/100</f>
        <v>64320</v>
      </c>
      <c r="F556" s="53"/>
      <c r="G556" s="54" t="n">
        <v>1</v>
      </c>
      <c r="H556" s="52" t="n">
        <f aca="false">E556*F556</f>
        <v>0</v>
      </c>
      <c r="I556" s="55" t="n">
        <v>100500</v>
      </c>
      <c r="J556" s="56"/>
      <c r="K556" s="57" t="n">
        <v>12</v>
      </c>
      <c r="L556" s="22" t="s">
        <v>1369</v>
      </c>
      <c r="M556" s="22"/>
      <c r="N556" s="58" t="n">
        <f aca="false">F556*P556</f>
        <v>0</v>
      </c>
      <c r="O556" s="58" t="n">
        <f aca="false">F556*Q556</f>
        <v>0</v>
      </c>
      <c r="P556" s="58" t="n">
        <v>52</v>
      </c>
      <c r="Q556" s="58" t="n">
        <v>0.233</v>
      </c>
      <c r="R556" s="59" t="s">
        <v>1913</v>
      </c>
      <c r="S556" s="22"/>
      <c r="T556" s="11" t="str">
        <f aca="false">"16.12.25"</f>
        <v>16.12.25</v>
      </c>
    </row>
    <row r="557" customFormat="false" ht="7.5" hidden="false" customHeight="true" outlineLevel="2" collapsed="false">
      <c r="A557" s="60" t="str">
        <f aca="false">HYPERLINK("https://disk.360.yandex.ru/d/ryusfi8-YuD8vQ","фото")</f>
        <v>фото</v>
      </c>
      <c r="B557" s="49" t="s">
        <v>1914</v>
      </c>
      <c r="C557" s="50" t="s">
        <v>1915</v>
      </c>
      <c r="D557" s="51" t="s">
        <v>1916</v>
      </c>
      <c r="E557" s="52" t="n">
        <f aca="false">I557*(1-J557)*(100-E1)/100</f>
        <v>49734.4</v>
      </c>
      <c r="F557" s="53"/>
      <c r="G557" s="54" t="n">
        <v>1</v>
      </c>
      <c r="H557" s="52" t="n">
        <f aca="false">E557*F557</f>
        <v>0</v>
      </c>
      <c r="I557" s="55" t="n">
        <v>77710</v>
      </c>
      <c r="J557" s="56"/>
      <c r="K557" s="57" t="n">
        <v>39</v>
      </c>
      <c r="L557" s="22" t="s">
        <v>53</v>
      </c>
      <c r="M557" s="22" t="s">
        <v>31</v>
      </c>
      <c r="N557" s="58" t="n">
        <f aca="false">F557*P557</f>
        <v>0</v>
      </c>
      <c r="O557" s="58" t="n">
        <f aca="false">F557*Q557</f>
        <v>0</v>
      </c>
      <c r="P557" s="58" t="n">
        <v>30.85</v>
      </c>
      <c r="Q557" s="58" t="n">
        <v>0.147</v>
      </c>
      <c r="R557" s="59" t="s">
        <v>1917</v>
      </c>
      <c r="S557" s="22"/>
      <c r="T557" s="11" t="str">
        <f aca="false">"16.12.25"</f>
        <v>16.12.25</v>
      </c>
    </row>
    <row r="558" customFormat="false" ht="7.5" hidden="false" customHeight="true" outlineLevel="2" collapsed="false">
      <c r="A558" s="60" t="str">
        <f aca="false">HYPERLINK("https://disk.360.yandex.ru/d/CV1ykOHY9P_NMA","фото")</f>
        <v>фото</v>
      </c>
      <c r="B558" s="49" t="s">
        <v>1918</v>
      </c>
      <c r="C558" s="50" t="s">
        <v>1919</v>
      </c>
      <c r="D558" s="51" t="s">
        <v>1920</v>
      </c>
      <c r="E558" s="52" t="n">
        <f aca="false">I558*(1-J558)*(100-E1)/100</f>
        <v>53120</v>
      </c>
      <c r="F558" s="53"/>
      <c r="G558" s="54" t="n">
        <v>1</v>
      </c>
      <c r="H558" s="52" t="n">
        <f aca="false">E558*F558</f>
        <v>0</v>
      </c>
      <c r="I558" s="55" t="n">
        <v>83000</v>
      </c>
      <c r="J558" s="56"/>
      <c r="K558" s="57" t="n">
        <v>64</v>
      </c>
      <c r="L558" s="22" t="s">
        <v>53</v>
      </c>
      <c r="M558" s="22" t="s">
        <v>31</v>
      </c>
      <c r="N558" s="58" t="n">
        <f aca="false">F558*P558</f>
        <v>0</v>
      </c>
      <c r="O558" s="58" t="n">
        <f aca="false">F558*Q558</f>
        <v>0</v>
      </c>
      <c r="P558" s="58" t="n">
        <v>34</v>
      </c>
      <c r="Q558" s="58" t="n">
        <v>0.124</v>
      </c>
      <c r="R558" s="59" t="s">
        <v>1921</v>
      </c>
      <c r="S558" s="22"/>
      <c r="T558" s="11" t="str">
        <f aca="false">"16.12.25"</f>
        <v>16.12.25</v>
      </c>
    </row>
    <row r="559" customFormat="false" ht="7.5" hidden="false" customHeight="true" outlineLevel="2" collapsed="false">
      <c r="A559" s="60" t="str">
        <f aca="false">HYPERLINK("https://disk.360.yandex.ru/d/ENmrZlu1xqQZIA","фото")</f>
        <v>фото</v>
      </c>
      <c r="B559" s="49" t="s">
        <v>1922</v>
      </c>
      <c r="C559" s="50" t="s">
        <v>1923</v>
      </c>
      <c r="D559" s="51" t="s">
        <v>1924</v>
      </c>
      <c r="E559" s="52" t="n">
        <f aca="false">I559*(1-J559)*(100-E1)/100</f>
        <v>55718.4</v>
      </c>
      <c r="F559" s="53"/>
      <c r="G559" s="54" t="n">
        <v>1</v>
      </c>
      <c r="H559" s="52" t="n">
        <f aca="false">E559*F559</f>
        <v>0</v>
      </c>
      <c r="I559" s="55" t="n">
        <v>87060</v>
      </c>
      <c r="J559" s="56"/>
      <c r="K559" s="57" t="n">
        <v>20</v>
      </c>
      <c r="L559" s="22" t="s">
        <v>53</v>
      </c>
      <c r="M559" s="22" t="s">
        <v>31</v>
      </c>
      <c r="N559" s="58" t="n">
        <f aca="false">F559*P559</f>
        <v>0</v>
      </c>
      <c r="O559" s="58" t="n">
        <f aca="false">F559*Q559</f>
        <v>0</v>
      </c>
      <c r="P559" s="58" t="n">
        <v>36</v>
      </c>
      <c r="Q559" s="58" t="n">
        <v>0.123</v>
      </c>
      <c r="R559" s="59" t="s">
        <v>1925</v>
      </c>
      <c r="S559" s="22"/>
      <c r="T559" s="11" t="str">
        <f aca="false">"16.12.25"</f>
        <v>16.12.25</v>
      </c>
    </row>
    <row r="560" customFormat="false" ht="7.5" hidden="false" customHeight="true" outlineLevel="2" collapsed="false">
      <c r="A560" s="60" t="str">
        <f aca="false">HYPERLINK("https://disk.360.yandex.ru/d/-VFZaSLEdVmNMQ","фото")</f>
        <v>фото</v>
      </c>
      <c r="B560" s="49" t="s">
        <v>1926</v>
      </c>
      <c r="C560" s="50" t="s">
        <v>1927</v>
      </c>
      <c r="D560" s="51" t="s">
        <v>1875</v>
      </c>
      <c r="E560" s="52" t="n">
        <f aca="false">I560*(1-J560)*(100-E1)/100</f>
        <v>21856</v>
      </c>
      <c r="F560" s="53"/>
      <c r="G560" s="54" t="n">
        <v>1</v>
      </c>
      <c r="H560" s="52" t="n">
        <f aca="false">E560*F560</f>
        <v>0</v>
      </c>
      <c r="I560" s="55" t="n">
        <v>34150</v>
      </c>
      <c r="J560" s="56"/>
      <c r="K560" s="57" t="n">
        <v>0</v>
      </c>
      <c r="L560" s="22" t="s">
        <v>53</v>
      </c>
      <c r="M560" s="22"/>
      <c r="N560" s="58" t="n">
        <f aca="false">F560*P560</f>
        <v>0</v>
      </c>
      <c r="O560" s="58" t="n">
        <f aca="false">F560*Q560</f>
        <v>0</v>
      </c>
      <c r="P560" s="58" t="n">
        <v>12.4</v>
      </c>
      <c r="Q560" s="58" t="n">
        <v>0.06</v>
      </c>
      <c r="R560" s="59" t="s">
        <v>1928</v>
      </c>
      <c r="S560" s="22"/>
      <c r="T560" s="11" t="str">
        <f aca="false">"16.12.25"</f>
        <v>16.12.25</v>
      </c>
    </row>
    <row r="561" customFormat="false" ht="7.5" hidden="false" customHeight="true" outlineLevel="2" collapsed="false">
      <c r="A561" s="60" t="str">
        <f aca="false">HYPERLINK("https://disk.360.yandex.ru/d/13Ym8HcTvGfIcA","фото")</f>
        <v>фото</v>
      </c>
      <c r="B561" s="49" t="s">
        <v>1929</v>
      </c>
      <c r="C561" s="50" t="s">
        <v>1930</v>
      </c>
      <c r="D561" s="51" t="s">
        <v>1879</v>
      </c>
      <c r="E561" s="52" t="n">
        <f aca="false">I561*(1-J561)*(100-E1)/100</f>
        <v>11603.2</v>
      </c>
      <c r="F561" s="53"/>
      <c r="G561" s="54" t="n">
        <v>1</v>
      </c>
      <c r="H561" s="52" t="n">
        <f aca="false">E561*F561</f>
        <v>0</v>
      </c>
      <c r="I561" s="55" t="n">
        <v>18130</v>
      </c>
      <c r="J561" s="56"/>
      <c r="K561" s="57" t="n">
        <v>58</v>
      </c>
      <c r="L561" s="22" t="s">
        <v>53</v>
      </c>
      <c r="M561" s="22"/>
      <c r="N561" s="58" t="n">
        <f aca="false">F561*P561</f>
        <v>0</v>
      </c>
      <c r="O561" s="58" t="n">
        <f aca="false">F561*Q561</f>
        <v>0</v>
      </c>
      <c r="P561" s="58" t="n">
        <v>6.7</v>
      </c>
      <c r="Q561" s="58" t="n">
        <v>0.03</v>
      </c>
      <c r="R561" s="59" t="s">
        <v>1931</v>
      </c>
      <c r="S561" s="22"/>
      <c r="T561" s="11" t="str">
        <f aca="false">"16.12.25"</f>
        <v>16.12.25</v>
      </c>
    </row>
    <row r="562" customFormat="false" ht="7.5" hidden="false" customHeight="true" outlineLevel="2" collapsed="false">
      <c r="A562" s="60" t="str">
        <f aca="false">HYPERLINK("https://disk.360.yandex.ru/d/VyYuZZwm2zVRZQ","фото")</f>
        <v>фото</v>
      </c>
      <c r="B562" s="49" t="s">
        <v>1932</v>
      </c>
      <c r="C562" s="50" t="s">
        <v>1933</v>
      </c>
      <c r="D562" s="51" t="s">
        <v>1934</v>
      </c>
      <c r="E562" s="52" t="n">
        <f aca="false">I562*(1-J562)*(100-E1)/100</f>
        <v>21856</v>
      </c>
      <c r="F562" s="53"/>
      <c r="G562" s="54" t="n">
        <v>1</v>
      </c>
      <c r="H562" s="52" t="n">
        <f aca="false">E562*F562</f>
        <v>0</v>
      </c>
      <c r="I562" s="55" t="n">
        <v>34150</v>
      </c>
      <c r="J562" s="56"/>
      <c r="K562" s="57" t="n">
        <v>7</v>
      </c>
      <c r="L562" s="22" t="s">
        <v>1291</v>
      </c>
      <c r="M562" s="22"/>
      <c r="N562" s="58" t="n">
        <f aca="false">F562*P562</f>
        <v>0</v>
      </c>
      <c r="O562" s="58" t="n">
        <f aca="false">F562*Q562</f>
        <v>0</v>
      </c>
      <c r="P562" s="58" t="n">
        <v>12.4</v>
      </c>
      <c r="Q562" s="58" t="n">
        <v>0.06</v>
      </c>
      <c r="R562" s="59" t="s">
        <v>1935</v>
      </c>
      <c r="S562" s="22"/>
      <c r="T562" s="11" t="str">
        <f aca="false">"16.12.25"</f>
        <v>16.12.25</v>
      </c>
    </row>
    <row r="563" customFormat="false" ht="7.5" hidden="false" customHeight="true" outlineLevel="2" collapsed="false">
      <c r="A563" s="60" t="str">
        <f aca="false">HYPERLINK("https://disk.360.yandex.ru/d/6LkPv7aV2dU4GA","фото")</f>
        <v>фото</v>
      </c>
      <c r="B563" s="49" t="s">
        <v>1936</v>
      </c>
      <c r="C563" s="50" t="s">
        <v>1937</v>
      </c>
      <c r="D563" s="51" t="s">
        <v>1938</v>
      </c>
      <c r="E563" s="52" t="n">
        <f aca="false">I563*(1-J563)*(100-E1)/100</f>
        <v>11603.2</v>
      </c>
      <c r="F563" s="53"/>
      <c r="G563" s="54" t="n">
        <v>1</v>
      </c>
      <c r="H563" s="52" t="n">
        <f aca="false">E563*F563</f>
        <v>0</v>
      </c>
      <c r="I563" s="55" t="n">
        <v>18130</v>
      </c>
      <c r="J563" s="56"/>
      <c r="K563" s="57" t="n">
        <v>38</v>
      </c>
      <c r="L563" s="22" t="s">
        <v>1291</v>
      </c>
      <c r="M563" s="22"/>
      <c r="N563" s="58" t="n">
        <f aca="false">F563*P563</f>
        <v>0</v>
      </c>
      <c r="O563" s="58" t="n">
        <f aca="false">F563*Q563</f>
        <v>0</v>
      </c>
      <c r="P563" s="58" t="n">
        <v>6.7</v>
      </c>
      <c r="Q563" s="58" t="n">
        <v>0.03</v>
      </c>
      <c r="R563" s="59" t="s">
        <v>1939</v>
      </c>
      <c r="S563" s="22"/>
      <c r="T563" s="11" t="str">
        <f aca="false">"16.12.25"</f>
        <v>16.12.25</v>
      </c>
    </row>
    <row r="564" customFormat="false" ht="7.5" hidden="false" customHeight="true" outlineLevel="1" collapsed="false">
      <c r="A564" s="38"/>
      <c r="B564" s="39"/>
      <c r="C564" s="40" t="s">
        <v>1940</v>
      </c>
      <c r="D564" s="41"/>
      <c r="E564" s="42"/>
      <c r="F564" s="43"/>
      <c r="G564" s="44"/>
      <c r="H564" s="42"/>
      <c r="I564" s="45"/>
      <c r="J564" s="46"/>
      <c r="K564" s="45"/>
      <c r="L564" s="44"/>
      <c r="M564" s="44"/>
      <c r="N564" s="47"/>
      <c r="O564" s="47"/>
      <c r="P564" s="47"/>
      <c r="Q564" s="47"/>
      <c r="R564" s="39"/>
      <c r="S564" s="44"/>
      <c r="T564" s="11" t="str">
        <f aca="false">"16.12.25"</f>
        <v>16.12.25</v>
      </c>
    </row>
    <row r="565" customFormat="false" ht="7.5" hidden="false" customHeight="true" outlineLevel="2" collapsed="false">
      <c r="A565" s="60" t="str">
        <f aca="false">HYPERLINK("https://disk.yandex.ru/d/N4gN85-apyjk1w","фото")</f>
        <v>фото</v>
      </c>
      <c r="B565" s="49" t="s">
        <v>1941</v>
      </c>
      <c r="C565" s="50" t="s">
        <v>1942</v>
      </c>
      <c r="D565" s="51" t="s">
        <v>1943</v>
      </c>
      <c r="E565" s="52" t="n">
        <f aca="false">I565*(1-J565)*(100-E1)/100</f>
        <v>33184</v>
      </c>
      <c r="F565" s="53"/>
      <c r="G565" s="54" t="n">
        <v>1</v>
      </c>
      <c r="H565" s="52" t="n">
        <f aca="false">E565*F565</f>
        <v>0</v>
      </c>
      <c r="I565" s="55" t="n">
        <v>51850</v>
      </c>
      <c r="J565" s="56"/>
      <c r="K565" s="57" t="n">
        <v>13</v>
      </c>
      <c r="L565" s="22" t="s">
        <v>44</v>
      </c>
      <c r="M565" s="22"/>
      <c r="N565" s="58" t="n">
        <f aca="false">F565*P565</f>
        <v>0</v>
      </c>
      <c r="O565" s="58" t="n">
        <f aca="false">F565*Q565</f>
        <v>0</v>
      </c>
      <c r="P565" s="58" t="n">
        <v>20</v>
      </c>
      <c r="Q565" s="58" t="n">
        <v>0.08</v>
      </c>
      <c r="R565" s="59" t="s">
        <v>1944</v>
      </c>
      <c r="S565" s="22"/>
      <c r="T565" s="11" t="str">
        <f aca="false">"16.12.25"</f>
        <v>16.12.25</v>
      </c>
    </row>
    <row r="566" customFormat="false" ht="7.5" hidden="false" customHeight="true" outlineLevel="2" collapsed="false">
      <c r="A566" s="60" t="str">
        <f aca="false">HYPERLINK("https://disk.360.yandex.ru/d/JmtOV14KRUlP6Q","фото")</f>
        <v>фото</v>
      </c>
      <c r="B566" s="49" t="s">
        <v>1945</v>
      </c>
      <c r="C566" s="50" t="s">
        <v>1946</v>
      </c>
      <c r="D566" s="51"/>
      <c r="E566" s="52" t="n">
        <f aca="false">I566*(1-J566)*(100-E1)/100</f>
        <v>33184</v>
      </c>
      <c r="F566" s="53"/>
      <c r="G566" s="54" t="n">
        <v>1</v>
      </c>
      <c r="H566" s="52" t="n">
        <f aca="false">E566*F566</f>
        <v>0</v>
      </c>
      <c r="I566" s="55" t="n">
        <v>51850</v>
      </c>
      <c r="J566" s="56"/>
      <c r="K566" s="57" t="n">
        <v>0</v>
      </c>
      <c r="L566" s="22" t="s">
        <v>157</v>
      </c>
      <c r="M566" s="22"/>
      <c r="N566" s="58" t="n">
        <f aca="false">F566*P566</f>
        <v>0</v>
      </c>
      <c r="O566" s="58" t="n">
        <f aca="false">F566*Q566</f>
        <v>0</v>
      </c>
      <c r="P566" s="58" t="n">
        <v>18.7</v>
      </c>
      <c r="Q566" s="58" t="n">
        <v>0.08</v>
      </c>
      <c r="R566" s="59" t="s">
        <v>1947</v>
      </c>
      <c r="S566" s="22"/>
      <c r="T566" s="11" t="str">
        <f aca="false">"16.12.25"</f>
        <v>16.12.25</v>
      </c>
    </row>
    <row r="567" customFormat="false" ht="7.5" hidden="false" customHeight="true" outlineLevel="2" collapsed="false">
      <c r="A567" s="60" t="str">
        <f aca="false">HYPERLINK("https://disk.yandex.ru/d/8x9oIRLJ1340sw","фото")</f>
        <v>фото</v>
      </c>
      <c r="B567" s="49" t="s">
        <v>1948</v>
      </c>
      <c r="C567" s="50" t="s">
        <v>1949</v>
      </c>
      <c r="D567" s="51" t="s">
        <v>1950</v>
      </c>
      <c r="E567" s="52" t="n">
        <f aca="false">I567*(1-J567)*(100-E1)/100</f>
        <v>33184</v>
      </c>
      <c r="F567" s="53"/>
      <c r="G567" s="54" t="n">
        <v>1</v>
      </c>
      <c r="H567" s="52" t="n">
        <f aca="false">E567*F567</f>
        <v>0</v>
      </c>
      <c r="I567" s="55" t="n">
        <v>51850</v>
      </c>
      <c r="J567" s="56"/>
      <c r="K567" s="57" t="n">
        <v>30</v>
      </c>
      <c r="L567" s="22" t="s">
        <v>53</v>
      </c>
      <c r="M567" s="22"/>
      <c r="N567" s="58" t="n">
        <f aca="false">F567*P567</f>
        <v>0</v>
      </c>
      <c r="O567" s="58" t="n">
        <f aca="false">F567*Q567</f>
        <v>0</v>
      </c>
      <c r="P567" s="58" t="n">
        <v>18.7</v>
      </c>
      <c r="Q567" s="58" t="n">
        <v>0.08</v>
      </c>
      <c r="R567" s="59" t="s">
        <v>1951</v>
      </c>
      <c r="S567" s="22"/>
      <c r="T567" s="11" t="str">
        <f aca="false">"16.12.25"</f>
        <v>16.12.25</v>
      </c>
    </row>
    <row r="568" customFormat="false" ht="7.5" hidden="false" customHeight="true" outlineLevel="2" collapsed="false">
      <c r="A568" s="60" t="str">
        <f aca="false">HYPERLINK("https://disk.360.yandex.ru/d/M6qRYSN1Tu3ZZQ","фото")</f>
        <v>фото</v>
      </c>
      <c r="B568" s="49" t="s">
        <v>1952</v>
      </c>
      <c r="C568" s="50" t="s">
        <v>1953</v>
      </c>
      <c r="D568" s="51" t="s">
        <v>1954</v>
      </c>
      <c r="E568" s="52" t="n">
        <f aca="false">I568*(1-J568)*(100-E1)/100</f>
        <v>33184</v>
      </c>
      <c r="F568" s="53"/>
      <c r="G568" s="54" t="n">
        <v>1</v>
      </c>
      <c r="H568" s="52" t="n">
        <f aca="false">E568*F568</f>
        <v>0</v>
      </c>
      <c r="I568" s="55" t="n">
        <v>51850</v>
      </c>
      <c r="J568" s="56"/>
      <c r="K568" s="57" t="n">
        <v>2</v>
      </c>
      <c r="L568" s="22" t="s">
        <v>1291</v>
      </c>
      <c r="M568" s="22"/>
      <c r="N568" s="58" t="n">
        <f aca="false">F568*P568</f>
        <v>0</v>
      </c>
      <c r="O568" s="58" t="n">
        <f aca="false">F568*Q568</f>
        <v>0</v>
      </c>
      <c r="P568" s="58" t="n">
        <v>18.7</v>
      </c>
      <c r="Q568" s="58" t="n">
        <v>0.08</v>
      </c>
      <c r="R568" s="59" t="s">
        <v>1955</v>
      </c>
      <c r="S568" s="22"/>
      <c r="T568" s="11" t="str">
        <f aca="false">"16.12.25"</f>
        <v>16.12.25</v>
      </c>
    </row>
    <row r="569" customFormat="false" ht="7.5" hidden="false" customHeight="true" outlineLevel="1" collapsed="false">
      <c r="A569" s="38"/>
      <c r="B569" s="39"/>
      <c r="C569" s="40" t="s">
        <v>1956</v>
      </c>
      <c r="D569" s="41"/>
      <c r="E569" s="42"/>
      <c r="F569" s="43"/>
      <c r="G569" s="44"/>
      <c r="H569" s="42"/>
      <c r="I569" s="45"/>
      <c r="J569" s="46"/>
      <c r="K569" s="45"/>
      <c r="L569" s="44"/>
      <c r="M569" s="44"/>
      <c r="N569" s="47"/>
      <c r="O569" s="47"/>
      <c r="P569" s="47"/>
      <c r="Q569" s="47"/>
      <c r="R569" s="39"/>
      <c r="S569" s="44"/>
      <c r="T569" s="11" t="str">
        <f aca="false">"16.12.25"</f>
        <v>16.12.25</v>
      </c>
    </row>
    <row r="570" customFormat="false" ht="7.5" hidden="false" customHeight="true" outlineLevel="2" collapsed="false">
      <c r="A570" s="60" t="str">
        <f aca="false">HYPERLINK("https://disk.yandex.ru/d/rM9B24_TSkiEvQ","фото")</f>
        <v>фото</v>
      </c>
      <c r="B570" s="49" t="s">
        <v>1957</v>
      </c>
      <c r="C570" s="50" t="s">
        <v>1958</v>
      </c>
      <c r="D570" s="51" t="s">
        <v>1959</v>
      </c>
      <c r="E570" s="52" t="n">
        <f aca="false">I570*(1-J570)*(100-E1)/100</f>
        <v>11507.2</v>
      </c>
      <c r="F570" s="53"/>
      <c r="G570" s="54" t="n">
        <v>1</v>
      </c>
      <c r="H570" s="52" t="n">
        <f aca="false">E570*F570</f>
        <v>0</v>
      </c>
      <c r="I570" s="55" t="n">
        <v>17980</v>
      </c>
      <c r="J570" s="56"/>
      <c r="K570" s="57" t="n">
        <v>0</v>
      </c>
      <c r="L570" s="22" t="s">
        <v>44</v>
      </c>
      <c r="M570" s="22" t="s">
        <v>721</v>
      </c>
      <c r="N570" s="58" t="n">
        <f aca="false">F570*P570</f>
        <v>0</v>
      </c>
      <c r="O570" s="58" t="n">
        <f aca="false">F570*Q570</f>
        <v>0</v>
      </c>
      <c r="P570" s="58" t="n">
        <v>8.46</v>
      </c>
      <c r="Q570" s="58" t="n">
        <v>0.04</v>
      </c>
      <c r="R570" s="59" t="s">
        <v>1960</v>
      </c>
      <c r="S570" s="22"/>
      <c r="T570" s="11" t="str">
        <f aca="false">"16.12.25"</f>
        <v>16.12.25</v>
      </c>
    </row>
    <row r="571" customFormat="false" ht="7.5" hidden="false" customHeight="true" outlineLevel="2" collapsed="false">
      <c r="A571" s="60" t="str">
        <f aca="false">HYPERLINK("https://disk.360.yandex.ru/d/DIx_NBLW3pV_Nw","фото")</f>
        <v>фото</v>
      </c>
      <c r="B571" s="49" t="s">
        <v>1961</v>
      </c>
      <c r="C571" s="50" t="s">
        <v>1962</v>
      </c>
      <c r="D571" s="51"/>
      <c r="E571" s="52" t="n">
        <f aca="false">I571*(1-J571)*(100-E1)/100</f>
        <v>11507.2</v>
      </c>
      <c r="F571" s="53"/>
      <c r="G571" s="54" t="n">
        <v>1</v>
      </c>
      <c r="H571" s="52" t="n">
        <f aca="false">E571*F571</f>
        <v>0</v>
      </c>
      <c r="I571" s="55" t="n">
        <v>17980</v>
      </c>
      <c r="J571" s="56"/>
      <c r="K571" s="57" t="n">
        <v>0</v>
      </c>
      <c r="L571" s="22" t="s">
        <v>44</v>
      </c>
      <c r="M571" s="22"/>
      <c r="N571" s="58" t="n">
        <f aca="false">F571*P571</f>
        <v>0</v>
      </c>
      <c r="O571" s="58" t="n">
        <f aca="false">F571*Q571</f>
        <v>0</v>
      </c>
      <c r="P571" s="58" t="n">
        <v>8.75</v>
      </c>
      <c r="Q571" s="58" t="n">
        <v>0.04</v>
      </c>
      <c r="R571" s="59" t="s">
        <v>1963</v>
      </c>
      <c r="S571" s="22"/>
      <c r="T571" s="11" t="str">
        <f aca="false">"16.12.25"</f>
        <v>16.12.25</v>
      </c>
    </row>
    <row r="572" customFormat="false" ht="7.5" hidden="false" customHeight="true" outlineLevel="2" collapsed="false">
      <c r="A572" s="60" t="str">
        <f aca="false">HYPERLINK("https://disk.360.yandex.ru/d/jedv0QBBxvi8MA","фото")</f>
        <v>фото</v>
      </c>
      <c r="B572" s="49" t="s">
        <v>1964</v>
      </c>
      <c r="C572" s="50" t="s">
        <v>1965</v>
      </c>
      <c r="D572" s="51" t="s">
        <v>1966</v>
      </c>
      <c r="E572" s="52" t="n">
        <f aca="false">I572*(1-J572)*(100-E1)/100</f>
        <v>8860.544</v>
      </c>
      <c r="F572" s="53"/>
      <c r="G572" s="54" t="n">
        <v>1</v>
      </c>
      <c r="H572" s="52" t="n">
        <f aca="false">E572*F572</f>
        <v>0</v>
      </c>
      <c r="I572" s="55" t="n">
        <v>17980</v>
      </c>
      <c r="J572" s="56" t="n">
        <v>0.23</v>
      </c>
      <c r="K572" s="57" t="n">
        <v>4527</v>
      </c>
      <c r="L572" s="22" t="s">
        <v>44</v>
      </c>
      <c r="M572" s="22"/>
      <c r="N572" s="58" t="n">
        <f aca="false">F572*P572</f>
        <v>0</v>
      </c>
      <c r="O572" s="58" t="n">
        <f aca="false">F572*Q572</f>
        <v>0</v>
      </c>
      <c r="P572" s="58" t="n">
        <v>8.3</v>
      </c>
      <c r="Q572" s="58" t="n">
        <v>0.042</v>
      </c>
      <c r="R572" s="59" t="s">
        <v>1967</v>
      </c>
      <c r="S572" s="61" t="str">
        <f aca="false">HYPERLINK("https://redbo.ru/product/svarochnoe_oborudovanie/cut_vozdushno_plazmennaya_rezka/edon_smart_cut_45_apparat_plazmennoy_rezki/","открыть")</f>
        <v>открыть</v>
      </c>
      <c r="T572" s="11" t="str">
        <f aca="false">"16.12.25"</f>
        <v>16.12.25</v>
      </c>
    </row>
    <row r="573" customFormat="false" ht="7.5" hidden="false" customHeight="true" outlineLevel="2" collapsed="false">
      <c r="A573" s="60" t="str">
        <f aca="false">HYPERLINK("https://disk.360.yandex.ru/d/Q1N_4e9P-4zCxQ","фото")</f>
        <v>фото</v>
      </c>
      <c r="B573" s="49" t="s">
        <v>1968</v>
      </c>
      <c r="C573" s="50" t="s">
        <v>1969</v>
      </c>
      <c r="D573" s="51" t="s">
        <v>1970</v>
      </c>
      <c r="E573" s="52" t="n">
        <f aca="false">I573*(1-J573)*(100-E1)/100</f>
        <v>14747.84</v>
      </c>
      <c r="F573" s="53"/>
      <c r="G573" s="54" t="n">
        <v>1</v>
      </c>
      <c r="H573" s="52" t="n">
        <f aca="false">E573*F573</f>
        <v>0</v>
      </c>
      <c r="I573" s="55" t="n">
        <v>27110</v>
      </c>
      <c r="J573" s="56" t="n">
        <v>0.15</v>
      </c>
      <c r="K573" s="57" t="n">
        <v>241</v>
      </c>
      <c r="L573" s="22" t="s">
        <v>44</v>
      </c>
      <c r="M573" s="22"/>
      <c r="N573" s="58" t="n">
        <f aca="false">F573*P573</f>
        <v>0</v>
      </c>
      <c r="O573" s="58" t="n">
        <f aca="false">F573*Q573</f>
        <v>0</v>
      </c>
      <c r="P573" s="58" t="n">
        <v>9.2</v>
      </c>
      <c r="Q573" s="58" t="n">
        <v>0.04</v>
      </c>
      <c r="R573" s="59" t="s">
        <v>1971</v>
      </c>
      <c r="S573" s="22"/>
      <c r="T573" s="11" t="str">
        <f aca="false">"16.12.25"</f>
        <v>16.12.25</v>
      </c>
    </row>
    <row r="574" customFormat="false" ht="7.5" hidden="false" customHeight="true" outlineLevel="2" collapsed="false">
      <c r="A574" s="60" t="str">
        <f aca="false">HYPERLINK("https://disk.360.yandex.ru/d/QnE4ZawrGN0YvQ","фото")</f>
        <v>фото</v>
      </c>
      <c r="B574" s="49" t="s">
        <v>1972</v>
      </c>
      <c r="C574" s="50" t="s">
        <v>1973</v>
      </c>
      <c r="D574" s="51"/>
      <c r="E574" s="52" t="n">
        <f aca="false">I574*(1-J574)*(100-E1)/100</f>
        <v>11507.2</v>
      </c>
      <c r="F574" s="53"/>
      <c r="G574" s="54" t="n">
        <v>1</v>
      </c>
      <c r="H574" s="52" t="n">
        <f aca="false">E574*F574</f>
        <v>0</v>
      </c>
      <c r="I574" s="55" t="n">
        <v>17980</v>
      </c>
      <c r="J574" s="56"/>
      <c r="K574" s="57" t="n">
        <v>372</v>
      </c>
      <c r="L574" s="22" t="s">
        <v>44</v>
      </c>
      <c r="M574" s="22" t="s">
        <v>721</v>
      </c>
      <c r="N574" s="58" t="n">
        <f aca="false">F574*P574</f>
        <v>0</v>
      </c>
      <c r="O574" s="58" t="n">
        <f aca="false">F574*Q574</f>
        <v>0</v>
      </c>
      <c r="P574" s="58" t="n">
        <v>8.28</v>
      </c>
      <c r="Q574" s="58" t="n">
        <v>0.04</v>
      </c>
      <c r="R574" s="59" t="s">
        <v>1974</v>
      </c>
      <c r="S574" s="22"/>
      <c r="T574" s="11" t="str">
        <f aca="false">"16.12.25"</f>
        <v>16.12.25</v>
      </c>
    </row>
    <row r="575" customFormat="false" ht="7.5" hidden="false" customHeight="true" outlineLevel="2" collapsed="false">
      <c r="A575" s="60" t="str">
        <f aca="false">HYPERLINK("https://disk.360.yandex.ru/d/WslSYsGqYyjzVA","фото")</f>
        <v>фото</v>
      </c>
      <c r="B575" s="49" t="s">
        <v>1975</v>
      </c>
      <c r="C575" s="50" t="s">
        <v>1976</v>
      </c>
      <c r="D575" s="51" t="s">
        <v>1977</v>
      </c>
      <c r="E575" s="52" t="n">
        <f aca="false">I575*(1-J575)*(100-E1)/100</f>
        <v>11507.2</v>
      </c>
      <c r="F575" s="53"/>
      <c r="G575" s="54" t="n">
        <v>1</v>
      </c>
      <c r="H575" s="52" t="n">
        <f aca="false">E575*F575</f>
        <v>0</v>
      </c>
      <c r="I575" s="55" t="n">
        <v>17980</v>
      </c>
      <c r="J575" s="56"/>
      <c r="K575" s="57" t="n">
        <v>0</v>
      </c>
      <c r="L575" s="22" t="s">
        <v>157</v>
      </c>
      <c r="M575" s="22" t="s">
        <v>721</v>
      </c>
      <c r="N575" s="58" t="n">
        <f aca="false">F575*P575</f>
        <v>0</v>
      </c>
      <c r="O575" s="58" t="n">
        <f aca="false">F575*Q575</f>
        <v>0</v>
      </c>
      <c r="P575" s="58" t="n">
        <v>8.7</v>
      </c>
      <c r="Q575" s="58" t="n">
        <v>0.04</v>
      </c>
      <c r="R575" s="59" t="s">
        <v>1978</v>
      </c>
      <c r="S575" s="22"/>
      <c r="T575" s="11" t="str">
        <f aca="false">"16.12.25"</f>
        <v>16.12.25</v>
      </c>
    </row>
    <row r="576" customFormat="false" ht="7.5" hidden="false" customHeight="true" outlineLevel="2" collapsed="false">
      <c r="A576" s="48"/>
      <c r="B576" s="49" t="s">
        <v>1979</v>
      </c>
      <c r="C576" s="50" t="s">
        <v>1980</v>
      </c>
      <c r="D576" s="51"/>
      <c r="E576" s="52" t="n">
        <f aca="false">I576*(1-J576)*(100-E1)/100</f>
        <v>33017.6</v>
      </c>
      <c r="F576" s="53"/>
      <c r="G576" s="54" t="n">
        <v>1</v>
      </c>
      <c r="H576" s="52" t="n">
        <f aca="false">E576*F576</f>
        <v>0</v>
      </c>
      <c r="I576" s="55" t="n">
        <v>51590</v>
      </c>
      <c r="J576" s="56"/>
      <c r="K576" s="57" t="n">
        <v>105</v>
      </c>
      <c r="L576" s="22" t="s">
        <v>368</v>
      </c>
      <c r="M576" s="22"/>
      <c r="N576" s="58" t="n">
        <f aca="false">F576*P576</f>
        <v>0</v>
      </c>
      <c r="O576" s="58" t="n">
        <f aca="false">F576*Q576</f>
        <v>0</v>
      </c>
      <c r="P576" s="58" t="n">
        <v>16.8</v>
      </c>
      <c r="Q576" s="58" t="n">
        <v>0.06</v>
      </c>
      <c r="R576" s="59" t="s">
        <v>1981</v>
      </c>
      <c r="S576" s="22"/>
      <c r="T576" s="11" t="str">
        <f aca="false">"16.12.25"</f>
        <v>16.12.25</v>
      </c>
    </row>
    <row r="577" customFormat="false" ht="7.5" hidden="false" customHeight="true" outlineLevel="2" collapsed="false">
      <c r="A577" s="60" t="str">
        <f aca="false">HYPERLINK("https://disk.360.yandex.ru/d/0222w3tWPOclqQ","фото")</f>
        <v>фото</v>
      </c>
      <c r="B577" s="49" t="s">
        <v>1982</v>
      </c>
      <c r="C577" s="50" t="s">
        <v>1983</v>
      </c>
      <c r="D577" s="51" t="s">
        <v>1984</v>
      </c>
      <c r="E577" s="52" t="n">
        <f aca="false">I577*(1-J577)*(100-E1)/100</f>
        <v>9205.76</v>
      </c>
      <c r="F577" s="53"/>
      <c r="G577" s="54" t="n">
        <v>1</v>
      </c>
      <c r="H577" s="52" t="n">
        <f aca="false">E577*F577</f>
        <v>0</v>
      </c>
      <c r="I577" s="55" t="n">
        <v>17980</v>
      </c>
      <c r="J577" s="56" t="n">
        <v>0.2</v>
      </c>
      <c r="K577" s="57" t="n">
        <v>1007</v>
      </c>
      <c r="L577" s="22" t="s">
        <v>53</v>
      </c>
      <c r="M577" s="22"/>
      <c r="N577" s="58" t="n">
        <f aca="false">F577*P577</f>
        <v>0</v>
      </c>
      <c r="O577" s="58" t="n">
        <f aca="false">F577*Q577</f>
        <v>0</v>
      </c>
      <c r="P577" s="58" t="n">
        <v>8.1</v>
      </c>
      <c r="Q577" s="58" t="n">
        <v>0.04</v>
      </c>
      <c r="R577" s="59" t="s">
        <v>1985</v>
      </c>
      <c r="S577" s="22"/>
      <c r="T577" s="11" t="str">
        <f aca="false">"16.12.25"</f>
        <v>16.12.25</v>
      </c>
    </row>
    <row r="578" customFormat="false" ht="7.5" hidden="false" customHeight="true" outlineLevel="2" collapsed="false">
      <c r="A578" s="60" t="str">
        <f aca="false">HYPERLINK("https://disk.yandex.ru/d/6JqWCc3vQPTkGg","фото")</f>
        <v>фото</v>
      </c>
      <c r="B578" s="49" t="s">
        <v>1986</v>
      </c>
      <c r="C578" s="50" t="s">
        <v>1987</v>
      </c>
      <c r="D578" s="51" t="s">
        <v>1988</v>
      </c>
      <c r="E578" s="52" t="n">
        <f aca="false">I578*(1-J578)*(100-E1)/100</f>
        <v>12812.8</v>
      </c>
      <c r="F578" s="53"/>
      <c r="G578" s="54" t="n">
        <v>1</v>
      </c>
      <c r="H578" s="52" t="n">
        <f aca="false">E578*F578</f>
        <v>0</v>
      </c>
      <c r="I578" s="55" t="n">
        <v>20020</v>
      </c>
      <c r="J578" s="56"/>
      <c r="K578" s="57" t="n">
        <v>42</v>
      </c>
      <c r="L578" s="22" t="s">
        <v>53</v>
      </c>
      <c r="M578" s="22"/>
      <c r="N578" s="58" t="n">
        <f aca="false">F578*P578</f>
        <v>0</v>
      </c>
      <c r="O578" s="58" t="n">
        <f aca="false">F578*Q578</f>
        <v>0</v>
      </c>
      <c r="P578" s="58" t="n">
        <v>10.1</v>
      </c>
      <c r="Q578" s="58" t="n">
        <v>0.049</v>
      </c>
      <c r="R578" s="59" t="s">
        <v>1989</v>
      </c>
      <c r="S578" s="22"/>
      <c r="T578" s="11" t="str">
        <f aca="false">"16.12.25"</f>
        <v>16.12.25</v>
      </c>
    </row>
    <row r="579" customFormat="false" ht="7.5" hidden="false" customHeight="true" outlineLevel="2" collapsed="false">
      <c r="A579" s="60" t="str">
        <f aca="false">HYPERLINK("https://disk.yandex.ru/d/QDcZEYJxxO-7hw","фото")</f>
        <v>фото</v>
      </c>
      <c r="B579" s="49" t="s">
        <v>1990</v>
      </c>
      <c r="C579" s="50" t="s">
        <v>1991</v>
      </c>
      <c r="D579" s="51" t="s">
        <v>1992</v>
      </c>
      <c r="E579" s="52" t="n">
        <f aca="false">I579*(1-J579)*(100-E1)/100</f>
        <v>25939.2</v>
      </c>
      <c r="F579" s="53"/>
      <c r="G579" s="54" t="n">
        <v>1</v>
      </c>
      <c r="H579" s="52" t="n">
        <f aca="false">E579*F579</f>
        <v>0</v>
      </c>
      <c r="I579" s="55" t="n">
        <v>40530</v>
      </c>
      <c r="J579" s="56"/>
      <c r="K579" s="57" t="n">
        <v>120</v>
      </c>
      <c r="L579" s="22" t="s">
        <v>53</v>
      </c>
      <c r="M579" s="22"/>
      <c r="N579" s="58" t="n">
        <f aca="false">F579*P579</f>
        <v>0</v>
      </c>
      <c r="O579" s="58" t="n">
        <f aca="false">F579*Q579</f>
        <v>0</v>
      </c>
      <c r="P579" s="58" t="n">
        <v>20</v>
      </c>
      <c r="Q579" s="58" t="n">
        <v>0.088</v>
      </c>
      <c r="R579" s="59" t="s">
        <v>1993</v>
      </c>
      <c r="S579" s="22"/>
      <c r="T579" s="11" t="str">
        <f aca="false">"16.12.25"</f>
        <v>16.12.25</v>
      </c>
    </row>
    <row r="580" customFormat="false" ht="7.5" hidden="false" customHeight="true" outlineLevel="2" collapsed="false">
      <c r="A580" s="60" t="str">
        <f aca="false">HYPERLINK("https://disk.360.yandex.ru/d/jMl12nafp0sqfw","фото")</f>
        <v>фото</v>
      </c>
      <c r="B580" s="49" t="s">
        <v>1994</v>
      </c>
      <c r="C580" s="50" t="s">
        <v>1995</v>
      </c>
      <c r="D580" s="51" t="s">
        <v>1996</v>
      </c>
      <c r="E580" s="52" t="n">
        <f aca="false">I580*(1-J580)*(100-E1)/100</f>
        <v>108332.8</v>
      </c>
      <c r="F580" s="53"/>
      <c r="G580" s="54" t="n">
        <v>1</v>
      </c>
      <c r="H580" s="52" t="n">
        <f aca="false">E580*F580</f>
        <v>0</v>
      </c>
      <c r="I580" s="55" t="n">
        <v>169270</v>
      </c>
      <c r="J580" s="56"/>
      <c r="K580" s="57" t="n">
        <v>38</v>
      </c>
      <c r="L580" s="22" t="s">
        <v>1369</v>
      </c>
      <c r="M580" s="22"/>
      <c r="N580" s="58" t="n">
        <f aca="false">F580*P580</f>
        <v>0</v>
      </c>
      <c r="O580" s="58" t="n">
        <f aca="false">F580*Q580</f>
        <v>0</v>
      </c>
      <c r="P580" s="58" t="n">
        <v>45.2</v>
      </c>
      <c r="Q580" s="58" t="n">
        <v>0.328</v>
      </c>
      <c r="R580" s="59" t="s">
        <v>1997</v>
      </c>
      <c r="S580" s="22"/>
      <c r="T580" s="11" t="str">
        <f aca="false">"16.12.25"</f>
        <v>16.12.25</v>
      </c>
    </row>
    <row r="581" customFormat="false" ht="7.5" hidden="false" customHeight="true" outlineLevel="2" collapsed="false">
      <c r="A581" s="60" t="str">
        <f aca="false">HYPERLINK("https://disk.360.yandex.ru/d/SkN1js9jVlZXmA","фото")</f>
        <v>фото</v>
      </c>
      <c r="B581" s="49" t="s">
        <v>1998</v>
      </c>
      <c r="C581" s="50" t="s">
        <v>1999</v>
      </c>
      <c r="D581" s="51" t="s">
        <v>2000</v>
      </c>
      <c r="E581" s="52" t="n">
        <f aca="false">I581*(1-J581)*(100-E1)/100</f>
        <v>75302.4</v>
      </c>
      <c r="F581" s="53"/>
      <c r="G581" s="54" t="n">
        <v>1</v>
      </c>
      <c r="H581" s="52" t="n">
        <f aca="false">E581*F581</f>
        <v>0</v>
      </c>
      <c r="I581" s="55" t="n">
        <v>117660</v>
      </c>
      <c r="J581" s="56"/>
      <c r="K581" s="57" t="n">
        <v>17</v>
      </c>
      <c r="L581" s="22" t="s">
        <v>1369</v>
      </c>
      <c r="M581" s="22"/>
      <c r="N581" s="58" t="n">
        <f aca="false">F581*P581</f>
        <v>0</v>
      </c>
      <c r="O581" s="58" t="n">
        <f aca="false">F581*Q581</f>
        <v>0</v>
      </c>
      <c r="P581" s="58" t="n">
        <v>45</v>
      </c>
      <c r="Q581" s="58" t="n">
        <v>0.161</v>
      </c>
      <c r="R581" s="59" t="s">
        <v>2001</v>
      </c>
      <c r="S581" s="22"/>
      <c r="T581" s="11" t="str">
        <f aca="false">"16.12.25"</f>
        <v>16.12.25</v>
      </c>
    </row>
    <row r="582" customFormat="false" ht="7.5" hidden="false" customHeight="true" outlineLevel="2" collapsed="false">
      <c r="A582" s="60" t="str">
        <f aca="false">HYPERLINK("https://disk.360.yandex.ru/d/Ley_gJu-lUDOug","фото")</f>
        <v>фото</v>
      </c>
      <c r="B582" s="49" t="s">
        <v>2002</v>
      </c>
      <c r="C582" s="50" t="s">
        <v>2003</v>
      </c>
      <c r="D582" s="51" t="s">
        <v>2004</v>
      </c>
      <c r="E582" s="52" t="n">
        <f aca="false">I582*(1-J582)*(100-E1)/100</f>
        <v>103372.8</v>
      </c>
      <c r="F582" s="53"/>
      <c r="G582" s="54" t="n">
        <v>1</v>
      </c>
      <c r="H582" s="52" t="n">
        <f aca="false">E582*F582</f>
        <v>0</v>
      </c>
      <c r="I582" s="55" t="n">
        <v>161520</v>
      </c>
      <c r="J582" s="56"/>
      <c r="K582" s="57" t="n">
        <v>20</v>
      </c>
      <c r="L582" s="22" t="s">
        <v>1369</v>
      </c>
      <c r="M582" s="22"/>
      <c r="N582" s="58" t="n">
        <f aca="false">F582*P582</f>
        <v>0</v>
      </c>
      <c r="O582" s="58" t="n">
        <f aca="false">F582*Q582</f>
        <v>0</v>
      </c>
      <c r="P582" s="58" t="n">
        <v>60</v>
      </c>
      <c r="Q582" s="58" t="n">
        <v>0.25</v>
      </c>
      <c r="R582" s="59" t="s">
        <v>2005</v>
      </c>
      <c r="S582" s="22"/>
      <c r="T582" s="11" t="str">
        <f aca="false">"16.12.25"</f>
        <v>16.12.25</v>
      </c>
    </row>
    <row r="583" customFormat="false" ht="7.5" hidden="false" customHeight="true" outlineLevel="2" collapsed="false">
      <c r="A583" s="60" t="str">
        <f aca="false">HYPERLINK("https://disk.360.yandex.ru/d/UICyPllwRE-cLQ","фото")</f>
        <v>фото</v>
      </c>
      <c r="B583" s="49" t="s">
        <v>2006</v>
      </c>
      <c r="C583" s="50" t="s">
        <v>2007</v>
      </c>
      <c r="D583" s="51" t="s">
        <v>2008</v>
      </c>
      <c r="E583" s="52" t="n">
        <f aca="false">I583*(1-J583)*(100-E1)/100</f>
        <v>18067.2</v>
      </c>
      <c r="F583" s="53"/>
      <c r="G583" s="54" t="n">
        <v>1</v>
      </c>
      <c r="H583" s="52" t="n">
        <f aca="false">E583*F583</f>
        <v>0</v>
      </c>
      <c r="I583" s="55" t="n">
        <v>28230</v>
      </c>
      <c r="J583" s="56"/>
      <c r="K583" s="57" t="n">
        <v>0</v>
      </c>
      <c r="L583" s="22" t="s">
        <v>1369</v>
      </c>
      <c r="M583" s="22"/>
      <c r="N583" s="58" t="n">
        <f aca="false">F583*P583</f>
        <v>0</v>
      </c>
      <c r="O583" s="58" t="n">
        <f aca="false">F583*Q583</f>
        <v>0</v>
      </c>
      <c r="P583" s="58" t="n">
        <v>12.5</v>
      </c>
      <c r="Q583" s="58" t="n">
        <v>0.073</v>
      </c>
      <c r="R583" s="59" t="s">
        <v>2009</v>
      </c>
      <c r="S583" s="22"/>
      <c r="T583" s="11" t="str">
        <f aca="false">"16.12.25"</f>
        <v>16.12.25</v>
      </c>
    </row>
    <row r="584" customFormat="false" ht="7.5" hidden="false" customHeight="true" outlineLevel="2" collapsed="false">
      <c r="A584" s="60" t="str">
        <f aca="false">HYPERLINK("https://disk.360.yandex.ru/d/rWhBRGAwYI4G7A","фото")</f>
        <v>фото</v>
      </c>
      <c r="B584" s="49" t="s">
        <v>2010</v>
      </c>
      <c r="C584" s="50" t="s">
        <v>2011</v>
      </c>
      <c r="D584" s="51" t="s">
        <v>2012</v>
      </c>
      <c r="E584" s="52" t="n">
        <f aca="false">I584*(1-J584)*(100-E1)/100</f>
        <v>20614.4</v>
      </c>
      <c r="F584" s="53"/>
      <c r="G584" s="54" t="n">
        <v>1</v>
      </c>
      <c r="H584" s="52" t="n">
        <f aca="false">E584*F584</f>
        <v>0</v>
      </c>
      <c r="I584" s="55" t="n">
        <v>32210</v>
      </c>
      <c r="J584" s="56"/>
      <c r="K584" s="57" t="n">
        <v>4</v>
      </c>
      <c r="L584" s="22" t="s">
        <v>1369</v>
      </c>
      <c r="M584" s="22"/>
      <c r="N584" s="58" t="n">
        <f aca="false">F584*P584</f>
        <v>0</v>
      </c>
      <c r="O584" s="58" t="n">
        <f aca="false">F584*Q584</f>
        <v>0</v>
      </c>
      <c r="P584" s="58" t="n">
        <v>17.25</v>
      </c>
      <c r="Q584" s="58" t="n">
        <v>0.066</v>
      </c>
      <c r="R584" s="59" t="s">
        <v>2013</v>
      </c>
      <c r="S584" s="22"/>
      <c r="T584" s="11" t="str">
        <f aca="false">"16.12.25"</f>
        <v>16.12.25</v>
      </c>
    </row>
    <row r="585" customFormat="false" ht="7.5" hidden="false" customHeight="true" outlineLevel="2" collapsed="false">
      <c r="A585" s="60" t="str">
        <f aca="false">HYPERLINK("https://disk.360.yandex.ru/d/ffxGnGKZFCIczg","фото")</f>
        <v>фото</v>
      </c>
      <c r="B585" s="49" t="s">
        <v>2014</v>
      </c>
      <c r="C585" s="50" t="s">
        <v>2015</v>
      </c>
      <c r="D585" s="51" t="s">
        <v>2016</v>
      </c>
      <c r="E585" s="52" t="n">
        <f aca="false">I585*(1-J585)*(100-E1)/100</f>
        <v>20614.4</v>
      </c>
      <c r="F585" s="53"/>
      <c r="G585" s="54" t="n">
        <v>1</v>
      </c>
      <c r="H585" s="52" t="n">
        <f aca="false">E585*F585</f>
        <v>0</v>
      </c>
      <c r="I585" s="55" t="n">
        <v>32210</v>
      </c>
      <c r="J585" s="56"/>
      <c r="K585" s="57" t="n">
        <v>5</v>
      </c>
      <c r="L585" s="22" t="s">
        <v>1291</v>
      </c>
      <c r="M585" s="22" t="s">
        <v>152</v>
      </c>
      <c r="N585" s="58" t="n">
        <f aca="false">F585*P585</f>
        <v>0</v>
      </c>
      <c r="O585" s="58" t="n">
        <f aca="false">F585*Q585</f>
        <v>0</v>
      </c>
      <c r="P585" s="58" t="n">
        <v>16.7</v>
      </c>
      <c r="Q585" s="58" t="n">
        <v>0.06</v>
      </c>
      <c r="R585" s="59" t="s">
        <v>2017</v>
      </c>
      <c r="S585" s="22"/>
      <c r="T585" s="11" t="str">
        <f aca="false">"16.12.25"</f>
        <v>16.12.25</v>
      </c>
    </row>
    <row r="586" customFormat="false" ht="7.5" hidden="false" customHeight="true" outlineLevel="2" collapsed="false">
      <c r="A586" s="60" t="str">
        <f aca="false">HYPERLINK("https://disk.360.yandex.ru/d/tyQHQ7RRQ8W4Gg","фото")</f>
        <v>фото</v>
      </c>
      <c r="B586" s="49" t="s">
        <v>2018</v>
      </c>
      <c r="C586" s="50" t="s">
        <v>2019</v>
      </c>
      <c r="D586" s="51"/>
      <c r="E586" s="52" t="n">
        <f aca="false">I586*(1-J586)*(100-E1)/100</f>
        <v>11507.2</v>
      </c>
      <c r="F586" s="53"/>
      <c r="G586" s="54" t="n">
        <v>1</v>
      </c>
      <c r="H586" s="52" t="n">
        <f aca="false">E586*F586</f>
        <v>0</v>
      </c>
      <c r="I586" s="55" t="n">
        <v>17980</v>
      </c>
      <c r="J586" s="56"/>
      <c r="K586" s="57" t="n">
        <v>1544</v>
      </c>
      <c r="L586" s="22" t="s">
        <v>1291</v>
      </c>
      <c r="M586" s="22"/>
      <c r="N586" s="58" t="n">
        <f aca="false">F586*P586</f>
        <v>0</v>
      </c>
      <c r="O586" s="58" t="n">
        <f aca="false">F586*Q586</f>
        <v>0</v>
      </c>
      <c r="P586" s="58" t="n">
        <v>8.72</v>
      </c>
      <c r="Q586" s="58" t="n">
        <v>0.05</v>
      </c>
      <c r="R586" s="59" t="s">
        <v>2020</v>
      </c>
      <c r="S586" s="22"/>
      <c r="T586" s="11" t="str">
        <f aca="false">"16.12.25"</f>
        <v>16.12.25</v>
      </c>
    </row>
    <row r="587" customFormat="false" ht="7.5" hidden="false" customHeight="true" outlineLevel="0" collapsed="false">
      <c r="A587" s="28"/>
      <c r="B587" s="29"/>
      <c r="C587" s="30" t="s">
        <v>2021</v>
      </c>
      <c r="D587" s="31"/>
      <c r="E587" s="32"/>
      <c r="F587" s="33"/>
      <c r="G587" s="34"/>
      <c r="H587" s="32"/>
      <c r="I587" s="35"/>
      <c r="J587" s="36"/>
      <c r="K587" s="35"/>
      <c r="L587" s="34"/>
      <c r="M587" s="34"/>
      <c r="N587" s="37"/>
      <c r="O587" s="37"/>
      <c r="P587" s="37"/>
      <c r="Q587" s="37"/>
      <c r="R587" s="29"/>
      <c r="S587" s="34"/>
      <c r="T587" s="11" t="str">
        <f aca="false">"16.12.25"</f>
        <v>16.12.25</v>
      </c>
    </row>
    <row r="588" customFormat="false" ht="7.5" hidden="false" customHeight="true" outlineLevel="1" collapsed="false">
      <c r="A588" s="38"/>
      <c r="B588" s="39"/>
      <c r="C588" s="40" t="s">
        <v>2022</v>
      </c>
      <c r="D588" s="41"/>
      <c r="E588" s="42"/>
      <c r="F588" s="43"/>
      <c r="G588" s="44"/>
      <c r="H588" s="42"/>
      <c r="I588" s="45"/>
      <c r="J588" s="46"/>
      <c r="K588" s="45"/>
      <c r="L588" s="44"/>
      <c r="M588" s="44"/>
      <c r="N588" s="47"/>
      <c r="O588" s="47"/>
      <c r="P588" s="47"/>
      <c r="Q588" s="47"/>
      <c r="R588" s="39"/>
      <c r="S588" s="44"/>
      <c r="T588" s="11" t="str">
        <f aca="false">"16.12.25"</f>
        <v>16.12.25</v>
      </c>
    </row>
    <row r="589" customFormat="false" ht="7.5" hidden="false" customHeight="true" outlineLevel="2" collapsed="false">
      <c r="A589" s="60" t="str">
        <f aca="false">HYPERLINK("https://disk.360.yandex.ru/d/b7mnWz8paLhGww","фото")</f>
        <v>фото</v>
      </c>
      <c r="B589" s="49" t="s">
        <v>2023</v>
      </c>
      <c r="C589" s="50" t="s">
        <v>2024</v>
      </c>
      <c r="D589" s="51" t="s">
        <v>2025</v>
      </c>
      <c r="E589" s="52" t="n">
        <f aca="false">I589*(1-J589)*(100-E1)/100</f>
        <v>13956.096</v>
      </c>
      <c r="F589" s="53"/>
      <c r="G589" s="54" t="n">
        <v>1</v>
      </c>
      <c r="H589" s="52" t="n">
        <f aca="false">E589*F589</f>
        <v>0</v>
      </c>
      <c r="I589" s="55" t="n">
        <v>28320</v>
      </c>
      <c r="J589" s="56" t="n">
        <v>0.23</v>
      </c>
      <c r="K589" s="57" t="n">
        <v>0</v>
      </c>
      <c r="L589" s="22" t="s">
        <v>44</v>
      </c>
      <c r="M589" s="22" t="s">
        <v>15</v>
      </c>
      <c r="N589" s="58" t="n">
        <f aca="false">F589*P589</f>
        <v>0</v>
      </c>
      <c r="O589" s="58" t="n">
        <f aca="false">F589*Q589</f>
        <v>0</v>
      </c>
      <c r="P589" s="58" t="n">
        <v>14.6</v>
      </c>
      <c r="Q589" s="58" t="n">
        <v>0.054</v>
      </c>
      <c r="R589" s="59" t="s">
        <v>2026</v>
      </c>
      <c r="S589" s="22"/>
      <c r="T589" s="11" t="str">
        <f aca="false">"16.12.25"</f>
        <v>16.12.25</v>
      </c>
    </row>
    <row r="590" customFormat="false" ht="7.5" hidden="false" customHeight="true" outlineLevel="2" collapsed="false">
      <c r="A590" s="60" t="str">
        <f aca="false">HYPERLINK("https://disk.360.yandex.ru/d/vaue4bS1oJkRyQ","фото")</f>
        <v>фото</v>
      </c>
      <c r="B590" s="49" t="s">
        <v>2027</v>
      </c>
      <c r="C590" s="50" t="s">
        <v>2028</v>
      </c>
      <c r="D590" s="51" t="s">
        <v>2029</v>
      </c>
      <c r="E590" s="52" t="n">
        <f aca="false">I590*(1-J590)*(100-E1)/100</f>
        <v>58214.4</v>
      </c>
      <c r="F590" s="53"/>
      <c r="G590" s="54" t="n">
        <v>1</v>
      </c>
      <c r="H590" s="52" t="n">
        <f aca="false">E590*F590</f>
        <v>0</v>
      </c>
      <c r="I590" s="55" t="n">
        <v>90960</v>
      </c>
      <c r="J590" s="56"/>
      <c r="K590" s="57" t="n">
        <v>0</v>
      </c>
      <c r="L590" s="22" t="s">
        <v>44</v>
      </c>
      <c r="M590" s="22"/>
      <c r="N590" s="58" t="n">
        <f aca="false">F590*P590</f>
        <v>0</v>
      </c>
      <c r="O590" s="58" t="n">
        <f aca="false">F590*Q590</f>
        <v>0</v>
      </c>
      <c r="P590" s="58" t="n">
        <v>90</v>
      </c>
      <c r="Q590" s="58" t="n">
        <v>0.217</v>
      </c>
      <c r="R590" s="59" t="s">
        <v>2030</v>
      </c>
      <c r="S590" s="22"/>
      <c r="T590" s="11" t="str">
        <f aca="false">"16.12.25"</f>
        <v>16.12.25</v>
      </c>
    </row>
    <row r="591" customFormat="false" ht="7.5" hidden="false" customHeight="true" outlineLevel="2" collapsed="false">
      <c r="A591" s="60" t="str">
        <f aca="false">HYPERLINK("https://disk.360.yandex.ru/d/6h5T2zDz1TSbmw","фото")</f>
        <v>фото</v>
      </c>
      <c r="B591" s="49" t="s">
        <v>2031</v>
      </c>
      <c r="C591" s="50" t="s">
        <v>2032</v>
      </c>
      <c r="D591" s="51" t="s">
        <v>2033</v>
      </c>
      <c r="E591" s="52" t="n">
        <f aca="false">I591*(1-J591)*(100-E1)/100</f>
        <v>10180.8</v>
      </c>
      <c r="F591" s="53"/>
      <c r="G591" s="54" t="n">
        <v>1</v>
      </c>
      <c r="H591" s="52" t="n">
        <f aca="false">E591*F591</f>
        <v>0</v>
      </c>
      <c r="I591" s="55" t="n">
        <v>21210</v>
      </c>
      <c r="J591" s="56" t="n">
        <v>0.25</v>
      </c>
      <c r="K591" s="57" t="n">
        <v>856</v>
      </c>
      <c r="L591" s="22" t="s">
        <v>44</v>
      </c>
      <c r="M591" s="22"/>
      <c r="N591" s="58" t="n">
        <f aca="false">F591*P591</f>
        <v>0</v>
      </c>
      <c r="O591" s="58" t="n">
        <f aca="false">F591*Q591</f>
        <v>0</v>
      </c>
      <c r="P591" s="58" t="n">
        <v>37</v>
      </c>
      <c r="Q591" s="58" t="n">
        <v>0.118</v>
      </c>
      <c r="R591" s="59" t="s">
        <v>2034</v>
      </c>
      <c r="S591" s="22"/>
      <c r="T591" s="11" t="str">
        <f aca="false">"16.12.25"</f>
        <v>16.12.25</v>
      </c>
    </row>
    <row r="592" customFormat="false" ht="7.5" hidden="false" customHeight="true" outlineLevel="2" collapsed="false">
      <c r="A592" s="60" t="str">
        <f aca="false">HYPERLINK("https://disk.yandex.ru/d/F1zWWttnoDpgOQ","фото")</f>
        <v>фото</v>
      </c>
      <c r="B592" s="49" t="s">
        <v>2035</v>
      </c>
      <c r="C592" s="50" t="s">
        <v>2036</v>
      </c>
      <c r="D592" s="51" t="s">
        <v>2037</v>
      </c>
      <c r="E592" s="52" t="n">
        <f aca="false">I592*(1-J592)*(100-E1)/100</f>
        <v>10473.6</v>
      </c>
      <c r="F592" s="53"/>
      <c r="G592" s="54" t="n">
        <v>1</v>
      </c>
      <c r="H592" s="52" t="n">
        <f aca="false">E592*F592</f>
        <v>0</v>
      </c>
      <c r="I592" s="55" t="n">
        <v>21820</v>
      </c>
      <c r="J592" s="56" t="n">
        <v>0.25</v>
      </c>
      <c r="K592" s="57" t="n">
        <v>358</v>
      </c>
      <c r="L592" s="22" t="s">
        <v>44</v>
      </c>
      <c r="M592" s="22" t="s">
        <v>15</v>
      </c>
      <c r="N592" s="58" t="n">
        <f aca="false">F592*P592</f>
        <v>0</v>
      </c>
      <c r="O592" s="58" t="n">
        <f aca="false">F592*Q592</f>
        <v>0</v>
      </c>
      <c r="P592" s="58" t="n">
        <v>34</v>
      </c>
      <c r="Q592" s="58" t="n">
        <v>0.118</v>
      </c>
      <c r="R592" s="59" t="s">
        <v>2038</v>
      </c>
      <c r="S592" s="22"/>
      <c r="T592" s="11" t="str">
        <f aca="false">"16.12.25"</f>
        <v>16.12.25</v>
      </c>
    </row>
    <row r="593" customFormat="false" ht="7.5" hidden="false" customHeight="true" outlineLevel="2" collapsed="false">
      <c r="A593" s="60" t="str">
        <f aca="false">HYPERLINK("https://disk.360.yandex.ru/d/MYv6WO2BVhx3lQ","фото")</f>
        <v>фото</v>
      </c>
      <c r="B593" s="49" t="s">
        <v>2039</v>
      </c>
      <c r="C593" s="50" t="s">
        <v>2040</v>
      </c>
      <c r="D593" s="51" t="s">
        <v>2041</v>
      </c>
      <c r="E593" s="52" t="n">
        <f aca="false">I593*(1-J593)*(100-E1)/100</f>
        <v>10752.896</v>
      </c>
      <c r="F593" s="53"/>
      <c r="G593" s="54" t="n">
        <v>1</v>
      </c>
      <c r="H593" s="52" t="n">
        <f aca="false">E593*F593</f>
        <v>0</v>
      </c>
      <c r="I593" s="55" t="n">
        <v>21820</v>
      </c>
      <c r="J593" s="56" t="n">
        <v>0.23</v>
      </c>
      <c r="K593" s="57" t="n">
        <v>2143</v>
      </c>
      <c r="L593" s="22" t="s">
        <v>44</v>
      </c>
      <c r="M593" s="22"/>
      <c r="N593" s="58" t="n">
        <f aca="false">F593*P593</f>
        <v>0</v>
      </c>
      <c r="O593" s="58" t="n">
        <f aca="false">F593*Q593</f>
        <v>0</v>
      </c>
      <c r="P593" s="58" t="n">
        <v>36</v>
      </c>
      <c r="Q593" s="58" t="n">
        <v>0.121</v>
      </c>
      <c r="R593" s="59" t="s">
        <v>2042</v>
      </c>
      <c r="S593" s="22"/>
      <c r="T593" s="11" t="str">
        <f aca="false">"16.12.25"</f>
        <v>16.12.25</v>
      </c>
    </row>
    <row r="594" customFormat="false" ht="7.5" hidden="false" customHeight="true" outlineLevel="2" collapsed="false">
      <c r="A594" s="60" t="str">
        <f aca="false">HYPERLINK("https://disk.360.yandex.ru/d/d-wlmw8H09Wfag","фото")</f>
        <v>фото</v>
      </c>
      <c r="B594" s="49" t="s">
        <v>2043</v>
      </c>
      <c r="C594" s="50" t="s">
        <v>2044</v>
      </c>
      <c r="D594" s="51"/>
      <c r="E594" s="52" t="n">
        <f aca="false">I594*(1-J594)*(100-E1)/100</f>
        <v>16076.8</v>
      </c>
      <c r="F594" s="53"/>
      <c r="G594" s="54" t="n">
        <v>1</v>
      </c>
      <c r="H594" s="52" t="n">
        <f aca="false">E594*F594</f>
        <v>0</v>
      </c>
      <c r="I594" s="55" t="n">
        <v>25120</v>
      </c>
      <c r="J594" s="56"/>
      <c r="K594" s="57" t="n">
        <v>0</v>
      </c>
      <c r="L594" s="22" t="s">
        <v>44</v>
      </c>
      <c r="M594" s="22"/>
      <c r="N594" s="58" t="n">
        <f aca="false">F594*P594</f>
        <v>0</v>
      </c>
      <c r="O594" s="58" t="n">
        <f aca="false">F594*Q594</f>
        <v>0</v>
      </c>
      <c r="P594" s="58" t="n">
        <v>34.15</v>
      </c>
      <c r="Q594" s="58" t="n">
        <v>0.118</v>
      </c>
      <c r="R594" s="59" t="s">
        <v>2045</v>
      </c>
      <c r="S594" s="22"/>
      <c r="T594" s="11" t="str">
        <f aca="false">"16.12.25"</f>
        <v>16.12.25</v>
      </c>
    </row>
    <row r="595" customFormat="false" ht="7.5" hidden="false" customHeight="true" outlineLevel="2" collapsed="false">
      <c r="A595" s="60" t="str">
        <f aca="false">HYPERLINK("https://disk.360.yandex.ru/d/Cujakfjlhj_nlw","фото")</f>
        <v>фото</v>
      </c>
      <c r="B595" s="49" t="s">
        <v>2046</v>
      </c>
      <c r="C595" s="50" t="s">
        <v>2047</v>
      </c>
      <c r="D595" s="51" t="s">
        <v>2041</v>
      </c>
      <c r="E595" s="52" t="n">
        <f aca="false">I595*(1-J595)*(100-E1)/100</f>
        <v>10752.896</v>
      </c>
      <c r="F595" s="53"/>
      <c r="G595" s="54" t="n">
        <v>1</v>
      </c>
      <c r="H595" s="52" t="n">
        <f aca="false">E595*F595</f>
        <v>0</v>
      </c>
      <c r="I595" s="55" t="n">
        <v>21820</v>
      </c>
      <c r="J595" s="56" t="n">
        <v>0.23</v>
      </c>
      <c r="K595" s="57" t="n">
        <v>0</v>
      </c>
      <c r="L595" s="22" t="s">
        <v>44</v>
      </c>
      <c r="M595" s="22"/>
      <c r="N595" s="58" t="n">
        <f aca="false">F595*P595</f>
        <v>0</v>
      </c>
      <c r="O595" s="58" t="n">
        <f aca="false">F595*Q595</f>
        <v>0</v>
      </c>
      <c r="P595" s="58" t="n">
        <v>36.4</v>
      </c>
      <c r="Q595" s="58" t="n">
        <v>0.118</v>
      </c>
      <c r="R595" s="59" t="s">
        <v>2048</v>
      </c>
      <c r="S595" s="22"/>
      <c r="T595" s="11" t="str">
        <f aca="false">"16.12.25"</f>
        <v>16.12.25</v>
      </c>
    </row>
    <row r="596" customFormat="false" ht="7.5" hidden="false" customHeight="true" outlineLevel="2" collapsed="false">
      <c r="A596" s="48"/>
      <c r="B596" s="49" t="s">
        <v>2049</v>
      </c>
      <c r="C596" s="50" t="s">
        <v>2050</v>
      </c>
      <c r="D596" s="51" t="s">
        <v>2051</v>
      </c>
      <c r="E596" s="52" t="n">
        <f aca="false">I596*(1-J596)*(100-E1)/100</f>
        <v>15227.52</v>
      </c>
      <c r="F596" s="53"/>
      <c r="G596" s="54" t="n">
        <v>1</v>
      </c>
      <c r="H596" s="52" t="n">
        <f aca="false">E596*F596</f>
        <v>0</v>
      </c>
      <c r="I596" s="55" t="n">
        <v>30900</v>
      </c>
      <c r="J596" s="56" t="n">
        <v>0.23</v>
      </c>
      <c r="K596" s="57" t="n">
        <v>0</v>
      </c>
      <c r="L596" s="22" t="s">
        <v>44</v>
      </c>
      <c r="M596" s="22"/>
      <c r="N596" s="58" t="n">
        <f aca="false">F596*P596</f>
        <v>0</v>
      </c>
      <c r="O596" s="58" t="n">
        <f aca="false">F596*Q596</f>
        <v>0</v>
      </c>
      <c r="P596" s="58" t="n">
        <v>26.72</v>
      </c>
      <c r="Q596" s="58" t="n">
        <v>0.1</v>
      </c>
      <c r="R596" s="59" t="s">
        <v>2052</v>
      </c>
      <c r="S596" s="22"/>
      <c r="T596" s="11" t="str">
        <f aca="false">"16.12.25"</f>
        <v>16.12.25</v>
      </c>
    </row>
    <row r="597" customFormat="false" ht="7.5" hidden="false" customHeight="true" outlineLevel="2" collapsed="false">
      <c r="A597" s="60" t="str">
        <f aca="false">HYPERLINK("https://disk.360.yandex.ru/d/6i_E9HTSiUAakQ","фото")</f>
        <v>фото</v>
      </c>
      <c r="B597" s="49" t="s">
        <v>2053</v>
      </c>
      <c r="C597" s="50" t="s">
        <v>2054</v>
      </c>
      <c r="D597" s="51" t="s">
        <v>2055</v>
      </c>
      <c r="E597" s="52" t="n">
        <f aca="false">I597*(1-J597)*(100-E1)/100</f>
        <v>15547.84</v>
      </c>
      <c r="F597" s="53"/>
      <c r="G597" s="54" t="n">
        <v>1</v>
      </c>
      <c r="H597" s="52" t="n">
        <f aca="false">E597*F597</f>
        <v>0</v>
      </c>
      <c r="I597" s="55" t="n">
        <v>31550</v>
      </c>
      <c r="J597" s="56" t="n">
        <v>0.23</v>
      </c>
      <c r="K597" s="57" t="n">
        <v>0</v>
      </c>
      <c r="L597" s="22" t="s">
        <v>44</v>
      </c>
      <c r="M597" s="22"/>
      <c r="N597" s="58" t="n">
        <f aca="false">F597*P597</f>
        <v>0</v>
      </c>
      <c r="O597" s="58" t="n">
        <f aca="false">F597*Q597</f>
        <v>0</v>
      </c>
      <c r="P597" s="58" t="n">
        <v>27.8</v>
      </c>
      <c r="Q597" s="58" t="n">
        <v>0.11</v>
      </c>
      <c r="R597" s="59" t="s">
        <v>2056</v>
      </c>
      <c r="S597" s="22"/>
      <c r="T597" s="11" t="str">
        <f aca="false">"16.12.25"</f>
        <v>16.12.25</v>
      </c>
    </row>
    <row r="598" customFormat="false" ht="7.5" hidden="false" customHeight="true" outlineLevel="2" collapsed="false">
      <c r="A598" s="60" t="str">
        <f aca="false">HYPERLINK("https://disk.yandex.ru/d/bdX80kWgnAlnsg","фото")</f>
        <v>фото</v>
      </c>
      <c r="B598" s="49" t="s">
        <v>2057</v>
      </c>
      <c r="C598" s="50" t="s">
        <v>2058</v>
      </c>
      <c r="D598" s="51" t="s">
        <v>2059</v>
      </c>
      <c r="E598" s="52" t="n">
        <f aca="false">I598*(1-J598)*(100-E1)/100</f>
        <v>15262.72</v>
      </c>
      <c r="F598" s="53"/>
      <c r="G598" s="54" t="n">
        <v>1</v>
      </c>
      <c r="H598" s="52" t="n">
        <f aca="false">E598*F598</f>
        <v>0</v>
      </c>
      <c r="I598" s="55" t="n">
        <v>29810</v>
      </c>
      <c r="J598" s="56" t="n">
        <v>0.2</v>
      </c>
      <c r="K598" s="57" t="n">
        <v>0</v>
      </c>
      <c r="L598" s="22" t="s">
        <v>44</v>
      </c>
      <c r="M598" s="22" t="s">
        <v>15</v>
      </c>
      <c r="N598" s="58" t="n">
        <f aca="false">F598*P598</f>
        <v>0</v>
      </c>
      <c r="O598" s="58" t="n">
        <f aca="false">F598*Q598</f>
        <v>0</v>
      </c>
      <c r="P598" s="58" t="n">
        <v>25</v>
      </c>
      <c r="Q598" s="58" t="n">
        <v>0.09</v>
      </c>
      <c r="R598" s="59" t="s">
        <v>2060</v>
      </c>
      <c r="S598" s="22"/>
      <c r="T598" s="11" t="str">
        <f aca="false">"16.12.25"</f>
        <v>16.12.25</v>
      </c>
    </row>
    <row r="599" customFormat="false" ht="7.5" hidden="false" customHeight="true" outlineLevel="2" collapsed="false">
      <c r="A599" s="60" t="str">
        <f aca="false">HYPERLINK("https://disk.360.yandex.ru/d/pyROHyYDAbdHtA","фото")</f>
        <v>фото</v>
      </c>
      <c r="B599" s="49" t="s">
        <v>2061</v>
      </c>
      <c r="C599" s="50" t="s">
        <v>2062</v>
      </c>
      <c r="D599" s="51" t="s">
        <v>2063</v>
      </c>
      <c r="E599" s="52" t="n">
        <f aca="false">I599*(1-J599)*(100-E1)/100</f>
        <v>17873.92</v>
      </c>
      <c r="F599" s="53"/>
      <c r="G599" s="54" t="n">
        <v>1</v>
      </c>
      <c r="H599" s="52" t="n">
        <f aca="false">E599*F599</f>
        <v>0</v>
      </c>
      <c r="I599" s="55" t="n">
        <v>34910</v>
      </c>
      <c r="J599" s="56" t="n">
        <v>0.2</v>
      </c>
      <c r="K599" s="57" t="n">
        <v>0</v>
      </c>
      <c r="L599" s="22" t="s">
        <v>44</v>
      </c>
      <c r="M599" s="22" t="s">
        <v>152</v>
      </c>
      <c r="N599" s="58" t="n">
        <f aca="false">F599*P599</f>
        <v>0</v>
      </c>
      <c r="O599" s="58" t="n">
        <f aca="false">F599*Q599</f>
        <v>0</v>
      </c>
      <c r="P599" s="58" t="n">
        <v>25</v>
      </c>
      <c r="Q599" s="58" t="n">
        <v>0.09</v>
      </c>
      <c r="R599" s="59" t="s">
        <v>2064</v>
      </c>
      <c r="S599" s="22"/>
      <c r="T599" s="11" t="str">
        <f aca="false">"16.12.25"</f>
        <v>16.12.25</v>
      </c>
    </row>
    <row r="600" customFormat="false" ht="7.5" hidden="false" customHeight="true" outlineLevel="2" collapsed="false">
      <c r="A600" s="60" t="str">
        <f aca="false">HYPERLINK("https://disk.360.yandex.ru/d/zGJluejyJOTAHA","фото")</f>
        <v>фото</v>
      </c>
      <c r="B600" s="49" t="s">
        <v>2065</v>
      </c>
      <c r="C600" s="50" t="s">
        <v>2066</v>
      </c>
      <c r="D600" s="51" t="s">
        <v>2067</v>
      </c>
      <c r="E600" s="52" t="n">
        <f aca="false">I600*(1-J600)*(100-E1)/100</f>
        <v>48921.6</v>
      </c>
      <c r="F600" s="53"/>
      <c r="G600" s="54" t="n">
        <v>1</v>
      </c>
      <c r="H600" s="52" t="n">
        <f aca="false">E600*F600</f>
        <v>0</v>
      </c>
      <c r="I600" s="55" t="n">
        <v>76440</v>
      </c>
      <c r="J600" s="56"/>
      <c r="K600" s="57" t="n">
        <v>3</v>
      </c>
      <c r="L600" s="22" t="s">
        <v>44</v>
      </c>
      <c r="M600" s="22"/>
      <c r="N600" s="58" t="n">
        <f aca="false">F600*P600</f>
        <v>0</v>
      </c>
      <c r="O600" s="58" t="n">
        <f aca="false">F600*Q600</f>
        <v>0</v>
      </c>
      <c r="P600" s="58" t="n">
        <v>84</v>
      </c>
      <c r="Q600" s="58" t="n">
        <v>0.211</v>
      </c>
      <c r="R600" s="59" t="s">
        <v>2068</v>
      </c>
      <c r="S600" s="22"/>
      <c r="T600" s="11" t="str">
        <f aca="false">"16.12.25"</f>
        <v>16.12.25</v>
      </c>
    </row>
    <row r="601" customFormat="false" ht="7.5" hidden="false" customHeight="true" outlineLevel="2" collapsed="false">
      <c r="A601" s="60" t="str">
        <f aca="false">HYPERLINK("https://disk.360.yandex.ru/d/iFkhn60wQOH0uw","фото")</f>
        <v>фото</v>
      </c>
      <c r="B601" s="49" t="s">
        <v>2069</v>
      </c>
      <c r="C601" s="50" t="s">
        <v>2070</v>
      </c>
      <c r="D601" s="51" t="s">
        <v>2071</v>
      </c>
      <c r="E601" s="52" t="n">
        <f aca="false">I601*(1-J601)*(100-E1)/100</f>
        <v>41197.12</v>
      </c>
      <c r="F601" s="53"/>
      <c r="G601" s="54" t="n">
        <v>1</v>
      </c>
      <c r="H601" s="52" t="n">
        <f aca="false">E601*F601</f>
        <v>0</v>
      </c>
      <c r="I601" s="55" t="n">
        <v>75730</v>
      </c>
      <c r="J601" s="56" t="n">
        <v>0.15</v>
      </c>
      <c r="K601" s="57" t="n">
        <v>0</v>
      </c>
      <c r="L601" s="22" t="s">
        <v>53</v>
      </c>
      <c r="M601" s="22"/>
      <c r="N601" s="58" t="n">
        <f aca="false">F601*P601</f>
        <v>0</v>
      </c>
      <c r="O601" s="58" t="n">
        <f aca="false">F601*Q601</f>
        <v>0</v>
      </c>
      <c r="P601" s="58" t="n">
        <v>62.8</v>
      </c>
      <c r="Q601" s="58" t="n">
        <v>0.2</v>
      </c>
      <c r="R601" s="59" t="s">
        <v>2072</v>
      </c>
      <c r="S601" s="22"/>
      <c r="T601" s="11" t="str">
        <f aca="false">"16.12.25"</f>
        <v>16.12.25</v>
      </c>
    </row>
    <row r="602" customFormat="false" ht="7.5" hidden="false" customHeight="true" outlineLevel="2" collapsed="false">
      <c r="A602" s="60" t="str">
        <f aca="false">HYPERLINK("https://disk.360.yandex.ru/d/031fOYAntI1Uag","фото")</f>
        <v>фото</v>
      </c>
      <c r="B602" s="49" t="s">
        <v>2073</v>
      </c>
      <c r="C602" s="50" t="s">
        <v>2074</v>
      </c>
      <c r="D602" s="51" t="s">
        <v>2075</v>
      </c>
      <c r="E602" s="52" t="n">
        <f aca="false">I602*(1-J602)*(100-E1)/100</f>
        <v>55944.96</v>
      </c>
      <c r="F602" s="53"/>
      <c r="G602" s="54" t="n">
        <v>1</v>
      </c>
      <c r="H602" s="52" t="n">
        <f aca="false">E602*F602</f>
        <v>0</v>
      </c>
      <c r="I602" s="55" t="n">
        <v>102840</v>
      </c>
      <c r="J602" s="56" t="n">
        <v>0.15</v>
      </c>
      <c r="K602" s="57" t="n">
        <v>0</v>
      </c>
      <c r="L602" s="22" t="s">
        <v>53</v>
      </c>
      <c r="M602" s="22"/>
      <c r="N602" s="58" t="n">
        <f aca="false">F602*P602</f>
        <v>0</v>
      </c>
      <c r="O602" s="58" t="n">
        <f aca="false">F602*Q602</f>
        <v>0</v>
      </c>
      <c r="P602" s="58" t="n">
        <v>100</v>
      </c>
      <c r="Q602" s="58" t="n">
        <v>0.25</v>
      </c>
      <c r="R602" s="59" t="s">
        <v>2076</v>
      </c>
      <c r="S602" s="22"/>
      <c r="T602" s="11" t="str">
        <f aca="false">"16.12.25"</f>
        <v>16.12.25</v>
      </c>
    </row>
    <row r="603" customFormat="false" ht="7.5" hidden="false" customHeight="true" outlineLevel="2" collapsed="false">
      <c r="A603" s="60" t="str">
        <f aca="false">HYPERLINK("https://disk.360.yandex.ru/d/EI552nJKamFCnQ","фото")</f>
        <v>фото</v>
      </c>
      <c r="B603" s="49" t="s">
        <v>2077</v>
      </c>
      <c r="C603" s="50" t="s">
        <v>2078</v>
      </c>
      <c r="D603" s="51" t="s">
        <v>2079</v>
      </c>
      <c r="E603" s="52" t="n">
        <f aca="false">I603*(1-J603)*(100-E1)/100</f>
        <v>50537.6</v>
      </c>
      <c r="F603" s="53"/>
      <c r="G603" s="54" t="n">
        <v>1</v>
      </c>
      <c r="H603" s="52" t="n">
        <f aca="false">E603*F603</f>
        <v>0</v>
      </c>
      <c r="I603" s="55" t="n">
        <v>92900</v>
      </c>
      <c r="J603" s="56" t="n">
        <v>0.15</v>
      </c>
      <c r="K603" s="57" t="n">
        <v>46</v>
      </c>
      <c r="L603" s="22" t="s">
        <v>53</v>
      </c>
      <c r="M603" s="22"/>
      <c r="N603" s="58" t="n">
        <f aca="false">F603*P603</f>
        <v>0</v>
      </c>
      <c r="O603" s="58" t="n">
        <f aca="false">F603*Q603</f>
        <v>0</v>
      </c>
      <c r="P603" s="58" t="n">
        <v>88.5</v>
      </c>
      <c r="Q603" s="58" t="n">
        <v>0.26</v>
      </c>
      <c r="R603" s="59" t="s">
        <v>2080</v>
      </c>
      <c r="S603" s="22"/>
      <c r="T603" s="11" t="str">
        <f aca="false">"16.12.25"</f>
        <v>16.12.25</v>
      </c>
    </row>
    <row r="604" customFormat="false" ht="7.5" hidden="false" customHeight="true" outlineLevel="2" collapsed="false">
      <c r="A604" s="60" t="str">
        <f aca="false">HYPERLINK("https://disk.360.yandex.ru/d/aF2ZuIvQdEIYXg","фото")</f>
        <v>фото</v>
      </c>
      <c r="B604" s="49" t="s">
        <v>2081</v>
      </c>
      <c r="C604" s="50" t="s">
        <v>2082</v>
      </c>
      <c r="D604" s="51" t="s">
        <v>2083</v>
      </c>
      <c r="E604" s="52" t="n">
        <f aca="false">I604*(1-J604)*(100-E1)/100</f>
        <v>92448</v>
      </c>
      <c r="F604" s="53"/>
      <c r="G604" s="54" t="n">
        <v>1</v>
      </c>
      <c r="H604" s="52" t="n">
        <f aca="false">E604*F604</f>
        <v>0</v>
      </c>
      <c r="I604" s="55" t="n">
        <v>144450</v>
      </c>
      <c r="J604" s="56"/>
      <c r="K604" s="57" t="n">
        <v>0</v>
      </c>
      <c r="L604" s="22" t="s">
        <v>53</v>
      </c>
      <c r="M604" s="22"/>
      <c r="N604" s="58" t="n">
        <f aca="false">F604*P604</f>
        <v>0</v>
      </c>
      <c r="O604" s="58" t="n">
        <f aca="false">F604*Q604</f>
        <v>0</v>
      </c>
      <c r="P604" s="58" t="n">
        <v>138</v>
      </c>
      <c r="Q604" s="58" t="n">
        <v>0.41</v>
      </c>
      <c r="R604" s="59" t="s">
        <v>2084</v>
      </c>
      <c r="S604" s="22"/>
      <c r="T604" s="11" t="str">
        <f aca="false">"16.12.25"</f>
        <v>16.12.25</v>
      </c>
    </row>
    <row r="605" customFormat="false" ht="7.5" hidden="false" customHeight="true" outlineLevel="2" collapsed="false">
      <c r="A605" s="60" t="str">
        <f aca="false">HYPERLINK("https://disk.360.yandex.ru/d/3N3K874zG0HZOQ","фото")</f>
        <v>фото</v>
      </c>
      <c r="B605" s="49" t="s">
        <v>2085</v>
      </c>
      <c r="C605" s="50" t="s">
        <v>2086</v>
      </c>
      <c r="D605" s="51" t="s">
        <v>2087</v>
      </c>
      <c r="E605" s="52" t="n">
        <f aca="false">I605*(1-J605)*(100-E1)/100</f>
        <v>63430.4</v>
      </c>
      <c r="F605" s="53"/>
      <c r="G605" s="54" t="n">
        <v>1</v>
      </c>
      <c r="H605" s="52" t="n">
        <f aca="false">E605*F605</f>
        <v>0</v>
      </c>
      <c r="I605" s="55" t="n">
        <v>116600</v>
      </c>
      <c r="J605" s="56" t="n">
        <v>0.15</v>
      </c>
      <c r="K605" s="57" t="n">
        <v>0</v>
      </c>
      <c r="L605" s="22" t="s">
        <v>53</v>
      </c>
      <c r="M605" s="22"/>
      <c r="N605" s="58" t="n">
        <f aca="false">F605*P605</f>
        <v>0</v>
      </c>
      <c r="O605" s="58" t="n">
        <f aca="false">F605*Q605</f>
        <v>0</v>
      </c>
      <c r="P605" s="58" t="n">
        <v>105</v>
      </c>
      <c r="Q605" s="58" t="n">
        <v>0.29</v>
      </c>
      <c r="R605" s="59" t="s">
        <v>2088</v>
      </c>
      <c r="S605" s="22"/>
      <c r="T605" s="11" t="str">
        <f aca="false">"16.12.25"</f>
        <v>16.12.25</v>
      </c>
    </row>
    <row r="606" customFormat="false" ht="7.5" hidden="false" customHeight="true" outlineLevel="2" collapsed="false">
      <c r="A606" s="60" t="str">
        <f aca="false">HYPERLINK("https://disk.yandex.ru/d/1rFiv0aJqWGEjg","фото")</f>
        <v>фото</v>
      </c>
      <c r="B606" s="49" t="s">
        <v>2089</v>
      </c>
      <c r="C606" s="50" t="s">
        <v>2090</v>
      </c>
      <c r="D606" s="51" t="s">
        <v>2091</v>
      </c>
      <c r="E606" s="52" t="n">
        <f aca="false">I606*(1-J606)*(100-E1)/100</f>
        <v>68070.4</v>
      </c>
      <c r="F606" s="53"/>
      <c r="G606" s="54" t="n">
        <v>1</v>
      </c>
      <c r="H606" s="52" t="n">
        <f aca="false">E606*F606</f>
        <v>0</v>
      </c>
      <c r="I606" s="55" t="n">
        <v>106360</v>
      </c>
      <c r="J606" s="56"/>
      <c r="K606" s="57" t="n">
        <v>91</v>
      </c>
      <c r="L606" s="22" t="s">
        <v>53</v>
      </c>
      <c r="M606" s="22"/>
      <c r="N606" s="58" t="n">
        <f aca="false">F606*P606</f>
        <v>0</v>
      </c>
      <c r="O606" s="58" t="n">
        <f aca="false">F606*Q606</f>
        <v>0</v>
      </c>
      <c r="P606" s="58" t="n">
        <v>99.05</v>
      </c>
      <c r="Q606" s="58" t="n">
        <v>0.29</v>
      </c>
      <c r="R606" s="59" t="s">
        <v>2092</v>
      </c>
      <c r="S606" s="22"/>
      <c r="T606" s="11" t="str">
        <f aca="false">"16.12.25"</f>
        <v>16.12.25</v>
      </c>
    </row>
    <row r="607" customFormat="false" ht="7.5" hidden="false" customHeight="true" outlineLevel="2" collapsed="false">
      <c r="A607" s="60" t="str">
        <f aca="false">HYPERLINK("https://disk.yandex.ru/d/V7Fdx5xAabs9Rg","фото")</f>
        <v>фото</v>
      </c>
      <c r="B607" s="49" t="s">
        <v>2093</v>
      </c>
      <c r="C607" s="50" t="s">
        <v>2094</v>
      </c>
      <c r="D607" s="51" t="s">
        <v>2095</v>
      </c>
      <c r="E607" s="52" t="n">
        <f aca="false">I607*(1-J607)*(100-E1)/100</f>
        <v>11048.576</v>
      </c>
      <c r="F607" s="53"/>
      <c r="G607" s="54" t="n">
        <v>1</v>
      </c>
      <c r="H607" s="52" t="n">
        <f aca="false">E607*F607</f>
        <v>0</v>
      </c>
      <c r="I607" s="55" t="n">
        <v>22420</v>
      </c>
      <c r="J607" s="56" t="n">
        <v>0.23</v>
      </c>
      <c r="K607" s="57" t="n">
        <v>0</v>
      </c>
      <c r="L607" s="22" t="s">
        <v>53</v>
      </c>
      <c r="M607" s="22"/>
      <c r="N607" s="58" t="n">
        <f aca="false">F607*P607</f>
        <v>0</v>
      </c>
      <c r="O607" s="58" t="n">
        <f aca="false">F607*Q607</f>
        <v>0</v>
      </c>
      <c r="P607" s="58" t="n">
        <v>36.03</v>
      </c>
      <c r="Q607" s="58" t="n">
        <v>0.13</v>
      </c>
      <c r="R607" s="59" t="s">
        <v>2096</v>
      </c>
      <c r="S607" s="22"/>
      <c r="T607" s="11" t="str">
        <f aca="false">"16.12.25"</f>
        <v>16.12.25</v>
      </c>
    </row>
    <row r="608" customFormat="false" ht="7.5" hidden="false" customHeight="true" outlineLevel="2" collapsed="false">
      <c r="A608" s="60" t="str">
        <f aca="false">HYPERLINK("https://disk.360.yandex.ru/d/wjQWLb6y4-zTJQ","фото")</f>
        <v>фото</v>
      </c>
      <c r="B608" s="49" t="s">
        <v>2097</v>
      </c>
      <c r="C608" s="50" t="s">
        <v>2098</v>
      </c>
      <c r="D608" s="51" t="s">
        <v>2099</v>
      </c>
      <c r="E608" s="52" t="n">
        <f aca="false">I608*(1-J608)*(100-E1)/100</f>
        <v>21205.12</v>
      </c>
      <c r="F608" s="53"/>
      <c r="G608" s="54" t="n">
        <v>1</v>
      </c>
      <c r="H608" s="52" t="n">
        <f aca="false">E608*F608</f>
        <v>0</v>
      </c>
      <c r="I608" s="55" t="n">
        <v>38980</v>
      </c>
      <c r="J608" s="56" t="n">
        <v>0.15</v>
      </c>
      <c r="K608" s="57" t="n">
        <v>155</v>
      </c>
      <c r="L608" s="22" t="s">
        <v>53</v>
      </c>
      <c r="M608" s="22"/>
      <c r="N608" s="58" t="n">
        <f aca="false">F608*P608</f>
        <v>0</v>
      </c>
      <c r="O608" s="58" t="n">
        <f aca="false">F608*Q608</f>
        <v>0</v>
      </c>
      <c r="P608" s="58" t="n">
        <v>27.5</v>
      </c>
      <c r="Q608" s="58" t="n">
        <v>0.1</v>
      </c>
      <c r="R608" s="59" t="s">
        <v>2100</v>
      </c>
      <c r="S608" s="22"/>
      <c r="T608" s="11" t="str">
        <f aca="false">"16.12.25"</f>
        <v>16.12.25</v>
      </c>
    </row>
    <row r="609" customFormat="false" ht="7.5" hidden="false" customHeight="true" outlineLevel="2" collapsed="false">
      <c r="A609" s="60" t="str">
        <f aca="false">HYPERLINK("https://disk.360.yandex.ru/d/lIgg4cJsp8ocUQ","фото")</f>
        <v>фото</v>
      </c>
      <c r="B609" s="49" t="s">
        <v>2101</v>
      </c>
      <c r="C609" s="50" t="s">
        <v>2102</v>
      </c>
      <c r="D609" s="51" t="s">
        <v>2103</v>
      </c>
      <c r="E609" s="52" t="n">
        <f aca="false">I609*(1-J609)*(100-E1)/100</f>
        <v>25573.44</v>
      </c>
      <c r="F609" s="53"/>
      <c r="G609" s="54" t="n">
        <v>1</v>
      </c>
      <c r="H609" s="52" t="n">
        <f aca="false">E609*F609</f>
        <v>0</v>
      </c>
      <c r="I609" s="55" t="n">
        <v>47010</v>
      </c>
      <c r="J609" s="56" t="n">
        <v>0.15</v>
      </c>
      <c r="K609" s="57" t="n">
        <v>41</v>
      </c>
      <c r="L609" s="22" t="s">
        <v>53</v>
      </c>
      <c r="M609" s="22"/>
      <c r="N609" s="58" t="n">
        <f aca="false">F609*P609</f>
        <v>0</v>
      </c>
      <c r="O609" s="58" t="n">
        <f aca="false">F609*Q609</f>
        <v>0</v>
      </c>
      <c r="P609" s="58" t="n">
        <v>29.85</v>
      </c>
      <c r="Q609" s="58" t="n">
        <v>0.1</v>
      </c>
      <c r="R609" s="59" t="s">
        <v>2104</v>
      </c>
      <c r="S609" s="22"/>
      <c r="T609" s="11" t="str">
        <f aca="false">"16.12.25"</f>
        <v>16.12.25</v>
      </c>
    </row>
    <row r="610" customFormat="false" ht="7.5" hidden="false" customHeight="true" outlineLevel="2" collapsed="false">
      <c r="A610" s="60" t="str">
        <f aca="false">HYPERLINK("https://disk.360.yandex.ru/d/hqYkVRRObhZM_Q","фото")</f>
        <v>фото</v>
      </c>
      <c r="B610" s="49" t="s">
        <v>2105</v>
      </c>
      <c r="C610" s="50" t="s">
        <v>2106</v>
      </c>
      <c r="D610" s="51" t="s">
        <v>2107</v>
      </c>
      <c r="E610" s="52" t="n">
        <f aca="false">I610*(1-J610)*(100-E1)/100</f>
        <v>39086.4</v>
      </c>
      <c r="F610" s="53"/>
      <c r="G610" s="54" t="n">
        <v>1</v>
      </c>
      <c r="H610" s="52" t="n">
        <f aca="false">E610*F610</f>
        <v>0</v>
      </c>
      <c r="I610" s="55" t="n">
        <v>71850</v>
      </c>
      <c r="J610" s="56" t="n">
        <v>0.15</v>
      </c>
      <c r="K610" s="57" t="n">
        <v>34</v>
      </c>
      <c r="L610" s="22" t="s">
        <v>53</v>
      </c>
      <c r="M610" s="22"/>
      <c r="N610" s="58" t="n">
        <f aca="false">F610*P610</f>
        <v>0</v>
      </c>
      <c r="O610" s="58" t="n">
        <f aca="false">F610*Q610</f>
        <v>0</v>
      </c>
      <c r="P610" s="58" t="n">
        <v>50.3</v>
      </c>
      <c r="Q610" s="58" t="n">
        <v>0.18</v>
      </c>
      <c r="R610" s="59" t="s">
        <v>2108</v>
      </c>
      <c r="S610" s="22"/>
      <c r="T610" s="11" t="str">
        <f aca="false">"16.12.25"</f>
        <v>16.12.25</v>
      </c>
    </row>
    <row r="611" customFormat="false" ht="7.5" hidden="false" customHeight="true" outlineLevel="2" collapsed="false">
      <c r="A611" s="60" t="str">
        <f aca="false">HYPERLINK("https://disk.yandex.ru/d/YwrnVTafUxdjoQ","фото")</f>
        <v>фото</v>
      </c>
      <c r="B611" s="49" t="s">
        <v>2109</v>
      </c>
      <c r="C611" s="50" t="s">
        <v>2110</v>
      </c>
      <c r="D611" s="51" t="s">
        <v>2111</v>
      </c>
      <c r="E611" s="52" t="n">
        <f aca="false">I611*(1-J611)*(100-E1)/100</f>
        <v>40767.36</v>
      </c>
      <c r="F611" s="53"/>
      <c r="G611" s="54" t="n">
        <v>1</v>
      </c>
      <c r="H611" s="52" t="n">
        <f aca="false">E611*F611</f>
        <v>0</v>
      </c>
      <c r="I611" s="55" t="n">
        <v>74940</v>
      </c>
      <c r="J611" s="56" t="n">
        <v>0.15</v>
      </c>
      <c r="K611" s="57" t="n">
        <v>145</v>
      </c>
      <c r="L611" s="22" t="s">
        <v>53</v>
      </c>
      <c r="M611" s="22" t="s">
        <v>15</v>
      </c>
      <c r="N611" s="58" t="n">
        <f aca="false">F611*P611</f>
        <v>0</v>
      </c>
      <c r="O611" s="58" t="n">
        <f aca="false">F611*Q611</f>
        <v>0</v>
      </c>
      <c r="P611" s="58" t="n">
        <v>79</v>
      </c>
      <c r="Q611" s="58" t="n">
        <v>0.237</v>
      </c>
      <c r="R611" s="59" t="s">
        <v>2112</v>
      </c>
      <c r="S611" s="22"/>
      <c r="T611" s="11" t="str">
        <f aca="false">"16.12.25"</f>
        <v>16.12.25</v>
      </c>
    </row>
    <row r="612" customFormat="false" ht="7.5" hidden="false" customHeight="true" outlineLevel="2" collapsed="false">
      <c r="A612" s="60" t="str">
        <f aca="false">HYPERLINK("https://disk.yandex.ru/d/lfgB6MMyQnbjdw","фото")</f>
        <v>фото</v>
      </c>
      <c r="B612" s="49" t="s">
        <v>2113</v>
      </c>
      <c r="C612" s="50" t="s">
        <v>2114</v>
      </c>
      <c r="D612" s="51" t="s">
        <v>2115</v>
      </c>
      <c r="E612" s="52" t="n">
        <f aca="false">I612*(1-J612)*(100-E1)/100</f>
        <v>45685.12</v>
      </c>
      <c r="F612" s="53"/>
      <c r="G612" s="54" t="n">
        <v>1</v>
      </c>
      <c r="H612" s="52" t="n">
        <f aca="false">E612*F612</f>
        <v>0</v>
      </c>
      <c r="I612" s="55" t="n">
        <v>83980</v>
      </c>
      <c r="J612" s="56" t="n">
        <v>0.15</v>
      </c>
      <c r="K612" s="57" t="n">
        <v>187</v>
      </c>
      <c r="L612" s="22" t="s">
        <v>53</v>
      </c>
      <c r="M612" s="22" t="s">
        <v>15</v>
      </c>
      <c r="N612" s="58" t="n">
        <f aca="false">F612*P612</f>
        <v>0</v>
      </c>
      <c r="O612" s="58" t="n">
        <f aca="false">F612*Q612</f>
        <v>0</v>
      </c>
      <c r="P612" s="58" t="n">
        <v>80</v>
      </c>
      <c r="Q612" s="58" t="n">
        <v>0.24</v>
      </c>
      <c r="R612" s="59" t="s">
        <v>2116</v>
      </c>
      <c r="S612" s="22"/>
      <c r="T612" s="11" t="str">
        <f aca="false">"16.12.25"</f>
        <v>16.12.25</v>
      </c>
    </row>
    <row r="613" customFormat="false" ht="7.5" hidden="false" customHeight="true" outlineLevel="2" collapsed="false">
      <c r="A613" s="60" t="str">
        <f aca="false">HYPERLINK("https://disk.360.yandex.ru/d/Fe-RUHZeEo-ZVg","фото")</f>
        <v>фото</v>
      </c>
      <c r="B613" s="49" t="s">
        <v>2117</v>
      </c>
      <c r="C613" s="50" t="s">
        <v>2118</v>
      </c>
      <c r="D613" s="51" t="s">
        <v>2119</v>
      </c>
      <c r="E613" s="52" t="n">
        <f aca="false">I613*(1-J613)*(100-E1)/100</f>
        <v>46049.6</v>
      </c>
      <c r="F613" s="53"/>
      <c r="G613" s="54" t="n">
        <v>1</v>
      </c>
      <c r="H613" s="52" t="n">
        <f aca="false">E613*F613</f>
        <v>0</v>
      </c>
      <c r="I613" s="55" t="n">
        <v>84650</v>
      </c>
      <c r="J613" s="56" t="n">
        <v>0.15</v>
      </c>
      <c r="K613" s="57" t="n">
        <v>131</v>
      </c>
      <c r="L613" s="22" t="s">
        <v>53</v>
      </c>
      <c r="M613" s="22"/>
      <c r="N613" s="58" t="n">
        <f aca="false">F613*P613</f>
        <v>0</v>
      </c>
      <c r="O613" s="58" t="n">
        <f aca="false">F613*Q613</f>
        <v>0</v>
      </c>
      <c r="P613" s="58" t="n">
        <v>79.22</v>
      </c>
      <c r="Q613" s="58" t="n">
        <v>0.2</v>
      </c>
      <c r="R613" s="59" t="s">
        <v>2120</v>
      </c>
      <c r="S613" s="22"/>
      <c r="T613" s="11" t="str">
        <f aca="false">"16.12.25"</f>
        <v>16.12.25</v>
      </c>
    </row>
    <row r="614" customFormat="false" ht="7.5" hidden="false" customHeight="true" outlineLevel="2" collapsed="false">
      <c r="A614" s="60" t="str">
        <f aca="false">HYPERLINK("https://disk.360.yandex.ru/d/Jyui-iye7V5U5A","фото")</f>
        <v>фото</v>
      </c>
      <c r="B614" s="49" t="s">
        <v>2121</v>
      </c>
      <c r="C614" s="50" t="s">
        <v>2122</v>
      </c>
      <c r="D614" s="51" t="s">
        <v>2123</v>
      </c>
      <c r="E614" s="52" t="n">
        <f aca="false">I614*(1-J614)*(100-E1)/100</f>
        <v>46566.4</v>
      </c>
      <c r="F614" s="53"/>
      <c r="G614" s="54" t="n">
        <v>1</v>
      </c>
      <c r="H614" s="52" t="n">
        <f aca="false">E614*F614</f>
        <v>0</v>
      </c>
      <c r="I614" s="55" t="n">
        <v>85600</v>
      </c>
      <c r="J614" s="56" t="n">
        <v>0.15</v>
      </c>
      <c r="K614" s="57" t="n">
        <v>7</v>
      </c>
      <c r="L614" s="22" t="s">
        <v>53</v>
      </c>
      <c r="M614" s="22"/>
      <c r="N614" s="58" t="n">
        <f aca="false">F614*P614</f>
        <v>0</v>
      </c>
      <c r="O614" s="58" t="n">
        <f aca="false">F614*Q614</f>
        <v>0</v>
      </c>
      <c r="P614" s="58" t="n">
        <v>52.1</v>
      </c>
      <c r="Q614" s="58" t="n">
        <v>0.18</v>
      </c>
      <c r="R614" s="59" t="s">
        <v>2124</v>
      </c>
      <c r="S614" s="22"/>
      <c r="T614" s="11" t="str">
        <f aca="false">"16.12.25"</f>
        <v>16.12.25</v>
      </c>
    </row>
    <row r="615" customFormat="false" ht="7.5" hidden="false" customHeight="true" outlineLevel="2" collapsed="false">
      <c r="A615" s="60" t="str">
        <f aca="false">HYPERLINK("https://disk.yandex.ru/d/QCiYDiWhS_FyHg","фото")</f>
        <v>фото</v>
      </c>
      <c r="B615" s="49" t="s">
        <v>2125</v>
      </c>
      <c r="C615" s="50" t="s">
        <v>2126</v>
      </c>
      <c r="D615" s="51" t="s">
        <v>2127</v>
      </c>
      <c r="E615" s="52" t="n">
        <f aca="false">I615*(1-J615)*(100-E1)/100</f>
        <v>24072</v>
      </c>
      <c r="F615" s="53"/>
      <c r="G615" s="54" t="n">
        <v>1</v>
      </c>
      <c r="H615" s="52" t="n">
        <f aca="false">E615*F615</f>
        <v>0</v>
      </c>
      <c r="I615" s="55" t="n">
        <v>44250</v>
      </c>
      <c r="J615" s="56" t="n">
        <v>0.15</v>
      </c>
      <c r="K615" s="57" t="n">
        <v>0</v>
      </c>
      <c r="L615" s="22" t="s">
        <v>53</v>
      </c>
      <c r="M615" s="22" t="s">
        <v>31</v>
      </c>
      <c r="N615" s="58" t="n">
        <f aca="false">F615*P615</f>
        <v>0</v>
      </c>
      <c r="O615" s="58" t="n">
        <f aca="false">F615*Q615</f>
        <v>0</v>
      </c>
      <c r="P615" s="58" t="n">
        <v>16.7</v>
      </c>
      <c r="Q615" s="58" t="n">
        <v>0.1</v>
      </c>
      <c r="R615" s="59" t="s">
        <v>2128</v>
      </c>
      <c r="S615" s="22"/>
      <c r="T615" s="11" t="str">
        <f aca="false">"16.12.25"</f>
        <v>16.12.25</v>
      </c>
    </row>
    <row r="616" customFormat="false" ht="7.5" hidden="false" customHeight="true" outlineLevel="2" collapsed="false">
      <c r="A616" s="60" t="str">
        <f aca="false">HYPERLINK("https://disk.yandex.ru/d/Vpktkg6irNn1gA","фото")</f>
        <v>фото</v>
      </c>
      <c r="B616" s="49" t="s">
        <v>2129</v>
      </c>
      <c r="C616" s="50" t="s">
        <v>2130</v>
      </c>
      <c r="D616" s="51" t="s">
        <v>2131</v>
      </c>
      <c r="E616" s="52" t="n">
        <f aca="false">I616*(1-J616)*(100-E1)/100</f>
        <v>60617.92</v>
      </c>
      <c r="F616" s="53"/>
      <c r="G616" s="54" t="n">
        <v>1</v>
      </c>
      <c r="H616" s="52" t="n">
        <f aca="false">E616*F616</f>
        <v>0</v>
      </c>
      <c r="I616" s="55" t="n">
        <v>111430</v>
      </c>
      <c r="J616" s="56" t="n">
        <v>0.15</v>
      </c>
      <c r="K616" s="57" t="n">
        <v>65</v>
      </c>
      <c r="L616" s="22" t="s">
        <v>53</v>
      </c>
      <c r="M616" s="22" t="s">
        <v>31</v>
      </c>
      <c r="N616" s="58" t="n">
        <f aca="false">F616*P616</f>
        <v>0</v>
      </c>
      <c r="O616" s="58" t="n">
        <f aca="false">F616*Q616</f>
        <v>0</v>
      </c>
      <c r="P616" s="58" t="n">
        <v>55.6</v>
      </c>
      <c r="Q616" s="58" t="n">
        <v>0.41</v>
      </c>
      <c r="R616" s="59" t="s">
        <v>2132</v>
      </c>
      <c r="S616" s="22"/>
      <c r="T616" s="11" t="str">
        <f aca="false">"16.12.25"</f>
        <v>16.12.25</v>
      </c>
    </row>
    <row r="617" customFormat="false" ht="7.5" hidden="false" customHeight="true" outlineLevel="2" collapsed="false">
      <c r="A617" s="60" t="str">
        <f aca="false">HYPERLINK("https://disk.360.yandex.ru/d/JbVMw_-09x5rOg","фото")</f>
        <v>фото</v>
      </c>
      <c r="B617" s="49" t="s">
        <v>2133</v>
      </c>
      <c r="C617" s="50" t="s">
        <v>2134</v>
      </c>
      <c r="D617" s="51" t="s">
        <v>2135</v>
      </c>
      <c r="E617" s="52" t="n">
        <f aca="false">I617*(1-J617)*(100-E1)/100</f>
        <v>97843.2</v>
      </c>
      <c r="F617" s="53"/>
      <c r="G617" s="54" t="n">
        <v>1</v>
      </c>
      <c r="H617" s="52" t="n">
        <f aca="false">E617*F617</f>
        <v>0</v>
      </c>
      <c r="I617" s="55" t="n">
        <v>152880</v>
      </c>
      <c r="J617" s="56"/>
      <c r="K617" s="57" t="n">
        <v>78</v>
      </c>
      <c r="L617" s="22" t="s">
        <v>53</v>
      </c>
      <c r="M617" s="22" t="s">
        <v>152</v>
      </c>
      <c r="N617" s="58" t="n">
        <f aca="false">F617*P617</f>
        <v>0</v>
      </c>
      <c r="O617" s="58" t="n">
        <f aca="false">F617*Q617</f>
        <v>0</v>
      </c>
      <c r="P617" s="58" t="n">
        <v>110</v>
      </c>
      <c r="Q617" s="58" t="n">
        <v>0.251</v>
      </c>
      <c r="R617" s="59" t="s">
        <v>2136</v>
      </c>
      <c r="S617" s="22"/>
      <c r="T617" s="11" t="str">
        <f aca="false">"16.12.25"</f>
        <v>16.12.25</v>
      </c>
    </row>
    <row r="618" customFormat="false" ht="7.5" hidden="false" customHeight="true" outlineLevel="2" collapsed="false">
      <c r="A618" s="60" t="str">
        <f aca="false">HYPERLINK("https://disk.yandex.ru/d/QApsFxqVAz4eLA","фото")</f>
        <v>фото</v>
      </c>
      <c r="B618" s="49" t="s">
        <v>2137</v>
      </c>
      <c r="C618" s="50" t="s">
        <v>2138</v>
      </c>
      <c r="D618" s="51"/>
      <c r="E618" s="52" t="n">
        <f aca="false">I618*(1-J618)*(100-E1)/100</f>
        <v>21944.96</v>
      </c>
      <c r="F618" s="53"/>
      <c r="G618" s="54" t="n">
        <v>1</v>
      </c>
      <c r="H618" s="52" t="n">
        <f aca="false">E618*F618</f>
        <v>0</v>
      </c>
      <c r="I618" s="55" t="n">
        <v>40340</v>
      </c>
      <c r="J618" s="56" t="n">
        <v>0.15</v>
      </c>
      <c r="K618" s="57" t="n">
        <v>0</v>
      </c>
      <c r="L618" s="22" t="s">
        <v>53</v>
      </c>
      <c r="M618" s="22" t="s">
        <v>31</v>
      </c>
      <c r="N618" s="58" t="n">
        <f aca="false">F618*P618</f>
        <v>0</v>
      </c>
      <c r="O618" s="58" t="n">
        <f aca="false">F618*Q618</f>
        <v>0</v>
      </c>
      <c r="P618" s="58" t="n">
        <v>15.45</v>
      </c>
      <c r="Q618" s="58" t="n">
        <v>0.07</v>
      </c>
      <c r="R618" s="59" t="s">
        <v>2139</v>
      </c>
      <c r="S618" s="22"/>
      <c r="T618" s="11" t="str">
        <f aca="false">"16.12.25"</f>
        <v>16.12.25</v>
      </c>
    </row>
    <row r="619" customFormat="false" ht="7.5" hidden="false" customHeight="true" outlineLevel="2" collapsed="false">
      <c r="A619" s="60" t="str">
        <f aca="false">HYPERLINK("https://disk.yandex.ru/d/m2skRERtGSfFLg","фото")</f>
        <v>фото</v>
      </c>
      <c r="B619" s="49" t="s">
        <v>2140</v>
      </c>
      <c r="C619" s="50" t="s">
        <v>2141</v>
      </c>
      <c r="D619" s="51"/>
      <c r="E619" s="52" t="n">
        <f aca="false">I619*(1-J619)*(100-E1)/100</f>
        <v>24082.88</v>
      </c>
      <c r="F619" s="53"/>
      <c r="G619" s="54" t="n">
        <v>1</v>
      </c>
      <c r="H619" s="52" t="n">
        <f aca="false">E619*F619</f>
        <v>0</v>
      </c>
      <c r="I619" s="55" t="n">
        <v>44270</v>
      </c>
      <c r="J619" s="56" t="n">
        <v>0.15</v>
      </c>
      <c r="K619" s="57" t="n">
        <v>310</v>
      </c>
      <c r="L619" s="22" t="s">
        <v>53</v>
      </c>
      <c r="M619" s="22" t="s">
        <v>31</v>
      </c>
      <c r="N619" s="58" t="n">
        <f aca="false">F619*P619</f>
        <v>0</v>
      </c>
      <c r="O619" s="58" t="n">
        <f aca="false">F619*Q619</f>
        <v>0</v>
      </c>
      <c r="P619" s="58" t="n">
        <v>19.8</v>
      </c>
      <c r="Q619" s="58" t="n">
        <v>0.08</v>
      </c>
      <c r="R619" s="59" t="s">
        <v>2142</v>
      </c>
      <c r="S619" s="22"/>
      <c r="T619" s="11" t="str">
        <f aca="false">"16.12.25"</f>
        <v>16.12.25</v>
      </c>
    </row>
    <row r="620" customFormat="false" ht="7.5" hidden="false" customHeight="true" outlineLevel="2" collapsed="false">
      <c r="A620" s="60" t="str">
        <f aca="false">HYPERLINK("https://disk.yandex.ru/d/OdSeSwJ4zDKvuQ","фото")</f>
        <v>фото</v>
      </c>
      <c r="B620" s="49" t="s">
        <v>2143</v>
      </c>
      <c r="C620" s="50" t="s">
        <v>2144</v>
      </c>
      <c r="D620" s="51"/>
      <c r="E620" s="52" t="n">
        <f aca="false">I620*(1-J620)*(100-E1)/100</f>
        <v>31796.8</v>
      </c>
      <c r="F620" s="53"/>
      <c r="G620" s="54" t="n">
        <v>1</v>
      </c>
      <c r="H620" s="52" t="n">
        <f aca="false">E620*F620</f>
        <v>0</v>
      </c>
      <c r="I620" s="55" t="n">
        <v>58450</v>
      </c>
      <c r="J620" s="56" t="n">
        <v>0.15</v>
      </c>
      <c r="K620" s="57" t="n">
        <v>297</v>
      </c>
      <c r="L620" s="22" t="s">
        <v>53</v>
      </c>
      <c r="M620" s="22" t="s">
        <v>31</v>
      </c>
      <c r="N620" s="58" t="n">
        <f aca="false">F620*P620</f>
        <v>0</v>
      </c>
      <c r="O620" s="58" t="n">
        <f aca="false">F620*Q620</f>
        <v>0</v>
      </c>
      <c r="P620" s="58" t="n">
        <v>25</v>
      </c>
      <c r="Q620" s="58" t="n">
        <v>0.149</v>
      </c>
      <c r="R620" s="59" t="s">
        <v>2145</v>
      </c>
      <c r="S620" s="22"/>
      <c r="T620" s="11" t="str">
        <f aca="false">"16.12.25"</f>
        <v>16.12.25</v>
      </c>
    </row>
    <row r="621" customFormat="false" ht="7.5" hidden="false" customHeight="true" outlineLevel="1" collapsed="false">
      <c r="A621" s="38"/>
      <c r="B621" s="39"/>
      <c r="C621" s="40" t="s">
        <v>2146</v>
      </c>
      <c r="D621" s="41"/>
      <c r="E621" s="42"/>
      <c r="F621" s="43"/>
      <c r="G621" s="44"/>
      <c r="H621" s="42"/>
      <c r="I621" s="45"/>
      <c r="J621" s="46"/>
      <c r="K621" s="45"/>
      <c r="L621" s="44"/>
      <c r="M621" s="44"/>
      <c r="N621" s="47"/>
      <c r="O621" s="47"/>
      <c r="P621" s="47"/>
      <c r="Q621" s="47"/>
      <c r="R621" s="39"/>
      <c r="S621" s="44"/>
      <c r="T621" s="11" t="str">
        <f aca="false">"16.12.25"</f>
        <v>16.12.25</v>
      </c>
    </row>
    <row r="622" customFormat="false" ht="7.5" hidden="false" customHeight="true" outlineLevel="2" collapsed="false">
      <c r="A622" s="60" t="str">
        <f aca="false">HYPERLINK("https://disk.360.yandex.ru/d/ysyJ4YnMqwBxHg","фото")</f>
        <v>фото</v>
      </c>
      <c r="B622" s="49" t="s">
        <v>2147</v>
      </c>
      <c r="C622" s="50" t="s">
        <v>2148</v>
      </c>
      <c r="D622" s="51" t="s">
        <v>2149</v>
      </c>
      <c r="E622" s="52" t="n">
        <f aca="false">I622*(1-J622)*(100-E1)/100</f>
        <v>2981.12</v>
      </c>
      <c r="F622" s="53"/>
      <c r="G622" s="54" t="n">
        <v>4</v>
      </c>
      <c r="H622" s="52" t="n">
        <f aca="false">E622*F622</f>
        <v>0</v>
      </c>
      <c r="I622" s="55" t="n">
        <v>5480</v>
      </c>
      <c r="J622" s="56" t="n">
        <v>0.15</v>
      </c>
      <c r="K622" s="57" t="n">
        <v>943</v>
      </c>
      <c r="L622" s="22" t="s">
        <v>53</v>
      </c>
      <c r="M622" s="22" t="s">
        <v>152</v>
      </c>
      <c r="N622" s="58" t="n">
        <f aca="false">F622*P622</f>
        <v>0</v>
      </c>
      <c r="O622" s="58" t="n">
        <f aca="false">F622*Q622</f>
        <v>0</v>
      </c>
      <c r="P622" s="58" t="n">
        <v>4.04</v>
      </c>
      <c r="Q622" s="58" t="n">
        <v>0.06</v>
      </c>
      <c r="R622" s="59" t="s">
        <v>2150</v>
      </c>
      <c r="S622" s="22"/>
      <c r="T622" s="11" t="str">
        <f aca="false">"16.12.25"</f>
        <v>16.12.25</v>
      </c>
    </row>
    <row r="623" customFormat="false" ht="7.5" hidden="false" customHeight="true" outlineLevel="2" collapsed="false">
      <c r="A623" s="60" t="str">
        <f aca="false">HYPERLINK("https://disk.360.yandex.ru/d/lIBiDrV6C6U76A","фото")</f>
        <v>фото</v>
      </c>
      <c r="B623" s="49" t="s">
        <v>2151</v>
      </c>
      <c r="C623" s="50" t="s">
        <v>2152</v>
      </c>
      <c r="D623" s="51" t="s">
        <v>2153</v>
      </c>
      <c r="E623" s="52" t="n">
        <f aca="false">I623*(1-J623)*(100-E1)/100</f>
        <v>3481.6</v>
      </c>
      <c r="F623" s="53"/>
      <c r="G623" s="54" t="n">
        <v>4</v>
      </c>
      <c r="H623" s="52" t="n">
        <f aca="false">E623*F623</f>
        <v>0</v>
      </c>
      <c r="I623" s="55" t="n">
        <v>6400</v>
      </c>
      <c r="J623" s="56" t="n">
        <v>0.15</v>
      </c>
      <c r="K623" s="57" t="n">
        <v>604</v>
      </c>
      <c r="L623" s="22" t="s">
        <v>53</v>
      </c>
      <c r="M623" s="22" t="s">
        <v>152</v>
      </c>
      <c r="N623" s="58" t="n">
        <f aca="false">F623*P623</f>
        <v>0</v>
      </c>
      <c r="O623" s="58" t="n">
        <f aca="false">F623*Q623</f>
        <v>0</v>
      </c>
      <c r="P623" s="58" t="n">
        <v>4.42</v>
      </c>
      <c r="Q623" s="58" t="n">
        <v>0.06</v>
      </c>
      <c r="R623" s="59" t="s">
        <v>2154</v>
      </c>
      <c r="S623" s="22"/>
      <c r="T623" s="11" t="str">
        <f aca="false">"16.12.25"</f>
        <v>16.12.25</v>
      </c>
    </row>
    <row r="624" customFormat="false" ht="7.5" hidden="false" customHeight="true" outlineLevel="2" collapsed="false">
      <c r="A624" s="60" t="str">
        <f aca="false">HYPERLINK("https://disk.360.yandex.ru/d/eKFLuHjBEHNlaw","фото")</f>
        <v>фото</v>
      </c>
      <c r="B624" s="49" t="s">
        <v>2155</v>
      </c>
      <c r="C624" s="50" t="s">
        <v>2156</v>
      </c>
      <c r="D624" s="51" t="s">
        <v>2157</v>
      </c>
      <c r="E624" s="52" t="n">
        <f aca="false">I624*(1-J624)*(100-E1)/100</f>
        <v>5733.76</v>
      </c>
      <c r="F624" s="53"/>
      <c r="G624" s="54" t="n">
        <v>2</v>
      </c>
      <c r="H624" s="52" t="n">
        <f aca="false">E624*F624</f>
        <v>0</v>
      </c>
      <c r="I624" s="55" t="n">
        <v>10540</v>
      </c>
      <c r="J624" s="56" t="n">
        <v>0.15</v>
      </c>
      <c r="K624" s="57" t="n">
        <v>649</v>
      </c>
      <c r="L624" s="22" t="s">
        <v>53</v>
      </c>
      <c r="M624" s="22" t="s">
        <v>152</v>
      </c>
      <c r="N624" s="58" t="n">
        <f aca="false">F624*P624</f>
        <v>0</v>
      </c>
      <c r="O624" s="58" t="n">
        <f aca="false">F624*Q624</f>
        <v>0</v>
      </c>
      <c r="P624" s="58" t="n">
        <v>7.74</v>
      </c>
      <c r="Q624" s="58" t="n">
        <v>0.05</v>
      </c>
      <c r="R624" s="59" t="s">
        <v>2158</v>
      </c>
      <c r="S624" s="22"/>
      <c r="T624" s="11" t="str">
        <f aca="false">"16.12.25"</f>
        <v>16.12.25</v>
      </c>
    </row>
    <row r="625" customFormat="false" ht="7.5" hidden="false" customHeight="true" outlineLevel="2" collapsed="false">
      <c r="A625" s="60" t="str">
        <f aca="false">HYPERLINK("https://disk.360.yandex.ru/d/HByUtER4LeLdLw","фото")</f>
        <v>фото</v>
      </c>
      <c r="B625" s="49" t="s">
        <v>2159</v>
      </c>
      <c r="C625" s="50" t="s">
        <v>2160</v>
      </c>
      <c r="D625" s="51" t="s">
        <v>2161</v>
      </c>
      <c r="E625" s="52" t="n">
        <f aca="false">I625*(1-J625)*(100-E1)/100</f>
        <v>7338.56</v>
      </c>
      <c r="F625" s="53"/>
      <c r="G625" s="54" t="n">
        <v>1</v>
      </c>
      <c r="H625" s="52" t="n">
        <f aca="false">E625*F625</f>
        <v>0</v>
      </c>
      <c r="I625" s="55" t="n">
        <v>13490</v>
      </c>
      <c r="J625" s="56" t="n">
        <v>0.15</v>
      </c>
      <c r="K625" s="57" t="n">
        <v>424</v>
      </c>
      <c r="L625" s="22" t="s">
        <v>53</v>
      </c>
      <c r="M625" s="22" t="s">
        <v>152</v>
      </c>
      <c r="N625" s="58" t="n">
        <f aca="false">F625*P625</f>
        <v>0</v>
      </c>
      <c r="O625" s="58" t="n">
        <f aca="false">F625*Q625</f>
        <v>0</v>
      </c>
      <c r="P625" s="58" t="n">
        <v>11.24</v>
      </c>
      <c r="Q625" s="58" t="n">
        <v>0.04</v>
      </c>
      <c r="R625" s="59" t="s">
        <v>2162</v>
      </c>
      <c r="S625" s="22"/>
      <c r="T625" s="11" t="str">
        <f aca="false">"16.12.25"</f>
        <v>16.12.25</v>
      </c>
    </row>
    <row r="626" customFormat="false" ht="7.5" hidden="false" customHeight="true" outlineLevel="2" collapsed="false">
      <c r="A626" s="60" t="str">
        <f aca="false">HYPERLINK("https://disk.360.yandex.ru/d/JGkA6r_GZOQ1SQ","фото")</f>
        <v>фото</v>
      </c>
      <c r="B626" s="49" t="s">
        <v>2163</v>
      </c>
      <c r="C626" s="50" t="s">
        <v>2164</v>
      </c>
      <c r="D626" s="51" t="s">
        <v>2165</v>
      </c>
      <c r="E626" s="52" t="n">
        <f aca="false">I626*(1-J626)*(100-E1)/100</f>
        <v>9585.28</v>
      </c>
      <c r="F626" s="53"/>
      <c r="G626" s="54" t="n">
        <v>1</v>
      </c>
      <c r="H626" s="52" t="n">
        <f aca="false">E626*F626</f>
        <v>0</v>
      </c>
      <c r="I626" s="55" t="n">
        <v>17620</v>
      </c>
      <c r="J626" s="56" t="n">
        <v>0.15</v>
      </c>
      <c r="K626" s="57" t="n">
        <v>494</v>
      </c>
      <c r="L626" s="22" t="s">
        <v>53</v>
      </c>
      <c r="M626" s="22" t="s">
        <v>152</v>
      </c>
      <c r="N626" s="58" t="n">
        <f aca="false">F626*P626</f>
        <v>0</v>
      </c>
      <c r="O626" s="58" t="n">
        <f aca="false">F626*Q626</f>
        <v>0</v>
      </c>
      <c r="P626" s="58" t="n">
        <v>13.6</v>
      </c>
      <c r="Q626" s="58" t="n">
        <v>0.03</v>
      </c>
      <c r="R626" s="59" t="s">
        <v>2166</v>
      </c>
      <c r="S626" s="22"/>
      <c r="T626" s="11" t="str">
        <f aca="false">"16.12.25"</f>
        <v>16.12.25</v>
      </c>
    </row>
    <row r="627" customFormat="false" ht="7.5" hidden="false" customHeight="true" outlineLevel="2" collapsed="false">
      <c r="A627" s="60" t="str">
        <f aca="false">HYPERLINK("https://disk.360.yandex.ru/d/T8MrEF3IcB92zg","фото")</f>
        <v>фото</v>
      </c>
      <c r="B627" s="49" t="s">
        <v>2167</v>
      </c>
      <c r="C627" s="50" t="s">
        <v>2168</v>
      </c>
      <c r="D627" s="51" t="s">
        <v>2169</v>
      </c>
      <c r="E627" s="52" t="n">
        <f aca="false">I627*(1-J627)*(100-E1)/100</f>
        <v>2589.44</v>
      </c>
      <c r="F627" s="53"/>
      <c r="G627" s="54" t="n">
        <v>6</v>
      </c>
      <c r="H627" s="52" t="n">
        <f aca="false">E627*F627</f>
        <v>0</v>
      </c>
      <c r="I627" s="55" t="n">
        <v>4760</v>
      </c>
      <c r="J627" s="56" t="n">
        <v>0.15</v>
      </c>
      <c r="K627" s="57" t="n">
        <v>935</v>
      </c>
      <c r="L627" s="22" t="s">
        <v>53</v>
      </c>
      <c r="M627" s="22" t="s">
        <v>152</v>
      </c>
      <c r="N627" s="58" t="n">
        <f aca="false">F627*P627</f>
        <v>0</v>
      </c>
      <c r="O627" s="58" t="n">
        <f aca="false">F627*Q627</f>
        <v>0</v>
      </c>
      <c r="P627" s="58" t="n">
        <v>2.9</v>
      </c>
      <c r="Q627" s="58" t="n">
        <v>0.011</v>
      </c>
      <c r="R627" s="59" t="s">
        <v>2170</v>
      </c>
      <c r="S627" s="22"/>
      <c r="T627" s="11" t="str">
        <f aca="false">"16.12.25"</f>
        <v>16.12.25</v>
      </c>
    </row>
    <row r="628" customFormat="false" ht="7.5" hidden="false" customHeight="true" outlineLevel="2" collapsed="false">
      <c r="A628" s="60" t="str">
        <f aca="false">HYPERLINK("https://disk.360.yandex.ru/d/gWy21zAz6mVWqg","фото")</f>
        <v>фото</v>
      </c>
      <c r="B628" s="49" t="s">
        <v>2171</v>
      </c>
      <c r="C628" s="50" t="s">
        <v>2172</v>
      </c>
      <c r="D628" s="51" t="s">
        <v>2173</v>
      </c>
      <c r="E628" s="52" t="n">
        <f aca="false">I628*(1-J628)*(100-E1)/100</f>
        <v>3307.52</v>
      </c>
      <c r="F628" s="53"/>
      <c r="G628" s="54" t="n">
        <v>1</v>
      </c>
      <c r="H628" s="52" t="n">
        <f aca="false">E628*F628</f>
        <v>0</v>
      </c>
      <c r="I628" s="55" t="n">
        <v>6080</v>
      </c>
      <c r="J628" s="56" t="n">
        <v>0.15</v>
      </c>
      <c r="K628" s="57" t="n">
        <v>477</v>
      </c>
      <c r="L628" s="22" t="s">
        <v>53</v>
      </c>
      <c r="M628" s="22" t="s">
        <v>152</v>
      </c>
      <c r="N628" s="58" t="n">
        <f aca="false">F628*P628</f>
        <v>0</v>
      </c>
      <c r="O628" s="58" t="n">
        <f aca="false">F628*Q628</f>
        <v>0</v>
      </c>
      <c r="P628" s="58" t="n">
        <v>3.2</v>
      </c>
      <c r="Q628" s="58" t="n">
        <v>0.011</v>
      </c>
      <c r="R628" s="59" t="s">
        <v>2174</v>
      </c>
      <c r="S628" s="22"/>
      <c r="T628" s="11" t="str">
        <f aca="false">"16.12.25"</f>
        <v>16.12.25</v>
      </c>
    </row>
    <row r="629" customFormat="false" ht="7.5" hidden="false" customHeight="true" outlineLevel="2" collapsed="false">
      <c r="A629" s="60" t="str">
        <f aca="false">HYPERLINK("https://disk.360.yandex.ru/d/XoPTlysSfMzgsw","фото")</f>
        <v>фото</v>
      </c>
      <c r="B629" s="49" t="s">
        <v>2175</v>
      </c>
      <c r="C629" s="50" t="s">
        <v>2176</v>
      </c>
      <c r="D629" s="51" t="s">
        <v>2177</v>
      </c>
      <c r="E629" s="52" t="n">
        <f aca="false">I629*(1-J629)*(100-E1)/100</f>
        <v>3748.16</v>
      </c>
      <c r="F629" s="53"/>
      <c r="G629" s="54" t="n">
        <v>1</v>
      </c>
      <c r="H629" s="52" t="n">
        <f aca="false">E629*F629</f>
        <v>0</v>
      </c>
      <c r="I629" s="55" t="n">
        <v>6890</v>
      </c>
      <c r="J629" s="56" t="n">
        <v>0.15</v>
      </c>
      <c r="K629" s="57" t="n">
        <v>469</v>
      </c>
      <c r="L629" s="22" t="s">
        <v>53</v>
      </c>
      <c r="M629" s="22" t="s">
        <v>152</v>
      </c>
      <c r="N629" s="58" t="n">
        <f aca="false">F629*P629</f>
        <v>0</v>
      </c>
      <c r="O629" s="58" t="n">
        <f aca="false">F629*Q629</f>
        <v>0</v>
      </c>
      <c r="P629" s="58" t="n">
        <v>4.2</v>
      </c>
      <c r="Q629" s="58" t="n">
        <v>0.011</v>
      </c>
      <c r="R629" s="59" t="s">
        <v>2178</v>
      </c>
      <c r="S629" s="22"/>
      <c r="T629" s="11" t="str">
        <f aca="false">"16.12.25"</f>
        <v>16.12.25</v>
      </c>
    </row>
    <row r="630" customFormat="false" ht="7.5" hidden="false" customHeight="true" outlineLevel="2" collapsed="false">
      <c r="A630" s="60" t="str">
        <f aca="false">HYPERLINK("https://disk.360.yandex.ru/d/t2Ndm7XlPv2oSw","фото")</f>
        <v>фото</v>
      </c>
      <c r="B630" s="49" t="s">
        <v>2179</v>
      </c>
      <c r="C630" s="50" t="s">
        <v>2180</v>
      </c>
      <c r="D630" s="51" t="s">
        <v>2181</v>
      </c>
      <c r="E630" s="52" t="n">
        <f aca="false">I630*(1-J630)*(100-E1)/100</f>
        <v>4352</v>
      </c>
      <c r="F630" s="53"/>
      <c r="G630" s="54" t="n">
        <v>1</v>
      </c>
      <c r="H630" s="52" t="n">
        <f aca="false">E630*F630</f>
        <v>0</v>
      </c>
      <c r="I630" s="55" t="n">
        <v>8000</v>
      </c>
      <c r="J630" s="56" t="n">
        <v>0.15</v>
      </c>
      <c r="K630" s="57" t="n">
        <v>473</v>
      </c>
      <c r="L630" s="22" t="s">
        <v>53</v>
      </c>
      <c r="M630" s="22" t="s">
        <v>152</v>
      </c>
      <c r="N630" s="58" t="n">
        <f aca="false">F630*P630</f>
        <v>0</v>
      </c>
      <c r="O630" s="58" t="n">
        <f aca="false">F630*Q630</f>
        <v>0</v>
      </c>
      <c r="P630" s="58" t="n">
        <v>5.7</v>
      </c>
      <c r="Q630" s="58" t="n">
        <v>0.011</v>
      </c>
      <c r="R630" s="59" t="s">
        <v>2182</v>
      </c>
      <c r="S630" s="22"/>
      <c r="T630" s="11" t="str">
        <f aca="false">"16.12.25"</f>
        <v>16.12.25</v>
      </c>
    </row>
    <row r="631" customFormat="false" ht="7.5" hidden="false" customHeight="true" outlineLevel="0" collapsed="false">
      <c r="A631" s="28"/>
      <c r="B631" s="29"/>
      <c r="C631" s="30" t="s">
        <v>2183</v>
      </c>
      <c r="D631" s="31"/>
      <c r="E631" s="32"/>
      <c r="F631" s="33"/>
      <c r="G631" s="34"/>
      <c r="H631" s="32"/>
      <c r="I631" s="35"/>
      <c r="J631" s="36"/>
      <c r="K631" s="35"/>
      <c r="L631" s="34"/>
      <c r="M631" s="34"/>
      <c r="N631" s="37"/>
      <c r="O631" s="37"/>
      <c r="P631" s="37"/>
      <c r="Q631" s="37"/>
      <c r="R631" s="29"/>
      <c r="S631" s="34"/>
      <c r="T631" s="11" t="str">
        <f aca="false">"16.12.25"</f>
        <v>16.12.25</v>
      </c>
    </row>
    <row r="632" customFormat="false" ht="7.5" hidden="false" customHeight="true" outlineLevel="1" collapsed="false">
      <c r="A632" s="38"/>
      <c r="B632" s="39"/>
      <c r="C632" s="40" t="s">
        <v>2184</v>
      </c>
      <c r="D632" s="41"/>
      <c r="E632" s="42"/>
      <c r="F632" s="43"/>
      <c r="G632" s="44"/>
      <c r="H632" s="42"/>
      <c r="I632" s="45"/>
      <c r="J632" s="46"/>
      <c r="K632" s="45"/>
      <c r="L632" s="44"/>
      <c r="M632" s="44"/>
      <c r="N632" s="47"/>
      <c r="O632" s="47"/>
      <c r="P632" s="47"/>
      <c r="Q632" s="47"/>
      <c r="R632" s="39"/>
      <c r="S632" s="44"/>
      <c r="T632" s="11" t="str">
        <f aca="false">"16.12.25"</f>
        <v>16.12.25</v>
      </c>
    </row>
    <row r="633" customFormat="false" ht="7.5" hidden="false" customHeight="true" outlineLevel="2" collapsed="false">
      <c r="A633" s="60" t="str">
        <f aca="false">HYPERLINK("https://disk.360.yandex.ru/d/V2dOlP8j6bnEaw","фото")</f>
        <v>фото</v>
      </c>
      <c r="B633" s="49" t="s">
        <v>2185</v>
      </c>
      <c r="C633" s="50" t="s">
        <v>2186</v>
      </c>
      <c r="D633" s="51" t="s">
        <v>2187</v>
      </c>
      <c r="E633" s="52" t="n">
        <f aca="false">I633*(1-J633)*(100-E1)/100</f>
        <v>22586.88</v>
      </c>
      <c r="F633" s="53"/>
      <c r="G633" s="54" t="n">
        <v>1</v>
      </c>
      <c r="H633" s="52" t="n">
        <f aca="false">E633*F633</f>
        <v>0</v>
      </c>
      <c r="I633" s="55" t="n">
        <v>41520</v>
      </c>
      <c r="J633" s="56" t="n">
        <v>0.15</v>
      </c>
      <c r="K633" s="57" t="n">
        <v>278</v>
      </c>
      <c r="L633" s="22" t="s">
        <v>44</v>
      </c>
      <c r="M633" s="22" t="s">
        <v>152</v>
      </c>
      <c r="N633" s="58" t="n">
        <f aca="false">F633*P633</f>
        <v>0</v>
      </c>
      <c r="O633" s="58" t="n">
        <f aca="false">F633*Q633</f>
        <v>0</v>
      </c>
      <c r="P633" s="58" t="n">
        <v>65.05</v>
      </c>
      <c r="Q633" s="58" t="n">
        <v>0.336</v>
      </c>
      <c r="R633" s="59" t="s">
        <v>2188</v>
      </c>
      <c r="S633" s="22"/>
      <c r="T633" s="11" t="str">
        <f aca="false">"16.12.25"</f>
        <v>16.12.25</v>
      </c>
    </row>
    <row r="634" customFormat="false" ht="7.5" hidden="false" customHeight="true" outlineLevel="2" collapsed="false">
      <c r="A634" s="60" t="str">
        <f aca="false">HYPERLINK("https://disk.360.yandex.ru/d/laDy96wt1o02pg","фото")</f>
        <v>фото</v>
      </c>
      <c r="B634" s="49" t="s">
        <v>2189</v>
      </c>
      <c r="C634" s="50" t="s">
        <v>2190</v>
      </c>
      <c r="D634" s="51" t="s">
        <v>2191</v>
      </c>
      <c r="E634" s="52" t="n">
        <f aca="false">I634*(1-J634)*(100-E1)/100</f>
        <v>23130.88</v>
      </c>
      <c r="F634" s="53"/>
      <c r="G634" s="54" t="n">
        <v>1</v>
      </c>
      <c r="H634" s="52" t="n">
        <f aca="false">E634*F634</f>
        <v>0</v>
      </c>
      <c r="I634" s="55" t="n">
        <v>42520</v>
      </c>
      <c r="J634" s="56" t="n">
        <v>0.15</v>
      </c>
      <c r="K634" s="57" t="n">
        <v>25</v>
      </c>
      <c r="L634" s="22" t="s">
        <v>44</v>
      </c>
      <c r="M634" s="22"/>
      <c r="N634" s="58" t="n">
        <f aca="false">F634*P634</f>
        <v>0</v>
      </c>
      <c r="O634" s="58" t="n">
        <f aca="false">F634*Q634</f>
        <v>0</v>
      </c>
      <c r="P634" s="58" t="n">
        <v>66.6</v>
      </c>
      <c r="Q634" s="58" t="n">
        <v>0.394</v>
      </c>
      <c r="R634" s="59" t="s">
        <v>2192</v>
      </c>
      <c r="S634" s="22"/>
      <c r="T634" s="11" t="str">
        <f aca="false">"16.12.25"</f>
        <v>16.12.25</v>
      </c>
    </row>
    <row r="635" customFormat="false" ht="7.5" hidden="false" customHeight="true" outlineLevel="2" collapsed="false">
      <c r="A635" s="60" t="str">
        <f aca="false">HYPERLINK("https://disk.360.yandex.ru/d/nhxv3TmocMVFlQ","фото")</f>
        <v>фото</v>
      </c>
      <c r="B635" s="49" t="s">
        <v>2193</v>
      </c>
      <c r="C635" s="50" t="s">
        <v>2194</v>
      </c>
      <c r="D635" s="51" t="s">
        <v>2195</v>
      </c>
      <c r="E635" s="52" t="n">
        <f aca="false">I635*(1-J635)*(100-E1)/100</f>
        <v>26122.88</v>
      </c>
      <c r="F635" s="53"/>
      <c r="G635" s="54" t="n">
        <v>1</v>
      </c>
      <c r="H635" s="52" t="n">
        <f aca="false">E635*F635</f>
        <v>0</v>
      </c>
      <c r="I635" s="55" t="n">
        <v>48020</v>
      </c>
      <c r="J635" s="56" t="n">
        <v>0.15</v>
      </c>
      <c r="K635" s="57" t="n">
        <v>5</v>
      </c>
      <c r="L635" s="22" t="s">
        <v>44</v>
      </c>
      <c r="M635" s="22"/>
      <c r="N635" s="58" t="n">
        <f aca="false">F635*P635</f>
        <v>0</v>
      </c>
      <c r="O635" s="58" t="n">
        <f aca="false">F635*Q635</f>
        <v>0</v>
      </c>
      <c r="P635" s="58" t="n">
        <v>74.65</v>
      </c>
      <c r="Q635" s="58" t="n">
        <v>0.407</v>
      </c>
      <c r="R635" s="59" t="s">
        <v>2196</v>
      </c>
      <c r="S635" s="22"/>
      <c r="T635" s="11" t="str">
        <f aca="false">"16.12.25"</f>
        <v>16.12.25</v>
      </c>
    </row>
    <row r="636" customFormat="false" ht="7.5" hidden="false" customHeight="true" outlineLevel="2" collapsed="false">
      <c r="A636" s="60" t="str">
        <f aca="false">HYPERLINK("https://disk.360.yandex.ru/d/vLNmvd_USbeSVw","фото")</f>
        <v>фото</v>
      </c>
      <c r="B636" s="49" t="s">
        <v>2197</v>
      </c>
      <c r="C636" s="50" t="s">
        <v>2198</v>
      </c>
      <c r="D636" s="51" t="s">
        <v>2199</v>
      </c>
      <c r="E636" s="52" t="n">
        <f aca="false">I636*(1-J636)*(100-E1)/100</f>
        <v>6353.92</v>
      </c>
      <c r="F636" s="53"/>
      <c r="G636" s="54" t="n">
        <v>1</v>
      </c>
      <c r="H636" s="52" t="n">
        <f aca="false">E636*F636</f>
        <v>0</v>
      </c>
      <c r="I636" s="55" t="n">
        <v>11680</v>
      </c>
      <c r="J636" s="56" t="n">
        <v>0.15</v>
      </c>
      <c r="K636" s="57" t="n">
        <v>497</v>
      </c>
      <c r="L636" s="22" t="s">
        <v>44</v>
      </c>
      <c r="M636" s="22" t="s">
        <v>152</v>
      </c>
      <c r="N636" s="58" t="n">
        <f aca="false">F636*P636</f>
        <v>0</v>
      </c>
      <c r="O636" s="58" t="n">
        <f aca="false">F636*Q636</f>
        <v>0</v>
      </c>
      <c r="P636" s="58" t="n">
        <v>18.5</v>
      </c>
      <c r="Q636" s="58" t="n">
        <v>0.09</v>
      </c>
      <c r="R636" s="59" t="s">
        <v>2200</v>
      </c>
      <c r="S636" s="22"/>
      <c r="T636" s="11" t="str">
        <f aca="false">"16.12.25"</f>
        <v>16.12.25</v>
      </c>
    </row>
    <row r="637" customFormat="false" ht="7.5" hidden="false" customHeight="true" outlineLevel="2" collapsed="false">
      <c r="A637" s="60" t="str">
        <f aca="false">HYPERLINK("https://disk.360.yandex.ru/d/FiTqJvtF7Q_l3Q","фото")</f>
        <v>фото</v>
      </c>
      <c r="B637" s="49" t="s">
        <v>2201</v>
      </c>
      <c r="C637" s="50" t="s">
        <v>2202</v>
      </c>
      <c r="D637" s="51" t="s">
        <v>2203</v>
      </c>
      <c r="E637" s="52" t="n">
        <f aca="false">I637*(1-J637)*(100-E1)/100</f>
        <v>7496.32</v>
      </c>
      <c r="F637" s="53"/>
      <c r="G637" s="54" t="n">
        <v>1</v>
      </c>
      <c r="H637" s="52" t="n">
        <f aca="false">E637*F637</f>
        <v>0</v>
      </c>
      <c r="I637" s="55" t="n">
        <v>13780</v>
      </c>
      <c r="J637" s="56" t="n">
        <v>0.15</v>
      </c>
      <c r="K637" s="57" t="n">
        <v>0</v>
      </c>
      <c r="L637" s="22" t="s">
        <v>44</v>
      </c>
      <c r="M637" s="22"/>
      <c r="N637" s="58" t="n">
        <f aca="false">F637*P637</f>
        <v>0</v>
      </c>
      <c r="O637" s="58" t="n">
        <f aca="false">F637*Q637</f>
        <v>0</v>
      </c>
      <c r="P637" s="58" t="n">
        <v>22</v>
      </c>
      <c r="Q637" s="58" t="n">
        <v>0.124</v>
      </c>
      <c r="R637" s="59" t="s">
        <v>2204</v>
      </c>
      <c r="S637" s="22"/>
      <c r="T637" s="11" t="str">
        <f aca="false">"16.12.25"</f>
        <v>16.12.25</v>
      </c>
    </row>
    <row r="638" customFormat="false" ht="7.5" hidden="false" customHeight="true" outlineLevel="2" collapsed="false">
      <c r="A638" s="60" t="str">
        <f aca="false">HYPERLINK("https://disk.360.yandex.ru/d/DDG1uxhmDF0TtQ","фото")</f>
        <v>фото</v>
      </c>
      <c r="B638" s="49" t="s">
        <v>2205</v>
      </c>
      <c r="C638" s="50" t="s">
        <v>2206</v>
      </c>
      <c r="D638" s="51" t="s">
        <v>2207</v>
      </c>
      <c r="E638" s="52" t="n">
        <f aca="false">I638*(1-J638)*(100-E1)/100</f>
        <v>7496.32</v>
      </c>
      <c r="F638" s="53"/>
      <c r="G638" s="54" t="n">
        <v>1</v>
      </c>
      <c r="H638" s="52" t="n">
        <f aca="false">E638*F638</f>
        <v>0</v>
      </c>
      <c r="I638" s="55" t="n">
        <v>13780</v>
      </c>
      <c r="J638" s="56" t="n">
        <v>0.15</v>
      </c>
      <c r="K638" s="57" t="n">
        <v>490</v>
      </c>
      <c r="L638" s="22" t="s">
        <v>44</v>
      </c>
      <c r="M638" s="22"/>
      <c r="N638" s="58" t="n">
        <f aca="false">F638*P638</f>
        <v>0</v>
      </c>
      <c r="O638" s="58" t="n">
        <f aca="false">F638*Q638</f>
        <v>0</v>
      </c>
      <c r="P638" s="58" t="n">
        <v>21.4</v>
      </c>
      <c r="Q638" s="58" t="n">
        <v>0.117</v>
      </c>
      <c r="R638" s="59" t="s">
        <v>2208</v>
      </c>
      <c r="S638" s="22"/>
      <c r="T638" s="11" t="str">
        <f aca="false">"16.12.25"</f>
        <v>16.12.25</v>
      </c>
    </row>
    <row r="639" customFormat="false" ht="7.5" hidden="false" customHeight="true" outlineLevel="2" collapsed="false">
      <c r="A639" s="60" t="str">
        <f aca="false">HYPERLINK("https://disk.360.yandex.ru/d/owI3rp6bgeogrw","фото")</f>
        <v>фото</v>
      </c>
      <c r="B639" s="49" t="s">
        <v>2209</v>
      </c>
      <c r="C639" s="50" t="s">
        <v>2210</v>
      </c>
      <c r="D639" s="51" t="s">
        <v>2211</v>
      </c>
      <c r="E639" s="52" t="n">
        <f aca="false">I639*(1-J639)*(100-E1)/100</f>
        <v>18451.2</v>
      </c>
      <c r="F639" s="53"/>
      <c r="G639" s="54" t="n">
        <v>1</v>
      </c>
      <c r="H639" s="52" t="n">
        <f aca="false">E639*F639</f>
        <v>0</v>
      </c>
      <c r="I639" s="55" t="n">
        <v>28830</v>
      </c>
      <c r="J639" s="56"/>
      <c r="K639" s="57" t="n">
        <v>138</v>
      </c>
      <c r="L639" s="22" t="s">
        <v>44</v>
      </c>
      <c r="M639" s="22"/>
      <c r="N639" s="58" t="n">
        <f aca="false">F639*P639</f>
        <v>0</v>
      </c>
      <c r="O639" s="58" t="n">
        <f aca="false">F639*Q639</f>
        <v>0</v>
      </c>
      <c r="P639" s="58" t="n">
        <v>36</v>
      </c>
      <c r="Q639" s="58" t="n">
        <v>0.188</v>
      </c>
      <c r="R639" s="59" t="s">
        <v>2212</v>
      </c>
      <c r="S639" s="22"/>
      <c r="T639" s="11" t="str">
        <f aca="false">"16.12.25"</f>
        <v>16.12.25</v>
      </c>
    </row>
    <row r="640" customFormat="false" ht="7.5" hidden="false" customHeight="true" outlineLevel="2" collapsed="false">
      <c r="A640" s="60" t="str">
        <f aca="false">HYPERLINK("https://disk.360.yandex.ru/d/7auntvuiJdA8Hg","фото")</f>
        <v>фото</v>
      </c>
      <c r="B640" s="49" t="s">
        <v>2213</v>
      </c>
      <c r="C640" s="50" t="s">
        <v>2214</v>
      </c>
      <c r="D640" s="51" t="s">
        <v>2215</v>
      </c>
      <c r="E640" s="52" t="n">
        <f aca="false">I640*(1-J640)*(100-E1)/100</f>
        <v>17465.6</v>
      </c>
      <c r="F640" s="53"/>
      <c r="G640" s="54" t="n">
        <v>1</v>
      </c>
      <c r="H640" s="52" t="n">
        <f aca="false">E640*F640</f>
        <v>0</v>
      </c>
      <c r="I640" s="55" t="n">
        <v>27290</v>
      </c>
      <c r="J640" s="56"/>
      <c r="K640" s="57" t="n">
        <v>8</v>
      </c>
      <c r="L640" s="22" t="s">
        <v>44</v>
      </c>
      <c r="M640" s="22"/>
      <c r="N640" s="58" t="n">
        <f aca="false">F640*P640</f>
        <v>0</v>
      </c>
      <c r="O640" s="58" t="n">
        <f aca="false">F640*Q640</f>
        <v>0</v>
      </c>
      <c r="P640" s="58" t="n">
        <v>46.4</v>
      </c>
      <c r="Q640" s="58" t="n">
        <v>0.221</v>
      </c>
      <c r="R640" s="59" t="s">
        <v>2216</v>
      </c>
      <c r="S640" s="22"/>
      <c r="T640" s="11" t="str">
        <f aca="false">"16.12.25"</f>
        <v>16.12.25</v>
      </c>
    </row>
    <row r="641" customFormat="false" ht="7.5" hidden="false" customHeight="true" outlineLevel="2" collapsed="false">
      <c r="A641" s="60" t="str">
        <f aca="false">HYPERLINK("https://disk.360.yandex.ru/d/ovyL7oC01bpFAg","фото")</f>
        <v>фото</v>
      </c>
      <c r="B641" s="49" t="s">
        <v>2217</v>
      </c>
      <c r="C641" s="50" t="s">
        <v>2218</v>
      </c>
      <c r="D641" s="51" t="s">
        <v>2219</v>
      </c>
      <c r="E641" s="52" t="n">
        <f aca="false">I641*(1-J641)*(100-E1)/100</f>
        <v>30732.8</v>
      </c>
      <c r="F641" s="53"/>
      <c r="G641" s="54" t="n">
        <v>1</v>
      </c>
      <c r="H641" s="52" t="n">
        <f aca="false">E641*F641</f>
        <v>0</v>
      </c>
      <c r="I641" s="55" t="n">
        <v>48020</v>
      </c>
      <c r="J641" s="56"/>
      <c r="K641" s="57" t="n">
        <v>177</v>
      </c>
      <c r="L641" s="22" t="s">
        <v>44</v>
      </c>
      <c r="M641" s="22"/>
      <c r="N641" s="58" t="n">
        <f aca="false">F641*P641</f>
        <v>0</v>
      </c>
      <c r="O641" s="58" t="n">
        <f aca="false">F641*Q641</f>
        <v>0</v>
      </c>
      <c r="P641" s="58" t="n">
        <v>75.95</v>
      </c>
      <c r="Q641" s="58" t="n">
        <v>0.404</v>
      </c>
      <c r="R641" s="59" t="s">
        <v>2220</v>
      </c>
      <c r="S641" s="22"/>
      <c r="T641" s="11" t="str">
        <f aca="false">"16.12.25"</f>
        <v>16.12.25</v>
      </c>
    </row>
    <row r="642" customFormat="false" ht="7.5" hidden="false" customHeight="true" outlineLevel="2" collapsed="false">
      <c r="A642" s="60" t="str">
        <f aca="false">HYPERLINK("https://disk.360.yandex.ru/d/OMUL6LPrUbA8Yg","фото")</f>
        <v>фото</v>
      </c>
      <c r="B642" s="49" t="s">
        <v>2221</v>
      </c>
      <c r="C642" s="50" t="s">
        <v>2222</v>
      </c>
      <c r="D642" s="51" t="s">
        <v>2223</v>
      </c>
      <c r="E642" s="52" t="n">
        <f aca="false">I642*(1-J642)*(100-E1)/100</f>
        <v>27212.8</v>
      </c>
      <c r="F642" s="53"/>
      <c r="G642" s="54" t="n">
        <v>1</v>
      </c>
      <c r="H642" s="52" t="n">
        <f aca="false">E642*F642</f>
        <v>0</v>
      </c>
      <c r="I642" s="55" t="n">
        <v>42520</v>
      </c>
      <c r="J642" s="56"/>
      <c r="K642" s="57" t="n">
        <v>50</v>
      </c>
      <c r="L642" s="22" t="s">
        <v>157</v>
      </c>
      <c r="M642" s="22"/>
      <c r="N642" s="58" t="n">
        <f aca="false">F642*P642</f>
        <v>0</v>
      </c>
      <c r="O642" s="58" t="n">
        <f aca="false">F642*Q642</f>
        <v>0</v>
      </c>
      <c r="P642" s="58" t="n">
        <v>65.8</v>
      </c>
      <c r="Q642" s="58" t="n">
        <v>0.409</v>
      </c>
      <c r="R642" s="59" t="s">
        <v>2224</v>
      </c>
      <c r="S642" s="22"/>
      <c r="T642" s="11" t="str">
        <f aca="false">"16.12.25"</f>
        <v>16.12.25</v>
      </c>
    </row>
    <row r="643" customFormat="false" ht="7.5" hidden="false" customHeight="true" outlineLevel="2" collapsed="false">
      <c r="A643" s="60" t="str">
        <f aca="false">HYPERLINK("https://disk.360.yandex.ru/d/vEgbmDX34okSjw","фото")</f>
        <v>фото</v>
      </c>
      <c r="B643" s="49" t="s">
        <v>2225</v>
      </c>
      <c r="C643" s="50" t="s">
        <v>2226</v>
      </c>
      <c r="D643" s="51" t="s">
        <v>2227</v>
      </c>
      <c r="E643" s="52" t="n">
        <f aca="false">I643*(1-J643)*(100-E1)/100</f>
        <v>30732.8</v>
      </c>
      <c r="F643" s="53"/>
      <c r="G643" s="54" t="n">
        <v>1</v>
      </c>
      <c r="H643" s="52" t="n">
        <f aca="false">E643*F643</f>
        <v>0</v>
      </c>
      <c r="I643" s="55" t="n">
        <v>48020</v>
      </c>
      <c r="J643" s="56"/>
      <c r="K643" s="57" t="n">
        <v>100</v>
      </c>
      <c r="L643" s="22" t="s">
        <v>157</v>
      </c>
      <c r="M643" s="22"/>
      <c r="N643" s="58" t="n">
        <f aca="false">F643*P643</f>
        <v>0</v>
      </c>
      <c r="O643" s="58" t="n">
        <f aca="false">F643*Q643</f>
        <v>0</v>
      </c>
      <c r="P643" s="58" t="n">
        <v>75</v>
      </c>
      <c r="Q643" s="58" t="n">
        <v>0.407</v>
      </c>
      <c r="R643" s="59" t="s">
        <v>2228</v>
      </c>
      <c r="S643" s="22"/>
      <c r="T643" s="11" t="str">
        <f aca="false">"16.12.25"</f>
        <v>16.12.25</v>
      </c>
    </row>
    <row r="644" customFormat="false" ht="7.5" hidden="false" customHeight="true" outlineLevel="2" collapsed="false">
      <c r="A644" s="60" t="str">
        <f aca="false">HYPERLINK("https://disk.360.yandex.ru/d/GAiqKXSy7cEvfg","фото")</f>
        <v>фото</v>
      </c>
      <c r="B644" s="49" t="s">
        <v>2229</v>
      </c>
      <c r="C644" s="50" t="s">
        <v>2230</v>
      </c>
      <c r="D644" s="51"/>
      <c r="E644" s="52" t="n">
        <f aca="false">I644*(1-J644)*(100-E1)/100</f>
        <v>7475.2</v>
      </c>
      <c r="F644" s="53"/>
      <c r="G644" s="54" t="n">
        <v>1</v>
      </c>
      <c r="H644" s="52" t="n">
        <f aca="false">E644*F644</f>
        <v>0</v>
      </c>
      <c r="I644" s="55" t="n">
        <v>11680</v>
      </c>
      <c r="J644" s="56"/>
      <c r="K644" s="57" t="n">
        <v>0</v>
      </c>
      <c r="L644" s="22" t="s">
        <v>157</v>
      </c>
      <c r="M644" s="22"/>
      <c r="N644" s="58" t="n">
        <f aca="false">F644*P644</f>
        <v>0</v>
      </c>
      <c r="O644" s="58" t="n">
        <f aca="false">F644*Q644</f>
        <v>0</v>
      </c>
      <c r="P644" s="58" t="n">
        <v>16.5</v>
      </c>
      <c r="Q644" s="58" t="n">
        <v>0.083</v>
      </c>
      <c r="R644" s="59" t="s">
        <v>2231</v>
      </c>
      <c r="S644" s="22"/>
      <c r="T644" s="11" t="str">
        <f aca="false">"16.12.25"</f>
        <v>16.12.25</v>
      </c>
    </row>
    <row r="645" customFormat="false" ht="7.5" hidden="false" customHeight="true" outlineLevel="2" collapsed="false">
      <c r="A645" s="60" t="str">
        <f aca="false">HYPERLINK("https://disk.360.yandex.ru/d/vlWQmr1ItY9gFA","фото")</f>
        <v>фото</v>
      </c>
      <c r="B645" s="49" t="s">
        <v>2232</v>
      </c>
      <c r="C645" s="50" t="s">
        <v>2233</v>
      </c>
      <c r="D645" s="51" t="s">
        <v>2234</v>
      </c>
      <c r="E645" s="52" t="n">
        <f aca="false">I645*(1-J645)*(100-E1)/100</f>
        <v>23789.12</v>
      </c>
      <c r="F645" s="53"/>
      <c r="G645" s="54" t="n">
        <v>1</v>
      </c>
      <c r="H645" s="52" t="n">
        <f aca="false">E645*F645</f>
        <v>0</v>
      </c>
      <c r="I645" s="55" t="n">
        <v>43730</v>
      </c>
      <c r="J645" s="56" t="n">
        <v>0.15</v>
      </c>
      <c r="K645" s="57" t="n">
        <v>187</v>
      </c>
      <c r="L645" s="22" t="s">
        <v>53</v>
      </c>
      <c r="M645" s="22"/>
      <c r="N645" s="58" t="n">
        <f aca="false">F645*P645</f>
        <v>0</v>
      </c>
      <c r="O645" s="58" t="n">
        <f aca="false">F645*Q645</f>
        <v>0</v>
      </c>
      <c r="P645" s="58" t="n">
        <v>70.8</v>
      </c>
      <c r="Q645" s="58" t="n">
        <v>0.37</v>
      </c>
      <c r="R645" s="59" t="s">
        <v>2235</v>
      </c>
      <c r="S645" s="22"/>
      <c r="T645" s="11" t="str">
        <f aca="false">"16.12.25"</f>
        <v>16.12.25</v>
      </c>
    </row>
    <row r="646" customFormat="false" ht="7.5" hidden="false" customHeight="true" outlineLevel="2" collapsed="false">
      <c r="A646" s="60" t="str">
        <f aca="false">HYPERLINK("https://disk.360.yandex.ru/d/S1fFT2Q1EhPkzg","фото")</f>
        <v>фото</v>
      </c>
      <c r="B646" s="49" t="s">
        <v>2236</v>
      </c>
      <c r="C646" s="50" t="s">
        <v>2237</v>
      </c>
      <c r="D646" s="51" t="s">
        <v>2238</v>
      </c>
      <c r="E646" s="52" t="n">
        <f aca="false">I646*(1-J646)*(100-E1)/100</f>
        <v>20797.12</v>
      </c>
      <c r="F646" s="53"/>
      <c r="G646" s="54" t="n">
        <v>1</v>
      </c>
      <c r="H646" s="52" t="n">
        <f aca="false">E646*F646</f>
        <v>0</v>
      </c>
      <c r="I646" s="55" t="n">
        <v>38230</v>
      </c>
      <c r="J646" s="56" t="n">
        <v>0.15</v>
      </c>
      <c r="K646" s="57" t="n">
        <v>182</v>
      </c>
      <c r="L646" s="22" t="s">
        <v>53</v>
      </c>
      <c r="M646" s="22"/>
      <c r="N646" s="58" t="n">
        <f aca="false">F646*P646</f>
        <v>0</v>
      </c>
      <c r="O646" s="58" t="n">
        <f aca="false">F646*Q646</f>
        <v>0</v>
      </c>
      <c r="P646" s="58" t="n">
        <v>55.85</v>
      </c>
      <c r="Q646" s="58" t="n">
        <v>0.33</v>
      </c>
      <c r="R646" s="59" t="s">
        <v>2239</v>
      </c>
      <c r="S646" s="22"/>
      <c r="T646" s="11" t="str">
        <f aca="false">"16.12.25"</f>
        <v>16.12.25</v>
      </c>
    </row>
    <row r="647" customFormat="false" ht="7.5" hidden="false" customHeight="true" outlineLevel="2" collapsed="false">
      <c r="A647" s="60" t="str">
        <f aca="false">HYPERLINK("https://disk.360.yandex.ru/d/RsvhoctBpA3wXA","фото")</f>
        <v>фото</v>
      </c>
      <c r="B647" s="49" t="s">
        <v>2240</v>
      </c>
      <c r="C647" s="50" t="s">
        <v>2241</v>
      </c>
      <c r="D647" s="51" t="s">
        <v>2242</v>
      </c>
      <c r="E647" s="52" t="n">
        <f aca="false">I647*(1-J647)*(100-E1)/100</f>
        <v>26710.4</v>
      </c>
      <c r="F647" s="53"/>
      <c r="G647" s="54" t="n">
        <v>1</v>
      </c>
      <c r="H647" s="52" t="n">
        <f aca="false">E647*F647</f>
        <v>0</v>
      </c>
      <c r="I647" s="55" t="n">
        <v>49100</v>
      </c>
      <c r="J647" s="56" t="n">
        <v>0.15</v>
      </c>
      <c r="K647" s="57" t="n">
        <v>274</v>
      </c>
      <c r="L647" s="22" t="s">
        <v>53</v>
      </c>
      <c r="M647" s="22"/>
      <c r="N647" s="58" t="n">
        <f aca="false">F647*P647</f>
        <v>0</v>
      </c>
      <c r="O647" s="58" t="n">
        <f aca="false">F647*Q647</f>
        <v>0</v>
      </c>
      <c r="P647" s="58" t="n">
        <v>79.6</v>
      </c>
      <c r="Q647" s="58" t="n">
        <v>0.379</v>
      </c>
      <c r="R647" s="59" t="s">
        <v>2243</v>
      </c>
      <c r="S647" s="22"/>
      <c r="T647" s="11" t="str">
        <f aca="false">"16.12.25"</f>
        <v>16.12.25</v>
      </c>
    </row>
    <row r="648" customFormat="false" ht="7.5" hidden="false" customHeight="true" outlineLevel="2" collapsed="false">
      <c r="A648" s="60" t="str">
        <f aca="false">HYPERLINK("https://disk.360.yandex.ru/d/WlDVVozF81xjTQ","фото")</f>
        <v>фото</v>
      </c>
      <c r="B648" s="49" t="s">
        <v>2244</v>
      </c>
      <c r="C648" s="50" t="s">
        <v>2245</v>
      </c>
      <c r="D648" s="51" t="s">
        <v>2246</v>
      </c>
      <c r="E648" s="52" t="n">
        <f aca="false">I648*(1-J648)*(100-E1)/100</f>
        <v>6585.6</v>
      </c>
      <c r="F648" s="53"/>
      <c r="G648" s="54" t="n">
        <v>1</v>
      </c>
      <c r="H648" s="52" t="n">
        <f aca="false">E648*F648</f>
        <v>0</v>
      </c>
      <c r="I648" s="55" t="n">
        <v>10290</v>
      </c>
      <c r="J648" s="56"/>
      <c r="K648" s="57" t="n">
        <v>17</v>
      </c>
      <c r="L648" s="22" t="s">
        <v>53</v>
      </c>
      <c r="M648" s="22"/>
      <c r="N648" s="58" t="n">
        <f aca="false">F648*P648</f>
        <v>0</v>
      </c>
      <c r="O648" s="58" t="n">
        <f aca="false">F648*Q648</f>
        <v>0</v>
      </c>
      <c r="P648" s="58" t="n">
        <v>17.1</v>
      </c>
      <c r="Q648" s="58" t="n">
        <v>0.091</v>
      </c>
      <c r="R648" s="59" t="s">
        <v>2247</v>
      </c>
      <c r="S648" s="22"/>
      <c r="T648" s="11" t="str">
        <f aca="false">"16.12.25"</f>
        <v>16.12.25</v>
      </c>
    </row>
    <row r="649" customFormat="false" ht="7.5" hidden="false" customHeight="true" outlineLevel="2" collapsed="false">
      <c r="A649" s="60" t="str">
        <f aca="false">HYPERLINK("https://disk.360.yandex.ru/d/mkqzmWVP4yqcvw","фото")</f>
        <v>фото</v>
      </c>
      <c r="B649" s="49" t="s">
        <v>2248</v>
      </c>
      <c r="C649" s="50" t="s">
        <v>2249</v>
      </c>
      <c r="D649" s="51" t="s">
        <v>2199</v>
      </c>
      <c r="E649" s="52" t="n">
        <f aca="false">I649*(1-J649)*(100-E1)/100</f>
        <v>6353.92</v>
      </c>
      <c r="F649" s="53"/>
      <c r="G649" s="54" t="n">
        <v>1</v>
      </c>
      <c r="H649" s="52" t="n">
        <f aca="false">E649*F649</f>
        <v>0</v>
      </c>
      <c r="I649" s="55" t="n">
        <v>11680</v>
      </c>
      <c r="J649" s="56" t="n">
        <v>0.15</v>
      </c>
      <c r="K649" s="57" t="n">
        <v>231</v>
      </c>
      <c r="L649" s="22" t="s">
        <v>53</v>
      </c>
      <c r="M649" s="22" t="s">
        <v>152</v>
      </c>
      <c r="N649" s="58" t="n">
        <f aca="false">F649*P649</f>
        <v>0</v>
      </c>
      <c r="O649" s="58" t="n">
        <f aca="false">F649*Q649</f>
        <v>0</v>
      </c>
      <c r="P649" s="58" t="n">
        <v>17</v>
      </c>
      <c r="Q649" s="58" t="n">
        <v>0.094</v>
      </c>
      <c r="R649" s="59" t="s">
        <v>2250</v>
      </c>
      <c r="S649" s="22"/>
      <c r="T649" s="11" t="str">
        <f aca="false">"16.12.25"</f>
        <v>16.12.25</v>
      </c>
    </row>
    <row r="650" customFormat="false" ht="7.5" hidden="false" customHeight="true" outlineLevel="2" collapsed="false">
      <c r="A650" s="60" t="str">
        <f aca="false">HYPERLINK("https://disk.360.yandex.ru/d/5w5nFYNWuAwbnQ","фото")</f>
        <v>фото</v>
      </c>
      <c r="B650" s="49" t="s">
        <v>2251</v>
      </c>
      <c r="C650" s="50" t="s">
        <v>2252</v>
      </c>
      <c r="D650" s="51" t="s">
        <v>2207</v>
      </c>
      <c r="E650" s="52" t="n">
        <f aca="false">I650*(1-J650)*(100-E1)/100</f>
        <v>7496.32</v>
      </c>
      <c r="F650" s="53"/>
      <c r="G650" s="54" t="n">
        <v>1</v>
      </c>
      <c r="H650" s="52" t="n">
        <f aca="false">E650*F650</f>
        <v>0</v>
      </c>
      <c r="I650" s="55" t="n">
        <v>13780</v>
      </c>
      <c r="J650" s="56" t="n">
        <v>0.15</v>
      </c>
      <c r="K650" s="57" t="n">
        <v>17</v>
      </c>
      <c r="L650" s="22" t="s">
        <v>53</v>
      </c>
      <c r="M650" s="22" t="s">
        <v>152</v>
      </c>
      <c r="N650" s="58" t="n">
        <f aca="false">F650*P650</f>
        <v>0</v>
      </c>
      <c r="O650" s="58" t="n">
        <f aca="false">F650*Q650</f>
        <v>0</v>
      </c>
      <c r="P650" s="58" t="n">
        <v>21.4</v>
      </c>
      <c r="Q650" s="58" t="n">
        <v>0.117</v>
      </c>
      <c r="R650" s="59" t="s">
        <v>2253</v>
      </c>
      <c r="S650" s="22"/>
      <c r="T650" s="11" t="str">
        <f aca="false">"16.12.25"</f>
        <v>16.12.25</v>
      </c>
    </row>
    <row r="651" customFormat="false" ht="7.5" hidden="false" customHeight="true" outlineLevel="2" collapsed="false">
      <c r="A651" s="60" t="str">
        <f aca="false">HYPERLINK("https://disk.360.yandex.ru/d/6GSrRmn7dfM7Hw","фото")</f>
        <v>фото</v>
      </c>
      <c r="B651" s="49" t="s">
        <v>2254</v>
      </c>
      <c r="C651" s="50" t="s">
        <v>2255</v>
      </c>
      <c r="D651" s="51" t="s">
        <v>2256</v>
      </c>
      <c r="E651" s="52" t="n">
        <f aca="false">I651*(1-J651)*(100-E1)/100</f>
        <v>15765.12</v>
      </c>
      <c r="F651" s="53"/>
      <c r="G651" s="54" t="n">
        <v>1</v>
      </c>
      <c r="H651" s="52" t="n">
        <f aca="false">E651*F651</f>
        <v>0</v>
      </c>
      <c r="I651" s="55" t="n">
        <v>28980</v>
      </c>
      <c r="J651" s="56" t="n">
        <v>0.15</v>
      </c>
      <c r="K651" s="57" t="n">
        <v>281</v>
      </c>
      <c r="L651" s="22" t="s">
        <v>53</v>
      </c>
      <c r="M651" s="22" t="s">
        <v>152</v>
      </c>
      <c r="N651" s="58" t="n">
        <f aca="false">F651*P651</f>
        <v>0</v>
      </c>
      <c r="O651" s="58" t="n">
        <f aca="false">F651*Q651</f>
        <v>0</v>
      </c>
      <c r="P651" s="58" t="n">
        <v>35.3</v>
      </c>
      <c r="Q651" s="58" t="n">
        <v>0.172</v>
      </c>
      <c r="R651" s="59" t="s">
        <v>2257</v>
      </c>
      <c r="S651" s="22"/>
      <c r="T651" s="11" t="str">
        <f aca="false">"16.12.25"</f>
        <v>16.12.25</v>
      </c>
    </row>
    <row r="652" customFormat="false" ht="7.5" hidden="false" customHeight="true" outlineLevel="1" collapsed="false">
      <c r="A652" s="38"/>
      <c r="B652" s="39"/>
      <c r="C652" s="40" t="s">
        <v>2258</v>
      </c>
      <c r="D652" s="41"/>
      <c r="E652" s="42"/>
      <c r="F652" s="43"/>
      <c r="G652" s="44"/>
      <c r="H652" s="42"/>
      <c r="I652" s="45"/>
      <c r="J652" s="46"/>
      <c r="K652" s="45"/>
      <c r="L652" s="44"/>
      <c r="M652" s="44"/>
      <c r="N652" s="47"/>
      <c r="O652" s="47"/>
      <c r="P652" s="47"/>
      <c r="Q652" s="47"/>
      <c r="R652" s="39"/>
      <c r="S652" s="44"/>
      <c r="T652" s="11" t="str">
        <f aca="false">"16.12.25"</f>
        <v>16.12.25</v>
      </c>
    </row>
    <row r="653" customFormat="false" ht="7.5" hidden="false" customHeight="true" outlineLevel="2" collapsed="false">
      <c r="A653" s="60" t="str">
        <f aca="false">HYPERLINK("https://disk.360.yandex.ru/d/VMVYB90ZXHN-Lw","фото")</f>
        <v>фото</v>
      </c>
      <c r="B653" s="49" t="s">
        <v>2259</v>
      </c>
      <c r="C653" s="50" t="s">
        <v>2260</v>
      </c>
      <c r="D653" s="51" t="s">
        <v>2261</v>
      </c>
      <c r="E653" s="52" t="n">
        <f aca="false">I653*(1-J653)*(100-E1)/100</f>
        <v>27961.6</v>
      </c>
      <c r="F653" s="53"/>
      <c r="G653" s="54" t="n">
        <v>1</v>
      </c>
      <c r="H653" s="52" t="n">
        <f aca="false">E653*F653</f>
        <v>0</v>
      </c>
      <c r="I653" s="55" t="n">
        <v>51400</v>
      </c>
      <c r="J653" s="56" t="n">
        <v>0.15</v>
      </c>
      <c r="K653" s="57" t="n">
        <v>234</v>
      </c>
      <c r="L653" s="22" t="s">
        <v>53</v>
      </c>
      <c r="M653" s="22" t="s">
        <v>152</v>
      </c>
      <c r="N653" s="58" t="n">
        <f aca="false">F653*P653</f>
        <v>0</v>
      </c>
      <c r="O653" s="58" t="n">
        <f aca="false">F653*Q653</f>
        <v>0</v>
      </c>
      <c r="P653" s="58" t="n">
        <v>69.5</v>
      </c>
      <c r="Q653" s="58" t="n">
        <v>0.27</v>
      </c>
      <c r="R653" s="59" t="s">
        <v>2262</v>
      </c>
      <c r="S653" s="22"/>
      <c r="T653" s="11" t="str">
        <f aca="false">"16.12.25"</f>
        <v>16.12.25</v>
      </c>
    </row>
    <row r="654" customFormat="false" ht="7.5" hidden="false" customHeight="true" outlineLevel="2" collapsed="false">
      <c r="A654" s="60" t="str">
        <f aca="false">HYPERLINK("https://disk.360.yandex.ru/d/8cOz7kg--1_3cg","фото")</f>
        <v>фото</v>
      </c>
      <c r="B654" s="49" t="s">
        <v>2263</v>
      </c>
      <c r="C654" s="50" t="s">
        <v>2264</v>
      </c>
      <c r="D654" s="51" t="s">
        <v>2265</v>
      </c>
      <c r="E654" s="52" t="n">
        <f aca="false">I654*(1-J654)*(100-E1)/100</f>
        <v>27961.6</v>
      </c>
      <c r="F654" s="53"/>
      <c r="G654" s="54" t="n">
        <v>1</v>
      </c>
      <c r="H654" s="52" t="n">
        <f aca="false">E654*F654</f>
        <v>0</v>
      </c>
      <c r="I654" s="55" t="n">
        <v>51400</v>
      </c>
      <c r="J654" s="56" t="n">
        <v>0.15</v>
      </c>
      <c r="K654" s="57" t="n">
        <v>20</v>
      </c>
      <c r="L654" s="22" t="s">
        <v>53</v>
      </c>
      <c r="M654" s="22"/>
      <c r="N654" s="58" t="n">
        <f aca="false">F654*P654</f>
        <v>0</v>
      </c>
      <c r="O654" s="58" t="n">
        <f aca="false">F654*Q654</f>
        <v>0</v>
      </c>
      <c r="P654" s="58" t="n">
        <v>60.54</v>
      </c>
      <c r="Q654" s="58" t="n">
        <v>0.29</v>
      </c>
      <c r="R654" s="59" t="s">
        <v>2266</v>
      </c>
      <c r="S654" s="22"/>
      <c r="T654" s="11" t="str">
        <f aca="false">"16.12.25"</f>
        <v>16.12.25</v>
      </c>
    </row>
    <row r="655" customFormat="false" ht="7.5" hidden="false" customHeight="true" outlineLevel="2" collapsed="false">
      <c r="A655" s="60" t="str">
        <f aca="false">HYPERLINK("https://disk.360.yandex.ru/d/SwKO9Nm3U_LboA","фото")</f>
        <v>фото</v>
      </c>
      <c r="B655" s="49" t="s">
        <v>2267</v>
      </c>
      <c r="C655" s="50" t="s">
        <v>2268</v>
      </c>
      <c r="D655" s="51" t="s">
        <v>2246</v>
      </c>
      <c r="E655" s="52" t="n">
        <f aca="false">I655*(1-J655)*(100-E1)/100</f>
        <v>6164.48</v>
      </c>
      <c r="F655" s="53"/>
      <c r="G655" s="54" t="n">
        <v>1</v>
      </c>
      <c r="H655" s="52" t="n">
        <f aca="false">E655*F655</f>
        <v>0</v>
      </c>
      <c r="I655" s="55" t="n">
        <v>12040</v>
      </c>
      <c r="J655" s="56" t="n">
        <v>0.2</v>
      </c>
      <c r="K655" s="57" t="n">
        <v>46</v>
      </c>
      <c r="L655" s="22" t="s">
        <v>53</v>
      </c>
      <c r="M655" s="22" t="s">
        <v>31</v>
      </c>
      <c r="N655" s="58" t="n">
        <f aca="false">F655*P655</f>
        <v>0</v>
      </c>
      <c r="O655" s="58" t="n">
        <f aca="false">F655*Q655</f>
        <v>0</v>
      </c>
      <c r="P655" s="58" t="n">
        <v>18.1</v>
      </c>
      <c r="Q655" s="58" t="n">
        <v>0.085</v>
      </c>
      <c r="R655" s="59" t="s">
        <v>2269</v>
      </c>
      <c r="S655" s="22"/>
      <c r="T655" s="11" t="str">
        <f aca="false">"16.12.25"</f>
        <v>16.12.25</v>
      </c>
    </row>
    <row r="656" customFormat="false" ht="7.5" hidden="false" customHeight="true" outlineLevel="2" collapsed="false">
      <c r="A656" s="60" t="str">
        <f aca="false">HYPERLINK("https://disk.360.yandex.ru/d/TOQjI5HlyQcFSg","фото")</f>
        <v>фото</v>
      </c>
      <c r="B656" s="49" t="s">
        <v>2270</v>
      </c>
      <c r="C656" s="50" t="s">
        <v>2271</v>
      </c>
      <c r="D656" s="51" t="s">
        <v>2272</v>
      </c>
      <c r="E656" s="52" t="n">
        <f aca="false">I656*(1-J656)*(100-E1)/100</f>
        <v>7392.96</v>
      </c>
      <c r="F656" s="53"/>
      <c r="G656" s="54" t="n">
        <v>1</v>
      </c>
      <c r="H656" s="52" t="n">
        <f aca="false">E656*F656</f>
        <v>0</v>
      </c>
      <c r="I656" s="55" t="n">
        <v>13590</v>
      </c>
      <c r="J656" s="56" t="n">
        <v>0.15</v>
      </c>
      <c r="K656" s="57" t="n">
        <v>442</v>
      </c>
      <c r="L656" s="22" t="s">
        <v>53</v>
      </c>
      <c r="M656" s="22" t="s">
        <v>152</v>
      </c>
      <c r="N656" s="58" t="n">
        <f aca="false">F656*P656</f>
        <v>0</v>
      </c>
      <c r="O656" s="58" t="n">
        <f aca="false">F656*Q656</f>
        <v>0</v>
      </c>
      <c r="P656" s="58" t="n">
        <v>20</v>
      </c>
      <c r="Q656" s="58" t="n">
        <v>0.086</v>
      </c>
      <c r="R656" s="59" t="s">
        <v>2273</v>
      </c>
      <c r="S656" s="22"/>
      <c r="T656" s="11" t="str">
        <f aca="false">"16.12.25"</f>
        <v>16.12.25</v>
      </c>
    </row>
    <row r="657" customFormat="false" ht="7.5" hidden="false" customHeight="true" outlineLevel="2" collapsed="false">
      <c r="A657" s="60" t="str">
        <f aca="false">HYPERLINK("https://disk.360.yandex.ru/d/KZh6ADB7vO42IQ","фото")</f>
        <v>фото</v>
      </c>
      <c r="B657" s="49" t="s">
        <v>2274</v>
      </c>
      <c r="C657" s="50" t="s">
        <v>2275</v>
      </c>
      <c r="D657" s="51" t="s">
        <v>2276</v>
      </c>
      <c r="E657" s="52" t="n">
        <f aca="false">I657*(1-J657)*(100-E1)/100</f>
        <v>7392.96</v>
      </c>
      <c r="F657" s="53"/>
      <c r="G657" s="54" t="n">
        <v>1</v>
      </c>
      <c r="H657" s="52" t="n">
        <f aca="false">E657*F657</f>
        <v>0</v>
      </c>
      <c r="I657" s="55" t="n">
        <v>13590</v>
      </c>
      <c r="J657" s="56" t="n">
        <v>0.15</v>
      </c>
      <c r="K657" s="57" t="n">
        <v>44</v>
      </c>
      <c r="L657" s="22" t="s">
        <v>53</v>
      </c>
      <c r="M657" s="22"/>
      <c r="N657" s="58" t="n">
        <f aca="false">F657*P657</f>
        <v>0</v>
      </c>
      <c r="O657" s="58" t="n">
        <f aca="false">F657*Q657</f>
        <v>0</v>
      </c>
      <c r="P657" s="58" t="n">
        <v>16.44</v>
      </c>
      <c r="Q657" s="58" t="n">
        <v>0.08</v>
      </c>
      <c r="R657" s="59" t="s">
        <v>2277</v>
      </c>
      <c r="S657" s="22"/>
      <c r="T657" s="11" t="str">
        <f aca="false">"16.12.25"</f>
        <v>16.12.25</v>
      </c>
    </row>
    <row r="658" customFormat="false" ht="7.5" hidden="false" customHeight="true" outlineLevel="2" collapsed="false">
      <c r="A658" s="60" t="str">
        <f aca="false">HYPERLINK("https://disk.360.yandex.ru/d/u-Pl16xYTGt0ig","фото")</f>
        <v>фото</v>
      </c>
      <c r="B658" s="49" t="s">
        <v>2278</v>
      </c>
      <c r="C658" s="50" t="s">
        <v>2279</v>
      </c>
      <c r="D658" s="51" t="s">
        <v>2280</v>
      </c>
      <c r="E658" s="52" t="n">
        <f aca="false">I658*(1-J658)*(100-E1)/100</f>
        <v>17075.2</v>
      </c>
      <c r="F658" s="53"/>
      <c r="G658" s="54" t="n">
        <v>1</v>
      </c>
      <c r="H658" s="52" t="n">
        <f aca="false">E658*F658</f>
        <v>0</v>
      </c>
      <c r="I658" s="55" t="n">
        <v>26680</v>
      </c>
      <c r="J658" s="56"/>
      <c r="K658" s="57" t="n">
        <v>365</v>
      </c>
      <c r="L658" s="22" t="s">
        <v>53</v>
      </c>
      <c r="M658" s="22"/>
      <c r="N658" s="58" t="n">
        <f aca="false">F658*P658</f>
        <v>0</v>
      </c>
      <c r="O658" s="58" t="n">
        <f aca="false">F658*Q658</f>
        <v>0</v>
      </c>
      <c r="P658" s="58" t="n">
        <v>38</v>
      </c>
      <c r="Q658" s="58" t="n">
        <v>0.141</v>
      </c>
      <c r="R658" s="59" t="s">
        <v>2281</v>
      </c>
      <c r="S658" s="22"/>
      <c r="T658" s="11" t="str">
        <f aca="false">"16.12.25"</f>
        <v>16.12.25</v>
      </c>
    </row>
    <row r="659" customFormat="false" ht="7.5" hidden="false" customHeight="true" outlineLevel="2" collapsed="false">
      <c r="A659" s="60" t="str">
        <f aca="false">HYPERLINK("https://disk.360.yandex.ru/d/vwuonTdatTYcnw","фото")</f>
        <v>фото</v>
      </c>
      <c r="B659" s="49" t="s">
        <v>2282</v>
      </c>
      <c r="C659" s="50" t="s">
        <v>2283</v>
      </c>
      <c r="D659" s="51" t="s">
        <v>2284</v>
      </c>
      <c r="E659" s="52" t="n">
        <f aca="false">I659*(1-J659)*(100-E1)/100</f>
        <v>14513.92</v>
      </c>
      <c r="F659" s="53"/>
      <c r="G659" s="54" t="n">
        <v>1</v>
      </c>
      <c r="H659" s="52" t="n">
        <f aca="false">E659*F659</f>
        <v>0</v>
      </c>
      <c r="I659" s="55" t="n">
        <v>26680</v>
      </c>
      <c r="J659" s="56" t="n">
        <v>0.15</v>
      </c>
      <c r="K659" s="57" t="n">
        <v>0</v>
      </c>
      <c r="L659" s="22" t="s">
        <v>53</v>
      </c>
      <c r="M659" s="22"/>
      <c r="N659" s="58" t="n">
        <f aca="false">F659*P659</f>
        <v>0</v>
      </c>
      <c r="O659" s="58" t="n">
        <f aca="false">F659*Q659</f>
        <v>0</v>
      </c>
      <c r="P659" s="58" t="n">
        <v>31.28</v>
      </c>
      <c r="Q659" s="58" t="n">
        <v>0.15</v>
      </c>
      <c r="R659" s="59" t="s">
        <v>2285</v>
      </c>
      <c r="S659" s="22"/>
      <c r="T659" s="11" t="str">
        <f aca="false">"16.12.25"</f>
        <v>16.12.25</v>
      </c>
    </row>
    <row r="660" customFormat="false" ht="7.5" hidden="false" customHeight="true" outlineLevel="2" collapsed="false">
      <c r="A660" s="60" t="str">
        <f aca="false">HYPERLINK("https://disk.360.yandex.ru/d/hRiRwO2XzNLMBw","фото")</f>
        <v>фото</v>
      </c>
      <c r="B660" s="49" t="s">
        <v>2286</v>
      </c>
      <c r="C660" s="50" t="s">
        <v>2287</v>
      </c>
      <c r="D660" s="51" t="s">
        <v>2288</v>
      </c>
      <c r="E660" s="52" t="n">
        <f aca="false">I660*(1-J660)*(100-E1)/100</f>
        <v>7526.4</v>
      </c>
      <c r="F660" s="53"/>
      <c r="G660" s="54" t="n">
        <v>1</v>
      </c>
      <c r="H660" s="52" t="n">
        <f aca="false">E660*F660</f>
        <v>0</v>
      </c>
      <c r="I660" s="55" t="n">
        <v>14700</v>
      </c>
      <c r="J660" s="56" t="n">
        <v>0.2</v>
      </c>
      <c r="K660" s="57" t="n">
        <v>45</v>
      </c>
      <c r="L660" s="22" t="s">
        <v>53</v>
      </c>
      <c r="M660" s="22"/>
      <c r="N660" s="58" t="n">
        <f aca="false">F660*P660</f>
        <v>0</v>
      </c>
      <c r="O660" s="58" t="n">
        <f aca="false">F660*Q660</f>
        <v>0</v>
      </c>
      <c r="P660" s="58" t="n">
        <v>16.42</v>
      </c>
      <c r="Q660" s="58" t="n">
        <v>0.061</v>
      </c>
      <c r="R660" s="59" t="s">
        <v>2289</v>
      </c>
      <c r="S660" s="22"/>
      <c r="T660" s="11" t="str">
        <f aca="false">"16.12.25"</f>
        <v>16.12.25</v>
      </c>
    </row>
    <row r="661" customFormat="false" ht="7.5" hidden="false" customHeight="true" outlineLevel="1" collapsed="false">
      <c r="A661" s="38"/>
      <c r="B661" s="39"/>
      <c r="C661" s="40" t="s">
        <v>2290</v>
      </c>
      <c r="D661" s="41"/>
      <c r="E661" s="42"/>
      <c r="F661" s="43"/>
      <c r="G661" s="44"/>
      <c r="H661" s="42"/>
      <c r="I661" s="45"/>
      <c r="J661" s="46"/>
      <c r="K661" s="45"/>
      <c r="L661" s="44"/>
      <c r="M661" s="44"/>
      <c r="N661" s="47"/>
      <c r="O661" s="47"/>
      <c r="P661" s="47"/>
      <c r="Q661" s="47"/>
      <c r="R661" s="39"/>
      <c r="S661" s="44"/>
      <c r="T661" s="11" t="str">
        <f aca="false">"16.12.25"</f>
        <v>16.12.25</v>
      </c>
    </row>
    <row r="662" customFormat="false" ht="7.5" hidden="false" customHeight="true" outlineLevel="2" collapsed="false">
      <c r="A662" s="60" t="str">
        <f aca="false">HYPERLINK("https://disk.360.yandex.ru/d/YTEQfsLBG3z3Rg","фото")</f>
        <v>фото</v>
      </c>
      <c r="B662" s="49" t="s">
        <v>2291</v>
      </c>
      <c r="C662" s="50" t="s">
        <v>2292</v>
      </c>
      <c r="D662" s="51" t="s">
        <v>2293</v>
      </c>
      <c r="E662" s="52" t="n">
        <f aca="false">I662*(1-J662)*(100-E1)/100</f>
        <v>3168</v>
      </c>
      <c r="F662" s="53"/>
      <c r="G662" s="54" t="n">
        <v>10</v>
      </c>
      <c r="H662" s="52" t="n">
        <f aca="false">E662*F662</f>
        <v>0</v>
      </c>
      <c r="I662" s="55" t="n">
        <v>4950</v>
      </c>
      <c r="J662" s="56"/>
      <c r="K662" s="57" t="n">
        <v>64</v>
      </c>
      <c r="L662" s="22" t="s">
        <v>44</v>
      </c>
      <c r="M662" s="22"/>
      <c r="N662" s="58" t="n">
        <f aca="false">F662*P662</f>
        <v>0</v>
      </c>
      <c r="O662" s="58" t="n">
        <f aca="false">F662*Q662</f>
        <v>0</v>
      </c>
      <c r="P662" s="58" t="n">
        <v>2</v>
      </c>
      <c r="Q662" s="58" t="n">
        <v>0.002</v>
      </c>
      <c r="R662" s="59" t="s">
        <v>2294</v>
      </c>
      <c r="S662" s="22"/>
      <c r="T662" s="11" t="str">
        <f aca="false">"16.12.25"</f>
        <v>16.12.25</v>
      </c>
    </row>
    <row r="663" customFormat="false" ht="7.5" hidden="false" customHeight="true" outlineLevel="2" collapsed="false">
      <c r="A663" s="60" t="str">
        <f aca="false">HYPERLINK("https://disk.360.yandex.ru/d/2sT6lV2-zDiAug","фото")</f>
        <v>фото</v>
      </c>
      <c r="B663" s="49" t="s">
        <v>2295</v>
      </c>
      <c r="C663" s="50" t="s">
        <v>2296</v>
      </c>
      <c r="D663" s="51" t="s">
        <v>2297</v>
      </c>
      <c r="E663" s="52" t="n">
        <f aca="false">I663*(1-J663)*(100-E1)/100</f>
        <v>1500.16</v>
      </c>
      <c r="F663" s="53"/>
      <c r="G663" s="54" t="n">
        <v>5</v>
      </c>
      <c r="H663" s="52" t="n">
        <f aca="false">E663*F663</f>
        <v>0</v>
      </c>
      <c r="I663" s="55" t="n">
        <v>2930</v>
      </c>
      <c r="J663" s="56" t="n">
        <v>0.2</v>
      </c>
      <c r="K663" s="57" t="n">
        <v>406</v>
      </c>
      <c r="L663" s="22" t="s">
        <v>53</v>
      </c>
      <c r="M663" s="22"/>
      <c r="N663" s="58" t="n">
        <f aca="false">F663*P663</f>
        <v>0</v>
      </c>
      <c r="O663" s="58" t="n">
        <f aca="false">F663*Q663</f>
        <v>0</v>
      </c>
      <c r="P663" s="58" t="n">
        <v>1.28</v>
      </c>
      <c r="Q663" s="58" t="n">
        <v>0.04</v>
      </c>
      <c r="R663" s="59" t="s">
        <v>2298</v>
      </c>
      <c r="S663" s="22"/>
      <c r="T663" s="11" t="str">
        <f aca="false">"16.12.25"</f>
        <v>16.12.25</v>
      </c>
    </row>
    <row r="664" customFormat="false" ht="7.5" hidden="false" customHeight="true" outlineLevel="1" collapsed="false">
      <c r="A664" s="38"/>
      <c r="B664" s="39"/>
      <c r="C664" s="40" t="s">
        <v>2299</v>
      </c>
      <c r="D664" s="41"/>
      <c r="E664" s="42"/>
      <c r="F664" s="43"/>
      <c r="G664" s="44"/>
      <c r="H664" s="42"/>
      <c r="I664" s="45"/>
      <c r="J664" s="46"/>
      <c r="K664" s="45"/>
      <c r="L664" s="44"/>
      <c r="M664" s="44"/>
      <c r="N664" s="47"/>
      <c r="O664" s="47"/>
      <c r="P664" s="47"/>
      <c r="Q664" s="47"/>
      <c r="R664" s="39"/>
      <c r="S664" s="44"/>
      <c r="T664" s="11" t="str">
        <f aca="false">"16.12.25"</f>
        <v>16.12.25</v>
      </c>
    </row>
    <row r="665" customFormat="false" ht="7.5" hidden="false" customHeight="true" outlineLevel="2" collapsed="false">
      <c r="A665" s="60" t="str">
        <f aca="false">HYPERLINK("https://disk.360.yandex.ru/d/86N7PAPA9dLB8w","фото")</f>
        <v>фото</v>
      </c>
      <c r="B665" s="49" t="s">
        <v>2300</v>
      </c>
      <c r="C665" s="50" t="s">
        <v>2301</v>
      </c>
      <c r="D665" s="51" t="s">
        <v>2302</v>
      </c>
      <c r="E665" s="52" t="n">
        <f aca="false">I665*(1-J665)*(100-E1)/100</f>
        <v>1976.32</v>
      </c>
      <c r="F665" s="53"/>
      <c r="G665" s="54" t="n">
        <v>10</v>
      </c>
      <c r="H665" s="52" t="n">
        <f aca="false">E665*F665</f>
        <v>0</v>
      </c>
      <c r="I665" s="55" t="n">
        <v>3860</v>
      </c>
      <c r="J665" s="56" t="n">
        <v>0.2</v>
      </c>
      <c r="K665" s="57" t="n">
        <v>234</v>
      </c>
      <c r="L665" s="22" t="s">
        <v>53</v>
      </c>
      <c r="M665" s="22"/>
      <c r="N665" s="58" t="n">
        <f aca="false">F665*P665</f>
        <v>0</v>
      </c>
      <c r="O665" s="58" t="n">
        <f aca="false">F665*Q665</f>
        <v>0</v>
      </c>
      <c r="P665" s="58" t="n">
        <v>2.1</v>
      </c>
      <c r="Q665" s="58" t="n">
        <v>0.004</v>
      </c>
      <c r="R665" s="59" t="s">
        <v>2303</v>
      </c>
      <c r="S665" s="22"/>
      <c r="T665" s="11" t="str">
        <f aca="false">"16.12.25"</f>
        <v>16.12.25</v>
      </c>
    </row>
    <row r="666" customFormat="false" ht="7.5" hidden="false" customHeight="true" outlineLevel="2" collapsed="false">
      <c r="A666" s="60" t="str">
        <f aca="false">HYPERLINK("https://disk.360.yandex.ru/d/vI4mpD7ED-I93A","фото")</f>
        <v>фото</v>
      </c>
      <c r="B666" s="49" t="s">
        <v>2304</v>
      </c>
      <c r="C666" s="50" t="s">
        <v>2305</v>
      </c>
      <c r="D666" s="51" t="s">
        <v>2306</v>
      </c>
      <c r="E666" s="52" t="n">
        <f aca="false">I666*(1-J666)*(100-E1)/100</f>
        <v>2339.84</v>
      </c>
      <c r="F666" s="53"/>
      <c r="G666" s="54" t="n">
        <v>10</v>
      </c>
      <c r="H666" s="52" t="n">
        <f aca="false">E666*F666</f>
        <v>0</v>
      </c>
      <c r="I666" s="55" t="n">
        <v>4570</v>
      </c>
      <c r="J666" s="56" t="n">
        <v>0.2</v>
      </c>
      <c r="K666" s="57" t="n">
        <v>325</v>
      </c>
      <c r="L666" s="22" t="s">
        <v>53</v>
      </c>
      <c r="M666" s="22"/>
      <c r="N666" s="58" t="n">
        <f aca="false">F666*P666</f>
        <v>0</v>
      </c>
      <c r="O666" s="58" t="n">
        <f aca="false">F666*Q666</f>
        <v>0</v>
      </c>
      <c r="P666" s="58" t="n">
        <v>1.81</v>
      </c>
      <c r="Q666" s="58" t="n">
        <v>0.004</v>
      </c>
      <c r="R666" s="59" t="s">
        <v>2307</v>
      </c>
      <c r="S666" s="22"/>
      <c r="T666" s="11" t="str">
        <f aca="false">"16.12.25"</f>
        <v>16.12.25</v>
      </c>
    </row>
    <row r="667" customFormat="false" ht="7.5" hidden="false" customHeight="true" outlineLevel="2" collapsed="false">
      <c r="A667" s="60" t="str">
        <f aca="false">HYPERLINK("https://disk.360.yandex.ru/d/b2FAWZ9MauIvlw","фото")</f>
        <v>фото</v>
      </c>
      <c r="B667" s="49" t="s">
        <v>2308</v>
      </c>
      <c r="C667" s="50" t="s">
        <v>2309</v>
      </c>
      <c r="D667" s="51" t="s">
        <v>2310</v>
      </c>
      <c r="E667" s="52" t="n">
        <f aca="false">I667*(1-J667)*(100-E1)/100</f>
        <v>1474.56</v>
      </c>
      <c r="F667" s="53"/>
      <c r="G667" s="54" t="n">
        <v>10</v>
      </c>
      <c r="H667" s="52" t="n">
        <f aca="false">E667*F667</f>
        <v>0</v>
      </c>
      <c r="I667" s="55" t="n">
        <v>2880</v>
      </c>
      <c r="J667" s="56" t="n">
        <v>0.2</v>
      </c>
      <c r="K667" s="57" t="n">
        <v>453</v>
      </c>
      <c r="L667" s="22" t="s">
        <v>53</v>
      </c>
      <c r="M667" s="22"/>
      <c r="N667" s="58" t="n">
        <f aca="false">F667*P667</f>
        <v>0</v>
      </c>
      <c r="O667" s="58" t="n">
        <f aca="false">F667*Q667</f>
        <v>0</v>
      </c>
      <c r="P667" s="58" t="n">
        <v>0.86</v>
      </c>
      <c r="Q667" s="58" t="n">
        <v>0.004</v>
      </c>
      <c r="R667" s="59" t="s">
        <v>2311</v>
      </c>
      <c r="S667" s="22"/>
      <c r="T667" s="11" t="str">
        <f aca="false">"16.12.25"</f>
        <v>16.12.25</v>
      </c>
    </row>
    <row r="668" customFormat="false" ht="7.5" hidden="false" customHeight="true" outlineLevel="1" collapsed="false">
      <c r="A668" s="38"/>
      <c r="B668" s="39"/>
      <c r="C668" s="40" t="s">
        <v>2312</v>
      </c>
      <c r="D668" s="41"/>
      <c r="E668" s="42"/>
      <c r="F668" s="43"/>
      <c r="G668" s="44"/>
      <c r="H668" s="42"/>
      <c r="I668" s="45"/>
      <c r="J668" s="46"/>
      <c r="K668" s="45"/>
      <c r="L668" s="44"/>
      <c r="M668" s="44"/>
      <c r="N668" s="47"/>
      <c r="O668" s="47"/>
      <c r="P668" s="47"/>
      <c r="Q668" s="47"/>
      <c r="R668" s="39"/>
      <c r="S668" s="44"/>
      <c r="T668" s="11" t="str">
        <f aca="false">"16.12.25"</f>
        <v>16.12.25</v>
      </c>
    </row>
    <row r="669" customFormat="false" ht="7.5" hidden="false" customHeight="true" outlineLevel="2" collapsed="false">
      <c r="A669" s="60" t="str">
        <f aca="false">HYPERLINK("https://disk.360.yandex.ru/d/2XViaBcfyOeGBw","фото")</f>
        <v>фото</v>
      </c>
      <c r="B669" s="49" t="s">
        <v>2313</v>
      </c>
      <c r="C669" s="50" t="s">
        <v>2314</v>
      </c>
      <c r="D669" s="51"/>
      <c r="E669" s="52" t="n">
        <f aca="false">I669*(1-J669)*(100-E1)/100</f>
        <v>7840</v>
      </c>
      <c r="F669" s="53"/>
      <c r="G669" s="54" t="n">
        <v>5</v>
      </c>
      <c r="H669" s="52" t="n">
        <f aca="false">E669*F669</f>
        <v>0</v>
      </c>
      <c r="I669" s="55" t="n">
        <v>12250</v>
      </c>
      <c r="J669" s="56"/>
      <c r="K669" s="57" t="n">
        <v>3</v>
      </c>
      <c r="L669" s="22" t="s">
        <v>44</v>
      </c>
      <c r="M669" s="22"/>
      <c r="N669" s="58" t="n">
        <f aca="false">F669*P669</f>
        <v>0</v>
      </c>
      <c r="O669" s="58" t="n">
        <f aca="false">F669*Q669</f>
        <v>0</v>
      </c>
      <c r="P669" s="58" t="n">
        <v>3.15</v>
      </c>
      <c r="Q669" s="58" t="n">
        <v>0.004</v>
      </c>
      <c r="R669" s="59" t="s">
        <v>2315</v>
      </c>
      <c r="S669" s="22"/>
      <c r="T669" s="11" t="str">
        <f aca="false">"16.12.25"</f>
        <v>16.12.25</v>
      </c>
    </row>
    <row r="670" customFormat="false" ht="7.5" hidden="false" customHeight="true" outlineLevel="2" collapsed="false">
      <c r="A670" s="60" t="str">
        <f aca="false">HYPERLINK("https://disk.360.yandex.ru/d/-_wEWoPpW4IGuQ","фото")</f>
        <v>фото</v>
      </c>
      <c r="B670" s="49" t="s">
        <v>2316</v>
      </c>
      <c r="C670" s="50" t="s">
        <v>2317</v>
      </c>
      <c r="D670" s="51" t="s">
        <v>2318</v>
      </c>
      <c r="E670" s="52" t="n">
        <f aca="false">I670*(1-J670)*(100-E1)/100</f>
        <v>8000</v>
      </c>
      <c r="F670" s="53"/>
      <c r="G670" s="54" t="n">
        <v>10</v>
      </c>
      <c r="H670" s="52" t="n">
        <f aca="false">E670*F670</f>
        <v>0</v>
      </c>
      <c r="I670" s="55" t="n">
        <v>12500</v>
      </c>
      <c r="J670" s="56"/>
      <c r="K670" s="57" t="n">
        <v>42</v>
      </c>
      <c r="L670" s="22" t="s">
        <v>44</v>
      </c>
      <c r="M670" s="22"/>
      <c r="N670" s="58" t="n">
        <f aca="false">F670*P670</f>
        <v>0</v>
      </c>
      <c r="O670" s="58" t="n">
        <f aca="false">F670*Q670</f>
        <v>0</v>
      </c>
      <c r="P670" s="58" t="n">
        <v>2.2</v>
      </c>
      <c r="Q670" s="58" t="n">
        <v>0.003</v>
      </c>
      <c r="R670" s="59" t="s">
        <v>2319</v>
      </c>
      <c r="S670" s="22"/>
      <c r="T670" s="11" t="str">
        <f aca="false">"16.12.25"</f>
        <v>16.12.25</v>
      </c>
    </row>
    <row r="671" customFormat="false" ht="7.5" hidden="false" customHeight="true" outlineLevel="2" collapsed="false">
      <c r="A671" s="60" t="str">
        <f aca="false">HYPERLINK("https://disk.360.yandex.ru/d/3v42ZEpuE73RMg","фото")</f>
        <v>фото</v>
      </c>
      <c r="B671" s="49" t="s">
        <v>2320</v>
      </c>
      <c r="C671" s="50" t="s">
        <v>2321</v>
      </c>
      <c r="D671" s="51" t="s">
        <v>2322</v>
      </c>
      <c r="E671" s="52" t="n">
        <f aca="false">I671*(1-J671)*(100-E1)/100</f>
        <v>3374.08</v>
      </c>
      <c r="F671" s="53"/>
      <c r="G671" s="54" t="n">
        <v>10</v>
      </c>
      <c r="H671" s="52" t="n">
        <f aca="false">E671*F671</f>
        <v>0</v>
      </c>
      <c r="I671" s="55" t="n">
        <v>6590</v>
      </c>
      <c r="J671" s="56" t="n">
        <v>0.2</v>
      </c>
      <c r="K671" s="57" t="n">
        <v>352</v>
      </c>
      <c r="L671" s="22" t="s">
        <v>53</v>
      </c>
      <c r="M671" s="22"/>
      <c r="N671" s="58" t="n">
        <f aca="false">F671*P671</f>
        <v>0</v>
      </c>
      <c r="O671" s="58" t="n">
        <f aca="false">F671*Q671</f>
        <v>0</v>
      </c>
      <c r="P671" s="58" t="n">
        <v>2.6</v>
      </c>
      <c r="Q671" s="58" t="n">
        <v>0.04</v>
      </c>
      <c r="R671" s="59" t="s">
        <v>2323</v>
      </c>
      <c r="S671" s="22"/>
      <c r="T671" s="11" t="str">
        <f aca="false">"16.12.25"</f>
        <v>16.12.25</v>
      </c>
    </row>
    <row r="672" customFormat="false" ht="7.5" hidden="false" customHeight="true" outlineLevel="2" collapsed="false">
      <c r="A672" s="60" t="str">
        <f aca="false">HYPERLINK("https://disk.360.yandex.ru/d/cn64ZSpPb1FELw","фото")</f>
        <v>фото</v>
      </c>
      <c r="B672" s="49" t="s">
        <v>2324</v>
      </c>
      <c r="C672" s="50" t="s">
        <v>2325</v>
      </c>
      <c r="D672" s="51" t="s">
        <v>2326</v>
      </c>
      <c r="E672" s="52" t="n">
        <f aca="false">I672*(1-J672)*(100-E1)/100</f>
        <v>1909.76</v>
      </c>
      <c r="F672" s="53"/>
      <c r="G672" s="54" t="n">
        <v>6</v>
      </c>
      <c r="H672" s="52" t="n">
        <f aca="false">E672*F672</f>
        <v>0</v>
      </c>
      <c r="I672" s="55" t="n">
        <v>3730</v>
      </c>
      <c r="J672" s="56" t="n">
        <v>0.2</v>
      </c>
      <c r="K672" s="57" t="n">
        <v>256</v>
      </c>
      <c r="L672" s="22" t="s">
        <v>53</v>
      </c>
      <c r="M672" s="22"/>
      <c r="N672" s="58" t="n">
        <f aca="false">F672*P672</f>
        <v>0</v>
      </c>
      <c r="O672" s="58" t="n">
        <f aca="false">F672*Q672</f>
        <v>0</v>
      </c>
      <c r="P672" s="58" t="n">
        <v>2.38</v>
      </c>
      <c r="Q672" s="58" t="n">
        <v>0.03</v>
      </c>
      <c r="R672" s="59" t="s">
        <v>2327</v>
      </c>
      <c r="S672" s="22"/>
      <c r="T672" s="11" t="str">
        <f aca="false">"16.12.25"</f>
        <v>16.12.25</v>
      </c>
    </row>
    <row r="673" customFormat="false" ht="7.5" hidden="false" customHeight="true" outlineLevel="2" collapsed="false">
      <c r="A673" s="60" t="str">
        <f aca="false">HYPERLINK("https://disk.360.yandex.ru/d/VJSYGZ_MISoXKQ","фото")</f>
        <v>фото</v>
      </c>
      <c r="B673" s="49" t="s">
        <v>2328</v>
      </c>
      <c r="C673" s="50" t="s">
        <v>2329</v>
      </c>
      <c r="D673" s="51" t="s">
        <v>2330</v>
      </c>
      <c r="E673" s="52" t="n">
        <f aca="false">I673*(1-J673)*(100-E1)/100</f>
        <v>1541.12</v>
      </c>
      <c r="F673" s="53"/>
      <c r="G673" s="54" t="n">
        <v>20</v>
      </c>
      <c r="H673" s="52" t="n">
        <f aca="false">E673*F673</f>
        <v>0</v>
      </c>
      <c r="I673" s="55" t="n">
        <v>3010</v>
      </c>
      <c r="J673" s="56" t="n">
        <v>0.2</v>
      </c>
      <c r="K673" s="57" t="n">
        <v>204</v>
      </c>
      <c r="L673" s="22" t="s">
        <v>53</v>
      </c>
      <c r="M673" s="22"/>
      <c r="N673" s="58" t="n">
        <f aca="false">F673*P673</f>
        <v>0</v>
      </c>
      <c r="O673" s="58" t="n">
        <f aca="false">F673*Q673</f>
        <v>0</v>
      </c>
      <c r="P673" s="58" t="n">
        <v>1.35</v>
      </c>
      <c r="Q673" s="58" t="n">
        <v>0.02</v>
      </c>
      <c r="R673" s="59" t="s">
        <v>2331</v>
      </c>
      <c r="S673" s="22"/>
      <c r="T673" s="11" t="str">
        <f aca="false">"16.12.25"</f>
        <v>16.12.25</v>
      </c>
    </row>
    <row r="674" customFormat="false" ht="7.5" hidden="false" customHeight="true" outlineLevel="2" collapsed="false">
      <c r="A674" s="60" t="str">
        <f aca="false">HYPERLINK("https://disk.360.yandex.ru/d/x36ss7_e_j5eUg","фото")</f>
        <v>фото</v>
      </c>
      <c r="B674" s="49" t="s">
        <v>2332</v>
      </c>
      <c r="C674" s="50" t="s">
        <v>2333</v>
      </c>
      <c r="D674" s="51" t="s">
        <v>2334</v>
      </c>
      <c r="E674" s="52" t="n">
        <f aca="false">I674*(1-J674)*(100-E1)/100</f>
        <v>3143.68</v>
      </c>
      <c r="F674" s="53"/>
      <c r="G674" s="54" t="n">
        <v>10</v>
      </c>
      <c r="H674" s="52" t="n">
        <f aca="false">E674*F674</f>
        <v>0</v>
      </c>
      <c r="I674" s="55" t="n">
        <v>6140</v>
      </c>
      <c r="J674" s="56" t="n">
        <v>0.2</v>
      </c>
      <c r="K674" s="57" t="n">
        <v>415</v>
      </c>
      <c r="L674" s="22" t="s">
        <v>53</v>
      </c>
      <c r="M674" s="22"/>
      <c r="N674" s="58" t="n">
        <f aca="false">F674*P674</f>
        <v>0</v>
      </c>
      <c r="O674" s="58" t="n">
        <f aca="false">F674*Q674</f>
        <v>0</v>
      </c>
      <c r="P674" s="58" t="n">
        <v>1.31</v>
      </c>
      <c r="Q674" s="58" t="n">
        <v>0.02</v>
      </c>
      <c r="R674" s="59" t="s">
        <v>2335</v>
      </c>
      <c r="S674" s="22"/>
      <c r="T674" s="11" t="str">
        <f aca="false">"16.12.25"</f>
        <v>16.12.25</v>
      </c>
    </row>
    <row r="675" customFormat="false" ht="7.5" hidden="false" customHeight="true" outlineLevel="2" collapsed="false">
      <c r="A675" s="60" t="str">
        <f aca="false">HYPERLINK("https://disk.360.yandex.ru/d/wAZPAq7gN8eUyw","фото")</f>
        <v>фото</v>
      </c>
      <c r="B675" s="49" t="s">
        <v>2336</v>
      </c>
      <c r="C675" s="50" t="s">
        <v>2337</v>
      </c>
      <c r="D675" s="51" t="s">
        <v>2338</v>
      </c>
      <c r="E675" s="52" t="n">
        <f aca="false">I675*(1-J675)*(100-E1)/100</f>
        <v>4172.8</v>
      </c>
      <c r="F675" s="53"/>
      <c r="G675" s="54" t="n">
        <v>10</v>
      </c>
      <c r="H675" s="52" t="n">
        <f aca="false">E675*F675</f>
        <v>0</v>
      </c>
      <c r="I675" s="55" t="n">
        <v>8150</v>
      </c>
      <c r="J675" s="56" t="n">
        <v>0.2</v>
      </c>
      <c r="K675" s="57" t="n">
        <v>446</v>
      </c>
      <c r="L675" s="22" t="s">
        <v>53</v>
      </c>
      <c r="M675" s="22"/>
      <c r="N675" s="58" t="n">
        <f aca="false">F675*P675</f>
        <v>0</v>
      </c>
      <c r="O675" s="58" t="n">
        <f aca="false">F675*Q675</f>
        <v>0</v>
      </c>
      <c r="P675" s="58" t="n">
        <v>1.7</v>
      </c>
      <c r="Q675" s="58" t="n">
        <v>0.02</v>
      </c>
      <c r="R675" s="59" t="s">
        <v>2339</v>
      </c>
      <c r="S675" s="22"/>
      <c r="T675" s="11" t="str">
        <f aca="false">"16.12.25"</f>
        <v>16.12.25</v>
      </c>
    </row>
    <row r="676" customFormat="false" ht="7.5" hidden="false" customHeight="true" outlineLevel="2" collapsed="false">
      <c r="A676" s="60" t="str">
        <f aca="false">HYPERLINK("https://disk.360.yandex.ru/d/iEevy-5mPwu1Wg","фото")</f>
        <v>фото</v>
      </c>
      <c r="B676" s="49" t="s">
        <v>2340</v>
      </c>
      <c r="C676" s="50" t="s">
        <v>2341</v>
      </c>
      <c r="D676" s="51" t="s">
        <v>2342</v>
      </c>
      <c r="E676" s="52" t="n">
        <f aca="false">I676*(1-J676)*(100-E1)/100</f>
        <v>8284.16</v>
      </c>
      <c r="F676" s="53"/>
      <c r="G676" s="54" t="n">
        <v>2</v>
      </c>
      <c r="H676" s="52" t="n">
        <f aca="false">E676*F676</f>
        <v>0</v>
      </c>
      <c r="I676" s="55" t="n">
        <v>16180</v>
      </c>
      <c r="J676" s="56" t="n">
        <v>0.2</v>
      </c>
      <c r="K676" s="57" t="n">
        <v>260</v>
      </c>
      <c r="L676" s="22" t="s">
        <v>53</v>
      </c>
      <c r="M676" s="22"/>
      <c r="N676" s="58" t="n">
        <f aca="false">F676*P676</f>
        <v>0</v>
      </c>
      <c r="O676" s="58" t="n">
        <f aca="false">F676*Q676</f>
        <v>0</v>
      </c>
      <c r="P676" s="58" t="n">
        <v>8</v>
      </c>
      <c r="Q676" s="58" t="n">
        <v>0.03</v>
      </c>
      <c r="R676" s="59" t="s">
        <v>2343</v>
      </c>
      <c r="S676" s="22"/>
      <c r="T676" s="11" t="str">
        <f aca="false">"16.12.25"</f>
        <v>16.12.25</v>
      </c>
    </row>
    <row r="677" customFormat="false" ht="7.5" hidden="false" customHeight="true" outlineLevel="1" collapsed="false">
      <c r="A677" s="38"/>
      <c r="B677" s="39"/>
      <c r="C677" s="40" t="s">
        <v>2344</v>
      </c>
      <c r="D677" s="41"/>
      <c r="E677" s="42"/>
      <c r="F677" s="43"/>
      <c r="G677" s="44"/>
      <c r="H677" s="42"/>
      <c r="I677" s="45"/>
      <c r="J677" s="46"/>
      <c r="K677" s="45"/>
      <c r="L677" s="44"/>
      <c r="M677" s="44"/>
      <c r="N677" s="47"/>
      <c r="O677" s="47"/>
      <c r="P677" s="47"/>
      <c r="Q677" s="47"/>
      <c r="R677" s="39"/>
      <c r="S677" s="44"/>
      <c r="T677" s="11" t="str">
        <f aca="false">"16.12.25"</f>
        <v>16.12.25</v>
      </c>
    </row>
    <row r="678" customFormat="false" ht="7.5" hidden="false" customHeight="true" outlineLevel="2" collapsed="false">
      <c r="A678" s="60" t="str">
        <f aca="false">HYPERLINK("https://disk.360.yandex.ru/d/ZJ8oty3xW5oi1Q","фото")</f>
        <v>фото</v>
      </c>
      <c r="B678" s="49" t="s">
        <v>2345</v>
      </c>
      <c r="C678" s="50" t="s">
        <v>2346</v>
      </c>
      <c r="D678" s="51" t="s">
        <v>2347</v>
      </c>
      <c r="E678" s="52" t="n">
        <f aca="false">I678*(1-J678)*(100-E1)/100</f>
        <v>2058.24</v>
      </c>
      <c r="F678" s="53"/>
      <c r="G678" s="54" t="n">
        <v>10</v>
      </c>
      <c r="H678" s="52" t="n">
        <f aca="false">E678*F678</f>
        <v>0</v>
      </c>
      <c r="I678" s="55" t="n">
        <v>4020</v>
      </c>
      <c r="J678" s="56" t="n">
        <v>0.2</v>
      </c>
      <c r="K678" s="57" t="n">
        <v>365</v>
      </c>
      <c r="L678" s="22" t="s">
        <v>53</v>
      </c>
      <c r="M678" s="22"/>
      <c r="N678" s="58" t="n">
        <f aca="false">F678*P678</f>
        <v>0</v>
      </c>
      <c r="O678" s="58" t="n">
        <f aca="false">F678*Q678</f>
        <v>0</v>
      </c>
      <c r="P678" s="58" t="n">
        <v>1.8</v>
      </c>
      <c r="Q678" s="58" t="n">
        <v>0.05</v>
      </c>
      <c r="R678" s="59" t="s">
        <v>2348</v>
      </c>
      <c r="S678" s="22"/>
      <c r="T678" s="11" t="str">
        <f aca="false">"16.12.25"</f>
        <v>16.12.25</v>
      </c>
    </row>
    <row r="679" customFormat="false" ht="7.5" hidden="false" customHeight="true" outlineLevel="2" collapsed="false">
      <c r="A679" s="60" t="str">
        <f aca="false">HYPERLINK("https://disk.360.yandex.ru/d/eIVhml7Nij_6hg","фото")</f>
        <v>фото</v>
      </c>
      <c r="B679" s="49" t="s">
        <v>2349</v>
      </c>
      <c r="C679" s="50" t="s">
        <v>2350</v>
      </c>
      <c r="D679" s="51" t="s">
        <v>2351</v>
      </c>
      <c r="E679" s="52" t="n">
        <f aca="false">I679*(1-J679)*(100-E1)/100</f>
        <v>1351.68</v>
      </c>
      <c r="F679" s="53"/>
      <c r="G679" s="54" t="n">
        <v>10</v>
      </c>
      <c r="H679" s="52" t="n">
        <f aca="false">E679*F679</f>
        <v>0</v>
      </c>
      <c r="I679" s="55" t="n">
        <v>2640</v>
      </c>
      <c r="J679" s="56" t="n">
        <v>0.2</v>
      </c>
      <c r="K679" s="57" t="n">
        <v>113</v>
      </c>
      <c r="L679" s="22" t="s">
        <v>53</v>
      </c>
      <c r="M679" s="22"/>
      <c r="N679" s="58" t="n">
        <f aca="false">F679*P679</f>
        <v>0</v>
      </c>
      <c r="O679" s="58" t="n">
        <f aca="false">F679*Q679</f>
        <v>0</v>
      </c>
      <c r="P679" s="58" t="n">
        <v>1.1</v>
      </c>
      <c r="Q679" s="58" t="n">
        <v>0.03</v>
      </c>
      <c r="R679" s="59" t="s">
        <v>2352</v>
      </c>
      <c r="S679" s="22"/>
      <c r="T679" s="11" t="str">
        <f aca="false">"16.12.25"</f>
        <v>16.12.25</v>
      </c>
    </row>
    <row r="680" customFormat="false" ht="7.5" hidden="false" customHeight="true" outlineLevel="1" collapsed="false">
      <c r="A680" s="38"/>
      <c r="B680" s="39"/>
      <c r="C680" s="40" t="s">
        <v>2353</v>
      </c>
      <c r="D680" s="41"/>
      <c r="E680" s="42"/>
      <c r="F680" s="43"/>
      <c r="G680" s="44"/>
      <c r="H680" s="42"/>
      <c r="I680" s="45"/>
      <c r="J680" s="46"/>
      <c r="K680" s="45"/>
      <c r="L680" s="44"/>
      <c r="M680" s="44"/>
      <c r="N680" s="47"/>
      <c r="O680" s="47"/>
      <c r="P680" s="47"/>
      <c r="Q680" s="47"/>
      <c r="R680" s="39"/>
      <c r="S680" s="44"/>
      <c r="T680" s="11" t="str">
        <f aca="false">"16.12.25"</f>
        <v>16.12.25</v>
      </c>
    </row>
    <row r="681" customFormat="false" ht="7.5" hidden="false" customHeight="true" outlineLevel="2" collapsed="false">
      <c r="A681" s="60" t="str">
        <f aca="false">HYPERLINK("https://disk.360.yandex.ru/d/rV69Q2B6ZskN4Q","фото")</f>
        <v>фото</v>
      </c>
      <c r="B681" s="49" t="s">
        <v>2354</v>
      </c>
      <c r="C681" s="50" t="s">
        <v>2355</v>
      </c>
      <c r="D681" s="51" t="s">
        <v>2356</v>
      </c>
      <c r="E681" s="52" t="n">
        <f aca="false">I681*(1-J681)*(100-E1)/100</f>
        <v>1024</v>
      </c>
      <c r="F681" s="53"/>
      <c r="G681" s="54" t="n">
        <v>6</v>
      </c>
      <c r="H681" s="52" t="n">
        <f aca="false">E681*F681</f>
        <v>0</v>
      </c>
      <c r="I681" s="55" t="n">
        <v>2000</v>
      </c>
      <c r="J681" s="56" t="n">
        <v>0.2</v>
      </c>
      <c r="K681" s="57" t="n">
        <v>131</v>
      </c>
      <c r="L681" s="22" t="s">
        <v>44</v>
      </c>
      <c r="M681" s="22"/>
      <c r="N681" s="58" t="n">
        <f aca="false">F681*P681</f>
        <v>0</v>
      </c>
      <c r="O681" s="58" t="n">
        <f aca="false">F681*Q681</f>
        <v>0</v>
      </c>
      <c r="P681" s="58" t="n">
        <v>1.33</v>
      </c>
      <c r="Q681" s="58" t="n">
        <v>0.1</v>
      </c>
      <c r="R681" s="59" t="s">
        <v>2357</v>
      </c>
      <c r="S681" s="22"/>
      <c r="T681" s="11" t="str">
        <f aca="false">"16.12.25"</f>
        <v>16.12.25</v>
      </c>
    </row>
    <row r="682" customFormat="false" ht="7.5" hidden="false" customHeight="true" outlineLevel="2" collapsed="false">
      <c r="A682" s="60" t="str">
        <f aca="false">HYPERLINK("https://disk.360.yandex.ru/d/_aXLTl3esTlpTw","фото")</f>
        <v>фото</v>
      </c>
      <c r="B682" s="49" t="s">
        <v>2358</v>
      </c>
      <c r="C682" s="50" t="s">
        <v>2359</v>
      </c>
      <c r="D682" s="51" t="s">
        <v>2360</v>
      </c>
      <c r="E682" s="52" t="n">
        <f aca="false">I682*(1-J682)*(100-E1)/100</f>
        <v>491.52</v>
      </c>
      <c r="F682" s="53"/>
      <c r="G682" s="54" t="n">
        <v>20</v>
      </c>
      <c r="H682" s="52" t="n">
        <f aca="false">E682*F682</f>
        <v>0</v>
      </c>
      <c r="I682" s="55" t="n">
        <v>960</v>
      </c>
      <c r="J682" s="56" t="n">
        <v>0.2</v>
      </c>
      <c r="K682" s="57" t="n">
        <v>387</v>
      </c>
      <c r="L682" s="22" t="s">
        <v>44</v>
      </c>
      <c r="M682" s="22"/>
      <c r="N682" s="58" t="n">
        <f aca="false">F682*P682</f>
        <v>0</v>
      </c>
      <c r="O682" s="58" t="n">
        <f aca="false">F682*Q682</f>
        <v>0</v>
      </c>
      <c r="P682" s="58" t="n">
        <v>0.75</v>
      </c>
      <c r="Q682" s="58" t="n">
        <v>0.07</v>
      </c>
      <c r="R682" s="59" t="s">
        <v>2361</v>
      </c>
      <c r="S682" s="22"/>
      <c r="T682" s="11" t="str">
        <f aca="false">"16.12.25"</f>
        <v>16.12.25</v>
      </c>
    </row>
    <row r="683" customFormat="false" ht="7.5" hidden="false" customHeight="true" outlineLevel="2" collapsed="false">
      <c r="A683" s="60" t="str">
        <f aca="false">HYPERLINK("https://disk.360.yandex.ru/d/jnR-Mr_vos55lg","фото")</f>
        <v>фото</v>
      </c>
      <c r="B683" s="49" t="s">
        <v>2362</v>
      </c>
      <c r="C683" s="50" t="s">
        <v>2363</v>
      </c>
      <c r="D683" s="51" t="s">
        <v>2364</v>
      </c>
      <c r="E683" s="52" t="n">
        <f aca="false">I683*(1-J683)*(100-E1)/100</f>
        <v>8821.76</v>
      </c>
      <c r="F683" s="53"/>
      <c r="G683" s="54" t="n">
        <v>2</v>
      </c>
      <c r="H683" s="52" t="n">
        <f aca="false">E683*F683</f>
        <v>0</v>
      </c>
      <c r="I683" s="55" t="n">
        <v>17230</v>
      </c>
      <c r="J683" s="56" t="n">
        <v>0.2</v>
      </c>
      <c r="K683" s="57" t="n">
        <v>473</v>
      </c>
      <c r="L683" s="22" t="s">
        <v>53</v>
      </c>
      <c r="M683" s="22" t="s">
        <v>152</v>
      </c>
      <c r="N683" s="58" t="n">
        <f aca="false">F683*P683</f>
        <v>0</v>
      </c>
      <c r="O683" s="58" t="n">
        <f aca="false">F683*Q683</f>
        <v>0</v>
      </c>
      <c r="P683" s="58" t="n">
        <v>11.5</v>
      </c>
      <c r="Q683" s="58" t="n">
        <v>0.07</v>
      </c>
      <c r="R683" s="59" t="s">
        <v>2365</v>
      </c>
      <c r="S683" s="22"/>
      <c r="T683" s="11" t="str">
        <f aca="false">"16.12.25"</f>
        <v>16.12.25</v>
      </c>
    </row>
    <row r="684" customFormat="false" ht="7.5" hidden="false" customHeight="true" outlineLevel="1" collapsed="false">
      <c r="A684" s="38"/>
      <c r="B684" s="39"/>
      <c r="C684" s="40" t="s">
        <v>2366</v>
      </c>
      <c r="D684" s="41"/>
      <c r="E684" s="42"/>
      <c r="F684" s="43"/>
      <c r="G684" s="44"/>
      <c r="H684" s="42"/>
      <c r="I684" s="45"/>
      <c r="J684" s="46"/>
      <c r="K684" s="45"/>
      <c r="L684" s="44"/>
      <c r="M684" s="44"/>
      <c r="N684" s="47"/>
      <c r="O684" s="47"/>
      <c r="P684" s="47"/>
      <c r="Q684" s="47"/>
      <c r="R684" s="39"/>
      <c r="S684" s="44"/>
      <c r="T684" s="11" t="str">
        <f aca="false">"16.12.25"</f>
        <v>16.12.25</v>
      </c>
    </row>
    <row r="685" customFormat="false" ht="7.5" hidden="false" customHeight="true" outlineLevel="2" collapsed="false">
      <c r="A685" s="60" t="str">
        <f aca="false">HYPERLINK("https://disk.360.yandex.ru/d/45PvXqofhA7Xag","фото")</f>
        <v>фото</v>
      </c>
      <c r="B685" s="49" t="s">
        <v>2367</v>
      </c>
      <c r="C685" s="50" t="s">
        <v>2368</v>
      </c>
      <c r="D685" s="51" t="s">
        <v>2369</v>
      </c>
      <c r="E685" s="52" t="n">
        <f aca="false">I685*(1-J685)*(100-E1)/100</f>
        <v>2186.24</v>
      </c>
      <c r="F685" s="53"/>
      <c r="G685" s="54" t="n">
        <v>5</v>
      </c>
      <c r="H685" s="52" t="n">
        <f aca="false">E685*F685</f>
        <v>0</v>
      </c>
      <c r="I685" s="55" t="n">
        <v>4270</v>
      </c>
      <c r="J685" s="56" t="n">
        <v>0.2</v>
      </c>
      <c r="K685" s="57" t="n">
        <v>196</v>
      </c>
      <c r="L685" s="22" t="s">
        <v>53</v>
      </c>
      <c r="M685" s="22"/>
      <c r="N685" s="58" t="n">
        <f aca="false">F685*P685</f>
        <v>0</v>
      </c>
      <c r="O685" s="58" t="n">
        <f aca="false">F685*Q685</f>
        <v>0</v>
      </c>
      <c r="P685" s="58" t="n">
        <v>1.43</v>
      </c>
      <c r="Q685" s="58" t="n">
        <v>0.03</v>
      </c>
      <c r="R685" s="59" t="s">
        <v>2370</v>
      </c>
      <c r="S685" s="22"/>
      <c r="T685" s="11" t="str">
        <f aca="false">"16.12.25"</f>
        <v>16.12.25</v>
      </c>
    </row>
    <row r="686" customFormat="false" ht="7.5" hidden="false" customHeight="true" outlineLevel="1" collapsed="false">
      <c r="A686" s="38"/>
      <c r="B686" s="39"/>
      <c r="C686" s="40" t="s">
        <v>2371</v>
      </c>
      <c r="D686" s="41"/>
      <c r="E686" s="42"/>
      <c r="F686" s="43"/>
      <c r="G686" s="44"/>
      <c r="H686" s="42"/>
      <c r="I686" s="45"/>
      <c r="J686" s="46"/>
      <c r="K686" s="45"/>
      <c r="L686" s="44"/>
      <c r="M686" s="44"/>
      <c r="N686" s="47"/>
      <c r="O686" s="47"/>
      <c r="P686" s="47"/>
      <c r="Q686" s="47"/>
      <c r="R686" s="39"/>
      <c r="S686" s="44"/>
      <c r="T686" s="11" t="str">
        <f aca="false">"16.12.25"</f>
        <v>16.12.25</v>
      </c>
    </row>
    <row r="687" customFormat="false" ht="7.5" hidden="false" customHeight="true" outlineLevel="2" collapsed="false">
      <c r="A687" s="60" t="str">
        <f aca="false">HYPERLINK("https://disk.360.yandex.ru/d/Lf6NuNwOdCxj7w","фото")</f>
        <v>фото</v>
      </c>
      <c r="B687" s="49" t="s">
        <v>2372</v>
      </c>
      <c r="C687" s="50" t="s">
        <v>2373</v>
      </c>
      <c r="D687" s="51" t="s">
        <v>2374</v>
      </c>
      <c r="E687" s="52" t="n">
        <f aca="false">I687*(1-J687)*(100-E1)/100</f>
        <v>1781.76</v>
      </c>
      <c r="F687" s="53"/>
      <c r="G687" s="54" t="n">
        <v>5</v>
      </c>
      <c r="H687" s="52" t="n">
        <f aca="false">E687*F687</f>
        <v>0</v>
      </c>
      <c r="I687" s="55" t="n">
        <v>3480</v>
      </c>
      <c r="J687" s="56" t="n">
        <v>0.2</v>
      </c>
      <c r="K687" s="57" t="n">
        <v>136</v>
      </c>
      <c r="L687" s="22" t="s">
        <v>53</v>
      </c>
      <c r="M687" s="22"/>
      <c r="N687" s="58" t="n">
        <f aca="false">F687*P687</f>
        <v>0</v>
      </c>
      <c r="O687" s="58" t="n">
        <f aca="false">F687*Q687</f>
        <v>0</v>
      </c>
      <c r="P687" s="58" t="n">
        <v>0.89</v>
      </c>
      <c r="Q687" s="58" t="n">
        <v>0.03</v>
      </c>
      <c r="R687" s="59" t="s">
        <v>2375</v>
      </c>
      <c r="S687" s="22"/>
      <c r="T687" s="11" t="str">
        <f aca="false">"16.12.25"</f>
        <v>16.12.25</v>
      </c>
    </row>
    <row r="688" customFormat="false" ht="7.5" hidden="false" customHeight="true" outlineLevel="1" collapsed="false">
      <c r="A688" s="38"/>
      <c r="B688" s="39"/>
      <c r="C688" s="40" t="s">
        <v>2376</v>
      </c>
      <c r="D688" s="41"/>
      <c r="E688" s="42"/>
      <c r="F688" s="43"/>
      <c r="G688" s="44"/>
      <c r="H688" s="42"/>
      <c r="I688" s="45"/>
      <c r="J688" s="46"/>
      <c r="K688" s="45"/>
      <c r="L688" s="44"/>
      <c r="M688" s="44"/>
      <c r="N688" s="47"/>
      <c r="O688" s="47"/>
      <c r="P688" s="47"/>
      <c r="Q688" s="47"/>
      <c r="R688" s="39"/>
      <c r="S688" s="44"/>
      <c r="T688" s="11" t="str">
        <f aca="false">"16.12.25"</f>
        <v>16.12.25</v>
      </c>
    </row>
    <row r="689" customFormat="false" ht="7.5" hidden="false" customHeight="true" outlineLevel="2" collapsed="false">
      <c r="A689" s="60" t="str">
        <f aca="false">HYPERLINK("https://disk.360.yandex.ru/d/kUAC8I_uuxD2nA","фото")</f>
        <v>фото</v>
      </c>
      <c r="B689" s="49" t="s">
        <v>2377</v>
      </c>
      <c r="C689" s="50" t="s">
        <v>2378</v>
      </c>
      <c r="D689" s="51" t="s">
        <v>2379</v>
      </c>
      <c r="E689" s="52" t="n">
        <f aca="false">I689*(1-J689)*(100-E1)/100</f>
        <v>17081.6</v>
      </c>
      <c r="F689" s="53"/>
      <c r="G689" s="54" t="n">
        <v>1</v>
      </c>
      <c r="H689" s="52" t="n">
        <f aca="false">E689*F689</f>
        <v>0</v>
      </c>
      <c r="I689" s="55" t="n">
        <v>26690</v>
      </c>
      <c r="J689" s="56"/>
      <c r="K689" s="57" t="n">
        <v>0</v>
      </c>
      <c r="L689" s="22" t="s">
        <v>44</v>
      </c>
      <c r="M689" s="22"/>
      <c r="N689" s="58" t="n">
        <f aca="false">F689*P689</f>
        <v>0</v>
      </c>
      <c r="O689" s="58" t="n">
        <f aca="false">F689*Q689</f>
        <v>0</v>
      </c>
      <c r="P689" s="58" t="n">
        <v>9.4</v>
      </c>
      <c r="Q689" s="58" t="n">
        <v>0.04</v>
      </c>
      <c r="R689" s="59" t="s">
        <v>2380</v>
      </c>
      <c r="S689" s="22"/>
      <c r="T689" s="11" t="str">
        <f aca="false">"16.12.25"</f>
        <v>16.12.25</v>
      </c>
    </row>
    <row r="690" customFormat="false" ht="7.5" hidden="false" customHeight="true" outlineLevel="2" collapsed="false">
      <c r="A690" s="60" t="str">
        <f aca="false">HYPERLINK("https://disk.360.yandex.ru/d/bX_n_HqvZZUW2A","фото")</f>
        <v>фото</v>
      </c>
      <c r="B690" s="49" t="s">
        <v>2381</v>
      </c>
      <c r="C690" s="50" t="s">
        <v>2382</v>
      </c>
      <c r="D690" s="51"/>
      <c r="E690" s="52" t="n">
        <f aca="false">I690*(1-J690)*(100-E1)/100</f>
        <v>38804.48</v>
      </c>
      <c r="F690" s="53"/>
      <c r="G690" s="54" t="n">
        <v>1</v>
      </c>
      <c r="H690" s="52" t="n">
        <f aca="false">E690*F690</f>
        <v>0</v>
      </c>
      <c r="I690" s="55" t="n">
        <v>75790</v>
      </c>
      <c r="J690" s="56" t="n">
        <v>0.2</v>
      </c>
      <c r="K690" s="57" t="n">
        <v>104</v>
      </c>
      <c r="L690" s="22" t="s">
        <v>53</v>
      </c>
      <c r="M690" s="22"/>
      <c r="N690" s="58" t="n">
        <f aca="false">F690*P690</f>
        <v>0</v>
      </c>
      <c r="O690" s="58" t="n">
        <f aca="false">F690*Q690</f>
        <v>0</v>
      </c>
      <c r="P690" s="58" t="n">
        <v>21.5</v>
      </c>
      <c r="Q690" s="58" t="n">
        <v>0.1</v>
      </c>
      <c r="R690" s="59" t="s">
        <v>2383</v>
      </c>
      <c r="S690" s="22"/>
      <c r="T690" s="11" t="str">
        <f aca="false">"16.12.25"</f>
        <v>16.12.25</v>
      </c>
    </row>
    <row r="691" customFormat="false" ht="7.5" hidden="false" customHeight="true" outlineLevel="2" collapsed="false">
      <c r="A691" s="60" t="str">
        <f aca="false">HYPERLINK("https://disk.360.yandex.ru/d/ocjXcLrAhLgNWQ","фото")</f>
        <v>фото</v>
      </c>
      <c r="B691" s="49" t="s">
        <v>2384</v>
      </c>
      <c r="C691" s="50" t="s">
        <v>2385</v>
      </c>
      <c r="D691" s="51"/>
      <c r="E691" s="52" t="n">
        <f aca="false">I691*(1-J691)*(100-E1)/100</f>
        <v>43013.12</v>
      </c>
      <c r="F691" s="53"/>
      <c r="G691" s="54" t="n">
        <v>1</v>
      </c>
      <c r="H691" s="52" t="n">
        <f aca="false">E691*F691</f>
        <v>0</v>
      </c>
      <c r="I691" s="55" t="n">
        <v>84010</v>
      </c>
      <c r="J691" s="56" t="n">
        <v>0.2</v>
      </c>
      <c r="K691" s="57" t="n">
        <v>145</v>
      </c>
      <c r="L691" s="22" t="s">
        <v>53</v>
      </c>
      <c r="M691" s="22"/>
      <c r="N691" s="58" t="n">
        <f aca="false">F691*P691</f>
        <v>0</v>
      </c>
      <c r="O691" s="58" t="n">
        <f aca="false">F691*Q691</f>
        <v>0</v>
      </c>
      <c r="P691" s="58" t="n">
        <v>23</v>
      </c>
      <c r="Q691" s="58" t="n">
        <v>0.109</v>
      </c>
      <c r="R691" s="59" t="s">
        <v>2386</v>
      </c>
      <c r="S691" s="22"/>
      <c r="T691" s="11" t="str">
        <f aca="false">"16.12.25"</f>
        <v>16.12.25</v>
      </c>
    </row>
    <row r="692" customFormat="false" ht="7.5" hidden="false" customHeight="true" outlineLevel="2" collapsed="false">
      <c r="A692" s="60" t="str">
        <f aca="false">HYPERLINK("https://disk.360.yandex.ru/d/nsxPhn88aawPzQ","фото")</f>
        <v>фото</v>
      </c>
      <c r="B692" s="49" t="s">
        <v>2387</v>
      </c>
      <c r="C692" s="50" t="s">
        <v>2388</v>
      </c>
      <c r="D692" s="51" t="s">
        <v>2389</v>
      </c>
      <c r="E692" s="52" t="n">
        <f aca="false">I692*(1-J692)*(100-E1)/100</f>
        <v>12487.68</v>
      </c>
      <c r="F692" s="53"/>
      <c r="G692" s="54" t="n">
        <v>1</v>
      </c>
      <c r="H692" s="52" t="n">
        <f aca="false">E692*F692</f>
        <v>0</v>
      </c>
      <c r="I692" s="55" t="n">
        <v>24390</v>
      </c>
      <c r="J692" s="56" t="n">
        <v>0.2</v>
      </c>
      <c r="K692" s="57" t="n">
        <v>2</v>
      </c>
      <c r="L692" s="22" t="s">
        <v>53</v>
      </c>
      <c r="M692" s="22"/>
      <c r="N692" s="58" t="n">
        <f aca="false">F692*P692</f>
        <v>0</v>
      </c>
      <c r="O692" s="58" t="n">
        <f aca="false">F692*Q692</f>
        <v>0</v>
      </c>
      <c r="P692" s="58" t="n">
        <v>9.8</v>
      </c>
      <c r="Q692" s="58" t="n">
        <v>0.04</v>
      </c>
      <c r="R692" s="59" t="s">
        <v>2390</v>
      </c>
      <c r="S692" s="22"/>
      <c r="T692" s="11" t="str">
        <f aca="false">"16.12.25"</f>
        <v>16.12.25</v>
      </c>
    </row>
    <row r="693" customFormat="false" ht="7.5" hidden="false" customHeight="true" outlineLevel="1" collapsed="false">
      <c r="A693" s="38"/>
      <c r="B693" s="39"/>
      <c r="C693" s="40" t="s">
        <v>2391</v>
      </c>
      <c r="D693" s="41"/>
      <c r="E693" s="42"/>
      <c r="F693" s="43"/>
      <c r="G693" s="44"/>
      <c r="H693" s="42"/>
      <c r="I693" s="45"/>
      <c r="J693" s="46"/>
      <c r="K693" s="45"/>
      <c r="L693" s="44"/>
      <c r="M693" s="44"/>
      <c r="N693" s="47"/>
      <c r="O693" s="47"/>
      <c r="P693" s="47"/>
      <c r="Q693" s="47"/>
      <c r="R693" s="39"/>
      <c r="S693" s="44"/>
      <c r="T693" s="11" t="str">
        <f aca="false">"16.12.25"</f>
        <v>16.12.25</v>
      </c>
    </row>
    <row r="694" customFormat="false" ht="7.5" hidden="false" customHeight="true" outlineLevel="2" collapsed="false">
      <c r="A694" s="60" t="str">
        <f aca="false">HYPERLINK("https://disk.360.yandex.ru/d/YuU6ShQDigqN_A","фото")</f>
        <v>фото</v>
      </c>
      <c r="B694" s="49" t="s">
        <v>2392</v>
      </c>
      <c r="C694" s="50" t="s">
        <v>2393</v>
      </c>
      <c r="D694" s="51" t="s">
        <v>2394</v>
      </c>
      <c r="E694" s="52" t="n">
        <f aca="false">I694*(1-J694)*(100-E1)/100</f>
        <v>1259.52</v>
      </c>
      <c r="F694" s="53"/>
      <c r="G694" s="54" t="n">
        <v>10</v>
      </c>
      <c r="H694" s="52" t="n">
        <f aca="false">E694*F694</f>
        <v>0</v>
      </c>
      <c r="I694" s="55" t="n">
        <v>2460</v>
      </c>
      <c r="J694" s="56" t="n">
        <v>0.2</v>
      </c>
      <c r="K694" s="57" t="n">
        <v>467</v>
      </c>
      <c r="L694" s="22" t="s">
        <v>44</v>
      </c>
      <c r="M694" s="22"/>
      <c r="N694" s="58" t="n">
        <f aca="false">F694*P694</f>
        <v>0</v>
      </c>
      <c r="O694" s="58" t="n">
        <f aca="false">F694*Q694</f>
        <v>0</v>
      </c>
      <c r="P694" s="58" t="n">
        <v>1.28</v>
      </c>
      <c r="Q694" s="58" t="n">
        <v>0.06</v>
      </c>
      <c r="R694" s="59" t="s">
        <v>2395</v>
      </c>
      <c r="S694" s="22"/>
      <c r="T694" s="11" t="str">
        <f aca="false">"16.12.25"</f>
        <v>16.12.25</v>
      </c>
    </row>
    <row r="695" customFormat="false" ht="7.5" hidden="false" customHeight="true" outlineLevel="2" collapsed="false">
      <c r="A695" s="60" t="str">
        <f aca="false">HYPERLINK("https://disk.360.yandex.ru/d/ukQJrq1CDsq41w","фото")</f>
        <v>фото</v>
      </c>
      <c r="B695" s="49" t="s">
        <v>2396</v>
      </c>
      <c r="C695" s="50" t="s">
        <v>2397</v>
      </c>
      <c r="D695" s="51" t="s">
        <v>2398</v>
      </c>
      <c r="E695" s="52" t="n">
        <f aca="false">I695*(1-J695)*(100-E1)/100</f>
        <v>1510.4</v>
      </c>
      <c r="F695" s="53"/>
      <c r="G695" s="54" t="n">
        <v>10</v>
      </c>
      <c r="H695" s="52" t="n">
        <f aca="false">E695*F695</f>
        <v>0</v>
      </c>
      <c r="I695" s="55" t="n">
        <v>2950</v>
      </c>
      <c r="J695" s="56" t="n">
        <v>0.2</v>
      </c>
      <c r="K695" s="57" t="n">
        <v>774</v>
      </c>
      <c r="L695" s="22" t="s">
        <v>44</v>
      </c>
      <c r="M695" s="22"/>
      <c r="N695" s="58" t="n">
        <f aca="false">F695*P695</f>
        <v>0</v>
      </c>
      <c r="O695" s="58" t="n">
        <f aca="false">F695*Q695</f>
        <v>0</v>
      </c>
      <c r="P695" s="58" t="n">
        <v>1.73</v>
      </c>
      <c r="Q695" s="58" t="n">
        <v>0.1</v>
      </c>
      <c r="R695" s="59" t="s">
        <v>2399</v>
      </c>
      <c r="S695" s="22"/>
      <c r="T695" s="11" t="str">
        <f aca="false">"16.12.25"</f>
        <v>16.12.25</v>
      </c>
    </row>
    <row r="696" customFormat="false" ht="7.5" hidden="false" customHeight="true" outlineLevel="1" collapsed="false">
      <c r="A696" s="38"/>
      <c r="B696" s="39"/>
      <c r="C696" s="40" t="s">
        <v>2400</v>
      </c>
      <c r="D696" s="41"/>
      <c r="E696" s="42"/>
      <c r="F696" s="43"/>
      <c r="G696" s="44"/>
      <c r="H696" s="42"/>
      <c r="I696" s="45"/>
      <c r="J696" s="46"/>
      <c r="K696" s="45"/>
      <c r="L696" s="44"/>
      <c r="M696" s="44"/>
      <c r="N696" s="47"/>
      <c r="O696" s="47"/>
      <c r="P696" s="47"/>
      <c r="Q696" s="47"/>
      <c r="R696" s="39"/>
      <c r="S696" s="44"/>
      <c r="T696" s="11" t="str">
        <f aca="false">"16.12.25"</f>
        <v>16.12.25</v>
      </c>
    </row>
    <row r="697" customFormat="false" ht="7.5" hidden="false" customHeight="true" outlineLevel="2" collapsed="false">
      <c r="A697" s="60" t="str">
        <f aca="false">HYPERLINK("https://disk.360.yandex.ru/d/oipfK9Nq6jB35A","фото")</f>
        <v>фото</v>
      </c>
      <c r="B697" s="49" t="s">
        <v>2401</v>
      </c>
      <c r="C697" s="50" t="s">
        <v>2402</v>
      </c>
      <c r="D697" s="51" t="s">
        <v>2403</v>
      </c>
      <c r="E697" s="52" t="n">
        <f aca="false">I697*(1-J697)*(100-E1)/100</f>
        <v>138.24</v>
      </c>
      <c r="F697" s="53"/>
      <c r="G697" s="54" t="n">
        <v>100</v>
      </c>
      <c r="H697" s="52" t="n">
        <f aca="false">E697*F697</f>
        <v>0</v>
      </c>
      <c r="I697" s="55" t="n">
        <v>270</v>
      </c>
      <c r="J697" s="56" t="n">
        <v>0.2</v>
      </c>
      <c r="K697" s="57" t="n">
        <v>0</v>
      </c>
      <c r="L697" s="22" t="s">
        <v>44</v>
      </c>
      <c r="M697" s="22"/>
      <c r="N697" s="58" t="n">
        <f aca="false">F697*P697</f>
        <v>0</v>
      </c>
      <c r="O697" s="58" t="n">
        <f aca="false">F697*Q697</f>
        <v>0</v>
      </c>
      <c r="P697" s="58" t="n">
        <v>0.15</v>
      </c>
      <c r="Q697" s="58" t="n">
        <v>0.001</v>
      </c>
      <c r="R697" s="59" t="s">
        <v>2404</v>
      </c>
      <c r="S697" s="22"/>
      <c r="T697" s="11" t="str">
        <f aca="false">"16.12.25"</f>
        <v>16.12.25</v>
      </c>
    </row>
    <row r="698" customFormat="false" ht="7.5" hidden="false" customHeight="true" outlineLevel="2" collapsed="false">
      <c r="A698" s="60" t="str">
        <f aca="false">HYPERLINK("https://disk.360.yandex.ru/d/z3tWcyCjqTpzjQ","фото")</f>
        <v>фото</v>
      </c>
      <c r="B698" s="49" t="s">
        <v>2405</v>
      </c>
      <c r="C698" s="50" t="s">
        <v>2406</v>
      </c>
      <c r="D698" s="51"/>
      <c r="E698" s="52" t="n">
        <f aca="false">I698*(1-J698)*(100-E1)/100</f>
        <v>189.44</v>
      </c>
      <c r="F698" s="53"/>
      <c r="G698" s="54"/>
      <c r="H698" s="52" t="n">
        <f aca="false">E698*F698</f>
        <v>0</v>
      </c>
      <c r="I698" s="55" t="n">
        <v>370</v>
      </c>
      <c r="J698" s="56" t="n">
        <v>0.2</v>
      </c>
      <c r="K698" s="57" t="n">
        <v>519</v>
      </c>
      <c r="L698" s="22" t="s">
        <v>44</v>
      </c>
      <c r="M698" s="22"/>
      <c r="N698" s="58" t="n">
        <f aca="false">F698*P698</f>
        <v>0</v>
      </c>
      <c r="O698" s="58" t="n">
        <f aca="false">F698*Q698</f>
        <v>0</v>
      </c>
      <c r="P698" s="58" t="n">
        <v>0.25</v>
      </c>
      <c r="Q698" s="58" t="n">
        <v>0.001</v>
      </c>
      <c r="R698" s="59" t="s">
        <v>2407</v>
      </c>
      <c r="S698" s="22"/>
      <c r="T698" s="11" t="str">
        <f aca="false">"16.12.25"</f>
        <v>16.12.25</v>
      </c>
    </row>
    <row r="699" customFormat="false" ht="7.5" hidden="false" customHeight="true" outlineLevel="2" collapsed="false">
      <c r="A699" s="60" t="str">
        <f aca="false">HYPERLINK("https://disk.360.yandex.ru/d/3lrQcWsBt71OCg","фото")</f>
        <v>фото</v>
      </c>
      <c r="B699" s="49" t="s">
        <v>2408</v>
      </c>
      <c r="C699" s="50" t="s">
        <v>2409</v>
      </c>
      <c r="D699" s="51" t="s">
        <v>2403</v>
      </c>
      <c r="E699" s="52" t="n">
        <f aca="false">I699*(1-J699)*(100-E1)/100</f>
        <v>317.44</v>
      </c>
      <c r="F699" s="53"/>
      <c r="G699" s="54" t="n">
        <v>50</v>
      </c>
      <c r="H699" s="52" t="n">
        <f aca="false">E699*F699</f>
        <v>0</v>
      </c>
      <c r="I699" s="55" t="n">
        <v>620</v>
      </c>
      <c r="J699" s="56" t="n">
        <v>0.2</v>
      </c>
      <c r="K699" s="57" t="n">
        <v>0</v>
      </c>
      <c r="L699" s="22" t="s">
        <v>44</v>
      </c>
      <c r="M699" s="22"/>
      <c r="N699" s="58" t="n">
        <f aca="false">F699*P699</f>
        <v>0</v>
      </c>
      <c r="O699" s="58" t="n">
        <f aca="false">F699*Q699</f>
        <v>0</v>
      </c>
      <c r="P699" s="58" t="n">
        <v>0.38</v>
      </c>
      <c r="Q699" s="58" t="n">
        <v>0.1</v>
      </c>
      <c r="R699" s="59" t="s">
        <v>2410</v>
      </c>
      <c r="S699" s="22"/>
      <c r="T699" s="11" t="str">
        <f aca="false">"16.12.25"</f>
        <v>16.12.25</v>
      </c>
    </row>
    <row r="700" customFormat="false" ht="7.5" hidden="false" customHeight="true" outlineLevel="2" collapsed="false">
      <c r="A700" s="60" t="str">
        <f aca="false">HYPERLINK("https://disk.360.yandex.ru/d/YMuCE8URj0jevw","фото")</f>
        <v>фото</v>
      </c>
      <c r="B700" s="49" t="s">
        <v>2411</v>
      </c>
      <c r="C700" s="50" t="s">
        <v>2412</v>
      </c>
      <c r="D700" s="51" t="s">
        <v>2403</v>
      </c>
      <c r="E700" s="52" t="n">
        <f aca="false">I700*(1-J700)*(100-E1)/100</f>
        <v>378.88</v>
      </c>
      <c r="F700" s="53"/>
      <c r="G700" s="54" t="n">
        <v>50</v>
      </c>
      <c r="H700" s="52" t="n">
        <f aca="false">E700*F700</f>
        <v>0</v>
      </c>
      <c r="I700" s="55" t="n">
        <v>740</v>
      </c>
      <c r="J700" s="56" t="n">
        <v>0.2</v>
      </c>
      <c r="K700" s="57" t="n">
        <v>782</v>
      </c>
      <c r="L700" s="22" t="s">
        <v>44</v>
      </c>
      <c r="M700" s="22"/>
      <c r="N700" s="58" t="n">
        <f aca="false">F700*P700</f>
        <v>0</v>
      </c>
      <c r="O700" s="58" t="n">
        <f aca="false">F700*Q700</f>
        <v>0</v>
      </c>
      <c r="P700" s="58" t="n">
        <v>0.42</v>
      </c>
      <c r="Q700" s="58" t="n">
        <v>0.19</v>
      </c>
      <c r="R700" s="59" t="s">
        <v>2413</v>
      </c>
      <c r="S700" s="22"/>
      <c r="T700" s="11" t="str">
        <f aca="false">"16.12.25"</f>
        <v>16.12.25</v>
      </c>
    </row>
    <row r="701" customFormat="false" ht="7.5" hidden="false" customHeight="true" outlineLevel="1" collapsed="false">
      <c r="A701" s="38"/>
      <c r="B701" s="39"/>
      <c r="C701" s="40" t="s">
        <v>2414</v>
      </c>
      <c r="D701" s="41"/>
      <c r="E701" s="42"/>
      <c r="F701" s="43"/>
      <c r="G701" s="44"/>
      <c r="H701" s="42"/>
      <c r="I701" s="45"/>
      <c r="J701" s="46"/>
      <c r="K701" s="45"/>
      <c r="L701" s="44"/>
      <c r="M701" s="44"/>
      <c r="N701" s="47"/>
      <c r="O701" s="47"/>
      <c r="P701" s="47"/>
      <c r="Q701" s="47"/>
      <c r="R701" s="39"/>
      <c r="S701" s="44"/>
      <c r="T701" s="11" t="str">
        <f aca="false">"16.12.25"</f>
        <v>16.12.25</v>
      </c>
    </row>
    <row r="702" customFormat="false" ht="7.5" hidden="false" customHeight="true" outlineLevel="2" collapsed="false">
      <c r="A702" s="60" t="str">
        <f aca="false">HYPERLINK("https://disk.360.yandex.ru/d/lbxbydfrZHbBgg","фото")</f>
        <v>фото</v>
      </c>
      <c r="B702" s="49" t="s">
        <v>2415</v>
      </c>
      <c r="C702" s="50" t="s">
        <v>2416</v>
      </c>
      <c r="D702" s="51" t="s">
        <v>2417</v>
      </c>
      <c r="E702" s="52" t="n">
        <f aca="false">I702*(1-J702)*(100-E1)/100</f>
        <v>377.6</v>
      </c>
      <c r="F702" s="53"/>
      <c r="G702" s="54" t="n">
        <v>25</v>
      </c>
      <c r="H702" s="52" t="n">
        <f aca="false">E702*F702</f>
        <v>0</v>
      </c>
      <c r="I702" s="55" t="n">
        <v>590</v>
      </c>
      <c r="J702" s="56"/>
      <c r="K702" s="57" t="n">
        <v>461</v>
      </c>
      <c r="L702" s="22" t="s">
        <v>44</v>
      </c>
      <c r="M702" s="22"/>
      <c r="N702" s="58" t="n">
        <f aca="false">F702*P702</f>
        <v>0</v>
      </c>
      <c r="O702" s="58" t="n">
        <f aca="false">F702*Q702</f>
        <v>0</v>
      </c>
      <c r="P702" s="58" t="n">
        <v>0.478</v>
      </c>
      <c r="Q702" s="58" t="n">
        <v>0.002</v>
      </c>
      <c r="R702" s="59" t="s">
        <v>2418</v>
      </c>
      <c r="S702" s="22"/>
      <c r="T702" s="11" t="str">
        <f aca="false">"16.12.25"</f>
        <v>16.12.25</v>
      </c>
    </row>
    <row r="703" customFormat="false" ht="7.5" hidden="false" customHeight="true" outlineLevel="2" collapsed="false">
      <c r="A703" s="60" t="str">
        <f aca="false">HYPERLINK("https://disk.360.yandex.ru/d/X3VrctUkLWXDRg","фото")</f>
        <v>фото</v>
      </c>
      <c r="B703" s="49" t="s">
        <v>2419</v>
      </c>
      <c r="C703" s="50" t="s">
        <v>2420</v>
      </c>
      <c r="D703" s="51" t="s">
        <v>2421</v>
      </c>
      <c r="E703" s="52" t="n">
        <f aca="false">I703*(1-J703)*(100-E1)/100</f>
        <v>473.6</v>
      </c>
      <c r="F703" s="53"/>
      <c r="G703" s="54" t="n">
        <v>25</v>
      </c>
      <c r="H703" s="52" t="n">
        <f aca="false">E703*F703</f>
        <v>0</v>
      </c>
      <c r="I703" s="55" t="n">
        <v>740</v>
      </c>
      <c r="J703" s="56"/>
      <c r="K703" s="57" t="n">
        <v>386</v>
      </c>
      <c r="L703" s="22" t="s">
        <v>44</v>
      </c>
      <c r="M703" s="22"/>
      <c r="N703" s="58" t="n">
        <f aca="false">F703*P703</f>
        <v>0</v>
      </c>
      <c r="O703" s="58" t="n">
        <f aca="false">F703*Q703</f>
        <v>0</v>
      </c>
      <c r="P703" s="58" t="n">
        <v>0.653</v>
      </c>
      <c r="Q703" s="58" t="n">
        <v>0.003</v>
      </c>
      <c r="R703" s="59" t="s">
        <v>2422</v>
      </c>
      <c r="S703" s="22"/>
      <c r="T703" s="11" t="str">
        <f aca="false">"16.12.25"</f>
        <v>16.12.25</v>
      </c>
    </row>
    <row r="704" customFormat="false" ht="7.5" hidden="false" customHeight="true" outlineLevel="2" collapsed="false">
      <c r="A704" s="60" t="str">
        <f aca="false">HYPERLINK("https://disk.360.yandex.ru/d/qQjyBnNgc0SNbQ","фото")</f>
        <v>фото</v>
      </c>
      <c r="B704" s="49" t="s">
        <v>2423</v>
      </c>
      <c r="C704" s="50" t="s">
        <v>2424</v>
      </c>
      <c r="D704" s="51" t="s">
        <v>2425</v>
      </c>
      <c r="E704" s="52" t="n">
        <f aca="false">I704*(1-J704)*(100-E1)/100</f>
        <v>275.2</v>
      </c>
      <c r="F704" s="53"/>
      <c r="G704" s="54" t="n">
        <v>50</v>
      </c>
      <c r="H704" s="52" t="n">
        <f aca="false">E704*F704</f>
        <v>0</v>
      </c>
      <c r="I704" s="55" t="n">
        <v>430</v>
      </c>
      <c r="J704" s="56"/>
      <c r="K704" s="57" t="n">
        <v>639</v>
      </c>
      <c r="L704" s="22" t="s">
        <v>44</v>
      </c>
      <c r="M704" s="22"/>
      <c r="N704" s="58" t="n">
        <f aca="false">F704*P704</f>
        <v>0</v>
      </c>
      <c r="O704" s="58" t="n">
        <f aca="false">F704*Q704</f>
        <v>0</v>
      </c>
      <c r="P704" s="58" t="n">
        <v>0.24</v>
      </c>
      <c r="Q704" s="58" t="n">
        <v>0.05</v>
      </c>
      <c r="R704" s="59" t="s">
        <v>2426</v>
      </c>
      <c r="S704" s="22"/>
      <c r="T704" s="11" t="str">
        <f aca="false">"16.12.25"</f>
        <v>16.12.25</v>
      </c>
    </row>
    <row r="705" customFormat="false" ht="7.5" hidden="false" customHeight="true" outlineLevel="2" collapsed="false">
      <c r="A705" s="60" t="str">
        <f aca="false">HYPERLINK("https://disk.360.yandex.ru/d/jRjjvU0URGCNFg","фото")</f>
        <v>фото</v>
      </c>
      <c r="B705" s="49" t="s">
        <v>2427</v>
      </c>
      <c r="C705" s="50" t="s">
        <v>2428</v>
      </c>
      <c r="D705" s="51" t="s">
        <v>2429</v>
      </c>
      <c r="E705" s="52" t="n">
        <f aca="false">I705*(1-J705)*(100-E1)/100</f>
        <v>1011.2</v>
      </c>
      <c r="F705" s="53"/>
      <c r="G705" s="54" t="n">
        <v>10</v>
      </c>
      <c r="H705" s="52" t="n">
        <f aca="false">E705*F705</f>
        <v>0</v>
      </c>
      <c r="I705" s="55" t="n">
        <v>1580</v>
      </c>
      <c r="J705" s="56"/>
      <c r="K705" s="57" t="n">
        <v>1153</v>
      </c>
      <c r="L705" s="22" t="s">
        <v>44</v>
      </c>
      <c r="M705" s="22"/>
      <c r="N705" s="58" t="n">
        <f aca="false">F705*P705</f>
        <v>0</v>
      </c>
      <c r="O705" s="58" t="n">
        <f aca="false">F705*Q705</f>
        <v>0</v>
      </c>
      <c r="P705" s="58" t="n">
        <v>1.88</v>
      </c>
      <c r="Q705" s="58" t="n">
        <v>0.05</v>
      </c>
      <c r="R705" s="59" t="s">
        <v>2430</v>
      </c>
      <c r="S705" s="22"/>
      <c r="T705" s="11" t="str">
        <f aca="false">"16.12.25"</f>
        <v>16.12.25</v>
      </c>
    </row>
    <row r="706" customFormat="false" ht="7.5" hidden="false" customHeight="true" outlineLevel="2" collapsed="false">
      <c r="A706" s="60" t="str">
        <f aca="false">HYPERLINK("https://disk.360.yandex.ru/d/LhC-XRGiUr2_oQ","фото")</f>
        <v>фото</v>
      </c>
      <c r="B706" s="49" t="s">
        <v>2431</v>
      </c>
      <c r="C706" s="50" t="s">
        <v>2432</v>
      </c>
      <c r="D706" s="51" t="s">
        <v>2433</v>
      </c>
      <c r="E706" s="52" t="n">
        <f aca="false">I706*(1-J706)*(100-E1)/100</f>
        <v>1107.2</v>
      </c>
      <c r="F706" s="53"/>
      <c r="G706" s="54" t="n">
        <v>10</v>
      </c>
      <c r="H706" s="52" t="n">
        <f aca="false">E706*F706</f>
        <v>0</v>
      </c>
      <c r="I706" s="55" t="n">
        <v>1730</v>
      </c>
      <c r="J706" s="56"/>
      <c r="K706" s="57" t="n">
        <v>1152</v>
      </c>
      <c r="L706" s="22" t="s">
        <v>44</v>
      </c>
      <c r="M706" s="22"/>
      <c r="N706" s="58" t="n">
        <f aca="false">F706*P706</f>
        <v>0</v>
      </c>
      <c r="O706" s="58" t="n">
        <f aca="false">F706*Q706</f>
        <v>0</v>
      </c>
      <c r="P706" s="58" t="n">
        <v>2.66</v>
      </c>
      <c r="Q706" s="58" t="n">
        <v>0.073</v>
      </c>
      <c r="R706" s="59" t="s">
        <v>2434</v>
      </c>
      <c r="S706" s="22"/>
      <c r="T706" s="11" t="str">
        <f aca="false">"16.12.25"</f>
        <v>16.12.25</v>
      </c>
    </row>
    <row r="707" customFormat="false" ht="7.5" hidden="false" customHeight="true" outlineLevel="1" collapsed="false">
      <c r="A707" s="38"/>
      <c r="B707" s="39"/>
      <c r="C707" s="40" t="s">
        <v>2435</v>
      </c>
      <c r="D707" s="41"/>
      <c r="E707" s="42"/>
      <c r="F707" s="43"/>
      <c r="G707" s="44"/>
      <c r="H707" s="42"/>
      <c r="I707" s="45"/>
      <c r="J707" s="46"/>
      <c r="K707" s="45"/>
      <c r="L707" s="44"/>
      <c r="M707" s="44"/>
      <c r="N707" s="47"/>
      <c r="O707" s="47"/>
      <c r="P707" s="47"/>
      <c r="Q707" s="47"/>
      <c r="R707" s="39"/>
      <c r="S707" s="44"/>
      <c r="T707" s="11" t="str">
        <f aca="false">"16.12.25"</f>
        <v>16.12.25</v>
      </c>
    </row>
    <row r="708" customFormat="false" ht="7.5" hidden="false" customHeight="true" outlineLevel="2" collapsed="false">
      <c r="A708" s="60" t="str">
        <f aca="false">HYPERLINK("https://disk.360.yandex.ru/d/Mv9USYN7Kk0H6g","фото")</f>
        <v>фото</v>
      </c>
      <c r="B708" s="49" t="s">
        <v>2436</v>
      </c>
      <c r="C708" s="50" t="s">
        <v>2437</v>
      </c>
      <c r="D708" s="51" t="s">
        <v>2438</v>
      </c>
      <c r="E708" s="52" t="n">
        <f aca="false">I708*(1-J708)*(100-E1)/100</f>
        <v>261.12</v>
      </c>
      <c r="F708" s="53"/>
      <c r="G708" s="54" t="n">
        <v>5</v>
      </c>
      <c r="H708" s="52" t="n">
        <f aca="false">E708*F708</f>
        <v>0</v>
      </c>
      <c r="I708" s="55" t="n">
        <v>510</v>
      </c>
      <c r="J708" s="56" t="n">
        <v>0.2</v>
      </c>
      <c r="K708" s="57" t="n">
        <v>255</v>
      </c>
      <c r="L708" s="22" t="s">
        <v>53</v>
      </c>
      <c r="M708" s="22"/>
      <c r="N708" s="58" t="n">
        <f aca="false">F708*P708</f>
        <v>0</v>
      </c>
      <c r="O708" s="58" t="n">
        <f aca="false">F708*Q708</f>
        <v>0</v>
      </c>
      <c r="P708" s="58" t="n">
        <v>0.11</v>
      </c>
      <c r="Q708" s="58" t="n">
        <v>0.01</v>
      </c>
      <c r="R708" s="59" t="s">
        <v>2439</v>
      </c>
      <c r="S708" s="22"/>
      <c r="T708" s="11" t="str">
        <f aca="false">"16.12.25"</f>
        <v>16.12.25</v>
      </c>
    </row>
    <row r="709" customFormat="false" ht="7.5" hidden="false" customHeight="true" outlineLevel="2" collapsed="false">
      <c r="A709" s="60" t="str">
        <f aca="false">HYPERLINK("https://disk.360.yandex.ru/d/eLmCEnPyrQJOKQ","фото")</f>
        <v>фото</v>
      </c>
      <c r="B709" s="49" t="s">
        <v>2440</v>
      </c>
      <c r="C709" s="50" t="s">
        <v>2441</v>
      </c>
      <c r="D709" s="51" t="s">
        <v>2442</v>
      </c>
      <c r="E709" s="52" t="n">
        <f aca="false">I709*(1-J709)*(100-E1)/100</f>
        <v>993.28</v>
      </c>
      <c r="F709" s="53"/>
      <c r="G709" s="54" t="n">
        <v>5</v>
      </c>
      <c r="H709" s="52" t="n">
        <f aca="false">E709*F709</f>
        <v>0</v>
      </c>
      <c r="I709" s="55" t="n">
        <v>1940</v>
      </c>
      <c r="J709" s="56" t="n">
        <v>0.2</v>
      </c>
      <c r="K709" s="57" t="n">
        <v>306</v>
      </c>
      <c r="L709" s="22" t="s">
        <v>53</v>
      </c>
      <c r="M709" s="22"/>
      <c r="N709" s="58" t="n">
        <f aca="false">F709*P709</f>
        <v>0</v>
      </c>
      <c r="O709" s="58" t="n">
        <f aca="false">F709*Q709</f>
        <v>0</v>
      </c>
      <c r="P709" s="58" t="n">
        <v>0.62</v>
      </c>
      <c r="Q709" s="58" t="n">
        <v>0.09</v>
      </c>
      <c r="R709" s="59" t="s">
        <v>2443</v>
      </c>
      <c r="S709" s="22"/>
      <c r="T709" s="11" t="str">
        <f aca="false">"16.12.25"</f>
        <v>16.12.25</v>
      </c>
    </row>
    <row r="710" customFormat="false" ht="7.5" hidden="false" customHeight="true" outlineLevel="2" collapsed="false">
      <c r="A710" s="60" t="str">
        <f aca="false">HYPERLINK("https://disk.360.yandex.ru/d/0zffXa7zvuFdXQ","фото")</f>
        <v>фото</v>
      </c>
      <c r="B710" s="49" t="s">
        <v>2444</v>
      </c>
      <c r="C710" s="50" t="s">
        <v>2445</v>
      </c>
      <c r="D710" s="51" t="s">
        <v>2442</v>
      </c>
      <c r="E710" s="52" t="n">
        <f aca="false">I710*(1-J710)*(100-E1)/100</f>
        <v>1735.68</v>
      </c>
      <c r="F710" s="53"/>
      <c r="G710" s="54" t="n">
        <v>5</v>
      </c>
      <c r="H710" s="52" t="n">
        <f aca="false">E710*F710</f>
        <v>0</v>
      </c>
      <c r="I710" s="55" t="n">
        <v>3390</v>
      </c>
      <c r="J710" s="56" t="n">
        <v>0.2</v>
      </c>
      <c r="K710" s="57" t="n">
        <v>332</v>
      </c>
      <c r="L710" s="22" t="s">
        <v>53</v>
      </c>
      <c r="M710" s="22"/>
      <c r="N710" s="58" t="n">
        <f aca="false">F710*P710</f>
        <v>0</v>
      </c>
      <c r="O710" s="58" t="n">
        <f aca="false">F710*Q710</f>
        <v>0</v>
      </c>
      <c r="P710" s="58" t="n">
        <v>1.19</v>
      </c>
      <c r="Q710" s="58" t="n">
        <v>0.07</v>
      </c>
      <c r="R710" s="59" t="s">
        <v>2446</v>
      </c>
      <c r="S710" s="22"/>
      <c r="T710" s="11" t="str">
        <f aca="false">"16.12.25"</f>
        <v>16.12.25</v>
      </c>
    </row>
    <row r="711" customFormat="false" ht="7.5" hidden="false" customHeight="true" outlineLevel="2" collapsed="false">
      <c r="A711" s="60" t="str">
        <f aca="false">HYPERLINK("https://disk.360.yandex.ru/d/JQ8GUXV5OIP6Eg","фото")</f>
        <v>фото</v>
      </c>
      <c r="B711" s="49" t="s">
        <v>2447</v>
      </c>
      <c r="C711" s="50" t="s">
        <v>2448</v>
      </c>
      <c r="D711" s="51" t="s">
        <v>2449</v>
      </c>
      <c r="E711" s="52" t="n">
        <f aca="false">I711*(1-J711)*(100-E1)/100</f>
        <v>153.6</v>
      </c>
      <c r="F711" s="53"/>
      <c r="G711" s="54" t="n">
        <v>5</v>
      </c>
      <c r="H711" s="52" t="n">
        <f aca="false">E711*F711</f>
        <v>0</v>
      </c>
      <c r="I711" s="55" t="n">
        <v>300</v>
      </c>
      <c r="J711" s="56" t="n">
        <v>0.2</v>
      </c>
      <c r="K711" s="57" t="n">
        <v>252</v>
      </c>
      <c r="L711" s="22" t="s">
        <v>53</v>
      </c>
      <c r="M711" s="22"/>
      <c r="N711" s="58" t="n">
        <f aca="false">F711*P711</f>
        <v>0</v>
      </c>
      <c r="O711" s="58" t="n">
        <f aca="false">F711*Q711</f>
        <v>0</v>
      </c>
      <c r="P711" s="58" t="n">
        <v>0.1</v>
      </c>
      <c r="Q711" s="58" t="n">
        <v>0.01</v>
      </c>
      <c r="R711" s="59" t="s">
        <v>2450</v>
      </c>
      <c r="S711" s="22"/>
      <c r="T711" s="11" t="str">
        <f aca="false">"16.12.25"</f>
        <v>16.12.25</v>
      </c>
    </row>
    <row r="712" customFormat="false" ht="7.5" hidden="false" customHeight="true" outlineLevel="0" collapsed="false">
      <c r="A712" s="28"/>
      <c r="B712" s="29"/>
      <c r="C712" s="30" t="s">
        <v>2451</v>
      </c>
      <c r="D712" s="31"/>
      <c r="E712" s="32"/>
      <c r="F712" s="33"/>
      <c r="G712" s="34"/>
      <c r="H712" s="32"/>
      <c r="I712" s="35"/>
      <c r="J712" s="36"/>
      <c r="K712" s="35"/>
      <c r="L712" s="34"/>
      <c r="M712" s="34"/>
      <c r="N712" s="37"/>
      <c r="O712" s="37"/>
      <c r="P712" s="37"/>
      <c r="Q712" s="37"/>
      <c r="R712" s="29"/>
      <c r="S712" s="34"/>
      <c r="T712" s="11" t="str">
        <f aca="false">"16.12.25"</f>
        <v>16.12.25</v>
      </c>
    </row>
    <row r="713" customFormat="false" ht="7.5" hidden="false" customHeight="true" outlineLevel="1" collapsed="false">
      <c r="A713" s="38"/>
      <c r="B713" s="39"/>
      <c r="C713" s="40" t="s">
        <v>2452</v>
      </c>
      <c r="D713" s="41"/>
      <c r="E713" s="42"/>
      <c r="F713" s="43"/>
      <c r="G713" s="44"/>
      <c r="H713" s="42"/>
      <c r="I713" s="45"/>
      <c r="J713" s="46"/>
      <c r="K713" s="45"/>
      <c r="L713" s="44"/>
      <c r="M713" s="44"/>
      <c r="N713" s="47"/>
      <c r="O713" s="47"/>
      <c r="P713" s="47"/>
      <c r="Q713" s="47"/>
      <c r="R713" s="39"/>
      <c r="S713" s="44"/>
      <c r="T713" s="11" t="str">
        <f aca="false">"16.12.25"</f>
        <v>16.12.25</v>
      </c>
    </row>
    <row r="714" customFormat="false" ht="7.5" hidden="false" customHeight="true" outlineLevel="2" collapsed="false">
      <c r="A714" s="60" t="str">
        <f aca="false">HYPERLINK("https://disk.360.yandex.ru/d/8XL36Y3zon6XPw","фото")</f>
        <v>фото</v>
      </c>
      <c r="B714" s="49" t="s">
        <v>2453</v>
      </c>
      <c r="C714" s="50" t="s">
        <v>2454</v>
      </c>
      <c r="D714" s="51" t="s">
        <v>2455</v>
      </c>
      <c r="E714" s="52" t="n">
        <f aca="false">I714*(1-J714)*(100-E1)/100</f>
        <v>3654.144</v>
      </c>
      <c r="F714" s="53"/>
      <c r="G714" s="54" t="n">
        <v>1</v>
      </c>
      <c r="H714" s="52" t="n">
        <f aca="false">E714*F714</f>
        <v>0</v>
      </c>
      <c r="I714" s="55" t="n">
        <v>7320</v>
      </c>
      <c r="J714" s="56" t="n">
        <v>0.22</v>
      </c>
      <c r="K714" s="57" t="n">
        <v>15</v>
      </c>
      <c r="L714" s="22" t="s">
        <v>44</v>
      </c>
      <c r="M714" s="22"/>
      <c r="N714" s="58" t="n">
        <f aca="false">F714*P714</f>
        <v>0</v>
      </c>
      <c r="O714" s="58" t="n">
        <f aca="false">F714*Q714</f>
        <v>0</v>
      </c>
      <c r="P714" s="58" t="n">
        <v>6.5</v>
      </c>
      <c r="Q714" s="58" t="n">
        <v>0.03</v>
      </c>
      <c r="R714" s="59" t="s">
        <v>2456</v>
      </c>
      <c r="S714" s="22"/>
      <c r="T714" s="11" t="str">
        <f aca="false">"16.12.25"</f>
        <v>16.12.25</v>
      </c>
    </row>
    <row r="715" customFormat="false" ht="7.5" hidden="false" customHeight="true" outlineLevel="2" collapsed="false">
      <c r="A715" s="60" t="str">
        <f aca="false">HYPERLINK("https://disk.360.yandex.ru/d/SvB5RE6lgJ4jzg","фото")</f>
        <v>фото</v>
      </c>
      <c r="B715" s="49" t="s">
        <v>2457</v>
      </c>
      <c r="C715" s="50" t="s">
        <v>2458</v>
      </c>
      <c r="D715" s="51" t="s">
        <v>2459</v>
      </c>
      <c r="E715" s="52" t="n">
        <f aca="false">I715*(1-J715)*(100-E1)/100</f>
        <v>5145.6</v>
      </c>
      <c r="F715" s="53"/>
      <c r="G715" s="54" t="n">
        <v>1</v>
      </c>
      <c r="H715" s="52" t="n">
        <f aca="false">E715*F715</f>
        <v>0</v>
      </c>
      <c r="I715" s="55" t="n">
        <v>8040</v>
      </c>
      <c r="J715" s="56"/>
      <c r="K715" s="57" t="n">
        <v>0</v>
      </c>
      <c r="L715" s="22" t="s">
        <v>44</v>
      </c>
      <c r="M715" s="22"/>
      <c r="N715" s="58" t="n">
        <f aca="false">F715*P715</f>
        <v>0</v>
      </c>
      <c r="O715" s="58" t="n">
        <f aca="false">F715*Q715</f>
        <v>0</v>
      </c>
      <c r="P715" s="58" t="n">
        <v>6.65</v>
      </c>
      <c r="Q715" s="58" t="n">
        <v>0.03</v>
      </c>
      <c r="R715" s="59" t="s">
        <v>2460</v>
      </c>
      <c r="S715" s="22"/>
      <c r="T715" s="11" t="str">
        <f aca="false">"16.12.25"</f>
        <v>16.12.25</v>
      </c>
    </row>
    <row r="716" customFormat="false" ht="7.5" hidden="false" customHeight="true" outlineLevel="2" collapsed="false">
      <c r="A716" s="60" t="str">
        <f aca="false">HYPERLINK("https://disk.360.yandex.ru/d/ILlHXBVdKrFfUQ","фото")</f>
        <v>фото</v>
      </c>
      <c r="B716" s="49" t="s">
        <v>2461</v>
      </c>
      <c r="C716" s="50" t="s">
        <v>2462</v>
      </c>
      <c r="D716" s="51" t="s">
        <v>2459</v>
      </c>
      <c r="E716" s="52" t="n">
        <f aca="false">I716*(1-J716)*(100-E1)/100</f>
        <v>4729.6</v>
      </c>
      <c r="F716" s="53"/>
      <c r="G716" s="54" t="n">
        <v>1</v>
      </c>
      <c r="H716" s="52" t="n">
        <f aca="false">E716*F716</f>
        <v>0</v>
      </c>
      <c r="I716" s="55" t="n">
        <v>7390</v>
      </c>
      <c r="J716" s="56"/>
      <c r="K716" s="57" t="n">
        <v>0</v>
      </c>
      <c r="L716" s="22" t="s">
        <v>44</v>
      </c>
      <c r="M716" s="22"/>
      <c r="N716" s="58" t="n">
        <f aca="false">F716*P716</f>
        <v>0</v>
      </c>
      <c r="O716" s="58" t="n">
        <f aca="false">F716*Q716</f>
        <v>0</v>
      </c>
      <c r="P716" s="58" t="n">
        <v>7</v>
      </c>
      <c r="Q716" s="58" t="n">
        <v>0.025</v>
      </c>
      <c r="R716" s="59" t="s">
        <v>2463</v>
      </c>
      <c r="S716" s="22"/>
      <c r="T716" s="11" t="str">
        <f aca="false">"16.12.25"</f>
        <v>16.12.25</v>
      </c>
    </row>
    <row r="717" customFormat="false" ht="7.5" hidden="false" customHeight="true" outlineLevel="2" collapsed="false">
      <c r="A717" s="60" t="str">
        <f aca="false">HYPERLINK("https://disk.360.yandex.ru/d/oUzlqLGCPfo9ng","фото")</f>
        <v>фото</v>
      </c>
      <c r="B717" s="49" t="s">
        <v>2464</v>
      </c>
      <c r="C717" s="50" t="s">
        <v>2465</v>
      </c>
      <c r="D717" s="51" t="s">
        <v>2466</v>
      </c>
      <c r="E717" s="52" t="n">
        <f aca="false">I717*(1-J717)*(100-E1)/100</f>
        <v>5209.6</v>
      </c>
      <c r="F717" s="53"/>
      <c r="G717" s="54" t="n">
        <v>1</v>
      </c>
      <c r="H717" s="52" t="n">
        <f aca="false">E717*F717</f>
        <v>0</v>
      </c>
      <c r="I717" s="55" t="n">
        <v>8140</v>
      </c>
      <c r="J717" s="56"/>
      <c r="K717" s="57" t="n">
        <v>1</v>
      </c>
      <c r="L717" s="22" t="s">
        <v>44</v>
      </c>
      <c r="M717" s="22"/>
      <c r="N717" s="58" t="n">
        <f aca="false">F717*P717</f>
        <v>0</v>
      </c>
      <c r="O717" s="58" t="n">
        <f aca="false">F717*Q717</f>
        <v>0</v>
      </c>
      <c r="P717" s="58" t="n">
        <v>7</v>
      </c>
      <c r="Q717" s="58" t="n">
        <v>0.029</v>
      </c>
      <c r="R717" s="59" t="s">
        <v>2467</v>
      </c>
      <c r="S717" s="22"/>
      <c r="T717" s="11" t="str">
        <f aca="false">"16.12.25"</f>
        <v>16.12.25</v>
      </c>
    </row>
    <row r="718" customFormat="false" ht="7.5" hidden="false" customHeight="true" outlineLevel="2" collapsed="false">
      <c r="A718" s="60" t="str">
        <f aca="false">HYPERLINK("https://disk.360.yandex.ru/d/MZccXUsa_Q_EYA","фото")</f>
        <v>фото</v>
      </c>
      <c r="B718" s="49" t="s">
        <v>2468</v>
      </c>
      <c r="C718" s="50" t="s">
        <v>2469</v>
      </c>
      <c r="D718" s="51" t="s">
        <v>2466</v>
      </c>
      <c r="E718" s="52" t="n">
        <f aca="false">I718*(1-J718)*(100-E1)/100</f>
        <v>4780.8</v>
      </c>
      <c r="F718" s="53"/>
      <c r="G718" s="54" t="n">
        <v>1</v>
      </c>
      <c r="H718" s="52" t="n">
        <f aca="false">E718*F718</f>
        <v>0</v>
      </c>
      <c r="I718" s="55" t="n">
        <v>7470</v>
      </c>
      <c r="J718" s="56"/>
      <c r="K718" s="57" t="n">
        <v>3</v>
      </c>
      <c r="L718" s="22" t="s">
        <v>44</v>
      </c>
      <c r="M718" s="22"/>
      <c r="N718" s="58" t="n">
        <f aca="false">F718*P718</f>
        <v>0</v>
      </c>
      <c r="O718" s="58" t="n">
        <f aca="false">F718*Q718</f>
        <v>0</v>
      </c>
      <c r="P718" s="58" t="n">
        <v>7.9</v>
      </c>
      <c r="Q718" s="58" t="n">
        <v>0.029</v>
      </c>
      <c r="R718" s="59" t="s">
        <v>2470</v>
      </c>
      <c r="S718" s="22"/>
      <c r="T718" s="11" t="str">
        <f aca="false">"16.12.25"</f>
        <v>16.12.25</v>
      </c>
    </row>
    <row r="719" customFormat="false" ht="7.5" hidden="false" customHeight="true" outlineLevel="2" collapsed="false">
      <c r="A719" s="60" t="str">
        <f aca="false">HYPERLINK("https://disk.360.yandex.ru/d/JEe9zV8cx7hidw","фото")</f>
        <v>фото</v>
      </c>
      <c r="B719" s="49" t="s">
        <v>2471</v>
      </c>
      <c r="C719" s="50" t="s">
        <v>2472</v>
      </c>
      <c r="D719" s="51" t="s">
        <v>2473</v>
      </c>
      <c r="E719" s="52" t="n">
        <f aca="false">I719*(1-J719)*(100-E1)/100</f>
        <v>7173.12</v>
      </c>
      <c r="F719" s="53"/>
      <c r="G719" s="54" t="n">
        <v>1</v>
      </c>
      <c r="H719" s="52" t="n">
        <f aca="false">E719*F719</f>
        <v>0</v>
      </c>
      <c r="I719" s="55" t="n">
        <v>14010</v>
      </c>
      <c r="J719" s="56" t="n">
        <v>0.2</v>
      </c>
      <c r="K719" s="57" t="n">
        <v>145</v>
      </c>
      <c r="L719" s="22" t="s">
        <v>53</v>
      </c>
      <c r="M719" s="22" t="s">
        <v>31</v>
      </c>
      <c r="N719" s="58" t="n">
        <f aca="false">F719*P719</f>
        <v>0</v>
      </c>
      <c r="O719" s="58" t="n">
        <f aca="false">F719*Q719</f>
        <v>0</v>
      </c>
      <c r="P719" s="58" t="n">
        <v>8.2</v>
      </c>
      <c r="Q719" s="58" t="n">
        <v>0.029</v>
      </c>
      <c r="R719" s="59" t="s">
        <v>2474</v>
      </c>
      <c r="S719" s="22"/>
      <c r="T719" s="11" t="str">
        <f aca="false">"16.12.25"</f>
        <v>16.12.25</v>
      </c>
    </row>
    <row r="720" customFormat="false" ht="7.5" hidden="false" customHeight="true" outlineLevel="2" collapsed="false">
      <c r="A720" s="48"/>
      <c r="B720" s="49" t="s">
        <v>2475</v>
      </c>
      <c r="C720" s="50" t="s">
        <v>2476</v>
      </c>
      <c r="D720" s="51" t="s">
        <v>2477</v>
      </c>
      <c r="E720" s="52" t="n">
        <f aca="false">I720*(1-J720)*(100-E1)/100</f>
        <v>7929.6</v>
      </c>
      <c r="F720" s="53"/>
      <c r="G720" s="54"/>
      <c r="H720" s="52" t="n">
        <f aca="false">E720*F720</f>
        <v>0</v>
      </c>
      <c r="I720" s="55" t="n">
        <v>12390</v>
      </c>
      <c r="J720" s="56"/>
      <c r="K720" s="57" t="n">
        <v>0</v>
      </c>
      <c r="L720" s="22" t="s">
        <v>53</v>
      </c>
      <c r="M720" s="22"/>
      <c r="N720" s="58" t="n">
        <f aca="false">F720*P720</f>
        <v>0</v>
      </c>
      <c r="O720" s="58" t="n">
        <f aca="false">F720*Q720</f>
        <v>0</v>
      </c>
      <c r="P720" s="58"/>
      <c r="Q720" s="58" t="n">
        <v>0.024</v>
      </c>
      <c r="R720" s="59"/>
      <c r="S720" s="22"/>
      <c r="T720" s="11" t="str">
        <f aca="false">"16.12.25"</f>
        <v>16.12.25</v>
      </c>
    </row>
    <row r="721" customFormat="false" ht="7.5" hidden="false" customHeight="true" outlineLevel="2" collapsed="false">
      <c r="A721" s="60" t="str">
        <f aca="false">HYPERLINK("https://disk.360.yandex.ru/d/YK2zxRZ55lFrnA","фото")</f>
        <v>фото</v>
      </c>
      <c r="B721" s="49" t="s">
        <v>2478</v>
      </c>
      <c r="C721" s="50" t="s">
        <v>2479</v>
      </c>
      <c r="D721" s="51" t="s">
        <v>2455</v>
      </c>
      <c r="E721" s="52" t="n">
        <f aca="false">I721*(1-J721)*(100-E1)/100</f>
        <v>4608</v>
      </c>
      <c r="F721" s="53"/>
      <c r="G721" s="54" t="n">
        <v>1</v>
      </c>
      <c r="H721" s="52" t="n">
        <f aca="false">E721*F721</f>
        <v>0</v>
      </c>
      <c r="I721" s="55" t="n">
        <v>9600</v>
      </c>
      <c r="J721" s="56" t="n">
        <v>0.25</v>
      </c>
      <c r="K721" s="57" t="n">
        <v>843</v>
      </c>
      <c r="L721" s="22" t="s">
        <v>53</v>
      </c>
      <c r="M721" s="22" t="s">
        <v>31</v>
      </c>
      <c r="N721" s="58" t="n">
        <f aca="false">F721*P721</f>
        <v>0</v>
      </c>
      <c r="O721" s="58" t="n">
        <f aca="false">F721*Q721</f>
        <v>0</v>
      </c>
      <c r="P721" s="58" t="n">
        <v>9.537</v>
      </c>
      <c r="Q721" s="58" t="n">
        <v>0.03</v>
      </c>
      <c r="R721" s="59" t="s">
        <v>2480</v>
      </c>
      <c r="S721" s="22"/>
      <c r="T721" s="11" t="str">
        <f aca="false">"16.12.25"</f>
        <v>16.12.25</v>
      </c>
    </row>
    <row r="722" customFormat="false" ht="7.5" hidden="false" customHeight="true" outlineLevel="2" collapsed="false">
      <c r="A722" s="48"/>
      <c r="B722" s="49" t="s">
        <v>2481</v>
      </c>
      <c r="C722" s="50" t="s">
        <v>2482</v>
      </c>
      <c r="D722" s="51" t="s">
        <v>2477</v>
      </c>
      <c r="E722" s="52" t="n">
        <f aca="false">I722*(1-J722)*(100-E1)/100</f>
        <v>8889.6</v>
      </c>
      <c r="F722" s="53"/>
      <c r="G722" s="54"/>
      <c r="H722" s="52" t="n">
        <f aca="false">E722*F722</f>
        <v>0</v>
      </c>
      <c r="I722" s="55" t="n">
        <v>13890</v>
      </c>
      <c r="J722" s="56"/>
      <c r="K722" s="57" t="n">
        <v>0</v>
      </c>
      <c r="L722" s="22" t="s">
        <v>53</v>
      </c>
      <c r="M722" s="22"/>
      <c r="N722" s="58" t="n">
        <f aca="false">F722*P722</f>
        <v>0</v>
      </c>
      <c r="O722" s="58" t="n">
        <f aca="false">F722*Q722</f>
        <v>0</v>
      </c>
      <c r="P722" s="58" t="n">
        <v>7.5</v>
      </c>
      <c r="Q722" s="58" t="n">
        <v>0.024</v>
      </c>
      <c r="R722" s="59"/>
      <c r="S722" s="22"/>
      <c r="T722" s="11" t="str">
        <f aca="false">"16.12.25"</f>
        <v>16.12.25</v>
      </c>
    </row>
    <row r="723" customFormat="false" ht="7.5" hidden="false" customHeight="true" outlineLevel="2" collapsed="false">
      <c r="A723" s="60" t="str">
        <f aca="false">HYPERLINK("https://disk.360.yandex.ru/d/EBw_-hzA6TeDcA","фото")</f>
        <v>фото</v>
      </c>
      <c r="B723" s="49" t="s">
        <v>2483</v>
      </c>
      <c r="C723" s="50" t="s">
        <v>2484</v>
      </c>
      <c r="D723" s="51" t="s">
        <v>2459</v>
      </c>
      <c r="E723" s="52" t="n">
        <f aca="false">I723*(1-J723)*(100-E1)/100</f>
        <v>4651.2</v>
      </c>
      <c r="F723" s="53"/>
      <c r="G723" s="54" t="n">
        <v>1</v>
      </c>
      <c r="H723" s="52" t="n">
        <f aca="false">E723*F723</f>
        <v>0</v>
      </c>
      <c r="I723" s="55" t="n">
        <v>9690</v>
      </c>
      <c r="J723" s="56" t="n">
        <v>0.25</v>
      </c>
      <c r="K723" s="57" t="n">
        <v>5</v>
      </c>
      <c r="L723" s="22" t="s">
        <v>53</v>
      </c>
      <c r="M723" s="22"/>
      <c r="N723" s="58" t="n">
        <f aca="false">F723*P723</f>
        <v>0</v>
      </c>
      <c r="O723" s="58" t="n">
        <f aca="false">F723*Q723</f>
        <v>0</v>
      </c>
      <c r="P723" s="58" t="n">
        <v>9.09</v>
      </c>
      <c r="Q723" s="58" t="n">
        <v>0.029</v>
      </c>
      <c r="R723" s="59" t="s">
        <v>2485</v>
      </c>
      <c r="S723" s="22"/>
      <c r="T723" s="11" t="str">
        <f aca="false">"16.12.25"</f>
        <v>16.12.25</v>
      </c>
    </row>
    <row r="724" customFormat="false" ht="7.5" hidden="false" customHeight="true" outlineLevel="2" collapsed="false">
      <c r="A724" s="48"/>
      <c r="B724" s="49" t="s">
        <v>2486</v>
      </c>
      <c r="C724" s="50" t="s">
        <v>2487</v>
      </c>
      <c r="D724" s="51" t="s">
        <v>2488</v>
      </c>
      <c r="E724" s="52" t="n">
        <f aca="false">I724*(1-J724)*(100-E1)/100</f>
        <v>9011.2</v>
      </c>
      <c r="F724" s="53"/>
      <c r="G724" s="54"/>
      <c r="H724" s="52" t="n">
        <f aca="false">E724*F724</f>
        <v>0</v>
      </c>
      <c r="I724" s="55" t="n">
        <v>14080</v>
      </c>
      <c r="J724" s="56"/>
      <c r="K724" s="57" t="n">
        <v>0</v>
      </c>
      <c r="L724" s="22" t="s">
        <v>53</v>
      </c>
      <c r="M724" s="22"/>
      <c r="N724" s="58" t="n">
        <f aca="false">F724*P724</f>
        <v>0</v>
      </c>
      <c r="O724" s="58" t="n">
        <f aca="false">F724*Q724</f>
        <v>0</v>
      </c>
      <c r="P724" s="58" t="n">
        <v>7.5</v>
      </c>
      <c r="Q724" s="58" t="n">
        <v>0.026</v>
      </c>
      <c r="R724" s="59"/>
      <c r="S724" s="22"/>
      <c r="T724" s="11" t="str">
        <f aca="false">"16.12.25"</f>
        <v>16.12.25</v>
      </c>
    </row>
    <row r="725" customFormat="false" ht="7.5" hidden="false" customHeight="true" outlineLevel="1" collapsed="false">
      <c r="A725" s="38"/>
      <c r="B725" s="39"/>
      <c r="C725" s="40" t="s">
        <v>2489</v>
      </c>
      <c r="D725" s="41"/>
      <c r="E725" s="42"/>
      <c r="F725" s="43"/>
      <c r="G725" s="44"/>
      <c r="H725" s="42"/>
      <c r="I725" s="45"/>
      <c r="J725" s="46"/>
      <c r="K725" s="45"/>
      <c r="L725" s="44"/>
      <c r="M725" s="44"/>
      <c r="N725" s="47"/>
      <c r="O725" s="47"/>
      <c r="P725" s="47"/>
      <c r="Q725" s="47"/>
      <c r="R725" s="39"/>
      <c r="S725" s="44"/>
      <c r="T725" s="11" t="str">
        <f aca="false">"16.12.25"</f>
        <v>16.12.25</v>
      </c>
    </row>
    <row r="726" customFormat="false" ht="7.5" hidden="false" customHeight="true" outlineLevel="2" collapsed="false">
      <c r="A726" s="60" t="str">
        <f aca="false">HYPERLINK("https://disk.360.yandex.ru/d/9wnMe7Grjuo7tw","фото")</f>
        <v>фото</v>
      </c>
      <c r="B726" s="49" t="s">
        <v>2490</v>
      </c>
      <c r="C726" s="50" t="s">
        <v>2491</v>
      </c>
      <c r="D726" s="51" t="s">
        <v>2492</v>
      </c>
      <c r="E726" s="52" t="n">
        <f aca="false">I726*(1-J726)*(100-E1)/100</f>
        <v>4172.48</v>
      </c>
      <c r="F726" s="53"/>
      <c r="G726" s="54" t="n">
        <v>4</v>
      </c>
      <c r="H726" s="52" t="n">
        <f aca="false">E726*F726</f>
        <v>0</v>
      </c>
      <c r="I726" s="55" t="n">
        <v>7670</v>
      </c>
      <c r="J726" s="56" t="n">
        <v>0.15</v>
      </c>
      <c r="K726" s="57" t="n">
        <v>643</v>
      </c>
      <c r="L726" s="22" t="s">
        <v>44</v>
      </c>
      <c r="M726" s="22" t="s">
        <v>152</v>
      </c>
      <c r="N726" s="58" t="n">
        <f aca="false">F726*P726</f>
        <v>0</v>
      </c>
      <c r="O726" s="58" t="n">
        <f aca="false">F726*Q726</f>
        <v>0</v>
      </c>
      <c r="P726" s="58" t="n">
        <v>4.5</v>
      </c>
      <c r="Q726" s="58" t="n">
        <v>0.017</v>
      </c>
      <c r="R726" s="59" t="s">
        <v>2493</v>
      </c>
      <c r="S726" s="22"/>
      <c r="T726" s="11" t="str">
        <f aca="false">"16.12.25"</f>
        <v>16.12.25</v>
      </c>
    </row>
    <row r="727" customFormat="false" ht="7.5" hidden="false" customHeight="true" outlineLevel="2" collapsed="false">
      <c r="A727" s="60" t="str">
        <f aca="false">HYPERLINK("https://disk.360.yandex.ru/d/pJPmKCA4LxNNRQ","фото")</f>
        <v>фото</v>
      </c>
      <c r="B727" s="49" t="s">
        <v>2494</v>
      </c>
      <c r="C727" s="50" t="s">
        <v>2495</v>
      </c>
      <c r="D727" s="51" t="s">
        <v>2496</v>
      </c>
      <c r="E727" s="52" t="n">
        <f aca="false">I727*(1-J727)*(100-E1)/100</f>
        <v>3791.68</v>
      </c>
      <c r="F727" s="53"/>
      <c r="G727" s="54" t="n">
        <v>2</v>
      </c>
      <c r="H727" s="52" t="n">
        <f aca="false">E727*F727</f>
        <v>0</v>
      </c>
      <c r="I727" s="55" t="n">
        <v>6970</v>
      </c>
      <c r="J727" s="56" t="n">
        <v>0.15</v>
      </c>
      <c r="K727" s="57" t="n">
        <v>352</v>
      </c>
      <c r="L727" s="22" t="s">
        <v>44</v>
      </c>
      <c r="M727" s="22" t="s">
        <v>152</v>
      </c>
      <c r="N727" s="58" t="n">
        <f aca="false">F727*P727</f>
        <v>0</v>
      </c>
      <c r="O727" s="58" t="n">
        <f aca="false">F727*Q727</f>
        <v>0</v>
      </c>
      <c r="P727" s="58" t="n">
        <v>6.5</v>
      </c>
      <c r="Q727" s="58" t="n">
        <v>0.041</v>
      </c>
      <c r="R727" s="59" t="s">
        <v>2497</v>
      </c>
      <c r="S727" s="22"/>
      <c r="T727" s="11" t="str">
        <f aca="false">"16.12.25"</f>
        <v>16.12.25</v>
      </c>
    </row>
    <row r="728" customFormat="false" ht="7.5" hidden="false" customHeight="true" outlineLevel="2" collapsed="false">
      <c r="A728" s="60" t="str">
        <f aca="false">HYPERLINK("https://disk.360.yandex.ru/d/vlDWd9HLFiL84A","фото")</f>
        <v>фото</v>
      </c>
      <c r="B728" s="49" t="s">
        <v>2498</v>
      </c>
      <c r="C728" s="50" t="s">
        <v>2499</v>
      </c>
      <c r="D728" s="51" t="s">
        <v>2500</v>
      </c>
      <c r="E728" s="52" t="n">
        <f aca="false">I728*(1-J728)*(100-E1)/100</f>
        <v>3856.96</v>
      </c>
      <c r="F728" s="53"/>
      <c r="G728" s="54" t="n">
        <v>2</v>
      </c>
      <c r="H728" s="52" t="n">
        <f aca="false">E728*F728</f>
        <v>0</v>
      </c>
      <c r="I728" s="55" t="n">
        <v>7090</v>
      </c>
      <c r="J728" s="56" t="n">
        <v>0.15</v>
      </c>
      <c r="K728" s="57" t="n">
        <v>205</v>
      </c>
      <c r="L728" s="22" t="s">
        <v>44</v>
      </c>
      <c r="M728" s="22" t="s">
        <v>152</v>
      </c>
      <c r="N728" s="58" t="n">
        <f aca="false">F728*P728</f>
        <v>0</v>
      </c>
      <c r="O728" s="58" t="n">
        <f aca="false">F728*Q728</f>
        <v>0</v>
      </c>
      <c r="P728" s="58" t="n">
        <v>6.5</v>
      </c>
      <c r="Q728" s="58" t="n">
        <v>0.041</v>
      </c>
      <c r="R728" s="59" t="s">
        <v>2501</v>
      </c>
      <c r="S728" s="22"/>
      <c r="T728" s="11" t="str">
        <f aca="false">"16.12.25"</f>
        <v>16.12.25</v>
      </c>
    </row>
    <row r="729" customFormat="false" ht="7.5" hidden="false" customHeight="true" outlineLevel="2" collapsed="false">
      <c r="A729" s="60" t="str">
        <f aca="false">HYPERLINK("https://disk.yandex.ru/d/nUoNPkDrC-fkYQ","фото")</f>
        <v>фото</v>
      </c>
      <c r="B729" s="49" t="s">
        <v>2502</v>
      </c>
      <c r="C729" s="50" t="s">
        <v>2503</v>
      </c>
      <c r="D729" s="51" t="s">
        <v>2504</v>
      </c>
      <c r="E729" s="52" t="n">
        <f aca="false">I729*(1-J729)*(100-E1)/100</f>
        <v>4371.2</v>
      </c>
      <c r="F729" s="53"/>
      <c r="G729" s="54" t="n">
        <v>2</v>
      </c>
      <c r="H729" s="52" t="n">
        <f aca="false">E729*F729</f>
        <v>0</v>
      </c>
      <c r="I729" s="55" t="n">
        <v>6830</v>
      </c>
      <c r="J729" s="56"/>
      <c r="K729" s="57" t="n">
        <v>0</v>
      </c>
      <c r="L729" s="22" t="s">
        <v>44</v>
      </c>
      <c r="M729" s="22"/>
      <c r="N729" s="58" t="n">
        <f aca="false">F729*P729</f>
        <v>0</v>
      </c>
      <c r="O729" s="58" t="n">
        <f aca="false">F729*Q729</f>
        <v>0</v>
      </c>
      <c r="P729" s="58" t="n">
        <v>6.5</v>
      </c>
      <c r="Q729" s="58" t="n">
        <v>0.027</v>
      </c>
      <c r="R729" s="59" t="s">
        <v>2505</v>
      </c>
      <c r="S729" s="22"/>
      <c r="T729" s="11" t="str">
        <f aca="false">"16.12.25"</f>
        <v>16.12.25</v>
      </c>
    </row>
    <row r="730" customFormat="false" ht="7.5" hidden="false" customHeight="true" outlineLevel="2" collapsed="false">
      <c r="A730" s="60" t="str">
        <f aca="false">HYPERLINK("https://disk.yandex.ru/d/2WOl3U1cSTHaNw","фото")</f>
        <v>фото</v>
      </c>
      <c r="B730" s="49" t="s">
        <v>2506</v>
      </c>
      <c r="C730" s="50" t="s">
        <v>2507</v>
      </c>
      <c r="D730" s="51" t="s">
        <v>2508</v>
      </c>
      <c r="E730" s="52" t="n">
        <f aca="false">I730*(1-J730)*(100-E1)/100</f>
        <v>6030.72</v>
      </c>
      <c r="F730" s="53"/>
      <c r="G730" s="54" t="n">
        <v>2</v>
      </c>
      <c r="H730" s="52" t="n">
        <f aca="false">E730*F730</f>
        <v>0</v>
      </c>
      <c r="I730" s="55" t="n">
        <v>10470</v>
      </c>
      <c r="J730" s="56" t="n">
        <v>0.1</v>
      </c>
      <c r="K730" s="57" t="n">
        <v>0</v>
      </c>
      <c r="L730" s="22" t="s">
        <v>53</v>
      </c>
      <c r="M730" s="22"/>
      <c r="N730" s="58" t="n">
        <f aca="false">F730*P730</f>
        <v>0</v>
      </c>
      <c r="O730" s="58" t="n">
        <f aca="false">F730*Q730</f>
        <v>0</v>
      </c>
      <c r="P730" s="58" t="n">
        <v>7.75</v>
      </c>
      <c r="Q730" s="58" t="n">
        <v>0.042</v>
      </c>
      <c r="R730" s="59" t="s">
        <v>2509</v>
      </c>
      <c r="S730" s="22"/>
      <c r="T730" s="11" t="str">
        <f aca="false">"16.12.25"</f>
        <v>16.12.25</v>
      </c>
    </row>
    <row r="731" customFormat="false" ht="7.5" hidden="false" customHeight="true" outlineLevel="2" collapsed="false">
      <c r="A731" s="60" t="str">
        <f aca="false">HYPERLINK("https://disk.yandex.ru/d/eyR0kXTdCNvfKA","фото")</f>
        <v>фото</v>
      </c>
      <c r="B731" s="49" t="s">
        <v>2510</v>
      </c>
      <c r="C731" s="50" t="s">
        <v>2511</v>
      </c>
      <c r="D731" s="51" t="s">
        <v>2512</v>
      </c>
      <c r="E731" s="52" t="n">
        <f aca="false">I731*(1-J731)*(100-E1)/100</f>
        <v>6220.8</v>
      </c>
      <c r="F731" s="53"/>
      <c r="G731" s="54" t="n">
        <v>2</v>
      </c>
      <c r="H731" s="52" t="n">
        <f aca="false">E731*F731</f>
        <v>0</v>
      </c>
      <c r="I731" s="55" t="n">
        <v>10800</v>
      </c>
      <c r="J731" s="56" t="n">
        <v>0.1</v>
      </c>
      <c r="K731" s="57" t="n">
        <v>151</v>
      </c>
      <c r="L731" s="22" t="s">
        <v>53</v>
      </c>
      <c r="M731" s="22"/>
      <c r="N731" s="58" t="n">
        <f aca="false">F731*P731</f>
        <v>0</v>
      </c>
      <c r="O731" s="58" t="n">
        <f aca="false">F731*Q731</f>
        <v>0</v>
      </c>
      <c r="P731" s="58" t="n">
        <v>15.88</v>
      </c>
      <c r="Q731" s="58" t="n">
        <v>0.02</v>
      </c>
      <c r="R731" s="59" t="s">
        <v>2513</v>
      </c>
      <c r="S731" s="22"/>
      <c r="T731" s="11" t="str">
        <f aca="false">"16.12.25"</f>
        <v>16.12.25</v>
      </c>
    </row>
    <row r="732" customFormat="false" ht="7.5" hidden="false" customHeight="true" outlineLevel="2" collapsed="false">
      <c r="A732" s="60" t="str">
        <f aca="false">HYPERLINK("https://disk.yandex.ru/d/0ISlvFOZ_fTJPg","фото")</f>
        <v>фото</v>
      </c>
      <c r="B732" s="49" t="s">
        <v>2514</v>
      </c>
      <c r="C732" s="50" t="s">
        <v>2515</v>
      </c>
      <c r="D732" s="51" t="s">
        <v>2516</v>
      </c>
      <c r="E732" s="52" t="n">
        <f aca="false">I732*(1-J732)*(100-E1)/100</f>
        <v>6480</v>
      </c>
      <c r="F732" s="53"/>
      <c r="G732" s="54" t="n">
        <v>2</v>
      </c>
      <c r="H732" s="52" t="n">
        <f aca="false">E732*F732</f>
        <v>0</v>
      </c>
      <c r="I732" s="55" t="n">
        <v>11250</v>
      </c>
      <c r="J732" s="56" t="n">
        <v>0.1</v>
      </c>
      <c r="K732" s="57" t="n">
        <v>283</v>
      </c>
      <c r="L732" s="22" t="s">
        <v>53</v>
      </c>
      <c r="M732" s="22"/>
      <c r="N732" s="58" t="n">
        <f aca="false">F732*P732</f>
        <v>0</v>
      </c>
      <c r="O732" s="58" t="n">
        <f aca="false">F732*Q732</f>
        <v>0</v>
      </c>
      <c r="P732" s="58" t="n">
        <v>16.275</v>
      </c>
      <c r="Q732" s="58" t="n">
        <v>0.042</v>
      </c>
      <c r="R732" s="59" t="s">
        <v>2517</v>
      </c>
      <c r="S732" s="22"/>
      <c r="T732" s="11" t="str">
        <f aca="false">"16.12.25"</f>
        <v>16.12.25</v>
      </c>
    </row>
    <row r="733" customFormat="false" ht="7.5" hidden="false" customHeight="true" outlineLevel="1" collapsed="false">
      <c r="A733" s="38"/>
      <c r="B733" s="39"/>
      <c r="C733" s="40" t="s">
        <v>2518</v>
      </c>
      <c r="D733" s="41"/>
      <c r="E733" s="42"/>
      <c r="F733" s="43"/>
      <c r="G733" s="44"/>
      <c r="H733" s="42"/>
      <c r="I733" s="45"/>
      <c r="J733" s="46"/>
      <c r="K733" s="45"/>
      <c r="L733" s="44"/>
      <c r="M733" s="44"/>
      <c r="N733" s="47"/>
      <c r="O733" s="47"/>
      <c r="P733" s="47"/>
      <c r="Q733" s="47"/>
      <c r="R733" s="39"/>
      <c r="S733" s="44"/>
      <c r="T733" s="11" t="str">
        <f aca="false">"16.12.25"</f>
        <v>16.12.25</v>
      </c>
    </row>
    <row r="734" customFormat="false" ht="7.5" hidden="false" customHeight="true" outlineLevel="2" collapsed="false">
      <c r="A734" s="60" t="str">
        <f aca="false">HYPERLINK("https://disk.yandex.ru/d/iKywVDcxm5w7lA","фото")</f>
        <v>фото</v>
      </c>
      <c r="B734" s="49" t="s">
        <v>2519</v>
      </c>
      <c r="C734" s="50" t="s">
        <v>2520</v>
      </c>
      <c r="D734" s="51" t="s">
        <v>2521</v>
      </c>
      <c r="E734" s="52" t="n">
        <f aca="false">I734*(1-J734)*(100-E1)/100</f>
        <v>5696</v>
      </c>
      <c r="F734" s="53"/>
      <c r="G734" s="54" t="n">
        <v>1</v>
      </c>
      <c r="H734" s="52" t="n">
        <f aca="false">E734*F734</f>
        <v>0</v>
      </c>
      <c r="I734" s="55" t="n">
        <v>8900</v>
      </c>
      <c r="J734" s="56"/>
      <c r="K734" s="57" t="n">
        <v>0</v>
      </c>
      <c r="L734" s="22" t="s">
        <v>44</v>
      </c>
      <c r="M734" s="22"/>
      <c r="N734" s="58" t="n">
        <f aca="false">F734*P734</f>
        <v>0</v>
      </c>
      <c r="O734" s="58" t="n">
        <f aca="false">F734*Q734</f>
        <v>0</v>
      </c>
      <c r="P734" s="58" t="n">
        <v>14.5</v>
      </c>
      <c r="Q734" s="58" t="n">
        <v>0.018</v>
      </c>
      <c r="R734" s="59" t="s">
        <v>2522</v>
      </c>
      <c r="S734" s="22"/>
      <c r="T734" s="11" t="str">
        <f aca="false">"16.12.25"</f>
        <v>16.12.25</v>
      </c>
    </row>
    <row r="735" customFormat="false" ht="7.5" hidden="false" customHeight="true" outlineLevel="1" collapsed="false">
      <c r="A735" s="38"/>
      <c r="B735" s="39"/>
      <c r="C735" s="40" t="s">
        <v>2523</v>
      </c>
      <c r="D735" s="41"/>
      <c r="E735" s="42"/>
      <c r="F735" s="43"/>
      <c r="G735" s="44"/>
      <c r="H735" s="42"/>
      <c r="I735" s="45"/>
      <c r="J735" s="46"/>
      <c r="K735" s="45"/>
      <c r="L735" s="44"/>
      <c r="M735" s="44"/>
      <c r="N735" s="47"/>
      <c r="O735" s="47"/>
      <c r="P735" s="47"/>
      <c r="Q735" s="47"/>
      <c r="R735" s="39"/>
      <c r="S735" s="44"/>
      <c r="T735" s="11" t="str">
        <f aca="false">"16.12.25"</f>
        <v>16.12.25</v>
      </c>
    </row>
    <row r="736" customFormat="false" ht="7.5" hidden="false" customHeight="true" outlineLevel="2" collapsed="false">
      <c r="A736" s="60" t="str">
        <f aca="false">HYPERLINK("https://disk.yandex.ru/d/XrARj_rQpGhD9A","фото")</f>
        <v>фото</v>
      </c>
      <c r="B736" s="49" t="s">
        <v>2524</v>
      </c>
      <c r="C736" s="50" t="s">
        <v>2525</v>
      </c>
      <c r="D736" s="51" t="s">
        <v>2526</v>
      </c>
      <c r="E736" s="52" t="n">
        <f aca="false">I736*(1-J736)*(100-E1)/100</f>
        <v>14689.92</v>
      </c>
      <c r="F736" s="53"/>
      <c r="G736" s="54" t="n">
        <v>1</v>
      </c>
      <c r="H736" s="52" t="n">
        <f aca="false">E736*F736</f>
        <v>0</v>
      </c>
      <c r="I736" s="55" t="n">
        <v>32790</v>
      </c>
      <c r="J736" s="56" t="n">
        <v>0.3</v>
      </c>
      <c r="K736" s="57" t="n">
        <v>41</v>
      </c>
      <c r="L736" s="22" t="s">
        <v>44</v>
      </c>
      <c r="M736" s="22"/>
      <c r="N736" s="58" t="n">
        <f aca="false">F736*P736</f>
        <v>0</v>
      </c>
      <c r="O736" s="58" t="n">
        <f aca="false">F736*Q736</f>
        <v>0</v>
      </c>
      <c r="P736" s="58" t="n">
        <v>35</v>
      </c>
      <c r="Q736" s="58" t="n">
        <v>0.18</v>
      </c>
      <c r="R736" s="59" t="s">
        <v>2527</v>
      </c>
      <c r="S736" s="22"/>
      <c r="T736" s="11" t="str">
        <f aca="false">"16.12.25"</f>
        <v>16.12.25</v>
      </c>
    </row>
    <row r="737" customFormat="false" ht="7.5" hidden="false" customHeight="true" outlineLevel="2" collapsed="false">
      <c r="A737" s="60" t="str">
        <f aca="false">HYPERLINK("https://disk.yandex.ru/d/63Zj9QxlDTvgZA","фото")</f>
        <v>фото</v>
      </c>
      <c r="B737" s="49" t="s">
        <v>2528</v>
      </c>
      <c r="C737" s="50" t="s">
        <v>2529</v>
      </c>
      <c r="D737" s="51" t="s">
        <v>2530</v>
      </c>
      <c r="E737" s="52" t="n">
        <f aca="false">I737*(1-J737)*(100-E1)/100</f>
        <v>15671.04</v>
      </c>
      <c r="F737" s="53"/>
      <c r="G737" s="54" t="n">
        <v>1</v>
      </c>
      <c r="H737" s="52" t="n">
        <f aca="false">E737*F737</f>
        <v>0</v>
      </c>
      <c r="I737" s="55" t="n">
        <v>34980</v>
      </c>
      <c r="J737" s="56" t="n">
        <v>0.3</v>
      </c>
      <c r="K737" s="57" t="n">
        <v>35</v>
      </c>
      <c r="L737" s="22" t="s">
        <v>44</v>
      </c>
      <c r="M737" s="22"/>
      <c r="N737" s="58" t="n">
        <f aca="false">F737*P737</f>
        <v>0</v>
      </c>
      <c r="O737" s="58" t="n">
        <f aca="false">F737*Q737</f>
        <v>0</v>
      </c>
      <c r="P737" s="58" t="n">
        <v>33</v>
      </c>
      <c r="Q737" s="58" t="n">
        <v>0.17</v>
      </c>
      <c r="R737" s="59" t="s">
        <v>2531</v>
      </c>
      <c r="S737" s="22"/>
      <c r="T737" s="11" t="str">
        <f aca="false">"16.12.25"</f>
        <v>16.12.25</v>
      </c>
    </row>
    <row r="738" customFormat="false" ht="7.5" hidden="false" customHeight="true" outlineLevel="2" collapsed="false">
      <c r="A738" s="60" t="str">
        <f aca="false">HYPERLINK("https://disk.yandex.ru/d/ZGvYP9mrw7wi2w","фото")</f>
        <v>фото</v>
      </c>
      <c r="B738" s="49" t="s">
        <v>2532</v>
      </c>
      <c r="C738" s="50" t="s">
        <v>2533</v>
      </c>
      <c r="D738" s="51" t="s">
        <v>2534</v>
      </c>
      <c r="E738" s="52" t="n">
        <f aca="false">I738*(1-J738)*(100-E1)/100</f>
        <v>24627.2</v>
      </c>
      <c r="F738" s="53"/>
      <c r="G738" s="54" t="n">
        <v>1</v>
      </c>
      <c r="H738" s="52" t="n">
        <f aca="false">E738*F738</f>
        <v>0</v>
      </c>
      <c r="I738" s="55" t="n">
        <v>38480</v>
      </c>
      <c r="J738" s="56"/>
      <c r="K738" s="57" t="n">
        <v>0</v>
      </c>
      <c r="L738" s="22" t="s">
        <v>44</v>
      </c>
      <c r="M738" s="22"/>
      <c r="N738" s="58" t="n">
        <f aca="false">F738*P738</f>
        <v>0</v>
      </c>
      <c r="O738" s="58" t="n">
        <f aca="false">F738*Q738</f>
        <v>0</v>
      </c>
      <c r="P738" s="58" t="n">
        <v>28</v>
      </c>
      <c r="Q738" s="58" t="n">
        <v>0.17</v>
      </c>
      <c r="R738" s="59" t="s">
        <v>2535</v>
      </c>
      <c r="S738" s="22"/>
      <c r="T738" s="11" t="str">
        <f aca="false">"16.12.25"</f>
        <v>16.12.25</v>
      </c>
    </row>
    <row r="739" customFormat="false" ht="7.5" hidden="false" customHeight="true" outlineLevel="1" collapsed="false">
      <c r="A739" s="38"/>
      <c r="B739" s="39"/>
      <c r="C739" s="40" t="s">
        <v>2536</v>
      </c>
      <c r="D739" s="41"/>
      <c r="E739" s="42"/>
      <c r="F739" s="43"/>
      <c r="G739" s="44"/>
      <c r="H739" s="42"/>
      <c r="I739" s="45"/>
      <c r="J739" s="46"/>
      <c r="K739" s="45"/>
      <c r="L739" s="44"/>
      <c r="M739" s="44"/>
      <c r="N739" s="47"/>
      <c r="O739" s="47"/>
      <c r="P739" s="47"/>
      <c r="Q739" s="47"/>
      <c r="R739" s="39"/>
      <c r="S739" s="44"/>
      <c r="T739" s="11" t="str">
        <f aca="false">"16.12.25"</f>
        <v>16.12.25</v>
      </c>
    </row>
    <row r="740" customFormat="false" ht="7.5" hidden="false" customHeight="true" outlineLevel="2" collapsed="false">
      <c r="A740" s="60" t="str">
        <f aca="false">HYPERLINK("https://disk.360.yandex.ru/d/FDlYPHa-qBB7oA","фото")</f>
        <v>фото</v>
      </c>
      <c r="B740" s="49" t="s">
        <v>2537</v>
      </c>
      <c r="C740" s="50" t="s">
        <v>2538</v>
      </c>
      <c r="D740" s="51" t="s">
        <v>2539</v>
      </c>
      <c r="E740" s="52" t="n">
        <f aca="false">I740*(1-J740)*(100-E1)/100</f>
        <v>6250.56</v>
      </c>
      <c r="F740" s="53"/>
      <c r="G740" s="54" t="n">
        <v>1</v>
      </c>
      <c r="H740" s="52" t="n">
        <f aca="false">E740*F740</f>
        <v>0</v>
      </c>
      <c r="I740" s="55" t="n">
        <v>11490</v>
      </c>
      <c r="J740" s="56" t="n">
        <v>0.15</v>
      </c>
      <c r="K740" s="57" t="n">
        <v>621</v>
      </c>
      <c r="L740" s="22" t="s">
        <v>44</v>
      </c>
      <c r="M740" s="22" t="s">
        <v>15</v>
      </c>
      <c r="N740" s="58" t="n">
        <f aca="false">F740*P740</f>
        <v>0</v>
      </c>
      <c r="O740" s="58" t="n">
        <f aca="false">F740*Q740</f>
        <v>0</v>
      </c>
      <c r="P740" s="58" t="n">
        <v>9.4</v>
      </c>
      <c r="Q740" s="58" t="n">
        <v>0.04</v>
      </c>
      <c r="R740" s="59" t="s">
        <v>2540</v>
      </c>
      <c r="S740" s="22"/>
      <c r="T740" s="11" t="str">
        <f aca="false">"16.12.25"</f>
        <v>16.12.25</v>
      </c>
    </row>
    <row r="741" customFormat="false" ht="7.5" hidden="false" customHeight="true" outlineLevel="1" collapsed="false">
      <c r="A741" s="38"/>
      <c r="B741" s="39"/>
      <c r="C741" s="40" t="s">
        <v>2541</v>
      </c>
      <c r="D741" s="41"/>
      <c r="E741" s="42"/>
      <c r="F741" s="43"/>
      <c r="G741" s="44"/>
      <c r="H741" s="42"/>
      <c r="I741" s="45"/>
      <c r="J741" s="46"/>
      <c r="K741" s="45"/>
      <c r="L741" s="44"/>
      <c r="M741" s="44"/>
      <c r="N741" s="47"/>
      <c r="O741" s="47"/>
      <c r="P741" s="47"/>
      <c r="Q741" s="47"/>
      <c r="R741" s="39"/>
      <c r="S741" s="44"/>
      <c r="T741" s="11" t="str">
        <f aca="false">"16.12.25"</f>
        <v>16.12.25</v>
      </c>
    </row>
    <row r="742" customFormat="false" ht="7.5" hidden="false" customHeight="true" outlineLevel="2" collapsed="false">
      <c r="A742" s="60" t="str">
        <f aca="false">HYPERLINK("https://disk.yandex.ru/d/deBKJBQMk-omKw","фото")</f>
        <v>фото</v>
      </c>
      <c r="B742" s="49" t="s">
        <v>2542</v>
      </c>
      <c r="C742" s="50" t="s">
        <v>2543</v>
      </c>
      <c r="D742" s="51" t="s">
        <v>2544</v>
      </c>
      <c r="E742" s="52" t="n">
        <f aca="false">I742*(1-J742)*(100-E1)/100</f>
        <v>3993.6</v>
      </c>
      <c r="F742" s="53"/>
      <c r="G742" s="54" t="n">
        <v>4</v>
      </c>
      <c r="H742" s="52" t="n">
        <f aca="false">E742*F742</f>
        <v>0</v>
      </c>
      <c r="I742" s="55" t="n">
        <v>6240</v>
      </c>
      <c r="J742" s="56"/>
      <c r="K742" s="57" t="n">
        <v>601</v>
      </c>
      <c r="L742" s="22" t="s">
        <v>44</v>
      </c>
      <c r="M742" s="22"/>
      <c r="N742" s="58" t="n">
        <f aca="false">F742*P742</f>
        <v>0</v>
      </c>
      <c r="O742" s="58" t="n">
        <f aca="false">F742*Q742</f>
        <v>0</v>
      </c>
      <c r="P742" s="58" t="n">
        <v>4.69</v>
      </c>
      <c r="Q742" s="58" t="n">
        <v>0.016</v>
      </c>
      <c r="R742" s="59" t="s">
        <v>2545</v>
      </c>
      <c r="S742" s="22"/>
      <c r="T742" s="11" t="str">
        <f aca="false">"16.12.25"</f>
        <v>16.12.25</v>
      </c>
    </row>
    <row r="743" customFormat="false" ht="7.5" hidden="false" customHeight="true" outlineLevel="2" collapsed="false">
      <c r="A743" s="48"/>
      <c r="B743" s="49" t="s">
        <v>2546</v>
      </c>
      <c r="C743" s="50" t="s">
        <v>2547</v>
      </c>
      <c r="D743" s="51" t="s">
        <v>2548</v>
      </c>
      <c r="E743" s="52" t="n">
        <f aca="false">I743*(1-J743)*(100-E1)/100</f>
        <v>2624</v>
      </c>
      <c r="F743" s="53"/>
      <c r="G743" s="54" t="n">
        <v>4</v>
      </c>
      <c r="H743" s="52" t="n">
        <f aca="false">E743*F743</f>
        <v>0</v>
      </c>
      <c r="I743" s="55" t="n">
        <v>4100</v>
      </c>
      <c r="J743" s="56"/>
      <c r="K743" s="57" t="n">
        <v>0</v>
      </c>
      <c r="L743" s="22" t="s">
        <v>44</v>
      </c>
      <c r="M743" s="22"/>
      <c r="N743" s="58" t="n">
        <f aca="false">F743*P743</f>
        <v>0</v>
      </c>
      <c r="O743" s="58" t="n">
        <f aca="false">F743*Q743</f>
        <v>0</v>
      </c>
      <c r="P743" s="58" t="n">
        <v>3.25</v>
      </c>
      <c r="Q743" s="58" t="n">
        <v>0.021</v>
      </c>
      <c r="R743" s="59" t="s">
        <v>2549</v>
      </c>
      <c r="S743" s="22"/>
      <c r="T743" s="11" t="str">
        <f aca="false">"16.12.25"</f>
        <v>16.12.25</v>
      </c>
    </row>
    <row r="744" customFormat="false" ht="7.5" hidden="false" customHeight="true" outlineLevel="2" collapsed="false">
      <c r="A744" s="60" t="str">
        <f aca="false">HYPERLINK("https://disk.yandex.ru/d/24Eg6kX4QO5u0A","фото")</f>
        <v>фото</v>
      </c>
      <c r="B744" s="49" t="s">
        <v>2550</v>
      </c>
      <c r="C744" s="50" t="s">
        <v>2551</v>
      </c>
      <c r="D744" s="51" t="s">
        <v>2552</v>
      </c>
      <c r="E744" s="52" t="n">
        <f aca="false">I744*(1-J744)*(100-E1)/100</f>
        <v>2361.6</v>
      </c>
      <c r="F744" s="53"/>
      <c r="G744" s="54" t="n">
        <v>4</v>
      </c>
      <c r="H744" s="52" t="n">
        <f aca="false">E744*F744</f>
        <v>0</v>
      </c>
      <c r="I744" s="55" t="n">
        <v>4100</v>
      </c>
      <c r="J744" s="56" t="n">
        <v>0.1</v>
      </c>
      <c r="K744" s="57" t="n">
        <v>0</v>
      </c>
      <c r="L744" s="22" t="s">
        <v>44</v>
      </c>
      <c r="M744" s="22" t="s">
        <v>15</v>
      </c>
      <c r="N744" s="58" t="n">
        <f aca="false">F744*P744</f>
        <v>0</v>
      </c>
      <c r="O744" s="58" t="n">
        <f aca="false">F744*Q744</f>
        <v>0</v>
      </c>
      <c r="P744" s="58" t="n">
        <v>3.25</v>
      </c>
      <c r="Q744" s="58" t="n">
        <v>0.013</v>
      </c>
      <c r="R744" s="59" t="s">
        <v>2553</v>
      </c>
      <c r="S744" s="22"/>
      <c r="T744" s="11" t="str">
        <f aca="false">"16.12.25"</f>
        <v>16.12.25</v>
      </c>
    </row>
    <row r="745" customFormat="false" ht="7.5" hidden="false" customHeight="true" outlineLevel="2" collapsed="false">
      <c r="A745" s="60" t="str">
        <f aca="false">HYPERLINK("https://disk.yandex.ru/d/b0J28ZZTHi0Eag","фото")</f>
        <v>фото</v>
      </c>
      <c r="B745" s="49" t="s">
        <v>2554</v>
      </c>
      <c r="C745" s="50" t="s">
        <v>2555</v>
      </c>
      <c r="D745" s="51" t="s">
        <v>2556</v>
      </c>
      <c r="E745" s="52" t="n">
        <f aca="false">I745*(1-J745)*(100-E1)/100</f>
        <v>3366.4</v>
      </c>
      <c r="F745" s="53"/>
      <c r="G745" s="54" t="n">
        <v>4</v>
      </c>
      <c r="H745" s="52" t="n">
        <f aca="false">E745*F745</f>
        <v>0</v>
      </c>
      <c r="I745" s="55" t="n">
        <v>5260</v>
      </c>
      <c r="J745" s="56"/>
      <c r="K745" s="57" t="n">
        <v>0</v>
      </c>
      <c r="L745" s="22" t="s">
        <v>44</v>
      </c>
      <c r="M745" s="22"/>
      <c r="N745" s="58" t="n">
        <f aca="false">F745*P745</f>
        <v>0</v>
      </c>
      <c r="O745" s="58" t="n">
        <f aca="false">F745*Q745</f>
        <v>0</v>
      </c>
      <c r="P745" s="58" t="n">
        <v>4.8</v>
      </c>
      <c r="Q745" s="58" t="n">
        <v>0.022</v>
      </c>
      <c r="R745" s="59" t="s">
        <v>2557</v>
      </c>
      <c r="S745" s="22"/>
      <c r="T745" s="11" t="str">
        <f aca="false">"16.12.25"</f>
        <v>16.12.25</v>
      </c>
    </row>
    <row r="746" customFormat="false" ht="7.5" hidden="false" customHeight="true" outlineLevel="2" collapsed="false">
      <c r="A746" s="48"/>
      <c r="B746" s="49" t="s">
        <v>2558</v>
      </c>
      <c r="C746" s="50" t="s">
        <v>2559</v>
      </c>
      <c r="D746" s="51"/>
      <c r="E746" s="52" t="n">
        <f aca="false">I746*(1-J746)*(100-E1)/100</f>
        <v>3609.6</v>
      </c>
      <c r="F746" s="53"/>
      <c r="G746" s="54"/>
      <c r="H746" s="52" t="n">
        <f aca="false">E746*F746</f>
        <v>0</v>
      </c>
      <c r="I746" s="55" t="n">
        <v>5640</v>
      </c>
      <c r="J746" s="56"/>
      <c r="K746" s="57" t="n">
        <v>6</v>
      </c>
      <c r="L746" s="22" t="s">
        <v>800</v>
      </c>
      <c r="M746" s="22"/>
      <c r="N746" s="58" t="n">
        <f aca="false">F746*P746</f>
        <v>0</v>
      </c>
      <c r="O746" s="58" t="n">
        <f aca="false">F746*Q746</f>
        <v>0</v>
      </c>
      <c r="P746" s="58"/>
      <c r="Q746" s="58" t="n">
        <v>0.022</v>
      </c>
      <c r="R746" s="59"/>
      <c r="S746" s="22"/>
      <c r="T746" s="11" t="str">
        <f aca="false">"16.12.25"</f>
        <v>16.12.25</v>
      </c>
    </row>
    <row r="747" customFormat="false" ht="7.5" hidden="false" customHeight="true" outlineLevel="1" collapsed="false">
      <c r="A747" s="38"/>
      <c r="B747" s="39"/>
      <c r="C747" s="40" t="s">
        <v>2560</v>
      </c>
      <c r="D747" s="41"/>
      <c r="E747" s="42"/>
      <c r="F747" s="43"/>
      <c r="G747" s="44"/>
      <c r="H747" s="42"/>
      <c r="I747" s="45"/>
      <c r="J747" s="46"/>
      <c r="K747" s="45"/>
      <c r="L747" s="44"/>
      <c r="M747" s="44"/>
      <c r="N747" s="47"/>
      <c r="O747" s="47"/>
      <c r="P747" s="47"/>
      <c r="Q747" s="47"/>
      <c r="R747" s="39"/>
      <c r="S747" s="44"/>
      <c r="T747" s="11" t="str">
        <f aca="false">"16.12.25"</f>
        <v>16.12.25</v>
      </c>
    </row>
    <row r="748" customFormat="false" ht="7.5" hidden="false" customHeight="true" outlineLevel="2" collapsed="false">
      <c r="A748" s="60" t="str">
        <f aca="false">HYPERLINK("https://disk.360.yandex.ru/d/wC5DXzghQFBXBA","фото")</f>
        <v>фото</v>
      </c>
      <c r="B748" s="49" t="s">
        <v>2561</v>
      </c>
      <c r="C748" s="50" t="s">
        <v>2562</v>
      </c>
      <c r="D748" s="51" t="s">
        <v>2563</v>
      </c>
      <c r="E748" s="52" t="n">
        <f aca="false">I748*(1-J748)*(100-E1)/100</f>
        <v>7577.6</v>
      </c>
      <c r="F748" s="53"/>
      <c r="G748" s="54" t="n">
        <v>1</v>
      </c>
      <c r="H748" s="52" t="n">
        <f aca="false">E748*F748</f>
        <v>0</v>
      </c>
      <c r="I748" s="55" t="n">
        <v>14800</v>
      </c>
      <c r="J748" s="56" t="n">
        <v>0.2</v>
      </c>
      <c r="K748" s="57" t="n">
        <v>2</v>
      </c>
      <c r="L748" s="22" t="s">
        <v>44</v>
      </c>
      <c r="M748" s="22"/>
      <c r="N748" s="58" t="n">
        <f aca="false">F748*P748</f>
        <v>0</v>
      </c>
      <c r="O748" s="58" t="n">
        <f aca="false">F748*Q748</f>
        <v>0</v>
      </c>
      <c r="P748" s="58" t="n">
        <v>9.8</v>
      </c>
      <c r="Q748" s="58" t="n">
        <v>0.07</v>
      </c>
      <c r="R748" s="59" t="s">
        <v>2564</v>
      </c>
      <c r="S748" s="22"/>
      <c r="T748" s="11" t="str">
        <f aca="false">"16.12.25"</f>
        <v>16.12.25</v>
      </c>
    </row>
    <row r="749" customFormat="false" ht="7.5" hidden="false" customHeight="true" outlineLevel="2" collapsed="false">
      <c r="A749" s="60" t="str">
        <f aca="false">HYPERLINK("https://disk.360.yandex.ru/d/1eIN6N6WOH8qkg","фото")</f>
        <v>фото</v>
      </c>
      <c r="B749" s="49" t="s">
        <v>2565</v>
      </c>
      <c r="C749" s="50" t="s">
        <v>2566</v>
      </c>
      <c r="D749" s="51" t="s">
        <v>2567</v>
      </c>
      <c r="E749" s="52" t="n">
        <f aca="false">I749*(1-J749)*(100-E1)/100</f>
        <v>11555.84</v>
      </c>
      <c r="F749" s="53"/>
      <c r="G749" s="54" t="n">
        <v>1</v>
      </c>
      <c r="H749" s="52" t="n">
        <f aca="false">E749*F749</f>
        <v>0</v>
      </c>
      <c r="I749" s="55" t="n">
        <v>22570</v>
      </c>
      <c r="J749" s="56" t="n">
        <v>0.2</v>
      </c>
      <c r="K749" s="57" t="n">
        <v>0</v>
      </c>
      <c r="L749" s="22" t="s">
        <v>44</v>
      </c>
      <c r="M749" s="22"/>
      <c r="N749" s="58" t="n">
        <f aca="false">F749*P749</f>
        <v>0</v>
      </c>
      <c r="O749" s="58" t="n">
        <f aca="false">F749*Q749</f>
        <v>0</v>
      </c>
      <c r="P749" s="58" t="n">
        <v>14.5</v>
      </c>
      <c r="Q749" s="58" t="n">
        <v>0.12</v>
      </c>
      <c r="R749" s="59" t="s">
        <v>2568</v>
      </c>
      <c r="S749" s="22"/>
      <c r="T749" s="11" t="str">
        <f aca="false">"16.12.25"</f>
        <v>16.12.25</v>
      </c>
    </row>
    <row r="750" customFormat="false" ht="7.5" hidden="false" customHeight="true" outlineLevel="2" collapsed="false">
      <c r="A750" s="60" t="str">
        <f aca="false">HYPERLINK("https://disk.360.yandex.ru/d/DYdjquEAjeoeWA","фото")</f>
        <v>фото</v>
      </c>
      <c r="B750" s="49" t="s">
        <v>2569</v>
      </c>
      <c r="C750" s="50" t="s">
        <v>2570</v>
      </c>
      <c r="D750" s="51" t="s">
        <v>2571</v>
      </c>
      <c r="E750" s="52" t="n">
        <f aca="false">I750*(1-J750)*(100-E1)/100</f>
        <v>13199.36</v>
      </c>
      <c r="F750" s="53"/>
      <c r="G750" s="54" t="n">
        <v>1</v>
      </c>
      <c r="H750" s="52" t="n">
        <f aca="false">E750*F750</f>
        <v>0</v>
      </c>
      <c r="I750" s="55" t="n">
        <v>25780</v>
      </c>
      <c r="J750" s="56" t="n">
        <v>0.2</v>
      </c>
      <c r="K750" s="57" t="n">
        <v>-1</v>
      </c>
      <c r="L750" s="22" t="s">
        <v>44</v>
      </c>
      <c r="M750" s="22"/>
      <c r="N750" s="58" t="n">
        <f aca="false">F750*P750</f>
        <v>0</v>
      </c>
      <c r="O750" s="58" t="n">
        <f aca="false">F750*Q750</f>
        <v>0</v>
      </c>
      <c r="P750" s="58" t="n">
        <v>20.7</v>
      </c>
      <c r="Q750" s="58" t="n">
        <v>0.11</v>
      </c>
      <c r="R750" s="59" t="s">
        <v>2572</v>
      </c>
      <c r="S750" s="22"/>
      <c r="T750" s="11" t="str">
        <f aca="false">"16.12.25"</f>
        <v>16.12.25</v>
      </c>
    </row>
    <row r="751" customFormat="false" ht="7.5" hidden="false" customHeight="true" outlineLevel="1" collapsed="false">
      <c r="A751" s="38"/>
      <c r="B751" s="39"/>
      <c r="C751" s="40" t="s">
        <v>2573</v>
      </c>
      <c r="D751" s="41"/>
      <c r="E751" s="42"/>
      <c r="F751" s="43"/>
      <c r="G751" s="44"/>
      <c r="H751" s="42"/>
      <c r="I751" s="45"/>
      <c r="J751" s="46"/>
      <c r="K751" s="45"/>
      <c r="L751" s="44"/>
      <c r="M751" s="44"/>
      <c r="N751" s="47"/>
      <c r="O751" s="47"/>
      <c r="P751" s="47"/>
      <c r="Q751" s="47"/>
      <c r="R751" s="39"/>
      <c r="S751" s="44"/>
      <c r="T751" s="11" t="str">
        <f aca="false">"16.12.25"</f>
        <v>16.12.25</v>
      </c>
    </row>
    <row r="752" customFormat="false" ht="7.5" hidden="false" customHeight="true" outlineLevel="2" collapsed="false">
      <c r="A752" s="48"/>
      <c r="B752" s="49" t="s">
        <v>2574</v>
      </c>
      <c r="C752" s="50" t="s">
        <v>2575</v>
      </c>
      <c r="D752" s="51" t="s">
        <v>2576</v>
      </c>
      <c r="E752" s="52" t="n">
        <f aca="false">I752*(1-J752)*(100-E1)/100</f>
        <v>1006.4</v>
      </c>
      <c r="F752" s="53"/>
      <c r="G752" s="54" t="n">
        <v>6</v>
      </c>
      <c r="H752" s="52" t="n">
        <f aca="false">E752*F752</f>
        <v>0</v>
      </c>
      <c r="I752" s="55" t="n">
        <v>1850</v>
      </c>
      <c r="J752" s="56" t="n">
        <v>0.15</v>
      </c>
      <c r="K752" s="57" t="n">
        <v>231</v>
      </c>
      <c r="L752" s="22" t="s">
        <v>44</v>
      </c>
      <c r="M752" s="22"/>
      <c r="N752" s="58" t="n">
        <f aca="false">F752*P752</f>
        <v>0</v>
      </c>
      <c r="O752" s="58" t="n">
        <f aca="false">F752*Q752</f>
        <v>0</v>
      </c>
      <c r="P752" s="58" t="n">
        <v>1.12</v>
      </c>
      <c r="Q752" s="58" t="n">
        <v>0.02</v>
      </c>
      <c r="R752" s="59" t="s">
        <v>2577</v>
      </c>
      <c r="S752" s="22"/>
      <c r="T752" s="11" t="str">
        <f aca="false">"16.12.25"</f>
        <v>16.12.25</v>
      </c>
    </row>
    <row r="753" customFormat="false" ht="7.5" hidden="false" customHeight="true" outlineLevel="2" collapsed="false">
      <c r="A753" s="48"/>
      <c r="B753" s="49" t="s">
        <v>2578</v>
      </c>
      <c r="C753" s="50" t="s">
        <v>2579</v>
      </c>
      <c r="D753" s="51" t="s">
        <v>2580</v>
      </c>
      <c r="E753" s="52" t="n">
        <f aca="false">I753*(1-J753)*(100-E1)/100</f>
        <v>718.08</v>
      </c>
      <c r="F753" s="53"/>
      <c r="G753" s="54" t="n">
        <v>6</v>
      </c>
      <c r="H753" s="52" t="n">
        <f aca="false">E753*F753</f>
        <v>0</v>
      </c>
      <c r="I753" s="55" t="n">
        <v>1320</v>
      </c>
      <c r="J753" s="56" t="n">
        <v>0.15</v>
      </c>
      <c r="K753" s="57" t="n">
        <v>11</v>
      </c>
      <c r="L753" s="22" t="s">
        <v>44</v>
      </c>
      <c r="M753" s="22"/>
      <c r="N753" s="58" t="n">
        <f aca="false">F753*P753</f>
        <v>0</v>
      </c>
      <c r="O753" s="58" t="n">
        <f aca="false">F753*Q753</f>
        <v>0</v>
      </c>
      <c r="P753" s="58" t="n">
        <v>1.25</v>
      </c>
      <c r="Q753" s="58" t="n">
        <v>0.015</v>
      </c>
      <c r="R753" s="59" t="s">
        <v>2581</v>
      </c>
      <c r="S753" s="22"/>
      <c r="T753" s="11" t="str">
        <f aca="false">"16.12.25"</f>
        <v>16.12.25</v>
      </c>
    </row>
    <row r="754" customFormat="false" ht="7.5" hidden="false" customHeight="true" outlineLevel="2" collapsed="false">
      <c r="A754" s="48"/>
      <c r="B754" s="49" t="s">
        <v>2582</v>
      </c>
      <c r="C754" s="50" t="s">
        <v>2583</v>
      </c>
      <c r="D754" s="51" t="s">
        <v>2584</v>
      </c>
      <c r="E754" s="52" t="n">
        <f aca="false">I754*(1-J754)*(100-E1)/100</f>
        <v>886.72</v>
      </c>
      <c r="F754" s="53"/>
      <c r="G754" s="54" t="n">
        <v>6</v>
      </c>
      <c r="H754" s="52" t="n">
        <f aca="false">E754*F754</f>
        <v>0</v>
      </c>
      <c r="I754" s="55" t="n">
        <v>1630</v>
      </c>
      <c r="J754" s="56" t="n">
        <v>0.15</v>
      </c>
      <c r="K754" s="57" t="n">
        <v>90</v>
      </c>
      <c r="L754" s="22" t="s">
        <v>44</v>
      </c>
      <c r="M754" s="22"/>
      <c r="N754" s="58" t="n">
        <f aca="false">F754*P754</f>
        <v>0</v>
      </c>
      <c r="O754" s="58" t="n">
        <f aca="false">F754*Q754</f>
        <v>0</v>
      </c>
      <c r="P754" s="58" t="n">
        <v>1.45</v>
      </c>
      <c r="Q754" s="58" t="n">
        <v>0.018</v>
      </c>
      <c r="R754" s="59" t="s">
        <v>2585</v>
      </c>
      <c r="S754" s="22"/>
      <c r="T754" s="11" t="str">
        <f aca="false">"16.12.25"</f>
        <v>16.12.25</v>
      </c>
    </row>
    <row r="755" customFormat="false" ht="7.5" hidden="false" customHeight="true" outlineLevel="1" collapsed="false">
      <c r="A755" s="38"/>
      <c r="B755" s="39"/>
      <c r="C755" s="40" t="s">
        <v>2586</v>
      </c>
      <c r="D755" s="41"/>
      <c r="E755" s="42"/>
      <c r="F755" s="43"/>
      <c r="G755" s="44"/>
      <c r="H755" s="42"/>
      <c r="I755" s="45"/>
      <c r="J755" s="46"/>
      <c r="K755" s="45"/>
      <c r="L755" s="44"/>
      <c r="M755" s="44"/>
      <c r="N755" s="47"/>
      <c r="O755" s="47"/>
      <c r="P755" s="47"/>
      <c r="Q755" s="47"/>
      <c r="R755" s="39"/>
      <c r="S755" s="44"/>
      <c r="T755" s="11" t="str">
        <f aca="false">"16.12.25"</f>
        <v>16.12.25</v>
      </c>
    </row>
    <row r="756" customFormat="false" ht="7.5" hidden="false" customHeight="true" outlineLevel="2" collapsed="false">
      <c r="A756" s="60" t="str">
        <f aca="false">HYPERLINK("https://disk.360.yandex.ru/d/sSuHnZmVmZgfcA","фото")</f>
        <v>фото</v>
      </c>
      <c r="B756" s="49" t="s">
        <v>2587</v>
      </c>
      <c r="C756" s="50" t="s">
        <v>2588</v>
      </c>
      <c r="D756" s="51" t="s">
        <v>2589</v>
      </c>
      <c r="E756" s="52" t="n">
        <f aca="false">I756*(1-J756)*(100-E1)/100</f>
        <v>3563.2</v>
      </c>
      <c r="F756" s="53"/>
      <c r="G756" s="54" t="n">
        <v>2</v>
      </c>
      <c r="H756" s="52" t="n">
        <f aca="false">E756*F756</f>
        <v>0</v>
      </c>
      <c r="I756" s="55" t="n">
        <v>6550</v>
      </c>
      <c r="J756" s="56" t="n">
        <v>0.15</v>
      </c>
      <c r="K756" s="57" t="n">
        <v>230</v>
      </c>
      <c r="L756" s="22" t="s">
        <v>44</v>
      </c>
      <c r="M756" s="22"/>
      <c r="N756" s="58" t="n">
        <f aca="false">F756*P756</f>
        <v>0</v>
      </c>
      <c r="O756" s="58" t="n">
        <f aca="false">F756*Q756</f>
        <v>0</v>
      </c>
      <c r="P756" s="58" t="n">
        <v>4.525</v>
      </c>
      <c r="Q756" s="58" t="n">
        <v>0.03</v>
      </c>
      <c r="R756" s="59" t="s">
        <v>2590</v>
      </c>
      <c r="S756" s="22"/>
      <c r="T756" s="11" t="str">
        <f aca="false">"16.12.25"</f>
        <v>16.12.25</v>
      </c>
    </row>
    <row r="757" customFormat="false" ht="7.5" hidden="false" customHeight="true" outlineLevel="2" collapsed="false">
      <c r="A757" s="48"/>
      <c r="B757" s="49" t="s">
        <v>2591</v>
      </c>
      <c r="C757" s="50" t="s">
        <v>2592</v>
      </c>
      <c r="D757" s="51" t="s">
        <v>2593</v>
      </c>
      <c r="E757" s="52" t="n">
        <f aca="false">I757*(1-J757)*(100-E1)/100</f>
        <v>4454.4</v>
      </c>
      <c r="F757" s="53"/>
      <c r="G757" s="54" t="n">
        <v>1</v>
      </c>
      <c r="H757" s="52" t="n">
        <f aca="false">E757*F757</f>
        <v>0</v>
      </c>
      <c r="I757" s="55" t="n">
        <v>6960</v>
      </c>
      <c r="J757" s="56"/>
      <c r="K757" s="57" t="n">
        <v>15</v>
      </c>
      <c r="L757" s="22" t="s">
        <v>44</v>
      </c>
      <c r="M757" s="22"/>
      <c r="N757" s="58" t="n">
        <f aca="false">F757*P757</f>
        <v>0</v>
      </c>
      <c r="O757" s="58" t="n">
        <f aca="false">F757*Q757</f>
        <v>0</v>
      </c>
      <c r="P757" s="58" t="n">
        <v>5</v>
      </c>
      <c r="Q757" s="58" t="n">
        <v>0.027</v>
      </c>
      <c r="R757" s="59" t="s">
        <v>2594</v>
      </c>
      <c r="S757" s="22"/>
      <c r="T757" s="11" t="str">
        <f aca="false">"16.12.25"</f>
        <v>16.12.25</v>
      </c>
    </row>
    <row r="758" customFormat="false" ht="7.5" hidden="false" customHeight="true" outlineLevel="2" collapsed="false">
      <c r="A758" s="60" t="str">
        <f aca="false">HYPERLINK("https://disk.yandex.ru/d/uLOaJJtRMz0XLQ","фото")</f>
        <v>фото</v>
      </c>
      <c r="B758" s="49" t="s">
        <v>2595</v>
      </c>
      <c r="C758" s="50" t="s">
        <v>2596</v>
      </c>
      <c r="D758" s="51" t="s">
        <v>2597</v>
      </c>
      <c r="E758" s="52" t="n">
        <f aca="false">I758*(1-J758)*(100-E1)/100</f>
        <v>4254.08</v>
      </c>
      <c r="F758" s="53"/>
      <c r="G758" s="54" t="n">
        <v>1</v>
      </c>
      <c r="H758" s="52" t="n">
        <f aca="false">E758*F758</f>
        <v>0</v>
      </c>
      <c r="I758" s="55" t="n">
        <v>7820</v>
      </c>
      <c r="J758" s="56" t="n">
        <v>0.15</v>
      </c>
      <c r="K758" s="57" t="n">
        <v>15</v>
      </c>
      <c r="L758" s="22" t="s">
        <v>44</v>
      </c>
      <c r="M758" s="22"/>
      <c r="N758" s="58" t="n">
        <f aca="false">F758*P758</f>
        <v>0</v>
      </c>
      <c r="O758" s="58" t="n">
        <f aca="false">F758*Q758</f>
        <v>0</v>
      </c>
      <c r="P758" s="58" t="n">
        <v>5.8</v>
      </c>
      <c r="Q758" s="58" t="n">
        <v>0.02</v>
      </c>
      <c r="R758" s="59" t="s">
        <v>2598</v>
      </c>
      <c r="S758" s="22"/>
      <c r="T758" s="11" t="str">
        <f aca="false">"16.12.25"</f>
        <v>16.12.25</v>
      </c>
    </row>
    <row r="759" customFormat="false" ht="7.5" hidden="false" customHeight="true" outlineLevel="2" collapsed="false">
      <c r="A759" s="48"/>
      <c r="B759" s="49" t="s">
        <v>2599</v>
      </c>
      <c r="C759" s="50" t="s">
        <v>2600</v>
      </c>
      <c r="D759" s="51" t="s">
        <v>2601</v>
      </c>
      <c r="E759" s="52" t="n">
        <f aca="false">I759*(1-J759)*(100-E1)/100</f>
        <v>4601.6</v>
      </c>
      <c r="F759" s="53"/>
      <c r="G759" s="54" t="n">
        <v>1</v>
      </c>
      <c r="H759" s="52" t="n">
        <f aca="false">E759*F759</f>
        <v>0</v>
      </c>
      <c r="I759" s="55" t="n">
        <v>7190</v>
      </c>
      <c r="J759" s="56"/>
      <c r="K759" s="57" t="n">
        <v>37</v>
      </c>
      <c r="L759" s="22" t="s">
        <v>44</v>
      </c>
      <c r="M759" s="22"/>
      <c r="N759" s="58" t="n">
        <f aca="false">F759*P759</f>
        <v>0</v>
      </c>
      <c r="O759" s="58" t="n">
        <f aca="false">F759*Q759</f>
        <v>0</v>
      </c>
      <c r="P759" s="58" t="n">
        <v>6</v>
      </c>
      <c r="Q759" s="58" t="n">
        <v>0.027</v>
      </c>
      <c r="R759" s="59" t="s">
        <v>2602</v>
      </c>
      <c r="S759" s="22"/>
      <c r="T759" s="11" t="str">
        <f aca="false">"16.12.25"</f>
        <v>16.12.25</v>
      </c>
    </row>
    <row r="760" customFormat="false" ht="7.5" hidden="false" customHeight="true" outlineLevel="2" collapsed="false">
      <c r="A760" s="60" t="str">
        <f aca="false">HYPERLINK("https://disk.yandex.ru/d/Inh6KFswPaPRxw","фото")</f>
        <v>фото</v>
      </c>
      <c r="B760" s="49" t="s">
        <v>2603</v>
      </c>
      <c r="C760" s="50" t="s">
        <v>2604</v>
      </c>
      <c r="D760" s="51" t="s">
        <v>2605</v>
      </c>
      <c r="E760" s="52" t="n">
        <f aca="false">I760*(1-J760)*(100-E1)/100</f>
        <v>4814.4</v>
      </c>
      <c r="F760" s="53"/>
      <c r="G760" s="54" t="n">
        <v>1</v>
      </c>
      <c r="H760" s="52" t="n">
        <f aca="false">E760*F760</f>
        <v>0</v>
      </c>
      <c r="I760" s="55" t="n">
        <v>8850</v>
      </c>
      <c r="J760" s="56" t="n">
        <v>0.15</v>
      </c>
      <c r="K760" s="57" t="n">
        <v>8</v>
      </c>
      <c r="L760" s="22" t="s">
        <v>44</v>
      </c>
      <c r="M760" s="22"/>
      <c r="N760" s="58" t="n">
        <f aca="false">F760*P760</f>
        <v>0</v>
      </c>
      <c r="O760" s="58" t="n">
        <f aca="false">F760*Q760</f>
        <v>0</v>
      </c>
      <c r="P760" s="58" t="n">
        <v>6.3</v>
      </c>
      <c r="Q760" s="58" t="n">
        <v>0.02</v>
      </c>
      <c r="R760" s="59" t="s">
        <v>2606</v>
      </c>
      <c r="S760" s="22"/>
      <c r="T760" s="11" t="str">
        <f aca="false">"16.12.25"</f>
        <v>16.12.25</v>
      </c>
    </row>
    <row r="761" customFormat="false" ht="7.5" hidden="false" customHeight="true" outlineLevel="2" collapsed="false">
      <c r="A761" s="60" t="str">
        <f aca="false">HYPERLINK("https://disk.yandex.ru/d/Fu3Zy5Uzq6XwnQ","фото")</f>
        <v>фото</v>
      </c>
      <c r="B761" s="49" t="s">
        <v>2607</v>
      </c>
      <c r="C761" s="50" t="s">
        <v>2608</v>
      </c>
      <c r="D761" s="51" t="s">
        <v>2609</v>
      </c>
      <c r="E761" s="52" t="n">
        <f aca="false">I761*(1-J761)*(100-E1)/100</f>
        <v>4765.44</v>
      </c>
      <c r="F761" s="53"/>
      <c r="G761" s="54" t="n">
        <v>1</v>
      </c>
      <c r="H761" s="52" t="n">
        <f aca="false">E761*F761</f>
        <v>0</v>
      </c>
      <c r="I761" s="55" t="n">
        <v>8760</v>
      </c>
      <c r="J761" s="56" t="n">
        <v>0.15</v>
      </c>
      <c r="K761" s="57" t="n">
        <v>367</v>
      </c>
      <c r="L761" s="22" t="s">
        <v>44</v>
      </c>
      <c r="M761" s="22"/>
      <c r="N761" s="58" t="n">
        <f aca="false">F761*P761</f>
        <v>0</v>
      </c>
      <c r="O761" s="58" t="n">
        <f aca="false">F761*Q761</f>
        <v>0</v>
      </c>
      <c r="P761" s="58" t="n">
        <v>6</v>
      </c>
      <c r="Q761" s="58" t="n">
        <v>0.02</v>
      </c>
      <c r="R761" s="59" t="s">
        <v>2610</v>
      </c>
      <c r="S761" s="22"/>
      <c r="T761" s="11" t="str">
        <f aca="false">"16.12.25"</f>
        <v>16.12.25</v>
      </c>
    </row>
    <row r="762" customFormat="false" ht="7.5" hidden="false" customHeight="true" outlineLevel="0" collapsed="false">
      <c r="A762" s="28"/>
      <c r="B762" s="29"/>
      <c r="C762" s="30" t="s">
        <v>2611</v>
      </c>
      <c r="D762" s="31"/>
      <c r="E762" s="32"/>
      <c r="F762" s="33"/>
      <c r="G762" s="34"/>
      <c r="H762" s="32"/>
      <c r="I762" s="35"/>
      <c r="J762" s="36"/>
      <c r="K762" s="35"/>
      <c r="L762" s="34"/>
      <c r="M762" s="34"/>
      <c r="N762" s="37"/>
      <c r="O762" s="37"/>
      <c r="P762" s="37"/>
      <c r="Q762" s="37"/>
      <c r="R762" s="29"/>
      <c r="S762" s="34"/>
      <c r="T762" s="11" t="str">
        <f aca="false">"16.12.25"</f>
        <v>16.12.25</v>
      </c>
    </row>
    <row r="763" customFormat="false" ht="7.5" hidden="false" customHeight="true" outlineLevel="1" collapsed="false">
      <c r="A763" s="38"/>
      <c r="B763" s="39"/>
      <c r="C763" s="40" t="s">
        <v>2612</v>
      </c>
      <c r="D763" s="41"/>
      <c r="E763" s="42"/>
      <c r="F763" s="43"/>
      <c r="G763" s="44"/>
      <c r="H763" s="42"/>
      <c r="I763" s="45"/>
      <c r="J763" s="46"/>
      <c r="K763" s="45"/>
      <c r="L763" s="44"/>
      <c r="M763" s="44"/>
      <c r="N763" s="47"/>
      <c r="O763" s="47"/>
      <c r="P763" s="47"/>
      <c r="Q763" s="47"/>
      <c r="R763" s="39"/>
      <c r="S763" s="44"/>
      <c r="T763" s="11" t="str">
        <f aca="false">"16.12.25"</f>
        <v>16.12.25</v>
      </c>
    </row>
    <row r="764" customFormat="false" ht="7.5" hidden="false" customHeight="true" outlineLevel="2" collapsed="false">
      <c r="A764" s="60" t="str">
        <f aca="false">HYPERLINK("https://disk.360.yandex.ru/d/xxhRQSg3IjfGnQ","фото")</f>
        <v>фото</v>
      </c>
      <c r="B764" s="49" t="s">
        <v>2613</v>
      </c>
      <c r="C764" s="50" t="s">
        <v>2614</v>
      </c>
      <c r="D764" s="51" t="s">
        <v>2615</v>
      </c>
      <c r="E764" s="52" t="n">
        <f aca="false">I764*(1-J764)*(100-E1)/100</f>
        <v>1240.32</v>
      </c>
      <c r="F764" s="53"/>
      <c r="G764" s="54" t="n">
        <v>6</v>
      </c>
      <c r="H764" s="52" t="n">
        <f aca="false">E764*F764</f>
        <v>0</v>
      </c>
      <c r="I764" s="55" t="n">
        <v>2280</v>
      </c>
      <c r="J764" s="56" t="n">
        <v>0.15</v>
      </c>
      <c r="K764" s="57" t="n">
        <v>1867</v>
      </c>
      <c r="L764" s="22" t="s">
        <v>44</v>
      </c>
      <c r="M764" s="22"/>
      <c r="N764" s="58" t="n">
        <f aca="false">F764*P764</f>
        <v>0</v>
      </c>
      <c r="O764" s="58" t="n">
        <f aca="false">F764*Q764</f>
        <v>0</v>
      </c>
      <c r="P764" s="58" t="n">
        <v>2.37</v>
      </c>
      <c r="Q764" s="58" t="n">
        <v>0.02</v>
      </c>
      <c r="R764" s="59" t="s">
        <v>2616</v>
      </c>
      <c r="S764" s="22"/>
      <c r="T764" s="11" t="str">
        <f aca="false">"16.12.25"</f>
        <v>16.12.25</v>
      </c>
    </row>
    <row r="765" customFormat="false" ht="7.5" hidden="false" customHeight="true" outlineLevel="2" collapsed="false">
      <c r="A765" s="60" t="str">
        <f aca="false">HYPERLINK("https://disk.360.yandex.ru/d/wOQEqQHgGxA9vA","фото")</f>
        <v>фото</v>
      </c>
      <c r="B765" s="49" t="s">
        <v>2617</v>
      </c>
      <c r="C765" s="50" t="s">
        <v>2618</v>
      </c>
      <c r="D765" s="51" t="s">
        <v>2619</v>
      </c>
      <c r="E765" s="52" t="n">
        <f aca="false">I765*(1-J765)*(100-E1)/100</f>
        <v>1338.24</v>
      </c>
      <c r="F765" s="53"/>
      <c r="G765" s="54" t="n">
        <v>6</v>
      </c>
      <c r="H765" s="52" t="n">
        <f aca="false">E765*F765</f>
        <v>0</v>
      </c>
      <c r="I765" s="55" t="n">
        <v>2460</v>
      </c>
      <c r="J765" s="56" t="n">
        <v>0.15</v>
      </c>
      <c r="K765" s="57" t="n">
        <v>235</v>
      </c>
      <c r="L765" s="22" t="s">
        <v>44</v>
      </c>
      <c r="M765" s="22"/>
      <c r="N765" s="58" t="n">
        <f aca="false">F765*P765</f>
        <v>0</v>
      </c>
      <c r="O765" s="58" t="n">
        <f aca="false">F765*Q765</f>
        <v>0</v>
      </c>
      <c r="P765" s="58" t="n">
        <v>1.102</v>
      </c>
      <c r="Q765" s="58" t="n">
        <v>0.03</v>
      </c>
      <c r="R765" s="59" t="s">
        <v>2620</v>
      </c>
      <c r="S765" s="22"/>
      <c r="T765" s="11" t="str">
        <f aca="false">"16.12.25"</f>
        <v>16.12.25</v>
      </c>
    </row>
    <row r="766" customFormat="false" ht="7.5" hidden="false" customHeight="true" outlineLevel="2" collapsed="false">
      <c r="A766" s="60" t="str">
        <f aca="false">HYPERLINK("https://disk.360.yandex.ru/d/eHifTB6eizbeVw","фото")</f>
        <v>фото</v>
      </c>
      <c r="B766" s="49" t="s">
        <v>2621</v>
      </c>
      <c r="C766" s="50" t="s">
        <v>2622</v>
      </c>
      <c r="D766" s="51" t="s">
        <v>2623</v>
      </c>
      <c r="E766" s="52" t="n">
        <f aca="false">I766*(1-J766)*(100-E1)/100</f>
        <v>1365.44</v>
      </c>
      <c r="F766" s="53"/>
      <c r="G766" s="54" t="n">
        <v>6</v>
      </c>
      <c r="H766" s="52" t="n">
        <f aca="false">E766*F766</f>
        <v>0</v>
      </c>
      <c r="I766" s="55" t="n">
        <v>2510</v>
      </c>
      <c r="J766" s="56" t="n">
        <v>0.15</v>
      </c>
      <c r="K766" s="57" t="n">
        <v>3</v>
      </c>
      <c r="L766" s="22" t="s">
        <v>44</v>
      </c>
      <c r="M766" s="22"/>
      <c r="N766" s="58" t="n">
        <f aca="false">F766*P766</f>
        <v>0</v>
      </c>
      <c r="O766" s="58" t="n">
        <f aca="false">F766*Q766</f>
        <v>0</v>
      </c>
      <c r="P766" s="58" t="n">
        <v>3.4</v>
      </c>
      <c r="Q766" s="58" t="n">
        <v>0.005</v>
      </c>
      <c r="R766" s="59" t="s">
        <v>2624</v>
      </c>
      <c r="S766" s="22"/>
      <c r="T766" s="11" t="str">
        <f aca="false">"16.12.25"</f>
        <v>16.12.25</v>
      </c>
    </row>
    <row r="767" customFormat="false" ht="7.5" hidden="false" customHeight="true" outlineLevel="2" collapsed="false">
      <c r="A767" s="60" t="str">
        <f aca="false">HYPERLINK("https://disk.360.yandex.ru/d/NkJCm7xKxZEyGw","фото")</f>
        <v>фото</v>
      </c>
      <c r="B767" s="49" t="s">
        <v>2625</v>
      </c>
      <c r="C767" s="50" t="s">
        <v>2626</v>
      </c>
      <c r="D767" s="51" t="s">
        <v>2627</v>
      </c>
      <c r="E767" s="52" t="n">
        <f aca="false">I767*(1-J767)*(100-E1)/100</f>
        <v>1387.2</v>
      </c>
      <c r="F767" s="53"/>
      <c r="G767" s="54" t="n">
        <v>6</v>
      </c>
      <c r="H767" s="52" t="n">
        <f aca="false">E767*F767</f>
        <v>0</v>
      </c>
      <c r="I767" s="55" t="n">
        <v>2550</v>
      </c>
      <c r="J767" s="56" t="n">
        <v>0.15</v>
      </c>
      <c r="K767" s="57" t="n">
        <v>670</v>
      </c>
      <c r="L767" s="22" t="s">
        <v>44</v>
      </c>
      <c r="M767" s="22"/>
      <c r="N767" s="58" t="n">
        <f aca="false">F767*P767</f>
        <v>0</v>
      </c>
      <c r="O767" s="58" t="n">
        <f aca="false">F767*Q767</f>
        <v>0</v>
      </c>
      <c r="P767" s="58" t="n">
        <v>3.4</v>
      </c>
      <c r="Q767" s="58" t="n">
        <v>0.005</v>
      </c>
      <c r="R767" s="59" t="s">
        <v>2628</v>
      </c>
      <c r="S767" s="22"/>
      <c r="T767" s="11" t="str">
        <f aca="false">"16.12.25"</f>
        <v>16.12.25</v>
      </c>
    </row>
    <row r="768" customFormat="false" ht="7.5" hidden="false" customHeight="true" outlineLevel="2" collapsed="false">
      <c r="A768" s="60" t="str">
        <f aca="false">HYPERLINK("https://disk.360.yandex.ru/d/To9XjxKN1Kalmw","фото")</f>
        <v>фото</v>
      </c>
      <c r="B768" s="49" t="s">
        <v>2629</v>
      </c>
      <c r="C768" s="50" t="s">
        <v>2630</v>
      </c>
      <c r="D768" s="51" t="s">
        <v>2631</v>
      </c>
      <c r="E768" s="52" t="n">
        <f aca="false">I768*(1-J768)*(100-E1)/100</f>
        <v>1768</v>
      </c>
      <c r="F768" s="53"/>
      <c r="G768" s="54" t="n">
        <v>4</v>
      </c>
      <c r="H768" s="52" t="n">
        <f aca="false">E768*F768</f>
        <v>0</v>
      </c>
      <c r="I768" s="55" t="n">
        <v>3250</v>
      </c>
      <c r="J768" s="56" t="n">
        <v>0.15</v>
      </c>
      <c r="K768" s="57" t="n">
        <v>2</v>
      </c>
      <c r="L768" s="22" t="s">
        <v>44</v>
      </c>
      <c r="M768" s="22"/>
      <c r="N768" s="58" t="n">
        <f aca="false">F768*P768</f>
        <v>0</v>
      </c>
      <c r="O768" s="58" t="n">
        <f aca="false">F768*Q768</f>
        <v>0</v>
      </c>
      <c r="P768" s="58" t="n">
        <v>4.22</v>
      </c>
      <c r="Q768" s="58" t="n">
        <v>0.03</v>
      </c>
      <c r="R768" s="59" t="s">
        <v>2632</v>
      </c>
      <c r="S768" s="22"/>
      <c r="T768" s="11" t="str">
        <f aca="false">"16.12.25"</f>
        <v>16.12.25</v>
      </c>
    </row>
    <row r="769" customFormat="false" ht="7.5" hidden="false" customHeight="true" outlineLevel="2" collapsed="false">
      <c r="A769" s="60" t="str">
        <f aca="false">HYPERLINK("https://disk.360.yandex.ru/d/T05IUaqUya-qIw","фото")</f>
        <v>фото</v>
      </c>
      <c r="B769" s="49" t="s">
        <v>2633</v>
      </c>
      <c r="C769" s="50" t="s">
        <v>2634</v>
      </c>
      <c r="D769" s="51" t="s">
        <v>2635</v>
      </c>
      <c r="E769" s="52" t="n">
        <f aca="false">I769*(1-J769)*(100-E1)/100</f>
        <v>1800.64</v>
      </c>
      <c r="F769" s="53"/>
      <c r="G769" s="54" t="n">
        <v>4</v>
      </c>
      <c r="H769" s="52" t="n">
        <f aca="false">E769*F769</f>
        <v>0</v>
      </c>
      <c r="I769" s="55" t="n">
        <v>3310</v>
      </c>
      <c r="J769" s="56" t="n">
        <v>0.15</v>
      </c>
      <c r="K769" s="57" t="n">
        <v>2266</v>
      </c>
      <c r="L769" s="22" t="s">
        <v>44</v>
      </c>
      <c r="M769" s="22"/>
      <c r="N769" s="58" t="n">
        <f aca="false">F769*P769</f>
        <v>0</v>
      </c>
      <c r="O769" s="58" t="n">
        <f aca="false">F769*Q769</f>
        <v>0</v>
      </c>
      <c r="P769" s="58" t="n">
        <v>4.25</v>
      </c>
      <c r="Q769" s="58" t="n">
        <v>0.03</v>
      </c>
      <c r="R769" s="59" t="s">
        <v>2636</v>
      </c>
      <c r="S769" s="22"/>
      <c r="T769" s="11" t="str">
        <f aca="false">"16.12.25"</f>
        <v>16.12.25</v>
      </c>
    </row>
    <row r="770" customFormat="false" ht="7.5" hidden="false" customHeight="true" outlineLevel="2" collapsed="false">
      <c r="A770" s="60" t="str">
        <f aca="false">HYPERLINK("https://disk.360.yandex.ru/d/EC3wAGX2g-Ilcg","фото")</f>
        <v>фото</v>
      </c>
      <c r="B770" s="49" t="s">
        <v>2637</v>
      </c>
      <c r="C770" s="50" t="s">
        <v>2638</v>
      </c>
      <c r="D770" s="51" t="s">
        <v>2639</v>
      </c>
      <c r="E770" s="52" t="n">
        <f aca="false">I770*(1-J770)*(100-E1)/100</f>
        <v>2127.04</v>
      </c>
      <c r="F770" s="53"/>
      <c r="G770" s="54" t="n">
        <v>4</v>
      </c>
      <c r="H770" s="52" t="n">
        <f aca="false">E770*F770</f>
        <v>0</v>
      </c>
      <c r="I770" s="55" t="n">
        <v>3910</v>
      </c>
      <c r="J770" s="56" t="n">
        <v>0.15</v>
      </c>
      <c r="K770" s="57" t="n">
        <v>986</v>
      </c>
      <c r="L770" s="22" t="s">
        <v>44</v>
      </c>
      <c r="M770" s="22"/>
      <c r="N770" s="58" t="n">
        <f aca="false">F770*P770</f>
        <v>0</v>
      </c>
      <c r="O770" s="58" t="n">
        <f aca="false">F770*Q770</f>
        <v>0</v>
      </c>
      <c r="P770" s="58" t="n">
        <v>5.1</v>
      </c>
      <c r="Q770" s="58" t="n">
        <v>0.04</v>
      </c>
      <c r="R770" s="59" t="s">
        <v>2640</v>
      </c>
      <c r="S770" s="22"/>
      <c r="T770" s="11" t="str">
        <f aca="false">"16.12.25"</f>
        <v>16.12.25</v>
      </c>
    </row>
    <row r="771" customFormat="false" ht="7.5" hidden="false" customHeight="true" outlineLevel="2" collapsed="false">
      <c r="A771" s="60" t="str">
        <f aca="false">HYPERLINK("https://disk.360.yandex.ru/d/sI8OQCLw3XlY1w","фото")</f>
        <v>фото</v>
      </c>
      <c r="B771" s="49" t="s">
        <v>2641</v>
      </c>
      <c r="C771" s="50" t="s">
        <v>2642</v>
      </c>
      <c r="D771" s="51" t="s">
        <v>2643</v>
      </c>
      <c r="E771" s="52" t="n">
        <f aca="false">I771*(1-J771)*(100-E1)/100</f>
        <v>2148.8</v>
      </c>
      <c r="F771" s="53"/>
      <c r="G771" s="54" t="n">
        <v>4</v>
      </c>
      <c r="H771" s="52" t="n">
        <f aca="false">E771*F771</f>
        <v>0</v>
      </c>
      <c r="I771" s="55" t="n">
        <v>3950</v>
      </c>
      <c r="J771" s="56" t="n">
        <v>0.15</v>
      </c>
      <c r="K771" s="57" t="n">
        <v>1061</v>
      </c>
      <c r="L771" s="22" t="s">
        <v>44</v>
      </c>
      <c r="M771" s="22"/>
      <c r="N771" s="58" t="n">
        <f aca="false">F771*P771</f>
        <v>0</v>
      </c>
      <c r="O771" s="58" t="n">
        <f aca="false">F771*Q771</f>
        <v>0</v>
      </c>
      <c r="P771" s="58" t="n">
        <v>5.28</v>
      </c>
      <c r="Q771" s="58" t="n">
        <v>0.04</v>
      </c>
      <c r="R771" s="59" t="s">
        <v>2644</v>
      </c>
      <c r="S771" s="22"/>
      <c r="T771" s="11" t="str">
        <f aca="false">"16.12.25"</f>
        <v>16.12.25</v>
      </c>
    </row>
    <row r="772" customFormat="false" ht="7.5" hidden="false" customHeight="true" outlineLevel="1" collapsed="false">
      <c r="A772" s="38"/>
      <c r="B772" s="39"/>
      <c r="C772" s="40" t="s">
        <v>2645</v>
      </c>
      <c r="D772" s="41"/>
      <c r="E772" s="42"/>
      <c r="F772" s="43"/>
      <c r="G772" s="44"/>
      <c r="H772" s="42"/>
      <c r="I772" s="45"/>
      <c r="J772" s="46"/>
      <c r="K772" s="45"/>
      <c r="L772" s="44"/>
      <c r="M772" s="44"/>
      <c r="N772" s="47"/>
      <c r="O772" s="47"/>
      <c r="P772" s="47"/>
      <c r="Q772" s="47"/>
      <c r="R772" s="39"/>
      <c r="S772" s="44"/>
      <c r="T772" s="11" t="str">
        <f aca="false">"16.12.25"</f>
        <v>16.12.25</v>
      </c>
    </row>
    <row r="773" customFormat="false" ht="7.5" hidden="false" customHeight="true" outlineLevel="2" collapsed="false">
      <c r="A773" s="60" t="str">
        <f aca="false">HYPERLINK("https://disk.360.yandex.ru/d/Z_nD2OiZXaP8Rg","фото")</f>
        <v>фото</v>
      </c>
      <c r="B773" s="49" t="s">
        <v>2646</v>
      </c>
      <c r="C773" s="50" t="s">
        <v>2647</v>
      </c>
      <c r="D773" s="51" t="s">
        <v>2648</v>
      </c>
      <c r="E773" s="52" t="n">
        <f aca="false">I773*(1-J773)*(100-E1)/100</f>
        <v>3059.2</v>
      </c>
      <c r="F773" s="53"/>
      <c r="G773" s="54" t="n">
        <v>4</v>
      </c>
      <c r="H773" s="52" t="n">
        <f aca="false">E773*F773</f>
        <v>0</v>
      </c>
      <c r="I773" s="55" t="n">
        <v>4780</v>
      </c>
      <c r="J773" s="56"/>
      <c r="K773" s="57" t="n">
        <v>0</v>
      </c>
      <c r="L773" s="22" t="s">
        <v>44</v>
      </c>
      <c r="M773" s="22"/>
      <c r="N773" s="58" t="n">
        <f aca="false">F773*P773</f>
        <v>0</v>
      </c>
      <c r="O773" s="58" t="n">
        <f aca="false">F773*Q773</f>
        <v>0</v>
      </c>
      <c r="P773" s="58" t="n">
        <v>4.837</v>
      </c>
      <c r="Q773" s="58" t="n">
        <v>0.06</v>
      </c>
      <c r="R773" s="59" t="s">
        <v>2649</v>
      </c>
      <c r="S773" s="22"/>
      <c r="T773" s="11" t="str">
        <f aca="false">"16.12.25"</f>
        <v>16.12.25</v>
      </c>
    </row>
    <row r="774" customFormat="false" ht="7.5" hidden="false" customHeight="true" outlineLevel="2" collapsed="false">
      <c r="A774" s="60" t="str">
        <f aca="false">HYPERLINK("https://disk.360.yandex.ru/d/Woq4ip-fc6HG_A","фото")</f>
        <v>фото</v>
      </c>
      <c r="B774" s="49" t="s">
        <v>2650</v>
      </c>
      <c r="C774" s="50" t="s">
        <v>2651</v>
      </c>
      <c r="D774" s="51" t="s">
        <v>2652</v>
      </c>
      <c r="E774" s="52" t="n">
        <f aca="false">I774*(1-J774)*(100-E1)/100</f>
        <v>2918.4</v>
      </c>
      <c r="F774" s="53"/>
      <c r="G774" s="54" t="n">
        <v>4</v>
      </c>
      <c r="H774" s="52" t="n">
        <f aca="false">E774*F774</f>
        <v>0</v>
      </c>
      <c r="I774" s="55" t="n">
        <v>4560</v>
      </c>
      <c r="J774" s="56"/>
      <c r="K774" s="57" t="n">
        <v>0</v>
      </c>
      <c r="L774" s="22" t="s">
        <v>44</v>
      </c>
      <c r="M774" s="22"/>
      <c r="N774" s="58" t="n">
        <f aca="false">F774*P774</f>
        <v>0</v>
      </c>
      <c r="O774" s="58" t="n">
        <f aca="false">F774*Q774</f>
        <v>0</v>
      </c>
      <c r="P774" s="58" t="n">
        <v>4.5</v>
      </c>
      <c r="Q774" s="58" t="n">
        <v>0.05</v>
      </c>
      <c r="R774" s="59" t="s">
        <v>2653</v>
      </c>
      <c r="S774" s="22"/>
      <c r="T774" s="11" t="str">
        <f aca="false">"16.12.25"</f>
        <v>16.12.25</v>
      </c>
    </row>
    <row r="775" customFormat="false" ht="7.5" hidden="false" customHeight="true" outlineLevel="2" collapsed="false">
      <c r="A775" s="60" t="str">
        <f aca="false">HYPERLINK("https://disk.360.yandex.ru/d/-NZ7gGgRl-mHlg","фото")</f>
        <v>фото</v>
      </c>
      <c r="B775" s="49" t="s">
        <v>2654</v>
      </c>
      <c r="C775" s="50" t="s">
        <v>2655</v>
      </c>
      <c r="D775" s="51" t="s">
        <v>2656</v>
      </c>
      <c r="E775" s="52" t="n">
        <f aca="false">I775*(1-J775)*(100-E1)/100</f>
        <v>3833.6</v>
      </c>
      <c r="F775" s="53"/>
      <c r="G775" s="54" t="n">
        <v>4</v>
      </c>
      <c r="H775" s="52" t="n">
        <f aca="false">E775*F775</f>
        <v>0</v>
      </c>
      <c r="I775" s="55" t="n">
        <v>5990</v>
      </c>
      <c r="J775" s="56"/>
      <c r="K775" s="57" t="n">
        <v>209</v>
      </c>
      <c r="L775" s="22" t="s">
        <v>44</v>
      </c>
      <c r="M775" s="22"/>
      <c r="N775" s="58" t="n">
        <f aca="false">F775*P775</f>
        <v>0</v>
      </c>
      <c r="O775" s="58" t="n">
        <f aca="false">F775*Q775</f>
        <v>0</v>
      </c>
      <c r="P775" s="58" t="n">
        <v>4.9</v>
      </c>
      <c r="Q775" s="58" t="n">
        <v>0.07</v>
      </c>
      <c r="R775" s="59" t="s">
        <v>2657</v>
      </c>
      <c r="S775" s="22"/>
      <c r="T775" s="11" t="str">
        <f aca="false">"16.12.25"</f>
        <v>16.12.25</v>
      </c>
    </row>
    <row r="776" customFormat="false" ht="7.5" hidden="false" customHeight="true" outlineLevel="2" collapsed="false">
      <c r="A776" s="60" t="str">
        <f aca="false">HYPERLINK("https://disk.360.yandex.ru/d/u552I6I_ZW_A6w","фото")</f>
        <v>фото</v>
      </c>
      <c r="B776" s="49" t="s">
        <v>2658</v>
      </c>
      <c r="C776" s="50" t="s">
        <v>2659</v>
      </c>
      <c r="D776" s="51" t="s">
        <v>2660</v>
      </c>
      <c r="E776" s="52" t="n">
        <f aca="false">I776*(1-J776)*(100-E1)/100</f>
        <v>4537.6</v>
      </c>
      <c r="F776" s="53"/>
      <c r="G776" s="54" t="n">
        <v>4</v>
      </c>
      <c r="H776" s="52" t="n">
        <f aca="false">E776*F776</f>
        <v>0</v>
      </c>
      <c r="I776" s="55" t="n">
        <v>7090</v>
      </c>
      <c r="J776" s="56"/>
      <c r="K776" s="57" t="n">
        <v>847</v>
      </c>
      <c r="L776" s="22" t="s">
        <v>44</v>
      </c>
      <c r="M776" s="22"/>
      <c r="N776" s="58" t="n">
        <f aca="false">F776*P776</f>
        <v>0</v>
      </c>
      <c r="O776" s="58" t="n">
        <f aca="false">F776*Q776</f>
        <v>0</v>
      </c>
      <c r="P776" s="58" t="n">
        <v>8</v>
      </c>
      <c r="Q776" s="58" t="n">
        <v>0.06</v>
      </c>
      <c r="R776" s="59" t="s">
        <v>2661</v>
      </c>
      <c r="S776" s="22"/>
      <c r="T776" s="11" t="str">
        <f aca="false">"16.12.25"</f>
        <v>16.12.25</v>
      </c>
    </row>
    <row r="777" customFormat="false" ht="7.5" hidden="false" customHeight="true" outlineLevel="2" collapsed="false">
      <c r="A777" s="60" t="str">
        <f aca="false">HYPERLINK("https://disk.360.yandex.ru/d/wVdD4a9umuk_9A","фото")</f>
        <v>фото</v>
      </c>
      <c r="B777" s="49" t="s">
        <v>2662</v>
      </c>
      <c r="C777" s="50" t="s">
        <v>2663</v>
      </c>
      <c r="D777" s="51" t="s">
        <v>2664</v>
      </c>
      <c r="E777" s="52" t="n">
        <f aca="false">I777*(1-J777)*(100-E1)/100</f>
        <v>2432</v>
      </c>
      <c r="F777" s="53"/>
      <c r="G777" s="54" t="n">
        <v>4</v>
      </c>
      <c r="H777" s="52" t="n">
        <f aca="false">E777*F777</f>
        <v>0</v>
      </c>
      <c r="I777" s="55" t="n">
        <v>3800</v>
      </c>
      <c r="J777" s="56"/>
      <c r="K777" s="57" t="n">
        <v>0</v>
      </c>
      <c r="L777" s="22" t="s">
        <v>44</v>
      </c>
      <c r="M777" s="22"/>
      <c r="N777" s="58" t="n">
        <f aca="false">F777*P777</f>
        <v>0</v>
      </c>
      <c r="O777" s="58" t="n">
        <f aca="false">F777*Q777</f>
        <v>0</v>
      </c>
      <c r="P777" s="58" t="n">
        <v>3.49</v>
      </c>
      <c r="Q777" s="58" t="n">
        <v>0.05</v>
      </c>
      <c r="R777" s="59" t="s">
        <v>2665</v>
      </c>
      <c r="S777" s="22"/>
      <c r="T777" s="11" t="str">
        <f aca="false">"16.12.25"</f>
        <v>16.12.25</v>
      </c>
    </row>
    <row r="778" customFormat="false" ht="7.5" hidden="false" customHeight="true" outlineLevel="2" collapsed="false">
      <c r="A778" s="60" t="str">
        <f aca="false">HYPERLINK("https://disk.360.yandex.ru/d/u03qa7mO5Bi14Q","фото")</f>
        <v>фото</v>
      </c>
      <c r="B778" s="49" t="s">
        <v>2666</v>
      </c>
      <c r="C778" s="50" t="s">
        <v>2667</v>
      </c>
      <c r="D778" s="51" t="s">
        <v>2668</v>
      </c>
      <c r="E778" s="52" t="n">
        <f aca="false">I778*(1-J778)*(100-E1)/100</f>
        <v>2707.2</v>
      </c>
      <c r="F778" s="53"/>
      <c r="G778" s="54" t="n">
        <v>4</v>
      </c>
      <c r="H778" s="52" t="n">
        <f aca="false">E778*F778</f>
        <v>0</v>
      </c>
      <c r="I778" s="55" t="n">
        <v>4230</v>
      </c>
      <c r="J778" s="56"/>
      <c r="K778" s="57" t="n">
        <v>0</v>
      </c>
      <c r="L778" s="22" t="s">
        <v>44</v>
      </c>
      <c r="M778" s="22"/>
      <c r="N778" s="58" t="n">
        <f aca="false">F778*P778</f>
        <v>0</v>
      </c>
      <c r="O778" s="58" t="n">
        <f aca="false">F778*Q778</f>
        <v>0</v>
      </c>
      <c r="P778" s="58" t="n">
        <v>3.14</v>
      </c>
      <c r="Q778" s="58" t="n">
        <v>0.05</v>
      </c>
      <c r="R778" s="59" t="s">
        <v>2669</v>
      </c>
      <c r="S778" s="22"/>
      <c r="T778" s="11" t="str">
        <f aca="false">"16.12.25"</f>
        <v>16.12.25</v>
      </c>
    </row>
    <row r="779" customFormat="false" ht="7.5" hidden="false" customHeight="true" outlineLevel="2" collapsed="false">
      <c r="A779" s="60" t="str">
        <f aca="false">HYPERLINK("https://disk.360.yandex.ru/d/eboNXVlj_oX62Q","фото")</f>
        <v>фото</v>
      </c>
      <c r="B779" s="49" t="s">
        <v>2670</v>
      </c>
      <c r="C779" s="50" t="s">
        <v>2671</v>
      </c>
      <c r="D779" s="51" t="s">
        <v>2672</v>
      </c>
      <c r="E779" s="52" t="n">
        <f aca="false">I779*(1-J779)*(100-E1)/100</f>
        <v>2483.2</v>
      </c>
      <c r="F779" s="53"/>
      <c r="G779" s="54" t="n">
        <v>4</v>
      </c>
      <c r="H779" s="52" t="n">
        <f aca="false">E779*F779</f>
        <v>0</v>
      </c>
      <c r="I779" s="55" t="n">
        <v>3880</v>
      </c>
      <c r="J779" s="56"/>
      <c r="K779" s="57" t="n">
        <v>0</v>
      </c>
      <c r="L779" s="22" t="s">
        <v>44</v>
      </c>
      <c r="M779" s="22"/>
      <c r="N779" s="58" t="n">
        <f aca="false">F779*P779</f>
        <v>0</v>
      </c>
      <c r="O779" s="58" t="n">
        <f aca="false">F779*Q779</f>
        <v>0</v>
      </c>
      <c r="P779" s="58" t="n">
        <v>3.378</v>
      </c>
      <c r="Q779" s="58" t="n">
        <v>0.04</v>
      </c>
      <c r="R779" s="59" t="s">
        <v>2673</v>
      </c>
      <c r="S779" s="22"/>
      <c r="T779" s="11" t="str">
        <f aca="false">"16.12.25"</f>
        <v>16.12.25</v>
      </c>
    </row>
    <row r="780" customFormat="false" ht="7.5" hidden="false" customHeight="true" outlineLevel="2" collapsed="false">
      <c r="A780" s="60" t="str">
        <f aca="false">HYPERLINK("https://disk.360.yandex.ru/d/1Xo35TQsrvueNw","фото")</f>
        <v>фото</v>
      </c>
      <c r="B780" s="49" t="s">
        <v>2674</v>
      </c>
      <c r="C780" s="50" t="s">
        <v>2675</v>
      </c>
      <c r="D780" s="51" t="s">
        <v>2676</v>
      </c>
      <c r="E780" s="52" t="n">
        <f aca="false">I780*(1-J780)*(100-E1)/100</f>
        <v>3520</v>
      </c>
      <c r="F780" s="53"/>
      <c r="G780" s="54" t="n">
        <v>4</v>
      </c>
      <c r="H780" s="52" t="n">
        <f aca="false">E780*F780</f>
        <v>0</v>
      </c>
      <c r="I780" s="55" t="n">
        <v>5500</v>
      </c>
      <c r="J780" s="56"/>
      <c r="K780" s="57" t="n">
        <v>409</v>
      </c>
      <c r="L780" s="22" t="s">
        <v>44</v>
      </c>
      <c r="M780" s="22"/>
      <c r="N780" s="58" t="n">
        <f aca="false">F780*P780</f>
        <v>0</v>
      </c>
      <c r="O780" s="58" t="n">
        <f aca="false">F780*Q780</f>
        <v>0</v>
      </c>
      <c r="P780" s="58" t="n">
        <v>3.91</v>
      </c>
      <c r="Q780" s="58" t="n">
        <v>0.05</v>
      </c>
      <c r="R780" s="59" t="s">
        <v>2677</v>
      </c>
      <c r="S780" s="22"/>
      <c r="T780" s="11" t="str">
        <f aca="false">"16.12.25"</f>
        <v>16.12.25</v>
      </c>
    </row>
    <row r="781" customFormat="false" ht="7.5" hidden="false" customHeight="true" outlineLevel="2" collapsed="false">
      <c r="A781" s="60" t="str">
        <f aca="false">HYPERLINK("https://disk.360.yandex.ru/d/89nemsrfWasmrA","фото")</f>
        <v>фото</v>
      </c>
      <c r="B781" s="49" t="s">
        <v>2678</v>
      </c>
      <c r="C781" s="50" t="s">
        <v>2679</v>
      </c>
      <c r="D781" s="51" t="s">
        <v>2680</v>
      </c>
      <c r="E781" s="52" t="n">
        <f aca="false">I781*(1-J781)*(100-E1)/100</f>
        <v>2803.2</v>
      </c>
      <c r="F781" s="53"/>
      <c r="G781" s="54" t="n">
        <v>4</v>
      </c>
      <c r="H781" s="52" t="n">
        <f aca="false">E781*F781</f>
        <v>0</v>
      </c>
      <c r="I781" s="55" t="n">
        <v>4380</v>
      </c>
      <c r="J781" s="56"/>
      <c r="K781" s="57" t="n">
        <v>0</v>
      </c>
      <c r="L781" s="22" t="s">
        <v>44</v>
      </c>
      <c r="M781" s="22"/>
      <c r="N781" s="58" t="n">
        <f aca="false">F781*P781</f>
        <v>0</v>
      </c>
      <c r="O781" s="58" t="n">
        <f aca="false">F781*Q781</f>
        <v>0</v>
      </c>
      <c r="P781" s="58" t="n">
        <v>3.88</v>
      </c>
      <c r="Q781" s="58" t="n">
        <v>0.06</v>
      </c>
      <c r="R781" s="59" t="s">
        <v>2681</v>
      </c>
      <c r="S781" s="22"/>
      <c r="T781" s="11" t="str">
        <f aca="false">"16.12.25"</f>
        <v>16.12.25</v>
      </c>
    </row>
    <row r="782" customFormat="false" ht="7.5" hidden="false" customHeight="true" outlineLevel="2" collapsed="false">
      <c r="A782" s="60" t="str">
        <f aca="false">HYPERLINK("https://disk.360.yandex.ru/d/7Q71UsMB4NoHFw","фото")</f>
        <v>фото</v>
      </c>
      <c r="B782" s="49" t="s">
        <v>2682</v>
      </c>
      <c r="C782" s="50" t="s">
        <v>2683</v>
      </c>
      <c r="D782" s="51" t="s">
        <v>2684</v>
      </c>
      <c r="E782" s="52" t="n">
        <f aca="false">I782*(1-J782)*(100-E1)/100</f>
        <v>2694.4</v>
      </c>
      <c r="F782" s="53"/>
      <c r="G782" s="54" t="n">
        <v>4</v>
      </c>
      <c r="H782" s="52" t="n">
        <f aca="false">E782*F782</f>
        <v>0</v>
      </c>
      <c r="I782" s="55" t="n">
        <v>4210</v>
      </c>
      <c r="J782" s="56"/>
      <c r="K782" s="57" t="n">
        <v>0</v>
      </c>
      <c r="L782" s="22" t="s">
        <v>44</v>
      </c>
      <c r="M782" s="22"/>
      <c r="N782" s="58" t="n">
        <f aca="false">F782*P782</f>
        <v>0</v>
      </c>
      <c r="O782" s="58" t="n">
        <f aca="false">F782*Q782</f>
        <v>0</v>
      </c>
      <c r="P782" s="58" t="n">
        <v>3.9</v>
      </c>
      <c r="Q782" s="58" t="n">
        <v>0.05</v>
      </c>
      <c r="R782" s="59" t="s">
        <v>2685</v>
      </c>
      <c r="S782" s="22"/>
      <c r="T782" s="11" t="str">
        <f aca="false">"16.12.25"</f>
        <v>16.12.25</v>
      </c>
    </row>
    <row r="783" customFormat="false" ht="7.5" hidden="false" customHeight="true" outlineLevel="2" collapsed="false">
      <c r="A783" s="60" t="str">
        <f aca="false">HYPERLINK("https://disk.360.yandex.ru/d/cKn3rviCMefHqw","фото")</f>
        <v>фото</v>
      </c>
      <c r="B783" s="49" t="s">
        <v>2686</v>
      </c>
      <c r="C783" s="50" t="s">
        <v>2687</v>
      </c>
      <c r="D783" s="51"/>
      <c r="E783" s="52" t="n">
        <f aca="false">I783*(1-J783)*(100-E1)/100</f>
        <v>3001.6</v>
      </c>
      <c r="F783" s="53"/>
      <c r="G783" s="54" t="n">
        <v>1</v>
      </c>
      <c r="H783" s="52" t="n">
        <f aca="false">E783*F783</f>
        <v>0</v>
      </c>
      <c r="I783" s="55" t="n">
        <v>4690</v>
      </c>
      <c r="J783" s="56"/>
      <c r="K783" s="57" t="n">
        <v>0</v>
      </c>
      <c r="L783" s="22" t="s">
        <v>44</v>
      </c>
      <c r="M783" s="22"/>
      <c r="N783" s="58" t="n">
        <f aca="false">F783*P783</f>
        <v>0</v>
      </c>
      <c r="O783" s="58" t="n">
        <f aca="false">F783*Q783</f>
        <v>0</v>
      </c>
      <c r="P783" s="58" t="n">
        <v>6.4</v>
      </c>
      <c r="Q783" s="58" t="n">
        <v>0.014</v>
      </c>
      <c r="R783" s="59" t="s">
        <v>2688</v>
      </c>
      <c r="S783" s="22"/>
      <c r="T783" s="11" t="str">
        <f aca="false">"16.12.25"</f>
        <v>16.12.25</v>
      </c>
    </row>
    <row r="784" customFormat="false" ht="7.5" hidden="false" customHeight="true" outlineLevel="2" collapsed="false">
      <c r="A784" s="60" t="str">
        <f aca="false">HYPERLINK("https://disk.360.yandex.ru/d/83qMtKA1CzhGlQ","фото")</f>
        <v>фото</v>
      </c>
      <c r="B784" s="49" t="s">
        <v>2689</v>
      </c>
      <c r="C784" s="50" t="s">
        <v>2690</v>
      </c>
      <c r="D784" s="51" t="s">
        <v>2691</v>
      </c>
      <c r="E784" s="52" t="n">
        <f aca="false">I784*(1-J784)*(100-E1)/100</f>
        <v>4217.6</v>
      </c>
      <c r="F784" s="53"/>
      <c r="G784" s="54" t="n">
        <v>1</v>
      </c>
      <c r="H784" s="52" t="n">
        <f aca="false">E784*F784</f>
        <v>0</v>
      </c>
      <c r="I784" s="55" t="n">
        <v>6590</v>
      </c>
      <c r="J784" s="56"/>
      <c r="K784" s="57" t="n">
        <v>43</v>
      </c>
      <c r="L784" s="22" t="s">
        <v>44</v>
      </c>
      <c r="M784" s="22"/>
      <c r="N784" s="58" t="n">
        <f aca="false">F784*P784</f>
        <v>0</v>
      </c>
      <c r="O784" s="58" t="n">
        <f aca="false">F784*Q784</f>
        <v>0</v>
      </c>
      <c r="P784" s="58" t="n">
        <v>9.5</v>
      </c>
      <c r="Q784" s="58" t="n">
        <v>0.02</v>
      </c>
      <c r="R784" s="59" t="s">
        <v>2692</v>
      </c>
      <c r="S784" s="22"/>
      <c r="T784" s="11" t="str">
        <f aca="false">"16.12.25"</f>
        <v>16.12.25</v>
      </c>
    </row>
    <row r="785" customFormat="false" ht="7.5" hidden="false" customHeight="true" outlineLevel="2" collapsed="false">
      <c r="A785" s="60" t="str">
        <f aca="false">HYPERLINK("https://disk.360.yandex.ru/d/W3JtyP9Czg5KLw","фото")</f>
        <v>фото</v>
      </c>
      <c r="B785" s="49" t="s">
        <v>2693</v>
      </c>
      <c r="C785" s="50" t="s">
        <v>2694</v>
      </c>
      <c r="D785" s="51" t="s">
        <v>2695</v>
      </c>
      <c r="E785" s="52" t="n">
        <f aca="false">I785*(1-J785)*(100-E1)/100</f>
        <v>4736</v>
      </c>
      <c r="F785" s="53"/>
      <c r="G785" s="54" t="n">
        <v>1</v>
      </c>
      <c r="H785" s="52" t="n">
        <f aca="false">E785*F785</f>
        <v>0</v>
      </c>
      <c r="I785" s="55" t="n">
        <v>7400</v>
      </c>
      <c r="J785" s="56"/>
      <c r="K785" s="57" t="n">
        <v>0</v>
      </c>
      <c r="L785" s="22" t="s">
        <v>44</v>
      </c>
      <c r="M785" s="22"/>
      <c r="N785" s="58" t="n">
        <f aca="false">F785*P785</f>
        <v>0</v>
      </c>
      <c r="O785" s="58" t="n">
        <f aca="false">F785*Q785</f>
        <v>0</v>
      </c>
      <c r="P785" s="58" t="n">
        <v>10</v>
      </c>
      <c r="Q785" s="58" t="n">
        <v>0.021</v>
      </c>
      <c r="R785" s="59" t="s">
        <v>2696</v>
      </c>
      <c r="S785" s="22"/>
      <c r="T785" s="11" t="str">
        <f aca="false">"16.12.25"</f>
        <v>16.12.25</v>
      </c>
    </row>
    <row r="786" customFormat="false" ht="7.5" hidden="false" customHeight="true" outlineLevel="2" collapsed="false">
      <c r="A786" s="60" t="str">
        <f aca="false">HYPERLINK("https://disk.360.yandex.ru/d/dvIZp_g8FNtENw","фото")</f>
        <v>фото</v>
      </c>
      <c r="B786" s="49" t="s">
        <v>2697</v>
      </c>
      <c r="C786" s="50" t="s">
        <v>2698</v>
      </c>
      <c r="D786" s="51" t="s">
        <v>2699</v>
      </c>
      <c r="E786" s="52" t="n">
        <f aca="false">I786*(1-J786)*(100-E1)/100</f>
        <v>4537.6</v>
      </c>
      <c r="F786" s="53"/>
      <c r="G786" s="54" t="n">
        <v>1</v>
      </c>
      <c r="H786" s="52" t="n">
        <f aca="false">E786*F786</f>
        <v>0</v>
      </c>
      <c r="I786" s="55" t="n">
        <v>7090</v>
      </c>
      <c r="J786" s="56"/>
      <c r="K786" s="57" t="n">
        <v>0</v>
      </c>
      <c r="L786" s="22" t="s">
        <v>44</v>
      </c>
      <c r="M786" s="22"/>
      <c r="N786" s="58" t="n">
        <f aca="false">F786*P786</f>
        <v>0</v>
      </c>
      <c r="O786" s="58" t="n">
        <f aca="false">F786*Q786</f>
        <v>0</v>
      </c>
      <c r="P786" s="58" t="n">
        <v>10.5</v>
      </c>
      <c r="Q786" s="58" t="n">
        <v>0.02</v>
      </c>
      <c r="R786" s="59" t="s">
        <v>2700</v>
      </c>
      <c r="S786" s="22"/>
      <c r="T786" s="11" t="str">
        <f aca="false">"16.12.25"</f>
        <v>16.12.25</v>
      </c>
    </row>
    <row r="787" customFormat="false" ht="7.5" hidden="false" customHeight="true" outlineLevel="2" collapsed="false">
      <c r="A787" s="60" t="str">
        <f aca="false">HYPERLINK("https://disk.360.yandex.ru/d/tuJH3udlmy2rfA","фото")</f>
        <v>фото</v>
      </c>
      <c r="B787" s="49" t="s">
        <v>2701</v>
      </c>
      <c r="C787" s="50" t="s">
        <v>2702</v>
      </c>
      <c r="D787" s="51" t="s">
        <v>2703</v>
      </c>
      <c r="E787" s="52" t="n">
        <f aca="false">I787*(1-J787)*(100-E1)/100</f>
        <v>3851.52</v>
      </c>
      <c r="F787" s="53"/>
      <c r="G787" s="54" t="n">
        <v>4</v>
      </c>
      <c r="H787" s="52" t="n">
        <f aca="false">E787*F787</f>
        <v>0</v>
      </c>
      <c r="I787" s="55" t="n">
        <v>7080</v>
      </c>
      <c r="J787" s="56" t="n">
        <v>0.15</v>
      </c>
      <c r="K787" s="57" t="n">
        <v>0</v>
      </c>
      <c r="L787" s="22" t="s">
        <v>44</v>
      </c>
      <c r="M787" s="22"/>
      <c r="N787" s="58" t="n">
        <f aca="false">F787*P787</f>
        <v>0</v>
      </c>
      <c r="O787" s="58" t="n">
        <f aca="false">F787*Q787</f>
        <v>0</v>
      </c>
      <c r="P787" s="58" t="n">
        <v>5.55</v>
      </c>
      <c r="Q787" s="58" t="n">
        <v>0.02</v>
      </c>
      <c r="R787" s="59" t="s">
        <v>2704</v>
      </c>
      <c r="S787" s="22"/>
      <c r="T787" s="11" t="str">
        <f aca="false">"16.12.25"</f>
        <v>16.12.25</v>
      </c>
    </row>
    <row r="788" customFormat="false" ht="7.5" hidden="false" customHeight="true" outlineLevel="2" collapsed="false">
      <c r="A788" s="60" t="str">
        <f aca="false">HYPERLINK("https://disk.360.yandex.ru/d/ghbeuIUFaar0xQ","фото")</f>
        <v>фото</v>
      </c>
      <c r="B788" s="49" t="s">
        <v>2705</v>
      </c>
      <c r="C788" s="50" t="s">
        <v>2706</v>
      </c>
      <c r="D788" s="51" t="s">
        <v>2707</v>
      </c>
      <c r="E788" s="52" t="n">
        <f aca="false">I788*(1-J788)*(100-E1)/100</f>
        <v>3100.8</v>
      </c>
      <c r="F788" s="53"/>
      <c r="G788" s="54" t="n">
        <v>4</v>
      </c>
      <c r="H788" s="52" t="n">
        <f aca="false">E788*F788</f>
        <v>0</v>
      </c>
      <c r="I788" s="55" t="n">
        <v>5700</v>
      </c>
      <c r="J788" s="56" t="n">
        <v>0.15</v>
      </c>
      <c r="K788" s="57" t="n">
        <v>419</v>
      </c>
      <c r="L788" s="22" t="s">
        <v>44</v>
      </c>
      <c r="M788" s="22"/>
      <c r="N788" s="58" t="n">
        <f aca="false">F788*P788</f>
        <v>0</v>
      </c>
      <c r="O788" s="58" t="n">
        <f aca="false">F788*Q788</f>
        <v>0</v>
      </c>
      <c r="P788" s="58" t="n">
        <v>4.15</v>
      </c>
      <c r="Q788" s="58" t="n">
        <v>0.02</v>
      </c>
      <c r="R788" s="59" t="s">
        <v>2708</v>
      </c>
      <c r="S788" s="22"/>
      <c r="T788" s="11" t="str">
        <f aca="false">"16.12.25"</f>
        <v>16.12.25</v>
      </c>
    </row>
    <row r="789" customFormat="false" ht="7.5" hidden="false" customHeight="true" outlineLevel="2" collapsed="false">
      <c r="A789" s="60" t="str">
        <f aca="false">HYPERLINK("https://disk.360.yandex.ru/d/TzdLC7vnFGIkRA","фото")</f>
        <v>фото</v>
      </c>
      <c r="B789" s="49" t="s">
        <v>2709</v>
      </c>
      <c r="C789" s="50" t="s">
        <v>2710</v>
      </c>
      <c r="D789" s="51" t="s">
        <v>2711</v>
      </c>
      <c r="E789" s="52" t="n">
        <f aca="false">I789*(1-J789)*(100-E1)/100</f>
        <v>3302.08</v>
      </c>
      <c r="F789" s="53"/>
      <c r="G789" s="54" t="n">
        <v>4</v>
      </c>
      <c r="H789" s="52" t="n">
        <f aca="false">E789*F789</f>
        <v>0</v>
      </c>
      <c r="I789" s="55" t="n">
        <v>6070</v>
      </c>
      <c r="J789" s="56" t="n">
        <v>0.15</v>
      </c>
      <c r="K789" s="57" t="n">
        <v>324</v>
      </c>
      <c r="L789" s="22" t="s">
        <v>44</v>
      </c>
      <c r="M789" s="22"/>
      <c r="N789" s="58" t="n">
        <f aca="false">F789*P789</f>
        <v>0</v>
      </c>
      <c r="O789" s="58" t="n">
        <f aca="false">F789*Q789</f>
        <v>0</v>
      </c>
      <c r="P789" s="58" t="n">
        <v>4.48</v>
      </c>
      <c r="Q789" s="58" t="n">
        <v>0.02</v>
      </c>
      <c r="R789" s="59" t="s">
        <v>2712</v>
      </c>
      <c r="S789" s="22"/>
      <c r="T789" s="11" t="str">
        <f aca="false">"16.12.25"</f>
        <v>16.12.25</v>
      </c>
    </row>
    <row r="790" customFormat="false" ht="7.5" hidden="false" customHeight="true" outlineLevel="2" collapsed="false">
      <c r="A790" s="60" t="str">
        <f aca="false">HYPERLINK("https://disk.360.yandex.ru/d/j-tox890-1CfRw","фото")</f>
        <v>фото</v>
      </c>
      <c r="B790" s="49" t="s">
        <v>2713</v>
      </c>
      <c r="C790" s="50" t="s">
        <v>2714</v>
      </c>
      <c r="D790" s="51" t="s">
        <v>2715</v>
      </c>
      <c r="E790" s="52" t="n">
        <f aca="false">I790*(1-J790)*(100-E1)/100</f>
        <v>3541.44</v>
      </c>
      <c r="F790" s="53"/>
      <c r="G790" s="54" t="n">
        <v>4</v>
      </c>
      <c r="H790" s="52" t="n">
        <f aca="false">E790*F790</f>
        <v>0</v>
      </c>
      <c r="I790" s="55" t="n">
        <v>6510</v>
      </c>
      <c r="J790" s="56" t="n">
        <v>0.15</v>
      </c>
      <c r="K790" s="57" t="n">
        <v>102</v>
      </c>
      <c r="L790" s="22" t="s">
        <v>44</v>
      </c>
      <c r="M790" s="22"/>
      <c r="N790" s="58" t="n">
        <f aca="false">F790*P790</f>
        <v>0</v>
      </c>
      <c r="O790" s="58" t="n">
        <f aca="false">F790*Q790</f>
        <v>0</v>
      </c>
      <c r="P790" s="58" t="n">
        <v>5.05</v>
      </c>
      <c r="Q790" s="58" t="n">
        <v>0.02</v>
      </c>
      <c r="R790" s="59" t="s">
        <v>2716</v>
      </c>
      <c r="S790" s="22"/>
      <c r="T790" s="11" t="str">
        <f aca="false">"16.12.25"</f>
        <v>16.12.25</v>
      </c>
    </row>
    <row r="791" customFormat="false" ht="7.5" hidden="false" customHeight="true" outlineLevel="2" collapsed="false">
      <c r="A791" s="60" t="str">
        <f aca="false">HYPERLINK("https://disk.360.yandex.ru/d/8Hk_6Rum1ov5yA","фото")</f>
        <v>фото</v>
      </c>
      <c r="B791" s="49" t="s">
        <v>2717</v>
      </c>
      <c r="C791" s="50" t="s">
        <v>2718</v>
      </c>
      <c r="D791" s="51" t="s">
        <v>2715</v>
      </c>
      <c r="E791" s="52" t="n">
        <f aca="false">I791*(1-J791)*(100-E1)/100</f>
        <v>2458.88</v>
      </c>
      <c r="F791" s="53"/>
      <c r="G791" s="54" t="n">
        <v>4</v>
      </c>
      <c r="H791" s="52" t="n">
        <f aca="false">E791*F791</f>
        <v>0</v>
      </c>
      <c r="I791" s="55" t="n">
        <v>4520</v>
      </c>
      <c r="J791" s="56" t="n">
        <v>0.15</v>
      </c>
      <c r="K791" s="57" t="n">
        <v>0</v>
      </c>
      <c r="L791" s="22" t="s">
        <v>44</v>
      </c>
      <c r="M791" s="22"/>
      <c r="N791" s="58" t="n">
        <f aca="false">F791*P791</f>
        <v>0</v>
      </c>
      <c r="O791" s="58" t="n">
        <f aca="false">F791*Q791</f>
        <v>0</v>
      </c>
      <c r="P791" s="58" t="n">
        <v>4.95</v>
      </c>
      <c r="Q791" s="58" t="n">
        <v>0.02</v>
      </c>
      <c r="R791" s="59" t="s">
        <v>2719</v>
      </c>
      <c r="S791" s="22"/>
      <c r="T791" s="11" t="str">
        <f aca="false">"16.12.25"</f>
        <v>16.12.25</v>
      </c>
    </row>
    <row r="792" customFormat="false" ht="7.5" hidden="false" customHeight="true" outlineLevel="2" collapsed="false">
      <c r="A792" s="60" t="str">
        <f aca="false">HYPERLINK("https://disk.360.yandex.ru/d/JC34A7TXx5BYOA","фото")</f>
        <v>фото</v>
      </c>
      <c r="B792" s="49" t="s">
        <v>2720</v>
      </c>
      <c r="C792" s="50" t="s">
        <v>2721</v>
      </c>
      <c r="D792" s="51" t="s">
        <v>2722</v>
      </c>
      <c r="E792" s="52" t="n">
        <f aca="false">I792*(1-J792)*(100-E1)/100</f>
        <v>7321.6</v>
      </c>
      <c r="F792" s="53"/>
      <c r="G792" s="54" t="n">
        <v>1</v>
      </c>
      <c r="H792" s="52" t="n">
        <f aca="false">E792*F792</f>
        <v>0</v>
      </c>
      <c r="I792" s="55" t="n">
        <v>11440</v>
      </c>
      <c r="J792" s="56"/>
      <c r="K792" s="57" t="n">
        <v>0</v>
      </c>
      <c r="L792" s="22" t="s">
        <v>44</v>
      </c>
      <c r="M792" s="22"/>
      <c r="N792" s="58" t="n">
        <f aca="false">F792*P792</f>
        <v>0</v>
      </c>
      <c r="O792" s="58" t="n">
        <f aca="false">F792*Q792</f>
        <v>0</v>
      </c>
      <c r="P792" s="58" t="n">
        <v>16.1</v>
      </c>
      <c r="Q792" s="58" t="n">
        <v>0.03</v>
      </c>
      <c r="R792" s="59" t="s">
        <v>2723</v>
      </c>
      <c r="S792" s="22"/>
      <c r="T792" s="11" t="str">
        <f aca="false">"16.12.25"</f>
        <v>16.12.25</v>
      </c>
    </row>
    <row r="793" customFormat="false" ht="7.5" hidden="false" customHeight="true" outlineLevel="2" collapsed="false">
      <c r="A793" s="60" t="str">
        <f aca="false">HYPERLINK("https://disk.360.yandex.ru/d/yag_QPawma_O0g","фото")</f>
        <v>фото</v>
      </c>
      <c r="B793" s="49" t="s">
        <v>2724</v>
      </c>
      <c r="C793" s="50" t="s">
        <v>2725</v>
      </c>
      <c r="D793" s="51" t="s">
        <v>2726</v>
      </c>
      <c r="E793" s="52" t="n">
        <f aca="false">I793*(1-J793)*(100-E1)/100</f>
        <v>7840</v>
      </c>
      <c r="F793" s="53"/>
      <c r="G793" s="54" t="n">
        <v>1</v>
      </c>
      <c r="H793" s="52" t="n">
        <f aca="false">E793*F793</f>
        <v>0</v>
      </c>
      <c r="I793" s="55" t="n">
        <v>12250</v>
      </c>
      <c r="J793" s="56"/>
      <c r="K793" s="57" t="n">
        <v>0</v>
      </c>
      <c r="L793" s="22" t="s">
        <v>44</v>
      </c>
      <c r="M793" s="22"/>
      <c r="N793" s="58" t="n">
        <f aca="false">F793*P793</f>
        <v>0</v>
      </c>
      <c r="O793" s="58" t="n">
        <f aca="false">F793*Q793</f>
        <v>0</v>
      </c>
      <c r="P793" s="58" t="n">
        <v>18.1</v>
      </c>
      <c r="Q793" s="58" t="n">
        <v>0.03</v>
      </c>
      <c r="R793" s="59" t="s">
        <v>2727</v>
      </c>
      <c r="S793" s="22"/>
      <c r="T793" s="11" t="str">
        <f aca="false">"16.12.25"</f>
        <v>16.12.25</v>
      </c>
    </row>
    <row r="794" customFormat="false" ht="7.5" hidden="false" customHeight="true" outlineLevel="2" collapsed="false">
      <c r="A794" s="60" t="str">
        <f aca="false">HYPERLINK("https://disk.360.yandex.ru/d/VfQf_m-hiPc5hw","фото")</f>
        <v>фото</v>
      </c>
      <c r="B794" s="49" t="s">
        <v>2728</v>
      </c>
      <c r="C794" s="50" t="s">
        <v>2729</v>
      </c>
      <c r="D794" s="51" t="s">
        <v>2730</v>
      </c>
      <c r="E794" s="52" t="n">
        <f aca="false">I794*(1-J794)*(100-E1)/100</f>
        <v>9619.2</v>
      </c>
      <c r="F794" s="53"/>
      <c r="G794" s="54" t="n">
        <v>1</v>
      </c>
      <c r="H794" s="52" t="n">
        <f aca="false">E794*F794</f>
        <v>0</v>
      </c>
      <c r="I794" s="55" t="n">
        <v>15030</v>
      </c>
      <c r="J794" s="56"/>
      <c r="K794" s="57" t="n">
        <v>35</v>
      </c>
      <c r="L794" s="22" t="s">
        <v>44</v>
      </c>
      <c r="M794" s="22"/>
      <c r="N794" s="58" t="n">
        <f aca="false">F794*P794</f>
        <v>0</v>
      </c>
      <c r="O794" s="58" t="n">
        <f aca="false">F794*Q794</f>
        <v>0</v>
      </c>
      <c r="P794" s="58" t="n">
        <v>20.5</v>
      </c>
      <c r="Q794" s="58" t="n">
        <v>0.041</v>
      </c>
      <c r="R794" s="59" t="s">
        <v>2731</v>
      </c>
      <c r="S794" s="22"/>
      <c r="T794" s="11" t="str">
        <f aca="false">"16.12.25"</f>
        <v>16.12.25</v>
      </c>
    </row>
    <row r="795" customFormat="false" ht="7.5" hidden="false" customHeight="true" outlineLevel="2" collapsed="false">
      <c r="A795" s="60" t="str">
        <f aca="false">HYPERLINK("https://disk.360.yandex.ru/d/FGcwERkaDaXDbA","фото")</f>
        <v>фото</v>
      </c>
      <c r="B795" s="49" t="s">
        <v>2732</v>
      </c>
      <c r="C795" s="50" t="s">
        <v>2733</v>
      </c>
      <c r="D795" s="51" t="s">
        <v>2734</v>
      </c>
      <c r="E795" s="52" t="n">
        <f aca="false">I795*(1-J795)*(100-E1)/100</f>
        <v>3699.2</v>
      </c>
      <c r="F795" s="53"/>
      <c r="G795" s="54" t="n">
        <v>4</v>
      </c>
      <c r="H795" s="52" t="n">
        <f aca="false">E795*F795</f>
        <v>0</v>
      </c>
      <c r="I795" s="55" t="n">
        <v>6800</v>
      </c>
      <c r="J795" s="56" t="n">
        <v>0.15</v>
      </c>
      <c r="K795" s="57" t="n">
        <v>462</v>
      </c>
      <c r="L795" s="22" t="s">
        <v>53</v>
      </c>
      <c r="M795" s="22" t="s">
        <v>152</v>
      </c>
      <c r="N795" s="58" t="n">
        <f aca="false">F795*P795</f>
        <v>0</v>
      </c>
      <c r="O795" s="58" t="n">
        <f aca="false">F795*Q795</f>
        <v>0</v>
      </c>
      <c r="P795" s="58" t="n">
        <v>5.8</v>
      </c>
      <c r="Q795" s="58" t="n">
        <v>0.03</v>
      </c>
      <c r="R795" s="59" t="s">
        <v>2735</v>
      </c>
      <c r="S795" s="22"/>
      <c r="T795" s="11" t="str">
        <f aca="false">"16.12.25"</f>
        <v>16.12.25</v>
      </c>
    </row>
    <row r="796" customFormat="false" ht="7.5" hidden="false" customHeight="true" outlineLevel="2" collapsed="false">
      <c r="A796" s="60" t="str">
        <f aca="false">HYPERLINK("https://disk.360.yandex.ru/d/VrWz4uUX6q-myw","фото")</f>
        <v>фото</v>
      </c>
      <c r="B796" s="49" t="s">
        <v>2736</v>
      </c>
      <c r="C796" s="50" t="s">
        <v>2737</v>
      </c>
      <c r="D796" s="51" t="s">
        <v>2738</v>
      </c>
      <c r="E796" s="52" t="n">
        <f aca="false">I796*(1-J796)*(100-E1)/100</f>
        <v>4613.12</v>
      </c>
      <c r="F796" s="53"/>
      <c r="G796" s="54" t="n">
        <v>2</v>
      </c>
      <c r="H796" s="52" t="n">
        <f aca="false">E796*F796</f>
        <v>0</v>
      </c>
      <c r="I796" s="55" t="n">
        <v>8480</v>
      </c>
      <c r="J796" s="56" t="n">
        <v>0.15</v>
      </c>
      <c r="K796" s="57" t="n">
        <v>418</v>
      </c>
      <c r="L796" s="22" t="s">
        <v>53</v>
      </c>
      <c r="M796" s="22" t="s">
        <v>152</v>
      </c>
      <c r="N796" s="58" t="n">
        <f aca="false">F796*P796</f>
        <v>0</v>
      </c>
      <c r="O796" s="58" t="n">
        <f aca="false">F796*Q796</f>
        <v>0</v>
      </c>
      <c r="P796" s="58" t="n">
        <v>5</v>
      </c>
      <c r="Q796" s="58" t="n">
        <v>0.03</v>
      </c>
      <c r="R796" s="59" t="s">
        <v>2739</v>
      </c>
      <c r="S796" s="22"/>
      <c r="T796" s="11" t="str">
        <f aca="false">"16.12.25"</f>
        <v>16.12.25</v>
      </c>
    </row>
    <row r="797" customFormat="false" ht="7.5" hidden="false" customHeight="true" outlineLevel="1" collapsed="false">
      <c r="A797" s="38"/>
      <c r="B797" s="39"/>
      <c r="C797" s="40" t="s">
        <v>2740</v>
      </c>
      <c r="D797" s="41"/>
      <c r="E797" s="42"/>
      <c r="F797" s="43"/>
      <c r="G797" s="44"/>
      <c r="H797" s="42"/>
      <c r="I797" s="45"/>
      <c r="J797" s="46"/>
      <c r="K797" s="45"/>
      <c r="L797" s="44"/>
      <c r="M797" s="44"/>
      <c r="N797" s="47"/>
      <c r="O797" s="47"/>
      <c r="P797" s="47"/>
      <c r="Q797" s="47"/>
      <c r="R797" s="39"/>
      <c r="S797" s="44"/>
      <c r="T797" s="11" t="str">
        <f aca="false">"16.12.25"</f>
        <v>16.12.25</v>
      </c>
    </row>
    <row r="798" customFormat="false" ht="7.5" hidden="false" customHeight="true" outlineLevel="2" collapsed="false">
      <c r="A798" s="60" t="str">
        <f aca="false">HYPERLINK("https://disk.360.yandex.ru/d/yMqkl4IxOtClag","фото")</f>
        <v>фото</v>
      </c>
      <c r="B798" s="49" t="s">
        <v>2741</v>
      </c>
      <c r="C798" s="50" t="s">
        <v>2742</v>
      </c>
      <c r="D798" s="51" t="s">
        <v>2743</v>
      </c>
      <c r="E798" s="52" t="n">
        <f aca="false">I798*(1-J798)*(100-E1)/100</f>
        <v>3232</v>
      </c>
      <c r="F798" s="53"/>
      <c r="G798" s="54" t="n">
        <v>1</v>
      </c>
      <c r="H798" s="52" t="n">
        <f aca="false">E798*F798</f>
        <v>0</v>
      </c>
      <c r="I798" s="55" t="n">
        <v>5050</v>
      </c>
      <c r="J798" s="56"/>
      <c r="K798" s="57" t="n">
        <v>8</v>
      </c>
      <c r="L798" s="22" t="s">
        <v>44</v>
      </c>
      <c r="M798" s="22"/>
      <c r="N798" s="58" t="n">
        <f aca="false">F798*P798</f>
        <v>0</v>
      </c>
      <c r="O798" s="58" t="n">
        <f aca="false">F798*Q798</f>
        <v>0</v>
      </c>
      <c r="P798" s="58" t="n">
        <v>7.6</v>
      </c>
      <c r="Q798" s="58" t="n">
        <v>0.02</v>
      </c>
      <c r="R798" s="59" t="s">
        <v>2744</v>
      </c>
      <c r="S798" s="22"/>
      <c r="T798" s="11" t="str">
        <f aca="false">"16.12.25"</f>
        <v>16.12.25</v>
      </c>
    </row>
    <row r="799" customFormat="false" ht="7.5" hidden="false" customHeight="true" outlineLevel="2" collapsed="false">
      <c r="A799" s="60" t="str">
        <f aca="false">HYPERLINK("https://disk.360.yandex.ru/d/vzb3A1lQE2UnbQ","фото")</f>
        <v>фото</v>
      </c>
      <c r="B799" s="49" t="s">
        <v>2745</v>
      </c>
      <c r="C799" s="50" t="s">
        <v>2746</v>
      </c>
      <c r="D799" s="51" t="s">
        <v>2747</v>
      </c>
      <c r="E799" s="52" t="n">
        <f aca="false">I799*(1-J799)*(100-E1)/100</f>
        <v>8108.8</v>
      </c>
      <c r="F799" s="53"/>
      <c r="G799" s="54" t="n">
        <v>1</v>
      </c>
      <c r="H799" s="52" t="n">
        <f aca="false">E799*F799</f>
        <v>0</v>
      </c>
      <c r="I799" s="55" t="n">
        <v>12670</v>
      </c>
      <c r="J799" s="56"/>
      <c r="K799" s="57" t="n">
        <v>0</v>
      </c>
      <c r="L799" s="22" t="s">
        <v>44</v>
      </c>
      <c r="M799" s="22"/>
      <c r="N799" s="58" t="n">
        <f aca="false">F799*P799</f>
        <v>0</v>
      </c>
      <c r="O799" s="58" t="n">
        <f aca="false">F799*Q799</f>
        <v>0</v>
      </c>
      <c r="P799" s="58" t="n">
        <v>11.9</v>
      </c>
      <c r="Q799" s="58" t="n">
        <v>0.07</v>
      </c>
      <c r="R799" s="59" t="s">
        <v>2748</v>
      </c>
      <c r="S799" s="22"/>
      <c r="T799" s="11" t="str">
        <f aca="false">"16.12.25"</f>
        <v>16.12.25</v>
      </c>
    </row>
    <row r="800" customFormat="false" ht="7.5" hidden="false" customHeight="true" outlineLevel="2" collapsed="false">
      <c r="A800" s="60" t="str">
        <f aca="false">HYPERLINK("https://disk.360.yandex.ru/d/ZP_333VocDGRFg","фото")</f>
        <v>фото</v>
      </c>
      <c r="B800" s="49" t="s">
        <v>2749</v>
      </c>
      <c r="C800" s="50" t="s">
        <v>2750</v>
      </c>
      <c r="D800" s="51" t="s">
        <v>2751</v>
      </c>
      <c r="E800" s="52" t="n">
        <f aca="false">I800*(1-J800)*(100-E1)/100</f>
        <v>6419.2</v>
      </c>
      <c r="F800" s="53"/>
      <c r="G800" s="54" t="n">
        <v>1</v>
      </c>
      <c r="H800" s="52" t="n">
        <f aca="false">E800*F800</f>
        <v>0</v>
      </c>
      <c r="I800" s="55" t="n">
        <v>11800</v>
      </c>
      <c r="J800" s="56" t="n">
        <v>0.15</v>
      </c>
      <c r="K800" s="57" t="n">
        <v>236</v>
      </c>
      <c r="L800" s="22" t="s">
        <v>44</v>
      </c>
      <c r="M800" s="22"/>
      <c r="N800" s="58" t="n">
        <f aca="false">F800*P800</f>
        <v>0</v>
      </c>
      <c r="O800" s="58" t="n">
        <f aca="false">F800*Q800</f>
        <v>0</v>
      </c>
      <c r="P800" s="58" t="n">
        <v>10.9</v>
      </c>
      <c r="Q800" s="58" t="n">
        <v>0.07</v>
      </c>
      <c r="R800" s="59" t="s">
        <v>2752</v>
      </c>
      <c r="S800" s="22"/>
      <c r="T800" s="11" t="str">
        <f aca="false">"16.12.25"</f>
        <v>16.12.25</v>
      </c>
    </row>
    <row r="801" customFormat="false" ht="7.5" hidden="false" customHeight="true" outlineLevel="2" collapsed="false">
      <c r="A801" s="60" t="str">
        <f aca="false">HYPERLINK("https://disk.360.yandex.ru/d/34Xrscvycctang","фото")</f>
        <v>фото</v>
      </c>
      <c r="B801" s="49" t="s">
        <v>2753</v>
      </c>
      <c r="C801" s="50" t="s">
        <v>2754</v>
      </c>
      <c r="D801" s="51" t="s">
        <v>2755</v>
      </c>
      <c r="E801" s="52" t="n">
        <f aca="false">I801*(1-J801)*(100-E1)/100</f>
        <v>6615.04</v>
      </c>
      <c r="F801" s="53"/>
      <c r="G801" s="54" t="n">
        <v>1</v>
      </c>
      <c r="H801" s="52" t="n">
        <f aca="false">E801*F801</f>
        <v>0</v>
      </c>
      <c r="I801" s="55" t="n">
        <v>12160</v>
      </c>
      <c r="J801" s="56" t="n">
        <v>0.15</v>
      </c>
      <c r="K801" s="57" t="n">
        <v>0</v>
      </c>
      <c r="L801" s="22" t="s">
        <v>44</v>
      </c>
      <c r="M801" s="22"/>
      <c r="N801" s="58" t="n">
        <f aca="false">F801*P801</f>
        <v>0</v>
      </c>
      <c r="O801" s="58" t="n">
        <f aca="false">F801*Q801</f>
        <v>0</v>
      </c>
      <c r="P801" s="58" t="n">
        <v>11.3</v>
      </c>
      <c r="Q801" s="58" t="n">
        <v>0.066</v>
      </c>
      <c r="R801" s="59" t="s">
        <v>2756</v>
      </c>
      <c r="S801" s="22"/>
      <c r="T801" s="11" t="str">
        <f aca="false">"16.12.25"</f>
        <v>16.12.25</v>
      </c>
    </row>
    <row r="802" customFormat="false" ht="7.5" hidden="false" customHeight="true" outlineLevel="1" collapsed="false">
      <c r="A802" s="38"/>
      <c r="B802" s="39"/>
      <c r="C802" s="40" t="s">
        <v>2757</v>
      </c>
      <c r="D802" s="41"/>
      <c r="E802" s="42"/>
      <c r="F802" s="43"/>
      <c r="G802" s="44"/>
      <c r="H802" s="42"/>
      <c r="I802" s="45"/>
      <c r="J802" s="46"/>
      <c r="K802" s="45"/>
      <c r="L802" s="44"/>
      <c r="M802" s="44"/>
      <c r="N802" s="47"/>
      <c r="O802" s="47"/>
      <c r="P802" s="47"/>
      <c r="Q802" s="47"/>
      <c r="R802" s="39"/>
      <c r="S802" s="44"/>
      <c r="T802" s="11" t="str">
        <f aca="false">"16.12.25"</f>
        <v>16.12.25</v>
      </c>
    </row>
    <row r="803" customFormat="false" ht="7.5" hidden="false" customHeight="true" outlineLevel="2" collapsed="false">
      <c r="A803" s="60" t="str">
        <f aca="false">HYPERLINK("https://disk.360.yandex.ru/d/6742h3eEacw0fg","фото")</f>
        <v>фото</v>
      </c>
      <c r="B803" s="49" t="s">
        <v>2758</v>
      </c>
      <c r="C803" s="50" t="s">
        <v>2759</v>
      </c>
      <c r="D803" s="51" t="s">
        <v>2760</v>
      </c>
      <c r="E803" s="52" t="n">
        <f aca="false">I803*(1-J803)*(100-E1)/100</f>
        <v>1619.2</v>
      </c>
      <c r="F803" s="53"/>
      <c r="G803" s="54" t="n">
        <v>8</v>
      </c>
      <c r="H803" s="52" t="n">
        <f aca="false">E803*F803</f>
        <v>0</v>
      </c>
      <c r="I803" s="55" t="n">
        <v>2530</v>
      </c>
      <c r="J803" s="56"/>
      <c r="K803" s="57" t="n">
        <v>0</v>
      </c>
      <c r="L803" s="22" t="s">
        <v>44</v>
      </c>
      <c r="M803" s="22"/>
      <c r="N803" s="58" t="n">
        <f aca="false">F803*P803</f>
        <v>0</v>
      </c>
      <c r="O803" s="58" t="n">
        <f aca="false">F803*Q803</f>
        <v>0</v>
      </c>
      <c r="P803" s="58" t="n">
        <v>4.08</v>
      </c>
      <c r="Q803" s="58" t="n">
        <v>0.04</v>
      </c>
      <c r="R803" s="59" t="s">
        <v>2761</v>
      </c>
      <c r="S803" s="22"/>
      <c r="T803" s="11" t="str">
        <f aca="false">"16.12.25"</f>
        <v>16.12.25</v>
      </c>
    </row>
    <row r="804" customFormat="false" ht="7.5" hidden="false" customHeight="true" outlineLevel="2" collapsed="false">
      <c r="A804" s="60" t="str">
        <f aca="false">HYPERLINK("https://disk.360.yandex.ru/d/pxLm0TkSD0NFhg","фото")</f>
        <v>фото</v>
      </c>
      <c r="B804" s="49" t="s">
        <v>2762</v>
      </c>
      <c r="C804" s="50" t="s">
        <v>2763</v>
      </c>
      <c r="D804" s="51" t="s">
        <v>2764</v>
      </c>
      <c r="E804" s="52" t="n">
        <f aca="false">I804*(1-J804)*(100-E1)/100</f>
        <v>3008</v>
      </c>
      <c r="F804" s="53"/>
      <c r="G804" s="54" t="n">
        <v>4</v>
      </c>
      <c r="H804" s="52" t="n">
        <f aca="false">E804*F804</f>
        <v>0</v>
      </c>
      <c r="I804" s="55" t="n">
        <v>4700</v>
      </c>
      <c r="J804" s="56"/>
      <c r="K804" s="57" t="n">
        <v>0</v>
      </c>
      <c r="L804" s="22" t="s">
        <v>44</v>
      </c>
      <c r="M804" s="22"/>
      <c r="N804" s="58" t="n">
        <f aca="false">F804*P804</f>
        <v>0</v>
      </c>
      <c r="O804" s="58" t="n">
        <f aca="false">F804*Q804</f>
        <v>0</v>
      </c>
      <c r="P804" s="58" t="n">
        <v>8.35</v>
      </c>
      <c r="Q804" s="58" t="n">
        <v>0.06</v>
      </c>
      <c r="R804" s="59" t="s">
        <v>2765</v>
      </c>
      <c r="S804" s="22"/>
      <c r="T804" s="11" t="str">
        <f aca="false">"16.12.25"</f>
        <v>16.12.25</v>
      </c>
    </row>
    <row r="805" customFormat="false" ht="7.5" hidden="false" customHeight="true" outlineLevel="1" collapsed="false">
      <c r="A805" s="38"/>
      <c r="B805" s="39"/>
      <c r="C805" s="40" t="s">
        <v>2766</v>
      </c>
      <c r="D805" s="41"/>
      <c r="E805" s="42"/>
      <c r="F805" s="43"/>
      <c r="G805" s="44"/>
      <c r="H805" s="42"/>
      <c r="I805" s="45"/>
      <c r="J805" s="46"/>
      <c r="K805" s="45"/>
      <c r="L805" s="44"/>
      <c r="M805" s="44"/>
      <c r="N805" s="47"/>
      <c r="O805" s="47"/>
      <c r="P805" s="47"/>
      <c r="Q805" s="47"/>
      <c r="R805" s="39"/>
      <c r="S805" s="44"/>
      <c r="T805" s="11" t="str">
        <f aca="false">"16.12.25"</f>
        <v>16.12.25</v>
      </c>
    </row>
    <row r="806" customFormat="false" ht="7.5" hidden="false" customHeight="true" outlineLevel="2" collapsed="false">
      <c r="A806" s="60" t="str">
        <f aca="false">HYPERLINK("https://disk.360.yandex.ru/d/qKTBZ3TPrMHzTg","фото")</f>
        <v>фото</v>
      </c>
      <c r="B806" s="49" t="s">
        <v>2767</v>
      </c>
      <c r="C806" s="50" t="s">
        <v>2768</v>
      </c>
      <c r="D806" s="51" t="s">
        <v>2769</v>
      </c>
      <c r="E806" s="52" t="n">
        <f aca="false">I806*(1-J806)*(100-E1)/100</f>
        <v>17734.4</v>
      </c>
      <c r="F806" s="53"/>
      <c r="G806" s="54" t="n">
        <v>8</v>
      </c>
      <c r="H806" s="52" t="n">
        <f aca="false">E806*F806</f>
        <v>0</v>
      </c>
      <c r="I806" s="55" t="n">
        <v>27710</v>
      </c>
      <c r="J806" s="56"/>
      <c r="K806" s="57" t="n">
        <v>45</v>
      </c>
      <c r="L806" s="22" t="s">
        <v>53</v>
      </c>
      <c r="M806" s="22"/>
      <c r="N806" s="58" t="n">
        <f aca="false">F806*P806</f>
        <v>0</v>
      </c>
      <c r="O806" s="58" t="n">
        <f aca="false">F806*Q806</f>
        <v>0</v>
      </c>
      <c r="P806" s="58" t="n">
        <v>23.9</v>
      </c>
      <c r="Q806" s="58" t="n">
        <v>0.03</v>
      </c>
      <c r="R806" s="59" t="s">
        <v>2770</v>
      </c>
      <c r="S806" s="22"/>
      <c r="T806" s="11" t="str">
        <f aca="false">"16.12.25"</f>
        <v>16.12.25</v>
      </c>
    </row>
    <row r="807" customFormat="false" ht="7.5" hidden="false" customHeight="true" outlineLevel="2" collapsed="false">
      <c r="A807" s="60" t="str">
        <f aca="false">HYPERLINK("https://disk.360.yandex.ru/d/aW-hjh9OnDLrhA","фото")</f>
        <v>фото</v>
      </c>
      <c r="B807" s="49" t="s">
        <v>2771</v>
      </c>
      <c r="C807" s="50" t="s">
        <v>2772</v>
      </c>
      <c r="D807" s="51" t="s">
        <v>2773</v>
      </c>
      <c r="E807" s="52" t="n">
        <f aca="false">I807*(1-J807)*(100-E1)/100</f>
        <v>14476.8</v>
      </c>
      <c r="F807" s="53"/>
      <c r="G807" s="54" t="n">
        <v>8</v>
      </c>
      <c r="H807" s="52" t="n">
        <f aca="false">E807*F807</f>
        <v>0</v>
      </c>
      <c r="I807" s="55" t="n">
        <v>22620</v>
      </c>
      <c r="J807" s="56"/>
      <c r="K807" s="57" t="n">
        <v>44</v>
      </c>
      <c r="L807" s="22" t="s">
        <v>53</v>
      </c>
      <c r="M807" s="22"/>
      <c r="N807" s="58" t="n">
        <f aca="false">F807*P807</f>
        <v>0</v>
      </c>
      <c r="O807" s="58" t="n">
        <f aca="false">F807*Q807</f>
        <v>0</v>
      </c>
      <c r="P807" s="58" t="n">
        <v>18.64</v>
      </c>
      <c r="Q807" s="58" t="n">
        <v>0.03</v>
      </c>
      <c r="R807" s="59" t="s">
        <v>2774</v>
      </c>
      <c r="S807" s="22"/>
      <c r="T807" s="11" t="str">
        <f aca="false">"16.12.25"</f>
        <v>16.12.25</v>
      </c>
    </row>
    <row r="808" customFormat="false" ht="7.5" hidden="false" customHeight="true" outlineLevel="2" collapsed="false">
      <c r="A808" s="60" t="str">
        <f aca="false">HYPERLINK("https://disk.360.yandex.ru/d/A3ywN4L_Olgjnw","фото")</f>
        <v>фото</v>
      </c>
      <c r="B808" s="49" t="s">
        <v>2775</v>
      </c>
      <c r="C808" s="50" t="s">
        <v>2776</v>
      </c>
      <c r="D808" s="51" t="s">
        <v>2777</v>
      </c>
      <c r="E808" s="52" t="n">
        <f aca="false">I808*(1-J808)*(100-E1)/100</f>
        <v>4411.84</v>
      </c>
      <c r="F808" s="53"/>
      <c r="G808" s="54" t="n">
        <v>1</v>
      </c>
      <c r="H808" s="52" t="n">
        <f aca="false">E808*F808</f>
        <v>0</v>
      </c>
      <c r="I808" s="55" t="n">
        <v>8110</v>
      </c>
      <c r="J808" s="56" t="n">
        <v>0.15</v>
      </c>
      <c r="K808" s="57" t="n">
        <v>497</v>
      </c>
      <c r="L808" s="22" t="s">
        <v>53</v>
      </c>
      <c r="M808" s="22" t="s">
        <v>152</v>
      </c>
      <c r="N808" s="58" t="n">
        <f aca="false">F808*P808</f>
        <v>0</v>
      </c>
      <c r="O808" s="58" t="n">
        <f aca="false">F808*Q808</f>
        <v>0</v>
      </c>
      <c r="P808" s="58" t="n">
        <v>7</v>
      </c>
      <c r="Q808" s="58" t="n">
        <v>0.03</v>
      </c>
      <c r="R808" s="59" t="s">
        <v>2778</v>
      </c>
      <c r="S808" s="22"/>
      <c r="T808" s="11" t="str">
        <f aca="false">"16.12.25"</f>
        <v>16.12.25</v>
      </c>
    </row>
    <row r="809" customFormat="false" ht="7.5" hidden="false" customHeight="true" outlineLevel="1" collapsed="false">
      <c r="A809" s="38"/>
      <c r="B809" s="39"/>
      <c r="C809" s="40" t="s">
        <v>2779</v>
      </c>
      <c r="D809" s="41"/>
      <c r="E809" s="42"/>
      <c r="F809" s="43"/>
      <c r="G809" s="44"/>
      <c r="H809" s="42"/>
      <c r="I809" s="45"/>
      <c r="J809" s="46"/>
      <c r="K809" s="45"/>
      <c r="L809" s="44"/>
      <c r="M809" s="44"/>
      <c r="N809" s="47"/>
      <c r="O809" s="47"/>
      <c r="P809" s="47"/>
      <c r="Q809" s="47"/>
      <c r="R809" s="39"/>
      <c r="S809" s="44"/>
      <c r="T809" s="11" t="str">
        <f aca="false">"16.12.25"</f>
        <v>16.12.25</v>
      </c>
    </row>
    <row r="810" customFormat="false" ht="7.5" hidden="false" customHeight="true" outlineLevel="2" collapsed="false">
      <c r="A810" s="48"/>
      <c r="B810" s="49" t="s">
        <v>2780</v>
      </c>
      <c r="C810" s="50" t="s">
        <v>2781</v>
      </c>
      <c r="D810" s="51" t="s">
        <v>2782</v>
      </c>
      <c r="E810" s="52" t="n">
        <f aca="false">I810*(1-J810)*(100-E1)/100</f>
        <v>11078.4</v>
      </c>
      <c r="F810" s="53"/>
      <c r="G810" s="54" t="n">
        <v>1</v>
      </c>
      <c r="H810" s="52" t="n">
        <f aca="false">E810*F810</f>
        <v>0</v>
      </c>
      <c r="I810" s="55" t="n">
        <v>17310</v>
      </c>
      <c r="J810" s="56"/>
      <c r="K810" s="57" t="n">
        <v>0</v>
      </c>
      <c r="L810" s="22" t="s">
        <v>44</v>
      </c>
      <c r="M810" s="22"/>
      <c r="N810" s="58" t="n">
        <f aca="false">F810*P810</f>
        <v>0</v>
      </c>
      <c r="O810" s="58" t="n">
        <f aca="false">F810*Q810</f>
        <v>0</v>
      </c>
      <c r="P810" s="58" t="n">
        <v>25.8</v>
      </c>
      <c r="Q810" s="58" t="n">
        <v>0.105</v>
      </c>
      <c r="R810" s="59" t="s">
        <v>2783</v>
      </c>
      <c r="S810" s="22"/>
      <c r="T810" s="11" t="str">
        <f aca="false">"16.12.25"</f>
        <v>16.12.25</v>
      </c>
    </row>
    <row r="811" customFormat="false" ht="7.5" hidden="false" customHeight="true" outlineLevel="2" collapsed="false">
      <c r="A811" s="48"/>
      <c r="B811" s="49" t="s">
        <v>2784</v>
      </c>
      <c r="C811" s="50" t="s">
        <v>2785</v>
      </c>
      <c r="D811" s="51" t="s">
        <v>2786</v>
      </c>
      <c r="E811" s="52" t="n">
        <f aca="false">I811*(1-J811)*(100-E1)/100</f>
        <v>8896</v>
      </c>
      <c r="F811" s="53"/>
      <c r="G811" s="54" t="n">
        <v>1</v>
      </c>
      <c r="H811" s="52" t="n">
        <f aca="false">E811*F811</f>
        <v>0</v>
      </c>
      <c r="I811" s="55" t="n">
        <v>13900</v>
      </c>
      <c r="J811" s="56"/>
      <c r="K811" s="57" t="n">
        <v>0</v>
      </c>
      <c r="L811" s="22" t="s">
        <v>44</v>
      </c>
      <c r="M811" s="22"/>
      <c r="N811" s="58" t="n">
        <f aca="false">F811*P811</f>
        <v>0</v>
      </c>
      <c r="O811" s="58" t="n">
        <f aca="false">F811*Q811</f>
        <v>0</v>
      </c>
      <c r="P811" s="58" t="n">
        <v>20.1</v>
      </c>
      <c r="Q811" s="58" t="n">
        <v>0.081</v>
      </c>
      <c r="R811" s="59" t="s">
        <v>2787</v>
      </c>
      <c r="S811" s="22"/>
      <c r="T811" s="11" t="str">
        <f aca="false">"16.12.25"</f>
        <v>16.12.25</v>
      </c>
    </row>
    <row r="812" customFormat="false" ht="7.5" hidden="false" customHeight="true" outlineLevel="2" collapsed="false">
      <c r="A812" s="60" t="str">
        <f aca="false">HYPERLINK("https://disk.360.yandex.ru/d/_XOzp4SF3nCaJQ","фото")</f>
        <v>фото</v>
      </c>
      <c r="B812" s="49" t="s">
        <v>2788</v>
      </c>
      <c r="C812" s="50" t="s">
        <v>2789</v>
      </c>
      <c r="D812" s="51" t="s">
        <v>2790</v>
      </c>
      <c r="E812" s="52" t="n">
        <f aca="false">I812*(1-J812)*(100-E1)/100</f>
        <v>9766.4</v>
      </c>
      <c r="F812" s="53"/>
      <c r="G812" s="54" t="n">
        <v>1</v>
      </c>
      <c r="H812" s="52" t="n">
        <f aca="false">E812*F812</f>
        <v>0</v>
      </c>
      <c r="I812" s="55" t="n">
        <v>15260</v>
      </c>
      <c r="J812" s="56"/>
      <c r="K812" s="57" t="n">
        <v>26</v>
      </c>
      <c r="L812" s="22" t="s">
        <v>44</v>
      </c>
      <c r="M812" s="22"/>
      <c r="N812" s="58" t="n">
        <f aca="false">F812*P812</f>
        <v>0</v>
      </c>
      <c r="O812" s="58" t="n">
        <f aca="false">F812*Q812</f>
        <v>0</v>
      </c>
      <c r="P812" s="58" t="n">
        <v>21</v>
      </c>
      <c r="Q812" s="58" t="n">
        <v>0.081</v>
      </c>
      <c r="R812" s="59" t="s">
        <v>2791</v>
      </c>
      <c r="S812" s="22"/>
      <c r="T812" s="11" t="str">
        <f aca="false">"16.12.25"</f>
        <v>16.12.25</v>
      </c>
    </row>
    <row r="813" customFormat="false" ht="7.5" hidden="false" customHeight="true" outlineLevel="1" collapsed="false">
      <c r="A813" s="38"/>
      <c r="B813" s="39"/>
      <c r="C813" s="40" t="s">
        <v>2792</v>
      </c>
      <c r="D813" s="41"/>
      <c r="E813" s="42"/>
      <c r="F813" s="43"/>
      <c r="G813" s="44"/>
      <c r="H813" s="42"/>
      <c r="I813" s="45"/>
      <c r="J813" s="46"/>
      <c r="K813" s="45"/>
      <c r="L813" s="44"/>
      <c r="M813" s="44"/>
      <c r="N813" s="47"/>
      <c r="O813" s="47"/>
      <c r="P813" s="47"/>
      <c r="Q813" s="47"/>
      <c r="R813" s="39"/>
      <c r="S813" s="44"/>
      <c r="T813" s="11" t="str">
        <f aca="false">"16.12.25"</f>
        <v>16.12.25</v>
      </c>
    </row>
    <row r="814" customFormat="false" ht="7.5" hidden="false" customHeight="true" outlineLevel="2" collapsed="false">
      <c r="A814" s="60" t="str">
        <f aca="false">HYPERLINK("https://disk.360.yandex.ru/d/3uFOjZM1zmDUSQ","фото")</f>
        <v>фото</v>
      </c>
      <c r="B814" s="49" t="s">
        <v>2793</v>
      </c>
      <c r="C814" s="50" t="s">
        <v>2794</v>
      </c>
      <c r="D814" s="51" t="s">
        <v>2795</v>
      </c>
      <c r="E814" s="52" t="n">
        <f aca="false">I814*(1-J814)*(100-E1)/100</f>
        <v>1766.4</v>
      </c>
      <c r="F814" s="53"/>
      <c r="G814" s="54" t="n">
        <v>36</v>
      </c>
      <c r="H814" s="52" t="n">
        <f aca="false">E814*F814</f>
        <v>0</v>
      </c>
      <c r="I814" s="55" t="n">
        <v>2760</v>
      </c>
      <c r="J814" s="56"/>
      <c r="K814" s="57" t="n">
        <v>149</v>
      </c>
      <c r="L814" s="22" t="s">
        <v>44</v>
      </c>
      <c r="M814" s="22"/>
      <c r="N814" s="58" t="n">
        <f aca="false">F814*P814</f>
        <v>0</v>
      </c>
      <c r="O814" s="58" t="n">
        <f aca="false">F814*Q814</f>
        <v>0</v>
      </c>
      <c r="P814" s="58" t="n">
        <v>0.47</v>
      </c>
      <c r="Q814" s="58" t="n">
        <v>0.001</v>
      </c>
      <c r="R814" s="59" t="s">
        <v>2796</v>
      </c>
      <c r="S814" s="22"/>
      <c r="T814" s="11" t="str">
        <f aca="false">"16.12.25"</f>
        <v>16.12.25</v>
      </c>
    </row>
    <row r="815" customFormat="false" ht="7.5" hidden="false" customHeight="true" outlineLevel="2" collapsed="false">
      <c r="A815" s="60" t="str">
        <f aca="false">HYPERLINK("https://disk.360.yandex.ru/d/UdqqANUrsm_8DA","фото")</f>
        <v>фото</v>
      </c>
      <c r="B815" s="49" t="s">
        <v>2797</v>
      </c>
      <c r="C815" s="50" t="s">
        <v>2798</v>
      </c>
      <c r="D815" s="51" t="s">
        <v>2799</v>
      </c>
      <c r="E815" s="52" t="n">
        <f aca="false">I815*(1-J815)*(100-E1)/100</f>
        <v>1344</v>
      </c>
      <c r="F815" s="53"/>
      <c r="G815" s="54" t="n">
        <v>8</v>
      </c>
      <c r="H815" s="52" t="n">
        <f aca="false">E815*F815</f>
        <v>0</v>
      </c>
      <c r="I815" s="55" t="n">
        <v>2100</v>
      </c>
      <c r="J815" s="56"/>
      <c r="K815" s="57" t="n">
        <v>0</v>
      </c>
      <c r="L815" s="22" t="s">
        <v>44</v>
      </c>
      <c r="M815" s="22"/>
      <c r="N815" s="58" t="n">
        <f aca="false">F815*P815</f>
        <v>0</v>
      </c>
      <c r="O815" s="58" t="n">
        <f aca="false">F815*Q815</f>
        <v>0</v>
      </c>
      <c r="P815" s="58" t="n">
        <v>0.78</v>
      </c>
      <c r="Q815" s="58" t="n">
        <v>0.003</v>
      </c>
      <c r="R815" s="59" t="s">
        <v>2800</v>
      </c>
      <c r="S815" s="22"/>
      <c r="T815" s="11" t="str">
        <f aca="false">"16.12.25"</f>
        <v>16.12.25</v>
      </c>
    </row>
    <row r="816" customFormat="false" ht="7.5" hidden="false" customHeight="true" outlineLevel="2" collapsed="false">
      <c r="A816" s="60" t="str">
        <f aca="false">HYPERLINK("https://disk.360.yandex.ru/d/KFzhluKRTIY_5g","фото")</f>
        <v>фото</v>
      </c>
      <c r="B816" s="49" t="s">
        <v>2801</v>
      </c>
      <c r="C816" s="50" t="s">
        <v>2802</v>
      </c>
      <c r="D816" s="51" t="s">
        <v>2803</v>
      </c>
      <c r="E816" s="52" t="n">
        <f aca="false">I816*(1-J816)*(100-E1)/100</f>
        <v>2393.6</v>
      </c>
      <c r="F816" s="53"/>
      <c r="G816" s="54" t="n">
        <v>12</v>
      </c>
      <c r="H816" s="52" t="n">
        <f aca="false">E816*F816</f>
        <v>0</v>
      </c>
      <c r="I816" s="55" t="n">
        <v>4400</v>
      </c>
      <c r="J816" s="56" t="n">
        <v>0.15</v>
      </c>
      <c r="K816" s="57" t="n">
        <v>723</v>
      </c>
      <c r="L816" s="22" t="s">
        <v>44</v>
      </c>
      <c r="M816" s="22"/>
      <c r="N816" s="58" t="n">
        <f aca="false">F816*P816</f>
        <v>0</v>
      </c>
      <c r="O816" s="58" t="n">
        <f aca="false">F816*Q816</f>
        <v>0</v>
      </c>
      <c r="P816" s="58" t="n">
        <v>1.125</v>
      </c>
      <c r="Q816" s="58" t="n">
        <v>0.01</v>
      </c>
      <c r="R816" s="59" t="s">
        <v>2804</v>
      </c>
      <c r="S816" s="22"/>
      <c r="T816" s="11" t="str">
        <f aca="false">"16.12.25"</f>
        <v>16.12.25</v>
      </c>
    </row>
    <row r="817" customFormat="false" ht="7.5" hidden="false" customHeight="true" outlineLevel="2" collapsed="false">
      <c r="A817" s="60" t="str">
        <f aca="false">HYPERLINK("https://disk.360.yandex.ru/d/kXR-lmwEcjrF8w","фото")</f>
        <v>фото</v>
      </c>
      <c r="B817" s="49" t="s">
        <v>2805</v>
      </c>
      <c r="C817" s="50" t="s">
        <v>2806</v>
      </c>
      <c r="D817" s="51" t="s">
        <v>2799</v>
      </c>
      <c r="E817" s="52" t="n">
        <f aca="false">I817*(1-J817)*(100-E1)/100</f>
        <v>1497.6</v>
      </c>
      <c r="F817" s="53"/>
      <c r="G817" s="54" t="n">
        <v>8</v>
      </c>
      <c r="H817" s="52" t="n">
        <f aca="false">E817*F817</f>
        <v>0</v>
      </c>
      <c r="I817" s="55" t="n">
        <v>2340</v>
      </c>
      <c r="J817" s="56"/>
      <c r="K817" s="57" t="n">
        <v>0</v>
      </c>
      <c r="L817" s="22" t="s">
        <v>44</v>
      </c>
      <c r="M817" s="22"/>
      <c r="N817" s="58" t="n">
        <f aca="false">F817*P817</f>
        <v>0</v>
      </c>
      <c r="O817" s="58" t="n">
        <f aca="false">F817*Q817</f>
        <v>0</v>
      </c>
      <c r="P817" s="58" t="n">
        <v>1.183</v>
      </c>
      <c r="Q817" s="58" t="n">
        <v>0.01</v>
      </c>
      <c r="R817" s="59" t="s">
        <v>2807</v>
      </c>
      <c r="S817" s="22"/>
      <c r="T817" s="11" t="str">
        <f aca="false">"16.12.25"</f>
        <v>16.12.25</v>
      </c>
    </row>
    <row r="818" customFormat="false" ht="7.5" hidden="false" customHeight="true" outlineLevel="1" collapsed="false">
      <c r="A818" s="38"/>
      <c r="B818" s="39"/>
      <c r="C818" s="40" t="s">
        <v>2808</v>
      </c>
      <c r="D818" s="41"/>
      <c r="E818" s="42"/>
      <c r="F818" s="43"/>
      <c r="G818" s="44"/>
      <c r="H818" s="42"/>
      <c r="I818" s="45"/>
      <c r="J818" s="46"/>
      <c r="K818" s="45"/>
      <c r="L818" s="44"/>
      <c r="M818" s="44"/>
      <c r="N818" s="47"/>
      <c r="O818" s="47"/>
      <c r="P818" s="47"/>
      <c r="Q818" s="47"/>
      <c r="R818" s="39"/>
      <c r="S818" s="44"/>
      <c r="T818" s="11" t="str">
        <f aca="false">"16.12.25"</f>
        <v>16.12.25</v>
      </c>
    </row>
    <row r="819" customFormat="false" ht="7.5" hidden="false" customHeight="true" outlineLevel="2" collapsed="false">
      <c r="A819" s="60" t="str">
        <f aca="false">HYPERLINK("https://disk.360.yandex.ru/d/XHbqrOsBh52GLQ","фото")</f>
        <v>фото</v>
      </c>
      <c r="B819" s="49" t="s">
        <v>2809</v>
      </c>
      <c r="C819" s="50" t="s">
        <v>2810</v>
      </c>
      <c r="D819" s="51" t="s">
        <v>2811</v>
      </c>
      <c r="E819" s="52" t="n">
        <f aca="false">I819*(1-J819)*(100-E1)/100</f>
        <v>3404.8</v>
      </c>
      <c r="F819" s="53"/>
      <c r="G819" s="54" t="n">
        <v>1</v>
      </c>
      <c r="H819" s="52" t="n">
        <f aca="false">E819*F819</f>
        <v>0</v>
      </c>
      <c r="I819" s="55" t="n">
        <v>5320</v>
      </c>
      <c r="J819" s="56"/>
      <c r="K819" s="57" t="n">
        <v>0</v>
      </c>
      <c r="L819" s="22" t="s">
        <v>44</v>
      </c>
      <c r="M819" s="22"/>
      <c r="N819" s="58" t="n">
        <f aca="false">F819*P819</f>
        <v>0</v>
      </c>
      <c r="O819" s="58" t="n">
        <f aca="false">F819*Q819</f>
        <v>0</v>
      </c>
      <c r="P819" s="58" t="n">
        <v>7.11</v>
      </c>
      <c r="Q819" s="58" t="n">
        <v>0.006</v>
      </c>
      <c r="R819" s="59" t="s">
        <v>2812</v>
      </c>
      <c r="S819" s="22"/>
      <c r="T819" s="11" t="str">
        <f aca="false">"16.12.25"</f>
        <v>16.12.25</v>
      </c>
    </row>
    <row r="820" customFormat="false" ht="7.5" hidden="false" customHeight="true" outlineLevel="2" collapsed="false">
      <c r="A820" s="60" t="str">
        <f aca="false">HYPERLINK("https://disk.360.yandex.ru/d/2R1DzOCgfrSVUA","фото")</f>
        <v>фото</v>
      </c>
      <c r="B820" s="49" t="s">
        <v>2813</v>
      </c>
      <c r="C820" s="50" t="s">
        <v>2814</v>
      </c>
      <c r="D820" s="51" t="s">
        <v>2815</v>
      </c>
      <c r="E820" s="52" t="n">
        <f aca="false">I820*(1-J820)*(100-E1)/100</f>
        <v>3827.2</v>
      </c>
      <c r="F820" s="53"/>
      <c r="G820" s="54" t="n">
        <v>1</v>
      </c>
      <c r="H820" s="52" t="n">
        <f aca="false">E820*F820</f>
        <v>0</v>
      </c>
      <c r="I820" s="55" t="n">
        <v>5980</v>
      </c>
      <c r="J820" s="56"/>
      <c r="K820" s="57" t="n">
        <v>0</v>
      </c>
      <c r="L820" s="22" t="s">
        <v>44</v>
      </c>
      <c r="M820" s="22"/>
      <c r="N820" s="58" t="n">
        <f aca="false">F820*P820</f>
        <v>0</v>
      </c>
      <c r="O820" s="58" t="n">
        <f aca="false">F820*Q820</f>
        <v>0</v>
      </c>
      <c r="P820" s="58" t="n">
        <v>8.3</v>
      </c>
      <c r="Q820" s="58" t="n">
        <v>0.008</v>
      </c>
      <c r="R820" s="59" t="s">
        <v>2816</v>
      </c>
      <c r="S820" s="22"/>
      <c r="T820" s="11" t="str">
        <f aca="false">"16.12.25"</f>
        <v>16.12.25</v>
      </c>
    </row>
    <row r="821" customFormat="false" ht="7.5" hidden="false" customHeight="true" outlineLevel="1" collapsed="false">
      <c r="A821" s="38"/>
      <c r="B821" s="39"/>
      <c r="C821" s="40" t="s">
        <v>2817</v>
      </c>
      <c r="D821" s="41"/>
      <c r="E821" s="42"/>
      <c r="F821" s="43"/>
      <c r="G821" s="44"/>
      <c r="H821" s="42"/>
      <c r="I821" s="45"/>
      <c r="J821" s="46"/>
      <c r="K821" s="45"/>
      <c r="L821" s="44"/>
      <c r="M821" s="44"/>
      <c r="N821" s="47"/>
      <c r="O821" s="47"/>
      <c r="P821" s="47"/>
      <c r="Q821" s="47"/>
      <c r="R821" s="39"/>
      <c r="S821" s="44"/>
      <c r="T821" s="11" t="str">
        <f aca="false">"16.12.25"</f>
        <v>16.12.25</v>
      </c>
    </row>
    <row r="822" customFormat="false" ht="7.5" hidden="false" customHeight="true" outlineLevel="2" collapsed="false">
      <c r="A822" s="60" t="str">
        <f aca="false">HYPERLINK("https://disk.360.yandex.ru/d/M8IM8yJ1wWBUYg","фото")</f>
        <v>фото</v>
      </c>
      <c r="B822" s="49" t="s">
        <v>2818</v>
      </c>
      <c r="C822" s="50" t="s">
        <v>2819</v>
      </c>
      <c r="D822" s="51" t="s">
        <v>2820</v>
      </c>
      <c r="E822" s="52" t="n">
        <f aca="false">I822*(1-J822)*(100-E1)/100</f>
        <v>4373.76</v>
      </c>
      <c r="F822" s="53"/>
      <c r="G822" s="54" t="n">
        <v>1</v>
      </c>
      <c r="H822" s="52" t="n">
        <f aca="false">E822*F822</f>
        <v>0</v>
      </c>
      <c r="I822" s="55" t="n">
        <v>8040</v>
      </c>
      <c r="J822" s="56" t="n">
        <v>0.15</v>
      </c>
      <c r="K822" s="57" t="n">
        <v>0</v>
      </c>
      <c r="L822" s="22" t="s">
        <v>44</v>
      </c>
      <c r="M822" s="22"/>
      <c r="N822" s="58" t="n">
        <f aca="false">F822*P822</f>
        <v>0</v>
      </c>
      <c r="O822" s="58" t="n">
        <f aca="false">F822*Q822</f>
        <v>0</v>
      </c>
      <c r="P822" s="58" t="n">
        <v>9.65</v>
      </c>
      <c r="Q822" s="58" t="n">
        <v>0.015</v>
      </c>
      <c r="R822" s="59" t="s">
        <v>2821</v>
      </c>
      <c r="S822" s="22"/>
      <c r="T822" s="11" t="str">
        <f aca="false">"16.12.25"</f>
        <v>16.12.25</v>
      </c>
    </row>
    <row r="823" customFormat="false" ht="7.5" hidden="false" customHeight="true" outlineLevel="2" collapsed="false">
      <c r="A823" s="60" t="str">
        <f aca="false">HYPERLINK("https://disk.360.yandex.ru/d/62NJgdnsNTx1gg","фото")</f>
        <v>фото</v>
      </c>
      <c r="B823" s="49" t="s">
        <v>2822</v>
      </c>
      <c r="C823" s="50" t="s">
        <v>2823</v>
      </c>
      <c r="D823" s="51" t="s">
        <v>2824</v>
      </c>
      <c r="E823" s="52" t="n">
        <f aca="false">I823*(1-J823)*(100-E1)/100</f>
        <v>6476.8</v>
      </c>
      <c r="F823" s="53"/>
      <c r="G823" s="54" t="n">
        <v>1</v>
      </c>
      <c r="H823" s="52" t="n">
        <f aca="false">E823*F823</f>
        <v>0</v>
      </c>
      <c r="I823" s="55" t="n">
        <v>10120</v>
      </c>
      <c r="J823" s="56"/>
      <c r="K823" s="57" t="n">
        <v>408</v>
      </c>
      <c r="L823" s="22" t="s">
        <v>44</v>
      </c>
      <c r="M823" s="22"/>
      <c r="N823" s="58" t="n">
        <f aca="false">F823*P823</f>
        <v>0</v>
      </c>
      <c r="O823" s="58" t="n">
        <f aca="false">F823*Q823</f>
        <v>0</v>
      </c>
      <c r="P823" s="58" t="n">
        <v>13</v>
      </c>
      <c r="Q823" s="58" t="n">
        <v>0.02</v>
      </c>
      <c r="R823" s="59" t="s">
        <v>2825</v>
      </c>
      <c r="S823" s="22"/>
      <c r="T823" s="11" t="str">
        <f aca="false">"16.12.25"</f>
        <v>16.12.25</v>
      </c>
    </row>
    <row r="824" customFormat="false" ht="7.5" hidden="false" customHeight="true" outlineLevel="2" collapsed="false">
      <c r="A824" s="60" t="str">
        <f aca="false">HYPERLINK("https://disk.360.yandex.ru/d/u8UFLgeHrfj4fg","фото")</f>
        <v>фото</v>
      </c>
      <c r="B824" s="49" t="s">
        <v>2826</v>
      </c>
      <c r="C824" s="50" t="s">
        <v>2827</v>
      </c>
      <c r="D824" s="51" t="s">
        <v>2828</v>
      </c>
      <c r="E824" s="52" t="n">
        <f aca="false">I824*(1-J824)*(100-E1)/100</f>
        <v>7023.04</v>
      </c>
      <c r="F824" s="53"/>
      <c r="G824" s="54" t="n">
        <v>1</v>
      </c>
      <c r="H824" s="52" t="n">
        <f aca="false">E824*F824</f>
        <v>0</v>
      </c>
      <c r="I824" s="55" t="n">
        <v>12910</v>
      </c>
      <c r="J824" s="56" t="n">
        <v>0.15</v>
      </c>
      <c r="K824" s="57" t="n">
        <v>1244</v>
      </c>
      <c r="L824" s="22" t="s">
        <v>44</v>
      </c>
      <c r="M824" s="22"/>
      <c r="N824" s="58" t="n">
        <f aca="false">F824*P824</f>
        <v>0</v>
      </c>
      <c r="O824" s="58" t="n">
        <f aca="false">F824*Q824</f>
        <v>0</v>
      </c>
      <c r="P824" s="58" t="n">
        <v>12</v>
      </c>
      <c r="Q824" s="58" t="n">
        <v>0.07</v>
      </c>
      <c r="R824" s="59" t="s">
        <v>2829</v>
      </c>
      <c r="S824" s="22"/>
      <c r="T824" s="11" t="str">
        <f aca="false">"16.12.25"</f>
        <v>16.12.25</v>
      </c>
    </row>
    <row r="825" customFormat="false" ht="7.5" hidden="false" customHeight="true" outlineLevel="2" collapsed="false">
      <c r="A825" s="60" t="str">
        <f aca="false">HYPERLINK("https://disk.360.yandex.ru/d/_pxL06tmHvPnRA","фото")</f>
        <v>фото</v>
      </c>
      <c r="B825" s="49" t="s">
        <v>2830</v>
      </c>
      <c r="C825" s="50" t="s">
        <v>2831</v>
      </c>
      <c r="D825" s="51" t="s">
        <v>2832</v>
      </c>
      <c r="E825" s="52" t="n">
        <f aca="false">I825*(1-J825)*(100-E1)/100</f>
        <v>9414.4</v>
      </c>
      <c r="F825" s="53"/>
      <c r="G825" s="54" t="n">
        <v>1</v>
      </c>
      <c r="H825" s="52" t="n">
        <f aca="false">E825*F825</f>
        <v>0</v>
      </c>
      <c r="I825" s="55" t="n">
        <v>14710</v>
      </c>
      <c r="J825" s="56"/>
      <c r="K825" s="57" t="n">
        <v>494</v>
      </c>
      <c r="L825" s="22" t="s">
        <v>53</v>
      </c>
      <c r="M825" s="22"/>
      <c r="N825" s="58" t="n">
        <f aca="false">F825*P825</f>
        <v>0</v>
      </c>
      <c r="O825" s="58" t="n">
        <f aca="false">F825*Q825</f>
        <v>0</v>
      </c>
      <c r="P825" s="58" t="n">
        <v>11.5</v>
      </c>
      <c r="Q825" s="58" t="n">
        <v>0.012</v>
      </c>
      <c r="R825" s="59" t="s">
        <v>2833</v>
      </c>
      <c r="S825" s="22"/>
      <c r="T825" s="11" t="str">
        <f aca="false">"16.12.25"</f>
        <v>16.12.25</v>
      </c>
    </row>
    <row r="826" customFormat="false" ht="7.5" hidden="false" customHeight="true" outlineLevel="1" collapsed="false">
      <c r="A826" s="38"/>
      <c r="B826" s="39"/>
      <c r="C826" s="40" t="s">
        <v>2834</v>
      </c>
      <c r="D826" s="41"/>
      <c r="E826" s="42"/>
      <c r="F826" s="43"/>
      <c r="G826" s="44"/>
      <c r="H826" s="42"/>
      <c r="I826" s="45"/>
      <c r="J826" s="46"/>
      <c r="K826" s="45"/>
      <c r="L826" s="44"/>
      <c r="M826" s="44"/>
      <c r="N826" s="47"/>
      <c r="O826" s="47"/>
      <c r="P826" s="47"/>
      <c r="Q826" s="47"/>
      <c r="R826" s="39"/>
      <c r="S826" s="44"/>
      <c r="T826" s="11" t="str">
        <f aca="false">"16.12.25"</f>
        <v>16.12.25</v>
      </c>
    </row>
    <row r="827" customFormat="false" ht="7.5" hidden="false" customHeight="true" outlineLevel="2" collapsed="false">
      <c r="A827" s="60" t="str">
        <f aca="false">HYPERLINK("https://disk.360.yandex.ru/d/HuaKgLI_0eq0fA","фото")</f>
        <v>фото</v>
      </c>
      <c r="B827" s="49" t="s">
        <v>2835</v>
      </c>
      <c r="C827" s="50" t="s">
        <v>2836</v>
      </c>
      <c r="D827" s="51" t="s">
        <v>2837</v>
      </c>
      <c r="E827" s="52" t="n">
        <f aca="false">I827*(1-J827)*(100-E1)/100</f>
        <v>1804.032</v>
      </c>
      <c r="F827" s="53"/>
      <c r="G827" s="54" t="n">
        <v>8</v>
      </c>
      <c r="H827" s="52" t="n">
        <f aca="false">E827*F827</f>
        <v>0</v>
      </c>
      <c r="I827" s="55" t="n">
        <v>3240</v>
      </c>
      <c r="J827" s="56" t="n">
        <v>0.13</v>
      </c>
      <c r="K827" s="57" t="n">
        <v>9</v>
      </c>
      <c r="L827" s="22" t="s">
        <v>44</v>
      </c>
      <c r="M827" s="22"/>
      <c r="N827" s="58" t="n">
        <f aca="false">F827*P827</f>
        <v>0</v>
      </c>
      <c r="O827" s="58" t="n">
        <f aca="false">F827*Q827</f>
        <v>0</v>
      </c>
      <c r="P827" s="58" t="n">
        <v>2.5</v>
      </c>
      <c r="Q827" s="58" t="n">
        <v>0.03</v>
      </c>
      <c r="R827" s="59" t="s">
        <v>2838</v>
      </c>
      <c r="S827" s="22"/>
      <c r="T827" s="11" t="str">
        <f aca="false">"16.12.25"</f>
        <v>16.12.25</v>
      </c>
    </row>
    <row r="828" customFormat="false" ht="7.5" hidden="false" customHeight="true" outlineLevel="2" collapsed="false">
      <c r="A828" s="60" t="str">
        <f aca="false">HYPERLINK("https://disk.360.yandex.ru/d/zGin61DMlgsczQ","фото")</f>
        <v>фото</v>
      </c>
      <c r="B828" s="49" t="s">
        <v>2839</v>
      </c>
      <c r="C828" s="50" t="s">
        <v>2840</v>
      </c>
      <c r="D828" s="51" t="s">
        <v>2841</v>
      </c>
      <c r="E828" s="52" t="n">
        <f aca="false">I828*(1-J828)*(100-E1)/100</f>
        <v>1280.64</v>
      </c>
      <c r="F828" s="53"/>
      <c r="G828" s="54" t="n">
        <v>8</v>
      </c>
      <c r="H828" s="52" t="n">
        <f aca="false">E828*F828</f>
        <v>0</v>
      </c>
      <c r="I828" s="55" t="n">
        <v>2300</v>
      </c>
      <c r="J828" s="56" t="n">
        <v>0.13</v>
      </c>
      <c r="K828" s="57" t="n">
        <v>0</v>
      </c>
      <c r="L828" s="22" t="s">
        <v>44</v>
      </c>
      <c r="M828" s="22"/>
      <c r="N828" s="58" t="n">
        <f aca="false">F828*P828</f>
        <v>0</v>
      </c>
      <c r="O828" s="58" t="n">
        <f aca="false">F828*Q828</f>
        <v>0</v>
      </c>
      <c r="P828" s="58" t="n">
        <v>2.38</v>
      </c>
      <c r="Q828" s="58" t="n">
        <v>0.004</v>
      </c>
      <c r="R828" s="59" t="s">
        <v>2842</v>
      </c>
      <c r="S828" s="22"/>
      <c r="T828" s="11" t="str">
        <f aca="false">"16.12.25"</f>
        <v>16.12.25</v>
      </c>
    </row>
    <row r="829" customFormat="false" ht="7.5" hidden="false" customHeight="true" outlineLevel="2" collapsed="false">
      <c r="A829" s="60" t="str">
        <f aca="false">HYPERLINK("https://disk.360.yandex.ru/d/V5X-Wp9ghOeXxw","фото")</f>
        <v>фото</v>
      </c>
      <c r="B829" s="49" t="s">
        <v>2843</v>
      </c>
      <c r="C829" s="50" t="s">
        <v>2844</v>
      </c>
      <c r="D829" s="51" t="s">
        <v>2845</v>
      </c>
      <c r="E829" s="52" t="n">
        <f aca="false">I829*(1-J829)*(100-E1)/100</f>
        <v>1364.16</v>
      </c>
      <c r="F829" s="53"/>
      <c r="G829" s="54" t="n">
        <v>8</v>
      </c>
      <c r="H829" s="52" t="n">
        <f aca="false">E829*F829</f>
        <v>0</v>
      </c>
      <c r="I829" s="55" t="n">
        <v>2450</v>
      </c>
      <c r="J829" s="56" t="n">
        <v>0.13</v>
      </c>
      <c r="K829" s="57" t="n">
        <v>0</v>
      </c>
      <c r="L829" s="22" t="s">
        <v>44</v>
      </c>
      <c r="M829" s="22"/>
      <c r="N829" s="58" t="n">
        <f aca="false">F829*P829</f>
        <v>0</v>
      </c>
      <c r="O829" s="58" t="n">
        <f aca="false">F829*Q829</f>
        <v>0</v>
      </c>
      <c r="P829" s="58" t="n">
        <v>2.58</v>
      </c>
      <c r="Q829" s="58" t="n">
        <v>0.004</v>
      </c>
      <c r="R829" s="59" t="s">
        <v>2846</v>
      </c>
      <c r="S829" s="22"/>
      <c r="T829" s="11" t="str">
        <f aca="false">"16.12.25"</f>
        <v>16.12.25</v>
      </c>
    </row>
    <row r="830" customFormat="false" ht="7.5" hidden="false" customHeight="true" outlineLevel="2" collapsed="false">
      <c r="A830" s="60" t="str">
        <f aca="false">HYPERLINK("https://disk.360.yandex.ru/d/lH4Rxh8lK87AMQ","фото")</f>
        <v>фото</v>
      </c>
      <c r="B830" s="49" t="s">
        <v>2847</v>
      </c>
      <c r="C830" s="50" t="s">
        <v>2848</v>
      </c>
      <c r="D830" s="51" t="s">
        <v>2849</v>
      </c>
      <c r="E830" s="52" t="n">
        <f aca="false">I830*(1-J830)*(100-E1)/100</f>
        <v>1386.432</v>
      </c>
      <c r="F830" s="53"/>
      <c r="G830" s="54" t="n">
        <v>8</v>
      </c>
      <c r="H830" s="52" t="n">
        <f aca="false">E830*F830</f>
        <v>0</v>
      </c>
      <c r="I830" s="55" t="n">
        <v>2490</v>
      </c>
      <c r="J830" s="56" t="n">
        <v>0.13</v>
      </c>
      <c r="K830" s="57" t="n">
        <v>0</v>
      </c>
      <c r="L830" s="22" t="s">
        <v>44</v>
      </c>
      <c r="M830" s="22"/>
      <c r="N830" s="58" t="n">
        <f aca="false">F830*P830</f>
        <v>0</v>
      </c>
      <c r="O830" s="58" t="n">
        <f aca="false">F830*Q830</f>
        <v>0</v>
      </c>
      <c r="P830" s="58" t="n">
        <v>2.71</v>
      </c>
      <c r="Q830" s="58" t="n">
        <v>0.03</v>
      </c>
      <c r="R830" s="59" t="s">
        <v>2850</v>
      </c>
      <c r="S830" s="22"/>
      <c r="T830" s="11" t="str">
        <f aca="false">"16.12.25"</f>
        <v>16.12.25</v>
      </c>
    </row>
    <row r="831" customFormat="false" ht="7.5" hidden="false" customHeight="true" outlineLevel="2" collapsed="false">
      <c r="A831" s="60" t="str">
        <f aca="false">HYPERLINK("https://disk.360.yandex.ru/d/_8AtYMjMaecTKw","фото")</f>
        <v>фото</v>
      </c>
      <c r="B831" s="49" t="s">
        <v>2851</v>
      </c>
      <c r="C831" s="50" t="s">
        <v>2852</v>
      </c>
      <c r="D831" s="51" t="s">
        <v>2853</v>
      </c>
      <c r="E831" s="52" t="n">
        <f aca="false">I831*(1-J831)*(100-E1)/100</f>
        <v>1425.408</v>
      </c>
      <c r="F831" s="53"/>
      <c r="G831" s="54" t="n">
        <v>8</v>
      </c>
      <c r="H831" s="52" t="n">
        <f aca="false">E831*F831</f>
        <v>0</v>
      </c>
      <c r="I831" s="55" t="n">
        <v>2560</v>
      </c>
      <c r="J831" s="56" t="n">
        <v>0.13</v>
      </c>
      <c r="K831" s="57" t="n">
        <v>1</v>
      </c>
      <c r="L831" s="22" t="s">
        <v>44</v>
      </c>
      <c r="M831" s="22"/>
      <c r="N831" s="58" t="n">
        <f aca="false">F831*P831</f>
        <v>0</v>
      </c>
      <c r="O831" s="58" t="n">
        <f aca="false">F831*Q831</f>
        <v>0</v>
      </c>
      <c r="P831" s="58" t="n">
        <v>2.66</v>
      </c>
      <c r="Q831" s="58" t="n">
        <v>0.03</v>
      </c>
      <c r="R831" s="59" t="s">
        <v>2854</v>
      </c>
      <c r="S831" s="22"/>
      <c r="T831" s="11" t="str">
        <f aca="false">"16.12.25"</f>
        <v>16.12.25</v>
      </c>
    </row>
    <row r="832" customFormat="false" ht="7.5" hidden="false" customHeight="true" outlineLevel="2" collapsed="false">
      <c r="A832" s="60" t="str">
        <f aca="false">HYPERLINK("https://disk.360.yandex.ru/d/WJZ6ED2B3AxL3A","фото")</f>
        <v>фото</v>
      </c>
      <c r="B832" s="49" t="s">
        <v>2855</v>
      </c>
      <c r="C832" s="50" t="s">
        <v>2856</v>
      </c>
      <c r="D832" s="51" t="s">
        <v>2857</v>
      </c>
      <c r="E832" s="52" t="n">
        <f aca="false">I832*(1-J832)*(100-E1)/100</f>
        <v>1382.4</v>
      </c>
      <c r="F832" s="53"/>
      <c r="G832" s="54" t="n">
        <v>8</v>
      </c>
      <c r="H832" s="52" t="n">
        <f aca="false">E832*F832</f>
        <v>0</v>
      </c>
      <c r="I832" s="55" t="n">
        <v>2700</v>
      </c>
      <c r="J832" s="56" t="n">
        <v>0.2</v>
      </c>
      <c r="K832" s="57" t="n">
        <v>125</v>
      </c>
      <c r="L832" s="22" t="s">
        <v>157</v>
      </c>
      <c r="M832" s="22"/>
      <c r="N832" s="58" t="n">
        <f aca="false">F832*P832</f>
        <v>0</v>
      </c>
      <c r="O832" s="58" t="n">
        <f aca="false">F832*Q832</f>
        <v>0</v>
      </c>
      <c r="P832" s="58" t="n">
        <v>23</v>
      </c>
      <c r="Q832" s="58" t="n">
        <v>0.004</v>
      </c>
      <c r="R832" s="59"/>
      <c r="S832" s="22"/>
      <c r="T832" s="11" t="str">
        <f aca="false">"16.12.25"</f>
        <v>16.12.25</v>
      </c>
    </row>
    <row r="833" customFormat="false" ht="7.5" hidden="false" customHeight="true" outlineLevel="2" collapsed="false">
      <c r="A833" s="60" t="str">
        <f aca="false">HYPERLINK("https://disk.360.yandex.ru/d/V1s4q34B8ugd4g","фото")</f>
        <v>фото</v>
      </c>
      <c r="B833" s="49" t="s">
        <v>2858</v>
      </c>
      <c r="C833" s="50" t="s">
        <v>2859</v>
      </c>
      <c r="D833" s="51" t="s">
        <v>2860</v>
      </c>
      <c r="E833" s="52" t="n">
        <f aca="false">I833*(1-J833)*(100-E1)/100</f>
        <v>1551.36</v>
      </c>
      <c r="F833" s="53"/>
      <c r="G833" s="54" t="n">
        <v>8</v>
      </c>
      <c r="H833" s="52" t="n">
        <f aca="false">E833*F833</f>
        <v>0</v>
      </c>
      <c r="I833" s="55" t="n">
        <v>3030</v>
      </c>
      <c r="J833" s="56" t="n">
        <v>0.2</v>
      </c>
      <c r="K833" s="57" t="n">
        <v>219</v>
      </c>
      <c r="L833" s="22" t="s">
        <v>157</v>
      </c>
      <c r="M833" s="22"/>
      <c r="N833" s="58" t="n">
        <f aca="false">F833*P833</f>
        <v>0</v>
      </c>
      <c r="O833" s="58" t="n">
        <f aca="false">F833*Q833</f>
        <v>0</v>
      </c>
      <c r="P833" s="58" t="n">
        <v>22.2</v>
      </c>
      <c r="Q833" s="58" t="n">
        <v>0.004</v>
      </c>
      <c r="R833" s="59" t="s">
        <v>2861</v>
      </c>
      <c r="S833" s="22"/>
      <c r="T833" s="11" t="str">
        <f aca="false">"16.12.25"</f>
        <v>16.12.25</v>
      </c>
    </row>
    <row r="834" customFormat="false" ht="7.5" hidden="false" customHeight="true" outlineLevel="0" collapsed="false">
      <c r="A834" s="28"/>
      <c r="B834" s="29"/>
      <c r="C834" s="30" t="s">
        <v>2862</v>
      </c>
      <c r="D834" s="31"/>
      <c r="E834" s="32"/>
      <c r="F834" s="33"/>
      <c r="G834" s="34"/>
      <c r="H834" s="32"/>
      <c r="I834" s="35"/>
      <c r="J834" s="36"/>
      <c r="K834" s="35"/>
      <c r="L834" s="34"/>
      <c r="M834" s="34"/>
      <c r="N834" s="37"/>
      <c r="O834" s="37"/>
      <c r="P834" s="37"/>
      <c r="Q834" s="37"/>
      <c r="R834" s="29"/>
      <c r="S834" s="34"/>
      <c r="T834" s="11" t="str">
        <f aca="false">"16.12.25"</f>
        <v>16.12.25</v>
      </c>
    </row>
    <row r="835" customFormat="false" ht="7.5" hidden="false" customHeight="true" outlineLevel="1" collapsed="false">
      <c r="A835" s="38"/>
      <c r="B835" s="39"/>
      <c r="C835" s="40" t="s">
        <v>2863</v>
      </c>
      <c r="D835" s="41"/>
      <c r="E835" s="42"/>
      <c r="F835" s="43"/>
      <c r="G835" s="44"/>
      <c r="H835" s="42"/>
      <c r="I835" s="45"/>
      <c r="J835" s="46"/>
      <c r="K835" s="45"/>
      <c r="L835" s="44"/>
      <c r="M835" s="44"/>
      <c r="N835" s="47"/>
      <c r="O835" s="47"/>
      <c r="P835" s="47"/>
      <c r="Q835" s="47"/>
      <c r="R835" s="39"/>
      <c r="S835" s="44"/>
      <c r="T835" s="11" t="str">
        <f aca="false">"16.12.25"</f>
        <v>16.12.25</v>
      </c>
    </row>
    <row r="836" customFormat="false" ht="7.5" hidden="false" customHeight="true" outlineLevel="2" collapsed="false">
      <c r="A836" s="60" t="str">
        <f aca="false">HYPERLINK("https://disk.360.yandex.ru/d/brd5YD9ZGEL2dw","фото")</f>
        <v>фото</v>
      </c>
      <c r="B836" s="49" t="s">
        <v>2864</v>
      </c>
      <c r="C836" s="50" t="s">
        <v>2865</v>
      </c>
      <c r="D836" s="51" t="s">
        <v>2866</v>
      </c>
      <c r="E836" s="52" t="n">
        <f aca="false">I836*(1-J836)*(100-E1)/100</f>
        <v>7315.2</v>
      </c>
      <c r="F836" s="53"/>
      <c r="G836" s="54" t="n">
        <v>1</v>
      </c>
      <c r="H836" s="52" t="n">
        <f aca="false">E836*F836</f>
        <v>0</v>
      </c>
      <c r="I836" s="55" t="n">
        <v>12700</v>
      </c>
      <c r="J836" s="56" t="n">
        <v>0.1</v>
      </c>
      <c r="K836" s="57" t="n">
        <v>709</v>
      </c>
      <c r="L836" s="22" t="s">
        <v>44</v>
      </c>
      <c r="M836" s="22" t="s">
        <v>152</v>
      </c>
      <c r="N836" s="58" t="n">
        <f aca="false">F836*P836</f>
        <v>0</v>
      </c>
      <c r="O836" s="58" t="n">
        <f aca="false">F836*Q836</f>
        <v>0</v>
      </c>
      <c r="P836" s="58" t="n">
        <v>7</v>
      </c>
      <c r="Q836" s="58" t="n">
        <v>0.05</v>
      </c>
      <c r="R836" s="59" t="s">
        <v>2867</v>
      </c>
      <c r="S836" s="22"/>
      <c r="T836" s="11" t="str">
        <f aca="false">"16.12.25"</f>
        <v>16.12.25</v>
      </c>
    </row>
    <row r="837" customFormat="false" ht="7.5" hidden="false" customHeight="true" outlineLevel="2" collapsed="false">
      <c r="A837" s="60" t="str">
        <f aca="false">HYPERLINK("https://disk.yandex.ru/d/BV_eQj2D6FaWYA","фото")</f>
        <v>фото</v>
      </c>
      <c r="B837" s="49" t="s">
        <v>2868</v>
      </c>
      <c r="C837" s="50" t="s">
        <v>2869</v>
      </c>
      <c r="D837" s="51" t="s">
        <v>2870</v>
      </c>
      <c r="E837" s="52" t="n">
        <f aca="false">I837*(1-J837)*(100-E1)/100</f>
        <v>11719.68</v>
      </c>
      <c r="F837" s="53"/>
      <c r="G837" s="54" t="n">
        <v>1</v>
      </c>
      <c r="H837" s="52" t="n">
        <f aca="false">E837*F837</f>
        <v>0</v>
      </c>
      <c r="I837" s="55" t="n">
        <v>22890</v>
      </c>
      <c r="J837" s="56" t="n">
        <v>0.2</v>
      </c>
      <c r="K837" s="57" t="n">
        <v>6</v>
      </c>
      <c r="L837" s="22" t="s">
        <v>44</v>
      </c>
      <c r="M837" s="22" t="s">
        <v>15</v>
      </c>
      <c r="N837" s="58" t="n">
        <f aca="false">F837*P837</f>
        <v>0</v>
      </c>
      <c r="O837" s="58" t="n">
        <f aca="false">F837*Q837</f>
        <v>0</v>
      </c>
      <c r="P837" s="58" t="n">
        <v>14.2</v>
      </c>
      <c r="Q837" s="58" t="n">
        <v>0.138</v>
      </c>
      <c r="R837" s="59" t="s">
        <v>2871</v>
      </c>
      <c r="S837" s="22"/>
      <c r="T837" s="11" t="str">
        <f aca="false">"16.12.25"</f>
        <v>16.12.25</v>
      </c>
    </row>
    <row r="838" customFormat="false" ht="7.5" hidden="false" customHeight="true" outlineLevel="2" collapsed="false">
      <c r="A838" s="60" t="str">
        <f aca="false">HYPERLINK("https://disk.yandex.ru/d/hDCoVo8hY2hCeQ","фото")</f>
        <v>фото</v>
      </c>
      <c r="B838" s="49" t="s">
        <v>2872</v>
      </c>
      <c r="C838" s="50" t="s">
        <v>2873</v>
      </c>
      <c r="D838" s="51" t="s">
        <v>2874</v>
      </c>
      <c r="E838" s="52" t="n">
        <f aca="false">I838*(1-J838)*(100-E1)/100</f>
        <v>16761.6</v>
      </c>
      <c r="F838" s="53"/>
      <c r="G838" s="54" t="n">
        <v>1</v>
      </c>
      <c r="H838" s="52" t="n">
        <f aca="false">E838*F838</f>
        <v>0</v>
      </c>
      <c r="I838" s="55" t="n">
        <v>26190</v>
      </c>
      <c r="J838" s="56"/>
      <c r="K838" s="57" t="n">
        <v>122</v>
      </c>
      <c r="L838" s="22" t="s">
        <v>44</v>
      </c>
      <c r="M838" s="22"/>
      <c r="N838" s="58" t="n">
        <f aca="false">F838*P838</f>
        <v>0</v>
      </c>
      <c r="O838" s="58" t="n">
        <f aca="false">F838*Q838</f>
        <v>0</v>
      </c>
      <c r="P838" s="58" t="n">
        <v>16.85</v>
      </c>
      <c r="Q838" s="58" t="n">
        <v>0.17</v>
      </c>
      <c r="R838" s="59" t="s">
        <v>2875</v>
      </c>
      <c r="S838" s="22"/>
      <c r="T838" s="11" t="str">
        <f aca="false">"16.12.25"</f>
        <v>16.12.25</v>
      </c>
    </row>
    <row r="839" customFormat="false" ht="7.5" hidden="false" customHeight="true" outlineLevel="2" collapsed="false">
      <c r="A839" s="60" t="str">
        <f aca="false">HYPERLINK("https://disk.yandex.ru/d/0l__g4HoK1gy1Q","фото")</f>
        <v>фото</v>
      </c>
      <c r="B839" s="49" t="s">
        <v>2876</v>
      </c>
      <c r="C839" s="50" t="s">
        <v>2877</v>
      </c>
      <c r="D839" s="51" t="s">
        <v>2878</v>
      </c>
      <c r="E839" s="52" t="n">
        <f aca="false">I839*(1-J839)*(100-E1)/100</f>
        <v>26156.8</v>
      </c>
      <c r="F839" s="53"/>
      <c r="G839" s="54" t="n">
        <v>1</v>
      </c>
      <c r="H839" s="52" t="n">
        <f aca="false">E839*F839</f>
        <v>0</v>
      </c>
      <c r="I839" s="55" t="n">
        <v>40870</v>
      </c>
      <c r="J839" s="56"/>
      <c r="K839" s="57" t="n">
        <v>107</v>
      </c>
      <c r="L839" s="22" t="s">
        <v>44</v>
      </c>
      <c r="M839" s="22"/>
      <c r="N839" s="58" t="n">
        <f aca="false">F839*P839</f>
        <v>0</v>
      </c>
      <c r="O839" s="58" t="n">
        <f aca="false">F839*Q839</f>
        <v>0</v>
      </c>
      <c r="P839" s="58" t="n">
        <v>24</v>
      </c>
      <c r="Q839" s="58" t="n">
        <v>0.282</v>
      </c>
      <c r="R839" s="59" t="s">
        <v>2879</v>
      </c>
      <c r="S839" s="22"/>
      <c r="T839" s="11" t="str">
        <f aca="false">"16.12.25"</f>
        <v>16.12.25</v>
      </c>
    </row>
    <row r="840" customFormat="false" ht="7.5" hidden="false" customHeight="true" outlineLevel="2" collapsed="false">
      <c r="A840" s="60" t="str">
        <f aca="false">HYPERLINK("https://disk.360.yandex.ru/d/ADJxFueKzRdrcQ","фото")</f>
        <v>фото</v>
      </c>
      <c r="B840" s="49" t="s">
        <v>2880</v>
      </c>
      <c r="C840" s="50" t="s">
        <v>2881</v>
      </c>
      <c r="D840" s="51" t="s">
        <v>2882</v>
      </c>
      <c r="E840" s="52" t="n">
        <f aca="false">I840*(1-J840)*(100-E1)/100</f>
        <v>11540.48</v>
      </c>
      <c r="F840" s="53"/>
      <c r="G840" s="54" t="n">
        <v>1</v>
      </c>
      <c r="H840" s="52" t="n">
        <f aca="false">E840*F840</f>
        <v>0</v>
      </c>
      <c r="I840" s="55" t="n">
        <v>22540</v>
      </c>
      <c r="J840" s="56" t="n">
        <v>0.2</v>
      </c>
      <c r="K840" s="57" t="n">
        <v>243</v>
      </c>
      <c r="L840" s="22" t="s">
        <v>53</v>
      </c>
      <c r="M840" s="22"/>
      <c r="N840" s="58" t="n">
        <f aca="false">F840*P840</f>
        <v>0</v>
      </c>
      <c r="O840" s="58" t="n">
        <f aca="false">F840*Q840</f>
        <v>0</v>
      </c>
      <c r="P840" s="58" t="n">
        <v>13.1</v>
      </c>
      <c r="Q840" s="58" t="n">
        <v>0.128</v>
      </c>
      <c r="R840" s="59" t="s">
        <v>2883</v>
      </c>
      <c r="S840" s="22"/>
      <c r="T840" s="11" t="str">
        <f aca="false">"16.12.25"</f>
        <v>16.12.25</v>
      </c>
    </row>
    <row r="841" customFormat="false" ht="7.5" hidden="false" customHeight="true" outlineLevel="2" collapsed="false">
      <c r="A841" s="60" t="str">
        <f aca="false">HYPERLINK("https://disk.360.yandex.ru/d/8VCjSsRPO_lqsA","фото")</f>
        <v>фото</v>
      </c>
      <c r="B841" s="49" t="s">
        <v>2884</v>
      </c>
      <c r="C841" s="50" t="s">
        <v>2885</v>
      </c>
      <c r="D841" s="51" t="s">
        <v>2886</v>
      </c>
      <c r="E841" s="52" t="n">
        <f aca="false">I841*(1-J841)*(100-E1)/100</f>
        <v>13327.36</v>
      </c>
      <c r="F841" s="53"/>
      <c r="G841" s="54" t="n">
        <v>1</v>
      </c>
      <c r="H841" s="52" t="n">
        <f aca="false">E841*F841</f>
        <v>0</v>
      </c>
      <c r="I841" s="55" t="n">
        <v>26030</v>
      </c>
      <c r="J841" s="56" t="n">
        <v>0.2</v>
      </c>
      <c r="K841" s="57" t="n">
        <v>0</v>
      </c>
      <c r="L841" s="22" t="s">
        <v>53</v>
      </c>
      <c r="M841" s="22"/>
      <c r="N841" s="58" t="n">
        <f aca="false">F841*P841</f>
        <v>0</v>
      </c>
      <c r="O841" s="58" t="n">
        <f aca="false">F841*Q841</f>
        <v>0</v>
      </c>
      <c r="P841" s="58" t="n">
        <v>19.25</v>
      </c>
      <c r="Q841" s="58" t="n">
        <v>0.23</v>
      </c>
      <c r="R841" s="59" t="s">
        <v>2887</v>
      </c>
      <c r="S841" s="22"/>
      <c r="T841" s="11" t="str">
        <f aca="false">"16.12.25"</f>
        <v>16.12.25</v>
      </c>
    </row>
    <row r="842" customFormat="false" ht="7.5" hidden="false" customHeight="true" outlineLevel="2" collapsed="false">
      <c r="A842" s="60" t="str">
        <f aca="false">HYPERLINK("https://disk.360.yandex.ru/d/_xyufAfmGu0uDg","фото")</f>
        <v>фото</v>
      </c>
      <c r="B842" s="49" t="s">
        <v>2888</v>
      </c>
      <c r="C842" s="50" t="s">
        <v>2889</v>
      </c>
      <c r="D842" s="51" t="s">
        <v>2890</v>
      </c>
      <c r="E842" s="52" t="n">
        <f aca="false">I842*(1-J842)*(100-E1)/100</f>
        <v>12267.52</v>
      </c>
      <c r="F842" s="53"/>
      <c r="G842" s="54" t="n">
        <v>1</v>
      </c>
      <c r="H842" s="52" t="n">
        <f aca="false">E842*F842</f>
        <v>0</v>
      </c>
      <c r="I842" s="55" t="n">
        <v>23960</v>
      </c>
      <c r="J842" s="56" t="n">
        <v>0.2</v>
      </c>
      <c r="K842" s="57" t="n">
        <v>0</v>
      </c>
      <c r="L842" s="22" t="s">
        <v>53</v>
      </c>
      <c r="M842" s="22"/>
      <c r="N842" s="58" t="n">
        <f aca="false">F842*P842</f>
        <v>0</v>
      </c>
      <c r="O842" s="58" t="n">
        <f aca="false">F842*Q842</f>
        <v>0</v>
      </c>
      <c r="P842" s="58" t="n">
        <v>14.6</v>
      </c>
      <c r="Q842" s="58" t="n">
        <v>0.126</v>
      </c>
      <c r="R842" s="59" t="s">
        <v>2891</v>
      </c>
      <c r="S842" s="22"/>
      <c r="T842" s="11" t="str">
        <f aca="false">"16.12.25"</f>
        <v>16.12.25</v>
      </c>
    </row>
    <row r="843" customFormat="false" ht="7.5" hidden="false" customHeight="true" outlineLevel="2" collapsed="false">
      <c r="A843" s="60" t="str">
        <f aca="false">HYPERLINK("https://disk.360.yandex.ru/d/Ej1mDElGI_2PIQ","фото")</f>
        <v>фото</v>
      </c>
      <c r="B843" s="49" t="s">
        <v>2892</v>
      </c>
      <c r="C843" s="50" t="s">
        <v>2893</v>
      </c>
      <c r="D843" s="51" t="s">
        <v>2894</v>
      </c>
      <c r="E843" s="52" t="n">
        <f aca="false">I843*(1-J843)*(100-E1)/100</f>
        <v>5985.6</v>
      </c>
      <c r="F843" s="53"/>
      <c r="G843" s="54" t="n">
        <v>1</v>
      </c>
      <c r="H843" s="52" t="n">
        <f aca="false">E843*F843</f>
        <v>0</v>
      </c>
      <c r="I843" s="55" t="n">
        <v>12470</v>
      </c>
      <c r="J843" s="56" t="n">
        <v>0.25</v>
      </c>
      <c r="K843" s="57" t="n">
        <v>142</v>
      </c>
      <c r="L843" s="22" t="s">
        <v>53</v>
      </c>
      <c r="M843" s="22" t="s">
        <v>15</v>
      </c>
      <c r="N843" s="58" t="n">
        <f aca="false">F843*P843</f>
        <v>0</v>
      </c>
      <c r="O843" s="58" t="n">
        <f aca="false">F843*Q843</f>
        <v>0</v>
      </c>
      <c r="P843" s="58" t="n">
        <v>7.95</v>
      </c>
      <c r="Q843" s="58" t="n">
        <v>0.044</v>
      </c>
      <c r="R843" s="59" t="s">
        <v>2895</v>
      </c>
      <c r="S843" s="22"/>
      <c r="T843" s="11" t="str">
        <f aca="false">"16.12.25"</f>
        <v>16.12.25</v>
      </c>
    </row>
    <row r="844" customFormat="false" ht="7.5" hidden="false" customHeight="true" outlineLevel="2" collapsed="false">
      <c r="A844" s="60" t="str">
        <f aca="false">HYPERLINK("https://disk.360.yandex.ru/d/W-ZsbdOhBvhWzg","фото")</f>
        <v>фото</v>
      </c>
      <c r="B844" s="49" t="s">
        <v>2896</v>
      </c>
      <c r="C844" s="50" t="s">
        <v>2897</v>
      </c>
      <c r="D844" s="51" t="s">
        <v>2898</v>
      </c>
      <c r="E844" s="52" t="n">
        <f aca="false">I844*(1-J844)*(100-E1)/100</f>
        <v>10583.04</v>
      </c>
      <c r="F844" s="53"/>
      <c r="G844" s="54" t="n">
        <v>1</v>
      </c>
      <c r="H844" s="52" t="n">
        <f aca="false">E844*F844</f>
        <v>0</v>
      </c>
      <c r="I844" s="55" t="n">
        <v>20670</v>
      </c>
      <c r="J844" s="56" t="n">
        <v>0.2</v>
      </c>
      <c r="K844" s="57" t="n">
        <v>195</v>
      </c>
      <c r="L844" s="22" t="s">
        <v>53</v>
      </c>
      <c r="M844" s="22"/>
      <c r="N844" s="58" t="n">
        <f aca="false">F844*P844</f>
        <v>0</v>
      </c>
      <c r="O844" s="58" t="n">
        <f aca="false">F844*Q844</f>
        <v>0</v>
      </c>
      <c r="P844" s="58" t="n">
        <v>14.6</v>
      </c>
      <c r="Q844" s="58" t="n">
        <v>0.09</v>
      </c>
      <c r="R844" s="59" t="s">
        <v>2899</v>
      </c>
      <c r="S844" s="22"/>
      <c r="T844" s="11" t="str">
        <f aca="false">"16.12.25"</f>
        <v>16.12.25</v>
      </c>
    </row>
    <row r="845" customFormat="false" ht="7.5" hidden="false" customHeight="true" outlineLevel="2" collapsed="false">
      <c r="A845" s="60" t="str">
        <f aca="false">HYPERLINK("https://disk.360.yandex.ru/d/GyfX_Yj_Xf3ZzA","фото")</f>
        <v>фото</v>
      </c>
      <c r="B845" s="49" t="s">
        <v>2900</v>
      </c>
      <c r="C845" s="50" t="s">
        <v>2901</v>
      </c>
      <c r="D845" s="51" t="s">
        <v>2902</v>
      </c>
      <c r="E845" s="52" t="n">
        <f aca="false">I845*(1-J845)*(100-E1)/100</f>
        <v>14361.6</v>
      </c>
      <c r="F845" s="53"/>
      <c r="G845" s="54" t="n">
        <v>1</v>
      </c>
      <c r="H845" s="52" t="n">
        <f aca="false">E845*F845</f>
        <v>0</v>
      </c>
      <c r="I845" s="55" t="n">
        <v>28050</v>
      </c>
      <c r="J845" s="56" t="n">
        <v>0.2</v>
      </c>
      <c r="K845" s="57" t="n">
        <v>97</v>
      </c>
      <c r="L845" s="22" t="s">
        <v>53</v>
      </c>
      <c r="M845" s="22"/>
      <c r="N845" s="58" t="n">
        <f aca="false">F845*P845</f>
        <v>0</v>
      </c>
      <c r="O845" s="58" t="n">
        <f aca="false">F845*Q845</f>
        <v>0</v>
      </c>
      <c r="P845" s="58" t="n">
        <v>15.05</v>
      </c>
      <c r="Q845" s="58" t="n">
        <v>0.08</v>
      </c>
      <c r="R845" s="59" t="s">
        <v>2903</v>
      </c>
      <c r="S845" s="22"/>
      <c r="T845" s="11" t="str">
        <f aca="false">"16.12.25"</f>
        <v>16.12.25</v>
      </c>
    </row>
    <row r="846" customFormat="false" ht="7.5" hidden="false" customHeight="true" outlineLevel="1" collapsed="false">
      <c r="A846" s="38"/>
      <c r="B846" s="39"/>
      <c r="C846" s="40" t="s">
        <v>2904</v>
      </c>
      <c r="D846" s="41"/>
      <c r="E846" s="42"/>
      <c r="F846" s="43"/>
      <c r="G846" s="44"/>
      <c r="H846" s="42"/>
      <c r="I846" s="45"/>
      <c r="J846" s="46"/>
      <c r="K846" s="45"/>
      <c r="L846" s="44"/>
      <c r="M846" s="44"/>
      <c r="N846" s="47"/>
      <c r="O846" s="47"/>
      <c r="P846" s="47"/>
      <c r="Q846" s="47"/>
      <c r="R846" s="39"/>
      <c r="S846" s="44"/>
      <c r="T846" s="11" t="str">
        <f aca="false">"16.12.25"</f>
        <v>16.12.25</v>
      </c>
    </row>
    <row r="847" customFormat="false" ht="7.5" hidden="false" customHeight="true" outlineLevel="2" collapsed="false">
      <c r="A847" s="60" t="str">
        <f aca="false">HYPERLINK("https://disk.yandex.ru/d/LJTC1suQl1ptEg","фото")</f>
        <v>фото</v>
      </c>
      <c r="B847" s="49" t="s">
        <v>2905</v>
      </c>
      <c r="C847" s="50" t="s">
        <v>2906</v>
      </c>
      <c r="D847" s="51" t="s">
        <v>2907</v>
      </c>
      <c r="E847" s="52" t="n">
        <f aca="false">I847*(1-J847)*(100-E1)/100</f>
        <v>6543.36</v>
      </c>
      <c r="F847" s="53"/>
      <c r="G847" s="54" t="n">
        <v>1</v>
      </c>
      <c r="H847" s="52" t="n">
        <f aca="false">E847*F847</f>
        <v>0</v>
      </c>
      <c r="I847" s="55" t="n">
        <v>12780</v>
      </c>
      <c r="J847" s="56" t="n">
        <v>0.2</v>
      </c>
      <c r="K847" s="57" t="n">
        <v>0</v>
      </c>
      <c r="L847" s="22" t="s">
        <v>44</v>
      </c>
      <c r="M847" s="22"/>
      <c r="N847" s="58" t="n">
        <f aca="false">F847*P847</f>
        <v>0</v>
      </c>
      <c r="O847" s="58" t="n">
        <f aca="false">F847*Q847</f>
        <v>0</v>
      </c>
      <c r="P847" s="58" t="n">
        <v>14.8</v>
      </c>
      <c r="Q847" s="58" t="n">
        <v>0.033</v>
      </c>
      <c r="R847" s="59" t="s">
        <v>2908</v>
      </c>
      <c r="S847" s="22"/>
      <c r="T847" s="11" t="str">
        <f aca="false">"16.12.25"</f>
        <v>16.12.25</v>
      </c>
    </row>
    <row r="848" customFormat="false" ht="7.5" hidden="false" customHeight="true" outlineLevel="2" collapsed="false">
      <c r="A848" s="60" t="str">
        <f aca="false">HYPERLINK("https://disk.yandex.ru/d/-Ug9lrgiZMpkEg","фото")</f>
        <v>фото</v>
      </c>
      <c r="B848" s="49" t="s">
        <v>2909</v>
      </c>
      <c r="C848" s="50" t="s">
        <v>2910</v>
      </c>
      <c r="D848" s="51" t="s">
        <v>2911</v>
      </c>
      <c r="E848" s="52" t="n">
        <f aca="false">I848*(1-J848)*(100-E1)/100</f>
        <v>8816.64</v>
      </c>
      <c r="F848" s="53"/>
      <c r="G848" s="54" t="n">
        <v>1</v>
      </c>
      <c r="H848" s="52" t="n">
        <f aca="false">E848*F848</f>
        <v>0</v>
      </c>
      <c r="I848" s="55" t="n">
        <v>17220</v>
      </c>
      <c r="J848" s="56" t="n">
        <v>0.2</v>
      </c>
      <c r="K848" s="57" t="n">
        <v>0</v>
      </c>
      <c r="L848" s="22" t="s">
        <v>44</v>
      </c>
      <c r="M848" s="22"/>
      <c r="N848" s="58" t="n">
        <f aca="false">F848*P848</f>
        <v>0</v>
      </c>
      <c r="O848" s="58" t="n">
        <f aca="false">F848*Q848</f>
        <v>0</v>
      </c>
      <c r="P848" s="58" t="n">
        <v>19.2</v>
      </c>
      <c r="Q848" s="58" t="n">
        <v>0.051</v>
      </c>
      <c r="R848" s="59" t="s">
        <v>2912</v>
      </c>
      <c r="S848" s="22"/>
      <c r="T848" s="11" t="str">
        <f aca="false">"16.12.25"</f>
        <v>16.12.25</v>
      </c>
    </row>
    <row r="849" customFormat="false" ht="7.5" hidden="false" customHeight="true" outlineLevel="2" collapsed="false">
      <c r="A849" s="60" t="str">
        <f aca="false">HYPERLINK("https://disk.360.yandex.ru/d/_8utWLQAyGsw4g","фото")</f>
        <v>фото</v>
      </c>
      <c r="B849" s="49" t="s">
        <v>2913</v>
      </c>
      <c r="C849" s="50" t="s">
        <v>2914</v>
      </c>
      <c r="D849" s="51"/>
      <c r="E849" s="52" t="n">
        <f aca="false">I849*(1-J849)*(100-E1)/100</f>
        <v>8179.2</v>
      </c>
      <c r="F849" s="53"/>
      <c r="G849" s="54" t="n">
        <v>1</v>
      </c>
      <c r="H849" s="52" t="n">
        <f aca="false">E849*F849</f>
        <v>0</v>
      </c>
      <c r="I849" s="55" t="n">
        <v>12780</v>
      </c>
      <c r="J849" s="56"/>
      <c r="K849" s="57" t="n">
        <v>0</v>
      </c>
      <c r="L849" s="22" t="s">
        <v>44</v>
      </c>
      <c r="M849" s="22"/>
      <c r="N849" s="58" t="n">
        <f aca="false">F849*P849</f>
        <v>0</v>
      </c>
      <c r="O849" s="58" t="n">
        <f aca="false">F849*Q849</f>
        <v>0</v>
      </c>
      <c r="P849" s="58" t="n">
        <v>14.46</v>
      </c>
      <c r="Q849" s="58" t="n">
        <v>0.04</v>
      </c>
      <c r="R849" s="59" t="s">
        <v>2915</v>
      </c>
      <c r="S849" s="22"/>
      <c r="T849" s="11" t="str">
        <f aca="false">"16.12.25"</f>
        <v>16.12.25</v>
      </c>
    </row>
    <row r="850" customFormat="false" ht="7.5" hidden="false" customHeight="true" outlineLevel="2" collapsed="false">
      <c r="A850" s="60" t="str">
        <f aca="false">HYPERLINK("https://disk.360.yandex.ru/d/nzbrJZXnVwMBcg","фото")</f>
        <v>фото</v>
      </c>
      <c r="B850" s="49" t="s">
        <v>2916</v>
      </c>
      <c r="C850" s="50" t="s">
        <v>2917</v>
      </c>
      <c r="D850" s="51"/>
      <c r="E850" s="52" t="n">
        <f aca="false">I850*(1-J850)*(100-E1)/100</f>
        <v>11020.8</v>
      </c>
      <c r="F850" s="53"/>
      <c r="G850" s="54"/>
      <c r="H850" s="52" t="n">
        <f aca="false">E850*F850</f>
        <v>0</v>
      </c>
      <c r="I850" s="55" t="n">
        <v>17220</v>
      </c>
      <c r="J850" s="56"/>
      <c r="K850" s="57" t="n">
        <v>0</v>
      </c>
      <c r="L850" s="22" t="s">
        <v>44</v>
      </c>
      <c r="M850" s="22"/>
      <c r="N850" s="58" t="n">
        <f aca="false">F850*P850</f>
        <v>0</v>
      </c>
      <c r="O850" s="58" t="n">
        <f aca="false">F850*Q850</f>
        <v>0</v>
      </c>
      <c r="P850" s="58" t="n">
        <v>19.8</v>
      </c>
      <c r="Q850" s="58" t="n">
        <v>0.035</v>
      </c>
      <c r="R850" s="59" t="s">
        <v>2918</v>
      </c>
      <c r="S850" s="22"/>
      <c r="T850" s="11" t="str">
        <f aca="false">"16.12.25"</f>
        <v>16.12.25</v>
      </c>
    </row>
    <row r="851" customFormat="false" ht="7.5" hidden="false" customHeight="true" outlineLevel="2" collapsed="false">
      <c r="A851" s="48"/>
      <c r="B851" s="49" t="s">
        <v>2919</v>
      </c>
      <c r="C851" s="50" t="s">
        <v>2920</v>
      </c>
      <c r="D851" s="51"/>
      <c r="E851" s="52" t="n">
        <f aca="false">I851*(1-J851)*(100-E1)/100</f>
        <v>7603.2</v>
      </c>
      <c r="F851" s="53"/>
      <c r="G851" s="54" t="n">
        <v>1</v>
      </c>
      <c r="H851" s="52" t="n">
        <f aca="false">E851*F851</f>
        <v>0</v>
      </c>
      <c r="I851" s="55" t="n">
        <v>11880</v>
      </c>
      <c r="J851" s="56"/>
      <c r="K851" s="57" t="n">
        <v>0</v>
      </c>
      <c r="L851" s="22" t="s">
        <v>372</v>
      </c>
      <c r="M851" s="22"/>
      <c r="N851" s="58" t="n">
        <f aca="false">F851*P851</f>
        <v>0</v>
      </c>
      <c r="O851" s="58" t="n">
        <f aca="false">F851*Q851</f>
        <v>0</v>
      </c>
      <c r="P851" s="58" t="n">
        <v>14.48</v>
      </c>
      <c r="Q851" s="58" t="n">
        <v>0.035</v>
      </c>
      <c r="R851" s="59" t="s">
        <v>2921</v>
      </c>
      <c r="S851" s="22"/>
      <c r="T851" s="11" t="str">
        <f aca="false">"16.12.25"</f>
        <v>16.12.25</v>
      </c>
    </row>
    <row r="852" customFormat="false" ht="7.5" hidden="false" customHeight="true" outlineLevel="2" collapsed="false">
      <c r="A852" s="60" t="str">
        <f aca="false">HYPERLINK("https://disk.360.yandex.ru/d/AegSF4zKQnYjNw","фото")</f>
        <v>фото</v>
      </c>
      <c r="B852" s="49" t="s">
        <v>2922</v>
      </c>
      <c r="C852" s="50" t="s">
        <v>2923</v>
      </c>
      <c r="D852" s="51" t="s">
        <v>2924</v>
      </c>
      <c r="E852" s="52" t="n">
        <f aca="false">I852*(1-J852)*(100-E1)/100</f>
        <v>7361.28</v>
      </c>
      <c r="F852" s="53"/>
      <c r="G852" s="54" t="n">
        <v>1</v>
      </c>
      <c r="H852" s="52" t="n">
        <f aca="false">E852*F852</f>
        <v>0</v>
      </c>
      <c r="I852" s="55" t="n">
        <v>12780</v>
      </c>
      <c r="J852" s="56" t="n">
        <v>0.1</v>
      </c>
      <c r="K852" s="57" t="n">
        <v>21</v>
      </c>
      <c r="L852" s="22" t="s">
        <v>53</v>
      </c>
      <c r="M852" s="22" t="s">
        <v>15</v>
      </c>
      <c r="N852" s="58" t="n">
        <f aca="false">F852*P852</f>
        <v>0</v>
      </c>
      <c r="O852" s="58" t="n">
        <f aca="false">F852*Q852</f>
        <v>0</v>
      </c>
      <c r="P852" s="58" t="n">
        <v>14.7</v>
      </c>
      <c r="Q852" s="58" t="n">
        <v>0.04</v>
      </c>
      <c r="R852" s="59" t="s">
        <v>2925</v>
      </c>
      <c r="S852" s="22"/>
      <c r="T852" s="11" t="str">
        <f aca="false">"16.12.25"</f>
        <v>16.12.25</v>
      </c>
    </row>
    <row r="853" customFormat="false" ht="7.5" hidden="false" customHeight="true" outlineLevel="2" collapsed="false">
      <c r="A853" s="60" t="str">
        <f aca="false">HYPERLINK("https://disk.360.yandex.ru/d/e9Ll0FSd39Ss7w","фото")</f>
        <v>фото</v>
      </c>
      <c r="B853" s="49" t="s">
        <v>2926</v>
      </c>
      <c r="C853" s="50" t="s">
        <v>2927</v>
      </c>
      <c r="D853" s="51" t="s">
        <v>2928</v>
      </c>
      <c r="E853" s="52" t="n">
        <f aca="false">I853*(1-J853)*(100-E1)/100</f>
        <v>9918.72</v>
      </c>
      <c r="F853" s="53"/>
      <c r="G853" s="54" t="n">
        <v>1</v>
      </c>
      <c r="H853" s="52" t="n">
        <f aca="false">E853*F853</f>
        <v>0</v>
      </c>
      <c r="I853" s="55" t="n">
        <v>17220</v>
      </c>
      <c r="J853" s="56" t="n">
        <v>0.1</v>
      </c>
      <c r="K853" s="57" t="n">
        <v>0</v>
      </c>
      <c r="L853" s="22" t="s">
        <v>53</v>
      </c>
      <c r="M853" s="22" t="s">
        <v>15</v>
      </c>
      <c r="N853" s="58" t="n">
        <f aca="false">F853*P853</f>
        <v>0</v>
      </c>
      <c r="O853" s="58" t="n">
        <f aca="false">F853*Q853</f>
        <v>0</v>
      </c>
      <c r="P853" s="58" t="n">
        <v>19.6</v>
      </c>
      <c r="Q853" s="58" t="n">
        <v>0.04</v>
      </c>
      <c r="R853" s="59" t="s">
        <v>2929</v>
      </c>
      <c r="S853" s="22"/>
      <c r="T853" s="11" t="str">
        <f aca="false">"16.12.25"</f>
        <v>16.12.25</v>
      </c>
    </row>
    <row r="854" customFormat="false" ht="7.5" hidden="false" customHeight="true" outlineLevel="2" collapsed="false">
      <c r="A854" s="60" t="str">
        <f aca="false">HYPERLINK("https://disk.360.yandex.ru/d/znn0C_RqrIghdQ","фото")</f>
        <v>фото</v>
      </c>
      <c r="B854" s="49" t="s">
        <v>2930</v>
      </c>
      <c r="C854" s="50" t="s">
        <v>2931</v>
      </c>
      <c r="D854" s="51" t="s">
        <v>2932</v>
      </c>
      <c r="E854" s="52" t="n">
        <f aca="false">I854*(1-J854)*(100-E1)/100</f>
        <v>35568</v>
      </c>
      <c r="F854" s="53"/>
      <c r="G854" s="54" t="n">
        <v>1</v>
      </c>
      <c r="H854" s="52" t="n">
        <f aca="false">E854*F854</f>
        <v>0</v>
      </c>
      <c r="I854" s="55" t="n">
        <v>61750</v>
      </c>
      <c r="J854" s="56" t="n">
        <v>0.1</v>
      </c>
      <c r="K854" s="57" t="n">
        <v>42</v>
      </c>
      <c r="L854" s="22" t="s">
        <v>53</v>
      </c>
      <c r="M854" s="22" t="s">
        <v>15</v>
      </c>
      <c r="N854" s="58" t="n">
        <f aca="false">F854*P854</f>
        <v>0</v>
      </c>
      <c r="O854" s="58" t="n">
        <f aca="false">F854*Q854</f>
        <v>0</v>
      </c>
      <c r="P854" s="58" t="n">
        <v>81</v>
      </c>
      <c r="Q854" s="58" t="n">
        <v>0.16</v>
      </c>
      <c r="R854" s="59" t="s">
        <v>2933</v>
      </c>
      <c r="S854" s="22"/>
      <c r="T854" s="11" t="str">
        <f aca="false">"16.12.25"</f>
        <v>16.12.25</v>
      </c>
    </row>
    <row r="855" customFormat="false" ht="7.5" hidden="false" customHeight="true" outlineLevel="1" collapsed="false">
      <c r="A855" s="38"/>
      <c r="B855" s="39"/>
      <c r="C855" s="40" t="s">
        <v>2934</v>
      </c>
      <c r="D855" s="41"/>
      <c r="E855" s="42"/>
      <c r="F855" s="43"/>
      <c r="G855" s="44"/>
      <c r="H855" s="42"/>
      <c r="I855" s="45"/>
      <c r="J855" s="46"/>
      <c r="K855" s="45"/>
      <c r="L855" s="44"/>
      <c r="M855" s="44"/>
      <c r="N855" s="47"/>
      <c r="O855" s="47"/>
      <c r="P855" s="47"/>
      <c r="Q855" s="47"/>
      <c r="R855" s="39"/>
      <c r="S855" s="44"/>
      <c r="T855" s="11" t="str">
        <f aca="false">"16.12.25"</f>
        <v>16.12.25</v>
      </c>
    </row>
    <row r="856" customFormat="false" ht="7.5" hidden="false" customHeight="true" outlineLevel="2" collapsed="false">
      <c r="A856" s="60" t="str">
        <f aca="false">HYPERLINK("https://disk.360.yandex.ru/d/8nAG97lGWXUYYw","фото")</f>
        <v>фото</v>
      </c>
      <c r="B856" s="49" t="s">
        <v>2935</v>
      </c>
      <c r="C856" s="50" t="s">
        <v>2936</v>
      </c>
      <c r="D856" s="51" t="s">
        <v>2937</v>
      </c>
      <c r="E856" s="52" t="n">
        <f aca="false">I856*(1-J856)*(100-E1)/100</f>
        <v>4838.4</v>
      </c>
      <c r="F856" s="53"/>
      <c r="G856" s="54" t="n">
        <v>1</v>
      </c>
      <c r="H856" s="52" t="n">
        <f aca="false">E856*F856</f>
        <v>0</v>
      </c>
      <c r="I856" s="55" t="n">
        <v>7560</v>
      </c>
      <c r="J856" s="56"/>
      <c r="K856" s="57" t="n">
        <v>284</v>
      </c>
      <c r="L856" s="22" t="s">
        <v>53</v>
      </c>
      <c r="M856" s="22"/>
      <c r="N856" s="58" t="n">
        <f aca="false">F856*P856</f>
        <v>0</v>
      </c>
      <c r="O856" s="58" t="n">
        <f aca="false">F856*Q856</f>
        <v>0</v>
      </c>
      <c r="P856" s="58" t="n">
        <v>7.5</v>
      </c>
      <c r="Q856" s="58" t="n">
        <v>0.026</v>
      </c>
      <c r="R856" s="59" t="s">
        <v>2938</v>
      </c>
      <c r="S856" s="22"/>
      <c r="T856" s="11" t="str">
        <f aca="false">"16.12.25"</f>
        <v>16.12.25</v>
      </c>
    </row>
    <row r="857" customFormat="false" ht="7.5" hidden="false" customHeight="true" outlineLevel="2" collapsed="false">
      <c r="A857" s="60" t="str">
        <f aca="false">HYPERLINK("https://disk.360.yandex.ru/d/4Utq4T94YtlebQ","фото")</f>
        <v>фото</v>
      </c>
      <c r="B857" s="49" t="s">
        <v>2939</v>
      </c>
      <c r="C857" s="50" t="s">
        <v>2940</v>
      </c>
      <c r="D857" s="51" t="s">
        <v>2941</v>
      </c>
      <c r="E857" s="52" t="n">
        <f aca="false">I857*(1-J857)*(100-E1)/100</f>
        <v>42229.76</v>
      </c>
      <c r="F857" s="53"/>
      <c r="G857" s="54" t="n">
        <v>1</v>
      </c>
      <c r="H857" s="52" t="n">
        <f aca="false">E857*F857</f>
        <v>0</v>
      </c>
      <c r="I857" s="55" t="n">
        <v>82480</v>
      </c>
      <c r="J857" s="56" t="n">
        <v>0.2</v>
      </c>
      <c r="K857" s="57" t="n">
        <v>36</v>
      </c>
      <c r="L857" s="22" t="s">
        <v>53</v>
      </c>
      <c r="M857" s="22" t="s">
        <v>152</v>
      </c>
      <c r="N857" s="58" t="n">
        <f aca="false">F857*P857</f>
        <v>0</v>
      </c>
      <c r="O857" s="58" t="n">
        <f aca="false">F857*Q857</f>
        <v>0</v>
      </c>
      <c r="P857" s="58" t="n">
        <v>47</v>
      </c>
      <c r="Q857" s="58" t="n">
        <v>0.433</v>
      </c>
      <c r="R857" s="59" t="s">
        <v>2942</v>
      </c>
      <c r="S857" s="22"/>
      <c r="T857" s="11" t="str">
        <f aca="false">"16.12.25"</f>
        <v>16.12.25</v>
      </c>
    </row>
    <row r="858" customFormat="false" ht="7.5" hidden="false" customHeight="true" outlineLevel="1" collapsed="false">
      <c r="A858" s="38"/>
      <c r="B858" s="39"/>
      <c r="C858" s="40" t="s">
        <v>2943</v>
      </c>
      <c r="D858" s="41"/>
      <c r="E858" s="42"/>
      <c r="F858" s="43"/>
      <c r="G858" s="44"/>
      <c r="H858" s="42"/>
      <c r="I858" s="45"/>
      <c r="J858" s="46"/>
      <c r="K858" s="45"/>
      <c r="L858" s="44"/>
      <c r="M858" s="44"/>
      <c r="N858" s="47"/>
      <c r="O858" s="47"/>
      <c r="P858" s="47"/>
      <c r="Q858" s="47"/>
      <c r="R858" s="39"/>
      <c r="S858" s="44"/>
      <c r="T858" s="11" t="str">
        <f aca="false">"16.12.25"</f>
        <v>16.12.25</v>
      </c>
    </row>
    <row r="859" customFormat="false" ht="7.5" hidden="false" customHeight="true" outlineLevel="2" collapsed="false">
      <c r="A859" s="60" t="str">
        <f aca="false">HYPERLINK("https://disk.360.yandex.ru/d/-mNHWS9fDg9DKg","фото")</f>
        <v>фото</v>
      </c>
      <c r="B859" s="49" t="s">
        <v>2944</v>
      </c>
      <c r="C859" s="50" t="s">
        <v>2945</v>
      </c>
      <c r="D859" s="51" t="s">
        <v>2946</v>
      </c>
      <c r="E859" s="52" t="n">
        <f aca="false">I859*(1-J859)*(100-E1)/100</f>
        <v>19834.88</v>
      </c>
      <c r="F859" s="53"/>
      <c r="G859" s="54" t="n">
        <v>1</v>
      </c>
      <c r="H859" s="52" t="n">
        <f aca="false">E859*F859</f>
        <v>0</v>
      </c>
      <c r="I859" s="55" t="n">
        <v>38740</v>
      </c>
      <c r="J859" s="56" t="n">
        <v>0.2</v>
      </c>
      <c r="K859" s="57" t="n">
        <v>0</v>
      </c>
      <c r="L859" s="22" t="s">
        <v>44</v>
      </c>
      <c r="M859" s="22" t="s">
        <v>15</v>
      </c>
      <c r="N859" s="58" t="n">
        <f aca="false">F859*P859</f>
        <v>0</v>
      </c>
      <c r="O859" s="58" t="n">
        <f aca="false">F859*Q859</f>
        <v>0</v>
      </c>
      <c r="P859" s="58" t="n">
        <v>30</v>
      </c>
      <c r="Q859" s="58" t="n">
        <v>0.01</v>
      </c>
      <c r="R859" s="59" t="s">
        <v>2947</v>
      </c>
      <c r="S859" s="22"/>
      <c r="T859" s="11" t="str">
        <f aca="false">"16.12.25"</f>
        <v>16.12.25</v>
      </c>
    </row>
    <row r="860" customFormat="false" ht="7.5" hidden="false" customHeight="true" outlineLevel="2" collapsed="false">
      <c r="A860" s="60" t="str">
        <f aca="false">HYPERLINK("https://disk.360.yandex.ru/d/ZXRFoj26bH602A","фото")</f>
        <v>фото</v>
      </c>
      <c r="B860" s="49" t="s">
        <v>2948</v>
      </c>
      <c r="C860" s="50" t="s">
        <v>2949</v>
      </c>
      <c r="D860" s="51" t="s">
        <v>2950</v>
      </c>
      <c r="E860" s="52" t="n">
        <f aca="false">I860*(1-J860)*(100-E1)/100</f>
        <v>19834.88</v>
      </c>
      <c r="F860" s="53"/>
      <c r="G860" s="54" t="n">
        <v>1</v>
      </c>
      <c r="H860" s="52" t="n">
        <f aca="false">E860*F860</f>
        <v>0</v>
      </c>
      <c r="I860" s="55" t="n">
        <v>38740</v>
      </c>
      <c r="J860" s="56" t="n">
        <v>0.2</v>
      </c>
      <c r="K860" s="57" t="n">
        <v>0</v>
      </c>
      <c r="L860" s="22" t="s">
        <v>53</v>
      </c>
      <c r="M860" s="22"/>
      <c r="N860" s="58" t="n">
        <f aca="false">F860*P860</f>
        <v>0</v>
      </c>
      <c r="O860" s="58" t="n">
        <f aca="false">F860*Q860</f>
        <v>0</v>
      </c>
      <c r="P860" s="58" t="n">
        <v>23.8</v>
      </c>
      <c r="Q860" s="58" t="n">
        <v>0.09</v>
      </c>
      <c r="R860" s="59" t="s">
        <v>2951</v>
      </c>
      <c r="S860" s="22"/>
      <c r="T860" s="11" t="str">
        <f aca="false">"16.12.25"</f>
        <v>16.12.25</v>
      </c>
    </row>
    <row r="861" customFormat="false" ht="7.5" hidden="false" customHeight="true" outlineLevel="1" collapsed="false">
      <c r="A861" s="38"/>
      <c r="B861" s="39"/>
      <c r="C861" s="40" t="s">
        <v>2952</v>
      </c>
      <c r="D861" s="41"/>
      <c r="E861" s="42"/>
      <c r="F861" s="43"/>
      <c r="G861" s="44"/>
      <c r="H861" s="42"/>
      <c r="I861" s="45"/>
      <c r="J861" s="46"/>
      <c r="K861" s="45"/>
      <c r="L861" s="44"/>
      <c r="M861" s="44"/>
      <c r="N861" s="47"/>
      <c r="O861" s="47"/>
      <c r="P861" s="47"/>
      <c r="Q861" s="47"/>
      <c r="R861" s="39"/>
      <c r="S861" s="44"/>
      <c r="T861" s="11" t="str">
        <f aca="false">"16.12.25"</f>
        <v>16.12.25</v>
      </c>
    </row>
    <row r="862" customFormat="false" ht="7.5" hidden="false" customHeight="true" outlineLevel="2" collapsed="false">
      <c r="A862" s="60" t="str">
        <f aca="false">HYPERLINK("https://disk.360.yandex.ru/d/h-jZ1jCWinzV9A","фото")</f>
        <v>фото</v>
      </c>
      <c r="B862" s="49" t="s">
        <v>2953</v>
      </c>
      <c r="C862" s="50" t="s">
        <v>2954</v>
      </c>
      <c r="D862" s="51" t="s">
        <v>2955</v>
      </c>
      <c r="E862" s="52" t="n">
        <f aca="false">I862*(1-J862)*(100-E1)/100</f>
        <v>11745.28</v>
      </c>
      <c r="F862" s="53"/>
      <c r="G862" s="54" t="n">
        <v>1</v>
      </c>
      <c r="H862" s="52" t="n">
        <f aca="false">E862*F862</f>
        <v>0</v>
      </c>
      <c r="I862" s="55" t="n">
        <v>22940</v>
      </c>
      <c r="J862" s="56" t="n">
        <v>0.2</v>
      </c>
      <c r="K862" s="57" t="n">
        <v>51</v>
      </c>
      <c r="L862" s="22" t="s">
        <v>53</v>
      </c>
      <c r="M862" s="22"/>
      <c r="N862" s="58" t="n">
        <f aca="false">F862*P862</f>
        <v>0</v>
      </c>
      <c r="O862" s="58" t="n">
        <f aca="false">F862*Q862</f>
        <v>0</v>
      </c>
      <c r="P862" s="58" t="n">
        <v>27.04</v>
      </c>
      <c r="Q862" s="58" t="n">
        <v>0.11</v>
      </c>
      <c r="R862" s="59" t="s">
        <v>2956</v>
      </c>
      <c r="S862" s="22"/>
      <c r="T862" s="11" t="str">
        <f aca="false">"16.12.25"</f>
        <v>16.12.25</v>
      </c>
    </row>
    <row r="863" customFormat="false" ht="7.5" hidden="false" customHeight="true" outlineLevel="2" collapsed="false">
      <c r="A863" s="60" t="str">
        <f aca="false">HYPERLINK("https://disk.360.yandex.ru/d/LgR05uYi8Kaykw","фото")</f>
        <v>фото</v>
      </c>
      <c r="B863" s="49" t="s">
        <v>2957</v>
      </c>
      <c r="C863" s="50" t="s">
        <v>2958</v>
      </c>
      <c r="D863" s="51" t="s">
        <v>2959</v>
      </c>
      <c r="E863" s="52" t="n">
        <f aca="false">I863*(1-J863)*(100-E1)/100</f>
        <v>33561.6</v>
      </c>
      <c r="F863" s="53"/>
      <c r="G863" s="54" t="n">
        <v>1</v>
      </c>
      <c r="H863" s="52" t="n">
        <f aca="false">E863*F863</f>
        <v>0</v>
      </c>
      <c r="I863" s="55" t="n">
        <v>65550</v>
      </c>
      <c r="J863" s="56" t="n">
        <v>0.2</v>
      </c>
      <c r="K863" s="57" t="n">
        <v>93</v>
      </c>
      <c r="L863" s="22" t="s">
        <v>53</v>
      </c>
      <c r="M863" s="22"/>
      <c r="N863" s="58" t="n">
        <f aca="false">F863*P863</f>
        <v>0</v>
      </c>
      <c r="O863" s="58" t="n">
        <f aca="false">F863*Q863</f>
        <v>0</v>
      </c>
      <c r="P863" s="58" t="n">
        <v>66.1</v>
      </c>
      <c r="Q863" s="58" t="n">
        <v>0.38</v>
      </c>
      <c r="R863" s="59" t="s">
        <v>2960</v>
      </c>
      <c r="S863" s="22"/>
      <c r="T863" s="11" t="str">
        <f aca="false">"16.12.25"</f>
        <v>16.12.25</v>
      </c>
    </row>
    <row r="864" customFormat="false" ht="7.5" hidden="false" customHeight="true" outlineLevel="2" collapsed="false">
      <c r="A864" s="60" t="str">
        <f aca="false">HYPERLINK("https://disk.360.yandex.ru/d/1FuLIOb4dVBeVg","фото")</f>
        <v>фото</v>
      </c>
      <c r="B864" s="49" t="s">
        <v>2961</v>
      </c>
      <c r="C864" s="50" t="s">
        <v>2962</v>
      </c>
      <c r="D864" s="51" t="s">
        <v>2963</v>
      </c>
      <c r="E864" s="52" t="n">
        <f aca="false">I864*(1-J864)*(100-E1)/100</f>
        <v>13946.88</v>
      </c>
      <c r="F864" s="53"/>
      <c r="G864" s="54" t="n">
        <v>1</v>
      </c>
      <c r="H864" s="52" t="n">
        <f aca="false">E864*F864</f>
        <v>0</v>
      </c>
      <c r="I864" s="55" t="n">
        <v>27240</v>
      </c>
      <c r="J864" s="56" t="n">
        <v>0.2</v>
      </c>
      <c r="K864" s="57" t="n">
        <v>17</v>
      </c>
      <c r="L864" s="22" t="s">
        <v>53</v>
      </c>
      <c r="M864" s="22"/>
      <c r="N864" s="58" t="n">
        <f aca="false">F864*P864</f>
        <v>0</v>
      </c>
      <c r="O864" s="58" t="n">
        <f aca="false">F864*Q864</f>
        <v>0</v>
      </c>
      <c r="P864" s="58" t="n">
        <v>19.14</v>
      </c>
      <c r="Q864" s="58" t="n">
        <v>0.06</v>
      </c>
      <c r="R864" s="59" t="s">
        <v>2964</v>
      </c>
      <c r="S864" s="22"/>
      <c r="T864" s="11" t="str">
        <f aca="false">"16.12.25"</f>
        <v>16.12.25</v>
      </c>
    </row>
    <row r="865" customFormat="false" ht="7.5" hidden="false" customHeight="true" outlineLevel="1" collapsed="false">
      <c r="A865" s="38"/>
      <c r="B865" s="39"/>
      <c r="C865" s="40" t="s">
        <v>2965</v>
      </c>
      <c r="D865" s="41"/>
      <c r="E865" s="42"/>
      <c r="F865" s="43"/>
      <c r="G865" s="44"/>
      <c r="H865" s="42"/>
      <c r="I865" s="45"/>
      <c r="J865" s="46"/>
      <c r="K865" s="45"/>
      <c r="L865" s="44"/>
      <c r="M865" s="44"/>
      <c r="N865" s="47"/>
      <c r="O865" s="47"/>
      <c r="P865" s="47"/>
      <c r="Q865" s="47"/>
      <c r="R865" s="39"/>
      <c r="S865" s="44"/>
      <c r="T865" s="11" t="str">
        <f aca="false">"16.12.25"</f>
        <v>16.12.25</v>
      </c>
    </row>
    <row r="866" customFormat="false" ht="7.5" hidden="false" customHeight="true" outlineLevel="2" collapsed="false">
      <c r="A866" s="60" t="str">
        <f aca="false">HYPERLINK("https://disk.360.yandex.ru/d/jIyLNWOC_RwWOg","фото")</f>
        <v>фото</v>
      </c>
      <c r="B866" s="49" t="s">
        <v>2966</v>
      </c>
      <c r="C866" s="50" t="s">
        <v>2967</v>
      </c>
      <c r="D866" s="51" t="s">
        <v>2968</v>
      </c>
      <c r="E866" s="52" t="n">
        <f aca="false">I866*(1-J866)*(100-E1)/100</f>
        <v>1952.96</v>
      </c>
      <c r="F866" s="53"/>
      <c r="G866" s="54" t="n">
        <v>4</v>
      </c>
      <c r="H866" s="52" t="n">
        <f aca="false">E866*F866</f>
        <v>0</v>
      </c>
      <c r="I866" s="55" t="n">
        <v>3590</v>
      </c>
      <c r="J866" s="56" t="n">
        <v>0.15</v>
      </c>
      <c r="K866" s="57" t="n">
        <v>807</v>
      </c>
      <c r="L866" s="22" t="s">
        <v>44</v>
      </c>
      <c r="M866" s="22" t="s">
        <v>15</v>
      </c>
      <c r="N866" s="58" t="n">
        <f aca="false">F866*P866</f>
        <v>0</v>
      </c>
      <c r="O866" s="58" t="n">
        <f aca="false">F866*Q866</f>
        <v>0</v>
      </c>
      <c r="P866" s="58" t="n">
        <v>4.7</v>
      </c>
      <c r="Q866" s="58" t="n">
        <v>0.11</v>
      </c>
      <c r="R866" s="59" t="s">
        <v>2969</v>
      </c>
      <c r="S866" s="22"/>
      <c r="T866" s="11" t="str">
        <f aca="false">"16.12.25"</f>
        <v>16.12.25</v>
      </c>
    </row>
    <row r="867" customFormat="false" ht="7.5" hidden="false" customHeight="true" outlineLevel="2" collapsed="false">
      <c r="A867" s="60" t="str">
        <f aca="false">HYPERLINK("https://disk.360.yandex.ru/d/p1_fH02hu_QnoQ","фото")</f>
        <v>фото</v>
      </c>
      <c r="B867" s="49" t="s">
        <v>2970</v>
      </c>
      <c r="C867" s="50" t="s">
        <v>2971</v>
      </c>
      <c r="D867" s="51" t="s">
        <v>2972</v>
      </c>
      <c r="E867" s="52" t="n">
        <f aca="false">I867*(1-J867)*(100-E1)/100</f>
        <v>2088.96</v>
      </c>
      <c r="F867" s="53"/>
      <c r="G867" s="54" t="n">
        <v>4</v>
      </c>
      <c r="H867" s="52" t="n">
        <f aca="false">E867*F867</f>
        <v>0</v>
      </c>
      <c r="I867" s="55" t="n">
        <v>3840</v>
      </c>
      <c r="J867" s="56" t="n">
        <v>0.15</v>
      </c>
      <c r="K867" s="57" t="n">
        <v>851</v>
      </c>
      <c r="L867" s="22" t="s">
        <v>44</v>
      </c>
      <c r="M867" s="22" t="s">
        <v>15</v>
      </c>
      <c r="N867" s="58" t="n">
        <f aca="false">F867*P867</f>
        <v>0</v>
      </c>
      <c r="O867" s="58" t="n">
        <f aca="false">F867*Q867</f>
        <v>0</v>
      </c>
      <c r="P867" s="58" t="n">
        <v>4.87</v>
      </c>
      <c r="Q867" s="58" t="n">
        <v>0.015</v>
      </c>
      <c r="R867" s="59" t="s">
        <v>2973</v>
      </c>
      <c r="S867" s="22"/>
      <c r="T867" s="11" t="str">
        <f aca="false">"16.12.25"</f>
        <v>16.12.25</v>
      </c>
    </row>
    <row r="868" customFormat="false" ht="7.5" hidden="false" customHeight="true" outlineLevel="2" collapsed="false">
      <c r="A868" s="60" t="str">
        <f aca="false">HYPERLINK("https://disk.yandex.ru/d/aKAXY6xafTCV3g","фото")</f>
        <v>фото</v>
      </c>
      <c r="B868" s="49" t="s">
        <v>2974</v>
      </c>
      <c r="C868" s="50" t="s">
        <v>2975</v>
      </c>
      <c r="D868" s="51" t="s">
        <v>2976</v>
      </c>
      <c r="E868" s="52" t="n">
        <f aca="false">I868*(1-J868)*(100-E1)/100</f>
        <v>3829.76</v>
      </c>
      <c r="F868" s="53"/>
      <c r="G868" s="54" t="n">
        <v>1</v>
      </c>
      <c r="H868" s="52" t="n">
        <f aca="false">E868*F868</f>
        <v>0</v>
      </c>
      <c r="I868" s="55" t="n">
        <v>7040</v>
      </c>
      <c r="J868" s="56" t="n">
        <v>0.15</v>
      </c>
      <c r="K868" s="57" t="n">
        <v>393</v>
      </c>
      <c r="L868" s="22" t="s">
        <v>44</v>
      </c>
      <c r="M868" s="22" t="s">
        <v>15</v>
      </c>
      <c r="N868" s="58" t="n">
        <f aca="false">F868*P868</f>
        <v>0</v>
      </c>
      <c r="O868" s="58" t="n">
        <f aca="false">F868*Q868</f>
        <v>0</v>
      </c>
      <c r="P868" s="58" t="n">
        <v>9.6</v>
      </c>
      <c r="Q868" s="58" t="n">
        <v>0.026</v>
      </c>
      <c r="R868" s="59" t="s">
        <v>2977</v>
      </c>
      <c r="S868" s="22"/>
      <c r="T868" s="11" t="str">
        <f aca="false">"16.12.25"</f>
        <v>16.12.25</v>
      </c>
    </row>
    <row r="869" customFormat="false" ht="7.5" hidden="false" customHeight="true" outlineLevel="2" collapsed="false">
      <c r="A869" s="60" t="str">
        <f aca="false">HYPERLINK("https://disk.360.yandex.ru/d/7VN3DcITxusnfw","фото")</f>
        <v>фото</v>
      </c>
      <c r="B869" s="49" t="s">
        <v>2978</v>
      </c>
      <c r="C869" s="50" t="s">
        <v>2979</v>
      </c>
      <c r="D869" s="51" t="s">
        <v>2980</v>
      </c>
      <c r="E869" s="52" t="n">
        <f aca="false">I869*(1-J869)*(100-E1)/100</f>
        <v>2257.6</v>
      </c>
      <c r="F869" s="53"/>
      <c r="G869" s="54" t="n">
        <v>1</v>
      </c>
      <c r="H869" s="52" t="n">
        <f aca="false">E869*F869</f>
        <v>0</v>
      </c>
      <c r="I869" s="55" t="n">
        <v>4150</v>
      </c>
      <c r="J869" s="56" t="n">
        <v>0.15</v>
      </c>
      <c r="K869" s="57" t="n">
        <v>306</v>
      </c>
      <c r="L869" s="22" t="s">
        <v>53</v>
      </c>
      <c r="M869" s="22"/>
      <c r="N869" s="58" t="n">
        <f aca="false">F869*P869</f>
        <v>0</v>
      </c>
      <c r="O869" s="58" t="n">
        <f aca="false">F869*Q869</f>
        <v>0</v>
      </c>
      <c r="P869" s="58" t="n">
        <v>4.73</v>
      </c>
      <c r="Q869" s="58" t="n">
        <v>0.011</v>
      </c>
      <c r="R869" s="59" t="s">
        <v>2981</v>
      </c>
      <c r="S869" s="22"/>
      <c r="T869" s="11" t="str">
        <f aca="false">"16.12.25"</f>
        <v>16.12.25</v>
      </c>
    </row>
    <row r="870" customFormat="false" ht="7.5" hidden="false" customHeight="true" outlineLevel="2" collapsed="false">
      <c r="A870" s="60" t="str">
        <f aca="false">HYPERLINK("https://disk.360.yandex.ru/d/AU1ay1RQEbIOBw","фото")</f>
        <v>фото</v>
      </c>
      <c r="B870" s="49" t="s">
        <v>2982</v>
      </c>
      <c r="C870" s="50" t="s">
        <v>2983</v>
      </c>
      <c r="D870" s="51" t="s">
        <v>2984</v>
      </c>
      <c r="E870" s="52" t="n">
        <f aca="false">I870*(1-J870)*(100-E1)/100</f>
        <v>2752.64</v>
      </c>
      <c r="F870" s="53"/>
      <c r="G870" s="54" t="n">
        <v>1</v>
      </c>
      <c r="H870" s="52" t="n">
        <f aca="false">E870*F870</f>
        <v>0</v>
      </c>
      <c r="I870" s="55" t="n">
        <v>5060</v>
      </c>
      <c r="J870" s="56" t="n">
        <v>0.15</v>
      </c>
      <c r="K870" s="57" t="n">
        <v>238</v>
      </c>
      <c r="L870" s="22" t="s">
        <v>53</v>
      </c>
      <c r="M870" s="22"/>
      <c r="N870" s="58" t="n">
        <f aca="false">F870*P870</f>
        <v>0</v>
      </c>
      <c r="O870" s="58" t="n">
        <f aca="false">F870*Q870</f>
        <v>0</v>
      </c>
      <c r="P870" s="58" t="n">
        <v>6.72</v>
      </c>
      <c r="Q870" s="58" t="n">
        <v>0.018</v>
      </c>
      <c r="R870" s="59" t="s">
        <v>2985</v>
      </c>
      <c r="S870" s="22"/>
      <c r="T870" s="11" t="str">
        <f aca="false">"16.12.25"</f>
        <v>16.12.25</v>
      </c>
    </row>
    <row r="871" customFormat="false" ht="7.5" hidden="false" customHeight="true" outlineLevel="2" collapsed="false">
      <c r="A871" s="60" t="str">
        <f aca="false">HYPERLINK("https://disk.360.yandex.ru/d/T90vUFZH23F_6w","фото")</f>
        <v>фото</v>
      </c>
      <c r="B871" s="49" t="s">
        <v>2986</v>
      </c>
      <c r="C871" s="50" t="s">
        <v>2987</v>
      </c>
      <c r="D871" s="51" t="s">
        <v>2988</v>
      </c>
      <c r="E871" s="52" t="n">
        <f aca="false">I871*(1-J871)*(100-E1)/100</f>
        <v>4131.84</v>
      </c>
      <c r="F871" s="53"/>
      <c r="G871" s="54" t="n">
        <v>1</v>
      </c>
      <c r="H871" s="52" t="n">
        <f aca="false">E871*F871</f>
        <v>0</v>
      </c>
      <c r="I871" s="55" t="n">
        <v>8070</v>
      </c>
      <c r="J871" s="56" t="n">
        <v>0.2</v>
      </c>
      <c r="K871" s="57" t="n">
        <v>132</v>
      </c>
      <c r="L871" s="22" t="s">
        <v>53</v>
      </c>
      <c r="M871" s="22"/>
      <c r="N871" s="58" t="n">
        <f aca="false">F871*P871</f>
        <v>0</v>
      </c>
      <c r="O871" s="58" t="n">
        <f aca="false">F871*Q871</f>
        <v>0</v>
      </c>
      <c r="P871" s="58" t="n">
        <v>6.72</v>
      </c>
      <c r="Q871" s="58" t="n">
        <v>0.018</v>
      </c>
      <c r="R871" s="59" t="s">
        <v>2989</v>
      </c>
      <c r="S871" s="22"/>
      <c r="T871" s="11" t="str">
        <f aca="false">"16.12.25"</f>
        <v>16.12.25</v>
      </c>
    </row>
    <row r="872" customFormat="false" ht="7.5" hidden="false" customHeight="true" outlineLevel="2" collapsed="false">
      <c r="A872" s="60" t="str">
        <f aca="false">HYPERLINK("https://disk.360.yandex.ru/d/tzM5NiPXmPG_IQ","фото")</f>
        <v>фото</v>
      </c>
      <c r="B872" s="49" t="s">
        <v>2990</v>
      </c>
      <c r="C872" s="50" t="s">
        <v>2991</v>
      </c>
      <c r="D872" s="51" t="s">
        <v>2992</v>
      </c>
      <c r="E872" s="52" t="n">
        <f aca="false">I872*(1-J872)*(100-E1)/100</f>
        <v>3100.8</v>
      </c>
      <c r="F872" s="53"/>
      <c r="G872" s="54" t="n">
        <v>1</v>
      </c>
      <c r="H872" s="52" t="n">
        <f aca="false">E872*F872</f>
        <v>0</v>
      </c>
      <c r="I872" s="55" t="n">
        <v>5700</v>
      </c>
      <c r="J872" s="56" t="n">
        <v>0.15</v>
      </c>
      <c r="K872" s="57" t="n">
        <v>0</v>
      </c>
      <c r="L872" s="22" t="s">
        <v>53</v>
      </c>
      <c r="M872" s="22"/>
      <c r="N872" s="58" t="n">
        <f aca="false">F872*P872</f>
        <v>0</v>
      </c>
      <c r="O872" s="58" t="n">
        <f aca="false">F872*Q872</f>
        <v>0</v>
      </c>
      <c r="P872" s="58" t="n">
        <v>9.71</v>
      </c>
      <c r="Q872" s="58" t="n">
        <v>0.028</v>
      </c>
      <c r="R872" s="59" t="s">
        <v>2993</v>
      </c>
      <c r="S872" s="22"/>
      <c r="T872" s="11" t="str">
        <f aca="false">"16.12.25"</f>
        <v>16.12.25</v>
      </c>
    </row>
    <row r="873" customFormat="false" ht="7.5" hidden="false" customHeight="true" outlineLevel="2" collapsed="false">
      <c r="A873" s="60" t="str">
        <f aca="false">HYPERLINK("https://disk.360.yandex.ru/d/FcMMJXKiJrgeLg","фото")</f>
        <v>фото</v>
      </c>
      <c r="B873" s="49" t="s">
        <v>2994</v>
      </c>
      <c r="C873" s="50" t="s">
        <v>2995</v>
      </c>
      <c r="D873" s="51" t="s">
        <v>2996</v>
      </c>
      <c r="E873" s="52" t="n">
        <f aca="false">I873*(1-J873)*(100-E1)/100</f>
        <v>3225.92</v>
      </c>
      <c r="F873" s="53"/>
      <c r="G873" s="54" t="n">
        <v>1</v>
      </c>
      <c r="H873" s="52" t="n">
        <f aca="false">E873*F873</f>
        <v>0</v>
      </c>
      <c r="I873" s="55" t="n">
        <v>5930</v>
      </c>
      <c r="J873" s="56" t="n">
        <v>0.15</v>
      </c>
      <c r="K873" s="57" t="n">
        <v>408</v>
      </c>
      <c r="L873" s="22" t="s">
        <v>53</v>
      </c>
      <c r="M873" s="22"/>
      <c r="N873" s="58" t="n">
        <f aca="false">F873*P873</f>
        <v>0</v>
      </c>
      <c r="O873" s="58" t="n">
        <f aca="false">F873*Q873</f>
        <v>0</v>
      </c>
      <c r="P873" s="58" t="n">
        <v>2.9</v>
      </c>
      <c r="Q873" s="58" t="n">
        <v>0.01</v>
      </c>
      <c r="R873" s="59" t="s">
        <v>2997</v>
      </c>
      <c r="S873" s="22"/>
      <c r="T873" s="11" t="str">
        <f aca="false">"16.12.25"</f>
        <v>16.12.25</v>
      </c>
    </row>
    <row r="874" customFormat="false" ht="7.5" hidden="false" customHeight="true" outlineLevel="1" collapsed="false">
      <c r="A874" s="38"/>
      <c r="B874" s="39"/>
      <c r="C874" s="40" t="s">
        <v>2998</v>
      </c>
      <c r="D874" s="41"/>
      <c r="E874" s="42"/>
      <c r="F874" s="43"/>
      <c r="G874" s="44"/>
      <c r="H874" s="42"/>
      <c r="I874" s="45"/>
      <c r="J874" s="46"/>
      <c r="K874" s="45"/>
      <c r="L874" s="44"/>
      <c r="M874" s="44"/>
      <c r="N874" s="47"/>
      <c r="O874" s="47"/>
      <c r="P874" s="47"/>
      <c r="Q874" s="47"/>
      <c r="R874" s="39"/>
      <c r="S874" s="44"/>
      <c r="T874" s="11" t="str">
        <f aca="false">"16.12.25"</f>
        <v>16.12.25</v>
      </c>
    </row>
    <row r="875" customFormat="false" ht="7.5" hidden="false" customHeight="true" outlineLevel="2" collapsed="false">
      <c r="A875" s="60" t="str">
        <f aca="false">HYPERLINK("https://disk.360.yandex.ru/d/YCkjl8QJY3uOxQ","фото")</f>
        <v>фото</v>
      </c>
      <c r="B875" s="49" t="s">
        <v>2999</v>
      </c>
      <c r="C875" s="50" t="s">
        <v>3000</v>
      </c>
      <c r="D875" s="51"/>
      <c r="E875" s="52" t="n">
        <f aca="false">I875*(1-J875)*(100-E1)/100</f>
        <v>14361.6</v>
      </c>
      <c r="F875" s="53"/>
      <c r="G875" s="54" t="n">
        <v>1</v>
      </c>
      <c r="H875" s="52" t="n">
        <f aca="false">E875*F875</f>
        <v>0</v>
      </c>
      <c r="I875" s="55" t="n">
        <v>28050</v>
      </c>
      <c r="J875" s="56" t="n">
        <v>0.2</v>
      </c>
      <c r="K875" s="57" t="n">
        <v>0</v>
      </c>
      <c r="L875" s="22" t="s">
        <v>53</v>
      </c>
      <c r="M875" s="22"/>
      <c r="N875" s="58" t="n">
        <f aca="false">F875*P875</f>
        <v>0</v>
      </c>
      <c r="O875" s="58" t="n">
        <f aca="false">F875*Q875</f>
        <v>0</v>
      </c>
      <c r="P875" s="58" t="n">
        <v>24</v>
      </c>
      <c r="Q875" s="58" t="n">
        <v>0.051</v>
      </c>
      <c r="R875" s="59" t="s">
        <v>3001</v>
      </c>
      <c r="S875" s="22"/>
      <c r="T875" s="11" t="str">
        <f aca="false">"16.12.25"</f>
        <v>16.12.25</v>
      </c>
    </row>
    <row r="876" customFormat="false" ht="7.5" hidden="false" customHeight="true" outlineLevel="2" collapsed="false">
      <c r="A876" s="60" t="str">
        <f aca="false">HYPERLINK("https://disk.360.yandex.ru/d/aD7X9i69BpKjFQ","фото")</f>
        <v>фото</v>
      </c>
      <c r="B876" s="49" t="s">
        <v>3002</v>
      </c>
      <c r="C876" s="50" t="s">
        <v>3003</v>
      </c>
      <c r="D876" s="51" t="s">
        <v>3004</v>
      </c>
      <c r="E876" s="52" t="n">
        <f aca="false">I876*(1-J876)*(100-E1)/100</f>
        <v>14083.2</v>
      </c>
      <c r="F876" s="53"/>
      <c r="G876" s="54" t="n">
        <v>1</v>
      </c>
      <c r="H876" s="52" t="n">
        <f aca="false">E876*F876</f>
        <v>0</v>
      </c>
      <c r="I876" s="55" t="n">
        <v>29340</v>
      </c>
      <c r="J876" s="56" t="n">
        <v>0.25</v>
      </c>
      <c r="K876" s="57" t="n">
        <v>35</v>
      </c>
      <c r="L876" s="22" t="s">
        <v>53</v>
      </c>
      <c r="M876" s="22" t="s">
        <v>15</v>
      </c>
      <c r="N876" s="58" t="n">
        <f aca="false">F876*P876</f>
        <v>0</v>
      </c>
      <c r="O876" s="58" t="n">
        <f aca="false">F876*Q876</f>
        <v>0</v>
      </c>
      <c r="P876" s="58" t="n">
        <v>22</v>
      </c>
      <c r="Q876" s="58" t="n">
        <v>0.06</v>
      </c>
      <c r="R876" s="59" t="s">
        <v>3005</v>
      </c>
      <c r="S876" s="22"/>
      <c r="T876" s="11" t="str">
        <f aca="false">"16.12.25"</f>
        <v>16.12.25</v>
      </c>
    </row>
    <row r="877" customFormat="false" ht="7.5" hidden="false" customHeight="true" outlineLevel="0" collapsed="false">
      <c r="A877" s="28"/>
      <c r="B877" s="29"/>
      <c r="C877" s="30" t="s">
        <v>3006</v>
      </c>
      <c r="D877" s="31"/>
      <c r="E877" s="32"/>
      <c r="F877" s="33"/>
      <c r="G877" s="34"/>
      <c r="H877" s="32"/>
      <c r="I877" s="35"/>
      <c r="J877" s="36"/>
      <c r="K877" s="35"/>
      <c r="L877" s="34"/>
      <c r="M877" s="34"/>
      <c r="N877" s="37"/>
      <c r="O877" s="37"/>
      <c r="P877" s="37"/>
      <c r="Q877" s="37"/>
      <c r="R877" s="29"/>
      <c r="S877" s="34"/>
      <c r="T877" s="11" t="str">
        <f aca="false">"16.12.25"</f>
        <v>16.12.25</v>
      </c>
    </row>
    <row r="878" customFormat="false" ht="7.5" hidden="false" customHeight="true" outlineLevel="1" collapsed="false">
      <c r="A878" s="38"/>
      <c r="B878" s="39"/>
      <c r="C878" s="40" t="s">
        <v>3007</v>
      </c>
      <c r="D878" s="41"/>
      <c r="E878" s="42"/>
      <c r="F878" s="43"/>
      <c r="G878" s="44"/>
      <c r="H878" s="42"/>
      <c r="I878" s="45"/>
      <c r="J878" s="46"/>
      <c r="K878" s="45"/>
      <c r="L878" s="44"/>
      <c r="M878" s="44"/>
      <c r="N878" s="47"/>
      <c r="O878" s="47"/>
      <c r="P878" s="47"/>
      <c r="Q878" s="47"/>
      <c r="R878" s="39"/>
      <c r="S878" s="44"/>
      <c r="T878" s="11" t="str">
        <f aca="false">"16.12.25"</f>
        <v>16.12.25</v>
      </c>
    </row>
    <row r="879" customFormat="false" ht="7.5" hidden="false" customHeight="true" outlineLevel="2" collapsed="false">
      <c r="A879" s="60" t="str">
        <f aca="false">HYPERLINK("https://disk.360.yandex.ru/d/gtH1GZTYHx6Edw","фото")</f>
        <v>фото</v>
      </c>
      <c r="B879" s="49" t="s">
        <v>3008</v>
      </c>
      <c r="C879" s="50" t="s">
        <v>3009</v>
      </c>
      <c r="D879" s="51" t="s">
        <v>3010</v>
      </c>
      <c r="E879" s="52" t="n">
        <f aca="false">I879*(1-J879)*(100-E1)/100</f>
        <v>5978.56</v>
      </c>
      <c r="F879" s="53"/>
      <c r="G879" s="54" t="n">
        <v>1</v>
      </c>
      <c r="H879" s="52" t="n">
        <f aca="false">E879*F879</f>
        <v>0</v>
      </c>
      <c r="I879" s="55" t="n">
        <v>10990</v>
      </c>
      <c r="J879" s="56" t="n">
        <v>0.15</v>
      </c>
      <c r="K879" s="57" t="n">
        <v>0</v>
      </c>
      <c r="L879" s="22" t="s">
        <v>44</v>
      </c>
      <c r="M879" s="22" t="s">
        <v>15</v>
      </c>
      <c r="N879" s="58" t="n">
        <f aca="false">F879*P879</f>
        <v>0</v>
      </c>
      <c r="O879" s="58" t="n">
        <f aca="false">F879*Q879</f>
        <v>0</v>
      </c>
      <c r="P879" s="58" t="n">
        <v>8.35</v>
      </c>
      <c r="Q879" s="58" t="n">
        <v>0.05</v>
      </c>
      <c r="R879" s="59" t="s">
        <v>3011</v>
      </c>
      <c r="S879" s="22"/>
      <c r="T879" s="11" t="str">
        <f aca="false">"16.12.25"</f>
        <v>16.12.25</v>
      </c>
    </row>
    <row r="880" customFormat="false" ht="7.5" hidden="false" customHeight="true" outlineLevel="2" collapsed="false">
      <c r="A880" s="60" t="str">
        <f aca="false">HYPERLINK("https://disk.360.yandex.ru/d/QQP4L9R50TbMGA","фото")</f>
        <v>фото</v>
      </c>
      <c r="B880" s="49" t="s">
        <v>3012</v>
      </c>
      <c r="C880" s="50" t="s">
        <v>3013</v>
      </c>
      <c r="D880" s="51" t="s">
        <v>3010</v>
      </c>
      <c r="E880" s="52" t="n">
        <f aca="false">I880*(1-J880)*(100-E1)/100</f>
        <v>6500.8</v>
      </c>
      <c r="F880" s="53"/>
      <c r="G880" s="54" t="n">
        <v>1</v>
      </c>
      <c r="H880" s="52" t="n">
        <f aca="false">E880*F880</f>
        <v>0</v>
      </c>
      <c r="I880" s="55" t="n">
        <v>11950</v>
      </c>
      <c r="J880" s="56" t="n">
        <v>0.15</v>
      </c>
      <c r="K880" s="57" t="n">
        <v>0</v>
      </c>
      <c r="L880" s="22" t="s">
        <v>44</v>
      </c>
      <c r="M880" s="22" t="s">
        <v>15</v>
      </c>
      <c r="N880" s="58" t="n">
        <f aca="false">F880*P880</f>
        <v>0</v>
      </c>
      <c r="O880" s="58" t="n">
        <f aca="false">F880*Q880</f>
        <v>0</v>
      </c>
      <c r="P880" s="58" t="n">
        <v>8.55</v>
      </c>
      <c r="Q880" s="58" t="n">
        <v>0.055</v>
      </c>
      <c r="R880" s="59" t="s">
        <v>3014</v>
      </c>
      <c r="S880" s="22"/>
      <c r="T880" s="11" t="str">
        <f aca="false">"16.12.25"</f>
        <v>16.12.25</v>
      </c>
    </row>
    <row r="881" customFormat="false" ht="7.5" hidden="false" customHeight="true" outlineLevel="2" collapsed="false">
      <c r="A881" s="60" t="str">
        <f aca="false">HYPERLINK("https://disk.360.yandex.ru/d/O3Xvyb5qUG0tfA","фото")</f>
        <v>фото</v>
      </c>
      <c r="B881" s="49" t="s">
        <v>3015</v>
      </c>
      <c r="C881" s="50" t="s">
        <v>3016</v>
      </c>
      <c r="D881" s="51" t="s">
        <v>3010</v>
      </c>
      <c r="E881" s="52" t="n">
        <f aca="false">I881*(1-J881)*(100-E1)/100</f>
        <v>5978.56</v>
      </c>
      <c r="F881" s="53"/>
      <c r="G881" s="54" t="n">
        <v>1</v>
      </c>
      <c r="H881" s="52" t="n">
        <f aca="false">E881*F881</f>
        <v>0</v>
      </c>
      <c r="I881" s="55" t="n">
        <v>10990</v>
      </c>
      <c r="J881" s="56" t="n">
        <v>0.15</v>
      </c>
      <c r="K881" s="57" t="n">
        <v>0</v>
      </c>
      <c r="L881" s="22" t="s">
        <v>44</v>
      </c>
      <c r="M881" s="22"/>
      <c r="N881" s="58" t="n">
        <f aca="false">F881*P881</f>
        <v>0</v>
      </c>
      <c r="O881" s="58" t="n">
        <f aca="false">F881*Q881</f>
        <v>0</v>
      </c>
      <c r="P881" s="58" t="n">
        <v>8.35</v>
      </c>
      <c r="Q881" s="58" t="n">
        <v>0.05</v>
      </c>
      <c r="R881" s="59" t="s">
        <v>3017</v>
      </c>
      <c r="S881" s="22"/>
      <c r="T881" s="11" t="str">
        <f aca="false">"16.12.25"</f>
        <v>16.12.25</v>
      </c>
    </row>
    <row r="882" customFormat="false" ht="7.5" hidden="false" customHeight="true" outlineLevel="2" collapsed="false">
      <c r="A882" s="60" t="str">
        <f aca="false">HYPERLINK("https://disk.360.yandex.ru/i/ttKpvI0XQl6gUQ","фото")</f>
        <v>фото</v>
      </c>
      <c r="B882" s="49" t="s">
        <v>3018</v>
      </c>
      <c r="C882" s="50" t="s">
        <v>3019</v>
      </c>
      <c r="D882" s="51" t="s">
        <v>3010</v>
      </c>
      <c r="E882" s="52" t="n">
        <f aca="false">I882*(1-J882)*(100-E1)/100</f>
        <v>5978.56</v>
      </c>
      <c r="F882" s="53"/>
      <c r="G882" s="54" t="n">
        <v>1</v>
      </c>
      <c r="H882" s="52" t="n">
        <f aca="false">E882*F882</f>
        <v>0</v>
      </c>
      <c r="I882" s="55" t="n">
        <v>10990</v>
      </c>
      <c r="J882" s="56" t="n">
        <v>0.15</v>
      </c>
      <c r="K882" s="57" t="n">
        <v>89</v>
      </c>
      <c r="L882" s="22" t="s">
        <v>53</v>
      </c>
      <c r="M882" s="22"/>
      <c r="N882" s="58" t="n">
        <f aca="false">F882*P882</f>
        <v>0</v>
      </c>
      <c r="O882" s="58" t="n">
        <f aca="false">F882*Q882</f>
        <v>0</v>
      </c>
      <c r="P882" s="58" t="n">
        <v>8.35</v>
      </c>
      <c r="Q882" s="58" t="n">
        <v>0.05</v>
      </c>
      <c r="R882" s="59" t="s">
        <v>3020</v>
      </c>
      <c r="S882" s="22"/>
      <c r="T882" s="11" t="str">
        <f aca="false">"16.12.25"</f>
        <v>16.12.25</v>
      </c>
    </row>
    <row r="883" customFormat="false" ht="7.5" hidden="false" customHeight="true" outlineLevel="1" collapsed="false">
      <c r="A883" s="38"/>
      <c r="B883" s="39"/>
      <c r="C883" s="40" t="s">
        <v>3021</v>
      </c>
      <c r="D883" s="41"/>
      <c r="E883" s="42"/>
      <c r="F883" s="43"/>
      <c r="G883" s="44"/>
      <c r="H883" s="42"/>
      <c r="I883" s="45"/>
      <c r="J883" s="46"/>
      <c r="K883" s="45"/>
      <c r="L883" s="44"/>
      <c r="M883" s="44"/>
      <c r="N883" s="47"/>
      <c r="O883" s="47"/>
      <c r="P883" s="47"/>
      <c r="Q883" s="47"/>
      <c r="R883" s="39"/>
      <c r="S883" s="44"/>
      <c r="T883" s="11" t="str">
        <f aca="false">"16.12.25"</f>
        <v>16.12.25</v>
      </c>
    </row>
    <row r="884" customFormat="false" ht="7.5" hidden="false" customHeight="true" outlineLevel="2" collapsed="false">
      <c r="A884" s="60" t="str">
        <f aca="false">HYPERLINK("https://disk.yandex.ru/d/LpMWobpxsaLj1g","фото")</f>
        <v>фото</v>
      </c>
      <c r="B884" s="49" t="s">
        <v>3022</v>
      </c>
      <c r="C884" s="50" t="s">
        <v>3023</v>
      </c>
      <c r="D884" s="51" t="s">
        <v>3024</v>
      </c>
      <c r="E884" s="52" t="n">
        <f aca="false">I884*(1-J884)*(100-E1)/100</f>
        <v>10972.48</v>
      </c>
      <c r="F884" s="53"/>
      <c r="G884" s="54" t="n">
        <v>1</v>
      </c>
      <c r="H884" s="52" t="n">
        <f aca="false">E884*F884</f>
        <v>0</v>
      </c>
      <c r="I884" s="55" t="n">
        <v>20170</v>
      </c>
      <c r="J884" s="56" t="n">
        <v>0.15</v>
      </c>
      <c r="K884" s="57" t="n">
        <v>872</v>
      </c>
      <c r="L884" s="22" t="s">
        <v>44</v>
      </c>
      <c r="M884" s="22" t="s">
        <v>15</v>
      </c>
      <c r="N884" s="58" t="n">
        <f aca="false">F884*P884</f>
        <v>0</v>
      </c>
      <c r="O884" s="58" t="n">
        <f aca="false">F884*Q884</f>
        <v>0</v>
      </c>
      <c r="P884" s="58" t="n">
        <v>16</v>
      </c>
      <c r="Q884" s="58" t="n">
        <v>0.121</v>
      </c>
      <c r="R884" s="59" t="s">
        <v>3025</v>
      </c>
      <c r="S884" s="22"/>
      <c r="T884" s="11" t="str">
        <f aca="false">"16.12.25"</f>
        <v>16.12.25</v>
      </c>
    </row>
    <row r="885" customFormat="false" ht="7.5" hidden="false" customHeight="true" outlineLevel="2" collapsed="false">
      <c r="A885" s="60" t="str">
        <f aca="false">HYPERLINK("https://disk.yandex.ru/d/PpMVejRrnqO2ig","фото")</f>
        <v>фото</v>
      </c>
      <c r="B885" s="49" t="s">
        <v>3026</v>
      </c>
      <c r="C885" s="50" t="s">
        <v>3027</v>
      </c>
      <c r="D885" s="51" t="s">
        <v>3028</v>
      </c>
      <c r="E885" s="52" t="n">
        <f aca="false">I885*(1-J885)*(100-E1)/100</f>
        <v>12920</v>
      </c>
      <c r="F885" s="53"/>
      <c r="G885" s="54" t="n">
        <v>1</v>
      </c>
      <c r="H885" s="52" t="n">
        <f aca="false">E885*F885</f>
        <v>0</v>
      </c>
      <c r="I885" s="55" t="n">
        <v>23750</v>
      </c>
      <c r="J885" s="56" t="n">
        <v>0.15</v>
      </c>
      <c r="K885" s="57" t="n">
        <v>569</v>
      </c>
      <c r="L885" s="22" t="s">
        <v>44</v>
      </c>
      <c r="M885" s="22" t="s">
        <v>15</v>
      </c>
      <c r="N885" s="58" t="n">
        <f aca="false">F885*P885</f>
        <v>0</v>
      </c>
      <c r="O885" s="58" t="n">
        <f aca="false">F885*Q885</f>
        <v>0</v>
      </c>
      <c r="P885" s="58" t="n">
        <v>22.9</v>
      </c>
      <c r="Q885" s="58" t="n">
        <v>0.152</v>
      </c>
      <c r="R885" s="59" t="s">
        <v>3029</v>
      </c>
      <c r="S885" s="22"/>
      <c r="T885" s="11" t="str">
        <f aca="false">"16.12.25"</f>
        <v>16.12.25</v>
      </c>
    </row>
    <row r="886" customFormat="false" ht="7.5" hidden="false" customHeight="true" outlineLevel="2" collapsed="false">
      <c r="A886" s="60" t="str">
        <f aca="false">HYPERLINK("https://disk.yandex.ru/d/NAKOrJzViNpqPw","фото")</f>
        <v>фото</v>
      </c>
      <c r="B886" s="49" t="s">
        <v>3030</v>
      </c>
      <c r="C886" s="50" t="s">
        <v>3031</v>
      </c>
      <c r="D886" s="51" t="s">
        <v>3032</v>
      </c>
      <c r="E886" s="52" t="n">
        <f aca="false">I886*(1-J886)*(100-E1)/100</f>
        <v>16390.72</v>
      </c>
      <c r="F886" s="53"/>
      <c r="G886" s="54" t="n">
        <v>1</v>
      </c>
      <c r="H886" s="52" t="n">
        <f aca="false">E886*F886</f>
        <v>0</v>
      </c>
      <c r="I886" s="55" t="n">
        <v>30130</v>
      </c>
      <c r="J886" s="56" t="n">
        <v>0.15</v>
      </c>
      <c r="K886" s="57" t="n">
        <v>105</v>
      </c>
      <c r="L886" s="22" t="s">
        <v>44</v>
      </c>
      <c r="M886" s="22" t="s">
        <v>15</v>
      </c>
      <c r="N886" s="58" t="n">
        <f aca="false">F886*P886</f>
        <v>0</v>
      </c>
      <c r="O886" s="58" t="n">
        <f aca="false">F886*Q886</f>
        <v>0</v>
      </c>
      <c r="P886" s="58" t="n">
        <v>29.1</v>
      </c>
      <c r="Q886" s="58" t="n">
        <v>0.223</v>
      </c>
      <c r="R886" s="59" t="s">
        <v>3033</v>
      </c>
      <c r="S886" s="22"/>
      <c r="T886" s="11" t="str">
        <f aca="false">"16.12.25"</f>
        <v>16.12.25</v>
      </c>
    </row>
    <row r="887" customFormat="false" ht="7.5" hidden="false" customHeight="true" outlineLevel="2" collapsed="false">
      <c r="A887" s="60" t="str">
        <f aca="false">HYPERLINK("https://disk.360.yandex.ru/d/IIegfUMtclM_Sg","фото")</f>
        <v>фото</v>
      </c>
      <c r="B887" s="49" t="s">
        <v>3034</v>
      </c>
      <c r="C887" s="50" t="s">
        <v>3035</v>
      </c>
      <c r="D887" s="51" t="s">
        <v>3036</v>
      </c>
      <c r="E887" s="52" t="n">
        <f aca="false">I887*(1-J887)*(100-E1)/100</f>
        <v>10972.48</v>
      </c>
      <c r="F887" s="53"/>
      <c r="G887" s="54" t="n">
        <v>1</v>
      </c>
      <c r="H887" s="52" t="n">
        <f aca="false">E887*F887</f>
        <v>0</v>
      </c>
      <c r="I887" s="55" t="n">
        <v>20170</v>
      </c>
      <c r="J887" s="56" t="n">
        <v>0.15</v>
      </c>
      <c r="K887" s="57" t="n">
        <v>835</v>
      </c>
      <c r="L887" s="22" t="s">
        <v>53</v>
      </c>
      <c r="M887" s="22" t="s">
        <v>152</v>
      </c>
      <c r="N887" s="58" t="n">
        <f aca="false">F887*P887</f>
        <v>0</v>
      </c>
      <c r="O887" s="58" t="n">
        <f aca="false">F887*Q887</f>
        <v>0</v>
      </c>
      <c r="P887" s="58" t="n">
        <v>17.6</v>
      </c>
      <c r="Q887" s="58" t="n">
        <v>0.12</v>
      </c>
      <c r="R887" s="59" t="s">
        <v>3037</v>
      </c>
      <c r="S887" s="22"/>
      <c r="T887" s="11" t="str">
        <f aca="false">"16.12.25"</f>
        <v>16.12.25</v>
      </c>
    </row>
    <row r="888" customFormat="false" ht="7.5" hidden="false" customHeight="true" outlineLevel="2" collapsed="false">
      <c r="A888" s="60" t="str">
        <f aca="false">HYPERLINK("https://disk.360.yandex.ru/d/bELgY3Mqv3tb2A","фото")</f>
        <v>фото</v>
      </c>
      <c r="B888" s="49" t="s">
        <v>3038</v>
      </c>
      <c r="C888" s="50" t="s">
        <v>3039</v>
      </c>
      <c r="D888" s="51" t="s">
        <v>3040</v>
      </c>
      <c r="E888" s="52" t="n">
        <f aca="false">I888*(1-J888)*(100-E1)/100</f>
        <v>12920</v>
      </c>
      <c r="F888" s="53"/>
      <c r="G888" s="54" t="n">
        <v>1</v>
      </c>
      <c r="H888" s="52" t="n">
        <f aca="false">E888*F888</f>
        <v>0</v>
      </c>
      <c r="I888" s="55" t="n">
        <v>23750</v>
      </c>
      <c r="J888" s="56" t="n">
        <v>0.15</v>
      </c>
      <c r="K888" s="57" t="n">
        <v>402</v>
      </c>
      <c r="L888" s="22" t="s">
        <v>53</v>
      </c>
      <c r="M888" s="22" t="s">
        <v>152</v>
      </c>
      <c r="N888" s="58" t="n">
        <f aca="false">F888*P888</f>
        <v>0</v>
      </c>
      <c r="O888" s="58" t="n">
        <f aca="false">F888*Q888</f>
        <v>0</v>
      </c>
      <c r="P888" s="58" t="n">
        <v>22.8</v>
      </c>
      <c r="Q888" s="58" t="n">
        <v>0.161</v>
      </c>
      <c r="R888" s="59" t="s">
        <v>3041</v>
      </c>
      <c r="S888" s="22"/>
      <c r="T888" s="11" t="str">
        <f aca="false">"16.12.25"</f>
        <v>16.12.25</v>
      </c>
    </row>
    <row r="889" customFormat="false" ht="7.5" hidden="false" customHeight="true" outlineLevel="1" collapsed="false">
      <c r="A889" s="38"/>
      <c r="B889" s="39"/>
      <c r="C889" s="40" t="s">
        <v>3042</v>
      </c>
      <c r="D889" s="41"/>
      <c r="E889" s="42"/>
      <c r="F889" s="43"/>
      <c r="G889" s="44"/>
      <c r="H889" s="42"/>
      <c r="I889" s="45"/>
      <c r="J889" s="46"/>
      <c r="K889" s="45"/>
      <c r="L889" s="44"/>
      <c r="M889" s="44"/>
      <c r="N889" s="47"/>
      <c r="O889" s="47"/>
      <c r="P889" s="47"/>
      <c r="Q889" s="47"/>
      <c r="R889" s="39"/>
      <c r="S889" s="44"/>
      <c r="T889" s="11" t="str">
        <f aca="false">"16.12.25"</f>
        <v>16.12.25</v>
      </c>
    </row>
    <row r="890" customFormat="false" ht="7.5" hidden="false" customHeight="true" outlineLevel="2" collapsed="false">
      <c r="A890" s="60" t="str">
        <f aca="false">HYPERLINK("https://disk.yandex.ru/d/7eELr_C3rFROuA","фото")</f>
        <v>фото</v>
      </c>
      <c r="B890" s="49" t="s">
        <v>3043</v>
      </c>
      <c r="C890" s="50" t="s">
        <v>3044</v>
      </c>
      <c r="D890" s="51" t="s">
        <v>3045</v>
      </c>
      <c r="E890" s="52" t="n">
        <f aca="false">I890*(1-J890)*(100-E1)/100</f>
        <v>4485.12</v>
      </c>
      <c r="F890" s="53"/>
      <c r="G890" s="54" t="n">
        <v>1</v>
      </c>
      <c r="H890" s="52" t="n">
        <f aca="false">E890*F890</f>
        <v>0</v>
      </c>
      <c r="I890" s="55" t="n">
        <v>8760</v>
      </c>
      <c r="J890" s="56" t="n">
        <v>0.2</v>
      </c>
      <c r="K890" s="57" t="n">
        <v>0</v>
      </c>
      <c r="L890" s="22" t="s">
        <v>44</v>
      </c>
      <c r="M890" s="22" t="s">
        <v>15</v>
      </c>
      <c r="N890" s="58" t="n">
        <f aca="false">F890*P890</f>
        <v>0</v>
      </c>
      <c r="O890" s="58" t="n">
        <f aca="false">F890*Q890</f>
        <v>0</v>
      </c>
      <c r="P890" s="58" t="n">
        <v>4.3</v>
      </c>
      <c r="Q890" s="58" t="n">
        <v>0.028</v>
      </c>
      <c r="R890" s="59" t="s">
        <v>3046</v>
      </c>
      <c r="S890" s="22"/>
      <c r="T890" s="11" t="str">
        <f aca="false">"16.12.25"</f>
        <v>16.12.25</v>
      </c>
    </row>
    <row r="891" customFormat="false" ht="7.5" hidden="false" customHeight="true" outlineLevel="2" collapsed="false">
      <c r="A891" s="60" t="str">
        <f aca="false">HYPERLINK("https://disk.yandex.ru/d/09fHm1Ym4K2feA","фото")</f>
        <v>фото</v>
      </c>
      <c r="B891" s="49" t="s">
        <v>3047</v>
      </c>
      <c r="C891" s="50" t="s">
        <v>3048</v>
      </c>
      <c r="D891" s="51" t="s">
        <v>3049</v>
      </c>
      <c r="E891" s="52" t="n">
        <f aca="false">I891*(1-J891)*(100-E1)/100</f>
        <v>5852.16</v>
      </c>
      <c r="F891" s="53"/>
      <c r="G891" s="54" t="n">
        <v>1</v>
      </c>
      <c r="H891" s="52" t="n">
        <f aca="false">E891*F891</f>
        <v>0</v>
      </c>
      <c r="I891" s="55" t="n">
        <v>11430</v>
      </c>
      <c r="J891" s="56" t="n">
        <v>0.2</v>
      </c>
      <c r="K891" s="57" t="n">
        <v>932</v>
      </c>
      <c r="L891" s="22" t="s">
        <v>44</v>
      </c>
      <c r="M891" s="22" t="s">
        <v>15</v>
      </c>
      <c r="N891" s="58" t="n">
        <f aca="false">F891*P891</f>
        <v>0</v>
      </c>
      <c r="O891" s="58" t="n">
        <f aca="false">F891*Q891</f>
        <v>0</v>
      </c>
      <c r="P891" s="58" t="n">
        <v>6.214</v>
      </c>
      <c r="Q891" s="58" t="n">
        <v>0.053</v>
      </c>
      <c r="R891" s="59" t="s">
        <v>3050</v>
      </c>
      <c r="S891" s="22"/>
      <c r="T891" s="11" t="str">
        <f aca="false">"16.12.25"</f>
        <v>16.12.25</v>
      </c>
    </row>
    <row r="892" customFormat="false" ht="7.5" hidden="false" customHeight="true" outlineLevel="1" collapsed="false">
      <c r="A892" s="38"/>
      <c r="B892" s="39"/>
      <c r="C892" s="40" t="s">
        <v>3051</v>
      </c>
      <c r="D892" s="41"/>
      <c r="E892" s="42"/>
      <c r="F892" s="43"/>
      <c r="G892" s="44"/>
      <c r="H892" s="42"/>
      <c r="I892" s="45"/>
      <c r="J892" s="46"/>
      <c r="K892" s="45"/>
      <c r="L892" s="44"/>
      <c r="M892" s="44"/>
      <c r="N892" s="47"/>
      <c r="O892" s="47"/>
      <c r="P892" s="47"/>
      <c r="Q892" s="47"/>
      <c r="R892" s="39"/>
      <c r="S892" s="44"/>
      <c r="T892" s="11" t="str">
        <f aca="false">"16.12.25"</f>
        <v>16.12.25</v>
      </c>
    </row>
    <row r="893" customFormat="false" ht="7.5" hidden="false" customHeight="true" outlineLevel="2" collapsed="false">
      <c r="A893" s="60" t="str">
        <f aca="false">HYPERLINK("https://disk.360.yandex.ru/d/HW0ALbeoaaKRyg","фото")</f>
        <v>фото</v>
      </c>
      <c r="B893" s="49" t="s">
        <v>3052</v>
      </c>
      <c r="C893" s="50" t="s">
        <v>3053</v>
      </c>
      <c r="D893" s="51" t="s">
        <v>3054</v>
      </c>
      <c r="E893" s="52" t="n">
        <f aca="false">I893*(1-J893)*(100-E1)/100</f>
        <v>1623.04</v>
      </c>
      <c r="F893" s="53"/>
      <c r="G893" s="54" t="n">
        <v>1</v>
      </c>
      <c r="H893" s="52" t="n">
        <f aca="false">E893*F893</f>
        <v>0</v>
      </c>
      <c r="I893" s="55" t="n">
        <v>3170</v>
      </c>
      <c r="J893" s="56" t="n">
        <v>0.2</v>
      </c>
      <c r="K893" s="57" t="n">
        <v>0</v>
      </c>
      <c r="L893" s="22" t="s">
        <v>44</v>
      </c>
      <c r="M893" s="22" t="s">
        <v>15</v>
      </c>
      <c r="N893" s="58" t="n">
        <f aca="false">F893*P893</f>
        <v>0</v>
      </c>
      <c r="O893" s="58" t="n">
        <f aca="false">F893*Q893</f>
        <v>0</v>
      </c>
      <c r="P893" s="58" t="n">
        <v>13.88</v>
      </c>
      <c r="Q893" s="58" t="n">
        <v>0.015</v>
      </c>
      <c r="R893" s="59" t="s">
        <v>3055</v>
      </c>
      <c r="S893" s="22"/>
      <c r="T893" s="11" t="str">
        <f aca="false">"16.12.25"</f>
        <v>16.12.25</v>
      </c>
    </row>
    <row r="894" customFormat="false" ht="7.5" hidden="false" customHeight="true" outlineLevel="2" collapsed="false">
      <c r="A894" s="60" t="str">
        <f aca="false">HYPERLINK("https://disk.yandex.ru/d/knSQQ7UMD-caPQ","фото")</f>
        <v>фото</v>
      </c>
      <c r="B894" s="49" t="s">
        <v>3056</v>
      </c>
      <c r="C894" s="50" t="s">
        <v>3057</v>
      </c>
      <c r="D894" s="51" t="s">
        <v>3058</v>
      </c>
      <c r="E894" s="52" t="n">
        <f aca="false">I894*(1-J894)*(100-E1)/100</f>
        <v>1090.56</v>
      </c>
      <c r="F894" s="53"/>
      <c r="G894" s="54" t="n">
        <v>6</v>
      </c>
      <c r="H894" s="52" t="n">
        <f aca="false">E894*F894</f>
        <v>0</v>
      </c>
      <c r="I894" s="55" t="n">
        <v>2130</v>
      </c>
      <c r="J894" s="56" t="n">
        <v>0.2</v>
      </c>
      <c r="K894" s="57" t="n">
        <v>8</v>
      </c>
      <c r="L894" s="22" t="s">
        <v>44</v>
      </c>
      <c r="M894" s="22" t="s">
        <v>15</v>
      </c>
      <c r="N894" s="58" t="n">
        <f aca="false">F894*P894</f>
        <v>0</v>
      </c>
      <c r="O894" s="58" t="n">
        <f aca="false">F894*Q894</f>
        <v>0</v>
      </c>
      <c r="P894" s="58" t="n">
        <v>2.14</v>
      </c>
      <c r="Q894" s="58" t="n">
        <v>0.015</v>
      </c>
      <c r="R894" s="59" t="s">
        <v>3059</v>
      </c>
      <c r="S894" s="22"/>
      <c r="T894" s="11" t="str">
        <f aca="false">"16.12.25"</f>
        <v>16.12.25</v>
      </c>
    </row>
    <row r="895" customFormat="false" ht="7.5" hidden="false" customHeight="true" outlineLevel="2" collapsed="false">
      <c r="A895" s="60" t="str">
        <f aca="false">HYPERLINK("https://disk.yandex.ru/d/WY8-GAClmlIf6g","фото")</f>
        <v>фото</v>
      </c>
      <c r="B895" s="49" t="s">
        <v>3060</v>
      </c>
      <c r="C895" s="50" t="s">
        <v>3061</v>
      </c>
      <c r="D895" s="51" t="s">
        <v>3058</v>
      </c>
      <c r="E895" s="52" t="n">
        <f aca="false">I895*(1-J895)*(100-E1)/100</f>
        <v>1448.96</v>
      </c>
      <c r="F895" s="53"/>
      <c r="G895" s="54" t="n">
        <v>8</v>
      </c>
      <c r="H895" s="52" t="n">
        <f aca="false">E895*F895</f>
        <v>0</v>
      </c>
      <c r="I895" s="55" t="n">
        <v>2830</v>
      </c>
      <c r="J895" s="56" t="n">
        <v>0.2</v>
      </c>
      <c r="K895" s="57" t="n">
        <v>0</v>
      </c>
      <c r="L895" s="22" t="s">
        <v>44</v>
      </c>
      <c r="M895" s="22" t="s">
        <v>15</v>
      </c>
      <c r="N895" s="58" t="n">
        <f aca="false">F895*P895</f>
        <v>0</v>
      </c>
      <c r="O895" s="58" t="n">
        <f aca="false">F895*Q895</f>
        <v>0</v>
      </c>
      <c r="P895" s="58" t="n">
        <v>1.2</v>
      </c>
      <c r="Q895" s="58" t="n">
        <v>0.01</v>
      </c>
      <c r="R895" s="59" t="s">
        <v>3062</v>
      </c>
      <c r="S895" s="22"/>
      <c r="T895" s="11" t="str">
        <f aca="false">"16.12.25"</f>
        <v>16.12.25</v>
      </c>
    </row>
    <row r="896" customFormat="false" ht="7.5" hidden="false" customHeight="true" outlineLevel="2" collapsed="false">
      <c r="A896" s="60" t="str">
        <f aca="false">HYPERLINK("https://disk.yandex.ru/d/xQAFEYRDpIRvhw","фото")</f>
        <v>фото</v>
      </c>
      <c r="B896" s="49" t="s">
        <v>3063</v>
      </c>
      <c r="C896" s="50" t="s">
        <v>3064</v>
      </c>
      <c r="D896" s="51" t="s">
        <v>3058</v>
      </c>
      <c r="E896" s="52" t="n">
        <f aca="false">I896*(1-J896)*(100-E1)/100</f>
        <v>1310.72</v>
      </c>
      <c r="F896" s="53"/>
      <c r="G896" s="54" t="n">
        <v>8</v>
      </c>
      <c r="H896" s="52" t="n">
        <f aca="false">E896*F896</f>
        <v>0</v>
      </c>
      <c r="I896" s="55" t="n">
        <v>2560</v>
      </c>
      <c r="J896" s="56" t="n">
        <v>0.2</v>
      </c>
      <c r="K896" s="57" t="n">
        <v>0</v>
      </c>
      <c r="L896" s="22" t="s">
        <v>44</v>
      </c>
      <c r="M896" s="22" t="s">
        <v>15</v>
      </c>
      <c r="N896" s="58" t="n">
        <f aca="false">F896*P896</f>
        <v>0</v>
      </c>
      <c r="O896" s="58" t="n">
        <f aca="false">F896*Q896</f>
        <v>0</v>
      </c>
      <c r="P896" s="58" t="n">
        <v>2.3</v>
      </c>
      <c r="Q896" s="58" t="n">
        <v>0.011</v>
      </c>
      <c r="R896" s="59" t="s">
        <v>3065</v>
      </c>
      <c r="S896" s="22"/>
      <c r="T896" s="11" t="str">
        <f aca="false">"16.12.25"</f>
        <v>16.12.25</v>
      </c>
    </row>
    <row r="897" customFormat="false" ht="7.5" hidden="false" customHeight="true" outlineLevel="2" collapsed="false">
      <c r="A897" s="60" t="str">
        <f aca="false">HYPERLINK("https://disk.yandex.ru/d/Ckz-b-yiNJ2YPQ","фото")</f>
        <v>фото</v>
      </c>
      <c r="B897" s="49" t="s">
        <v>3066</v>
      </c>
      <c r="C897" s="50" t="s">
        <v>3067</v>
      </c>
      <c r="D897" s="51" t="s">
        <v>3068</v>
      </c>
      <c r="E897" s="52" t="n">
        <f aca="false">I897*(1-J897)*(100-E1)/100</f>
        <v>1679.36</v>
      </c>
      <c r="F897" s="53"/>
      <c r="G897" s="54" t="n">
        <v>6</v>
      </c>
      <c r="H897" s="52" t="n">
        <f aca="false">E897*F897</f>
        <v>0</v>
      </c>
      <c r="I897" s="55" t="n">
        <v>3280</v>
      </c>
      <c r="J897" s="56" t="n">
        <v>0.2</v>
      </c>
      <c r="K897" s="57" t="n">
        <v>1461</v>
      </c>
      <c r="L897" s="22" t="s">
        <v>44</v>
      </c>
      <c r="M897" s="22" t="s">
        <v>15</v>
      </c>
      <c r="N897" s="58" t="n">
        <f aca="false">F897*P897</f>
        <v>0</v>
      </c>
      <c r="O897" s="58" t="n">
        <f aca="false">F897*Q897</f>
        <v>0</v>
      </c>
      <c r="P897" s="58" t="n">
        <v>2.8</v>
      </c>
      <c r="Q897" s="58" t="n">
        <v>0.021</v>
      </c>
      <c r="R897" s="59" t="s">
        <v>3069</v>
      </c>
      <c r="S897" s="22"/>
      <c r="T897" s="11" t="str">
        <f aca="false">"16.12.25"</f>
        <v>16.12.25</v>
      </c>
    </row>
    <row r="898" customFormat="false" ht="7.5" hidden="false" customHeight="true" outlineLevel="0" collapsed="false">
      <c r="A898" s="28"/>
      <c r="B898" s="29"/>
      <c r="C898" s="30" t="s">
        <v>3070</v>
      </c>
      <c r="D898" s="31"/>
      <c r="E898" s="32"/>
      <c r="F898" s="33"/>
      <c r="G898" s="34"/>
      <c r="H898" s="32"/>
      <c r="I898" s="35"/>
      <c r="J898" s="36"/>
      <c r="K898" s="35"/>
      <c r="L898" s="34"/>
      <c r="M898" s="34"/>
      <c r="N898" s="37"/>
      <c r="O898" s="37"/>
      <c r="P898" s="37"/>
      <c r="Q898" s="37"/>
      <c r="R898" s="29"/>
      <c r="S898" s="34"/>
      <c r="T898" s="11" t="str">
        <f aca="false">"16.12.25"</f>
        <v>16.12.25</v>
      </c>
    </row>
    <row r="899" customFormat="false" ht="7.5" hidden="false" customHeight="true" outlineLevel="1" collapsed="false">
      <c r="A899" s="38"/>
      <c r="B899" s="39"/>
      <c r="C899" s="40" t="s">
        <v>3071</v>
      </c>
      <c r="D899" s="41"/>
      <c r="E899" s="42"/>
      <c r="F899" s="43"/>
      <c r="G899" s="44"/>
      <c r="H899" s="42"/>
      <c r="I899" s="45"/>
      <c r="J899" s="46"/>
      <c r="K899" s="45"/>
      <c r="L899" s="44"/>
      <c r="M899" s="44"/>
      <c r="N899" s="47"/>
      <c r="O899" s="47"/>
      <c r="P899" s="47"/>
      <c r="Q899" s="47"/>
      <c r="R899" s="39"/>
      <c r="S899" s="44"/>
      <c r="T899" s="11" t="str">
        <f aca="false">"16.12.25"</f>
        <v>16.12.25</v>
      </c>
    </row>
    <row r="900" customFormat="false" ht="7.5" hidden="false" customHeight="true" outlineLevel="2" collapsed="false">
      <c r="A900" s="60" t="str">
        <f aca="false">HYPERLINK("https://disk.360.yandex.ru/d/HV8AIjcNDfZB5Q","фото")</f>
        <v>фото</v>
      </c>
      <c r="B900" s="49" t="s">
        <v>3072</v>
      </c>
      <c r="C900" s="50" t="s">
        <v>3073</v>
      </c>
      <c r="D900" s="51" t="s">
        <v>3074</v>
      </c>
      <c r="E900" s="52" t="n">
        <f aca="false">I900*(1-J900)*(100-E1)/100</f>
        <v>2027.52</v>
      </c>
      <c r="F900" s="53"/>
      <c r="G900" s="54" t="n">
        <v>6</v>
      </c>
      <c r="H900" s="52" t="n">
        <f aca="false">E900*F900</f>
        <v>0</v>
      </c>
      <c r="I900" s="55" t="n">
        <v>3520</v>
      </c>
      <c r="J900" s="56" t="n">
        <v>0.1</v>
      </c>
      <c r="K900" s="57" t="n">
        <v>321</v>
      </c>
      <c r="L900" s="22" t="s">
        <v>44</v>
      </c>
      <c r="M900" s="22" t="s">
        <v>152</v>
      </c>
      <c r="N900" s="58" t="n">
        <f aca="false">F900*P900</f>
        <v>0</v>
      </c>
      <c r="O900" s="58" t="n">
        <f aca="false">F900*Q900</f>
        <v>0</v>
      </c>
      <c r="P900" s="58" t="n">
        <v>1.58</v>
      </c>
      <c r="Q900" s="58" t="n">
        <v>0.005</v>
      </c>
      <c r="R900" s="59" t="s">
        <v>3075</v>
      </c>
      <c r="S900" s="22"/>
      <c r="T900" s="11" t="str">
        <f aca="false">"16.12.25"</f>
        <v>16.12.25</v>
      </c>
    </row>
    <row r="901" customFormat="false" ht="7.5" hidden="false" customHeight="true" outlineLevel="2" collapsed="false">
      <c r="A901" s="60" t="str">
        <f aca="false">HYPERLINK("https://disk.360.yandex.ru/d/crYQd8qBbJYkrQ","фото")</f>
        <v>фото</v>
      </c>
      <c r="B901" s="49" t="s">
        <v>3076</v>
      </c>
      <c r="C901" s="50" t="s">
        <v>3077</v>
      </c>
      <c r="D901" s="51" t="s">
        <v>3078</v>
      </c>
      <c r="E901" s="52" t="n">
        <f aca="false">I901*(1-J901)*(100-E1)/100</f>
        <v>3008</v>
      </c>
      <c r="F901" s="53"/>
      <c r="G901" s="54" t="n">
        <v>4</v>
      </c>
      <c r="H901" s="52" t="n">
        <f aca="false">E901*F901</f>
        <v>0</v>
      </c>
      <c r="I901" s="55" t="n">
        <v>4700</v>
      </c>
      <c r="J901" s="56"/>
      <c r="K901" s="57" t="n">
        <v>80</v>
      </c>
      <c r="L901" s="22" t="s">
        <v>44</v>
      </c>
      <c r="M901" s="22"/>
      <c r="N901" s="58" t="n">
        <f aca="false">F901*P901</f>
        <v>0</v>
      </c>
      <c r="O901" s="58" t="n">
        <f aca="false">F901*Q901</f>
        <v>0</v>
      </c>
      <c r="P901" s="58" t="n">
        <v>5.05</v>
      </c>
      <c r="Q901" s="58" t="n">
        <v>0.015</v>
      </c>
      <c r="R901" s="59" t="s">
        <v>3079</v>
      </c>
      <c r="S901" s="22"/>
      <c r="T901" s="11" t="str">
        <f aca="false">"16.12.25"</f>
        <v>16.12.25</v>
      </c>
    </row>
    <row r="902" customFormat="false" ht="7.5" hidden="false" customHeight="true" outlineLevel="2" collapsed="false">
      <c r="A902" s="60" t="str">
        <f aca="false">HYPERLINK("https://disk.360.yandex.ru/d/jIoUaZoMtqYfNA","фото")</f>
        <v>фото</v>
      </c>
      <c r="B902" s="49" t="s">
        <v>3080</v>
      </c>
      <c r="C902" s="50" t="s">
        <v>3081</v>
      </c>
      <c r="D902" s="51" t="s">
        <v>3082</v>
      </c>
      <c r="E902" s="52" t="n">
        <f aca="false">I902*(1-J902)*(100-E1)/100</f>
        <v>2568.96</v>
      </c>
      <c r="F902" s="53"/>
      <c r="G902" s="54" t="n">
        <v>6</v>
      </c>
      <c r="H902" s="52" t="n">
        <f aca="false">E902*F902</f>
        <v>0</v>
      </c>
      <c r="I902" s="55" t="n">
        <v>4460</v>
      </c>
      <c r="J902" s="56" t="n">
        <v>0.1</v>
      </c>
      <c r="K902" s="57" t="n">
        <v>684</v>
      </c>
      <c r="L902" s="22" t="s">
        <v>44</v>
      </c>
      <c r="M902" s="22" t="s">
        <v>152</v>
      </c>
      <c r="N902" s="58" t="n">
        <f aca="false">F902*P902</f>
        <v>0</v>
      </c>
      <c r="O902" s="58" t="n">
        <f aca="false">F902*Q902</f>
        <v>0</v>
      </c>
      <c r="P902" s="58" t="n">
        <v>1.6</v>
      </c>
      <c r="Q902" s="58" t="n">
        <v>0.005</v>
      </c>
      <c r="R902" s="59" t="s">
        <v>3083</v>
      </c>
      <c r="S902" s="22"/>
      <c r="T902" s="11" t="str">
        <f aca="false">"16.12.25"</f>
        <v>16.12.25</v>
      </c>
    </row>
    <row r="903" customFormat="false" ht="7.5" hidden="false" customHeight="true" outlineLevel="2" collapsed="false">
      <c r="A903" s="60" t="str">
        <f aca="false">HYPERLINK("https://disk.360.yandex.ru/d/ve5o8aj9AWKo1Q","фото")</f>
        <v>фото</v>
      </c>
      <c r="B903" s="49" t="s">
        <v>3084</v>
      </c>
      <c r="C903" s="50" t="s">
        <v>3085</v>
      </c>
      <c r="D903" s="51" t="s">
        <v>3086</v>
      </c>
      <c r="E903" s="52" t="n">
        <f aca="false">I903*(1-J903)*(100-E1)/100</f>
        <v>3468.8</v>
      </c>
      <c r="F903" s="53"/>
      <c r="G903" s="54" t="n">
        <v>4</v>
      </c>
      <c r="H903" s="52" t="n">
        <f aca="false">E903*F903</f>
        <v>0</v>
      </c>
      <c r="I903" s="55" t="n">
        <v>5420</v>
      </c>
      <c r="J903" s="56"/>
      <c r="K903" s="57" t="n">
        <v>238</v>
      </c>
      <c r="L903" s="22" t="s">
        <v>44</v>
      </c>
      <c r="M903" s="22"/>
      <c r="N903" s="58" t="n">
        <f aca="false">F903*P903</f>
        <v>0</v>
      </c>
      <c r="O903" s="58" t="n">
        <f aca="false">F903*Q903</f>
        <v>0</v>
      </c>
      <c r="P903" s="58" t="n">
        <v>5.63</v>
      </c>
      <c r="Q903" s="58" t="n">
        <v>0.015</v>
      </c>
      <c r="R903" s="59" t="s">
        <v>3087</v>
      </c>
      <c r="S903" s="22"/>
      <c r="T903" s="11" t="str">
        <f aca="false">"16.12.25"</f>
        <v>16.12.25</v>
      </c>
    </row>
    <row r="904" customFormat="false" ht="7.5" hidden="false" customHeight="true" outlineLevel="2" collapsed="false">
      <c r="A904" s="48"/>
      <c r="B904" s="49" t="s">
        <v>3088</v>
      </c>
      <c r="C904" s="50" t="s">
        <v>3089</v>
      </c>
      <c r="D904" s="51" t="s">
        <v>3090</v>
      </c>
      <c r="E904" s="52" t="n">
        <f aca="false">I904*(1-J904)*(100-E1)/100</f>
        <v>2547.2</v>
      </c>
      <c r="F904" s="53"/>
      <c r="G904" s="54" t="n">
        <v>4</v>
      </c>
      <c r="H904" s="52" t="n">
        <f aca="false">E904*F904</f>
        <v>0</v>
      </c>
      <c r="I904" s="55" t="n">
        <v>3980</v>
      </c>
      <c r="J904" s="56"/>
      <c r="K904" s="57" t="n">
        <v>1</v>
      </c>
      <c r="L904" s="22" t="s">
        <v>44</v>
      </c>
      <c r="M904" s="22"/>
      <c r="N904" s="58" t="n">
        <f aca="false">F904*P904</f>
        <v>0</v>
      </c>
      <c r="O904" s="58" t="n">
        <f aca="false">F904*Q904</f>
        <v>0</v>
      </c>
      <c r="P904" s="58" t="n">
        <v>7.64</v>
      </c>
      <c r="Q904" s="58" t="n">
        <v>0.019</v>
      </c>
      <c r="R904" s="59" t="s">
        <v>3091</v>
      </c>
      <c r="S904" s="22"/>
      <c r="T904" s="11" t="str">
        <f aca="false">"16.12.25"</f>
        <v>16.12.25</v>
      </c>
    </row>
    <row r="905" customFormat="false" ht="7.5" hidden="false" customHeight="true" outlineLevel="2" collapsed="false">
      <c r="A905" s="60" t="str">
        <f aca="false">HYPERLINK("https://disk.360.yandex.ru/d/A7qrIca7Tr8oCg","фото")</f>
        <v>фото</v>
      </c>
      <c r="B905" s="49" t="s">
        <v>3092</v>
      </c>
      <c r="C905" s="50" t="s">
        <v>3093</v>
      </c>
      <c r="D905" s="51" t="s">
        <v>3094</v>
      </c>
      <c r="E905" s="52" t="n">
        <f aca="false">I905*(1-J905)*(100-E1)/100</f>
        <v>3936</v>
      </c>
      <c r="F905" s="53"/>
      <c r="G905" s="54" t="n">
        <v>4</v>
      </c>
      <c r="H905" s="52" t="n">
        <f aca="false">E905*F905</f>
        <v>0</v>
      </c>
      <c r="I905" s="55" t="n">
        <v>6150</v>
      </c>
      <c r="J905" s="56"/>
      <c r="K905" s="57" t="n">
        <v>0</v>
      </c>
      <c r="L905" s="22" t="s">
        <v>44</v>
      </c>
      <c r="M905" s="22"/>
      <c r="N905" s="58" t="n">
        <f aca="false">F905*P905</f>
        <v>0</v>
      </c>
      <c r="O905" s="58" t="n">
        <f aca="false">F905*Q905</f>
        <v>0</v>
      </c>
      <c r="P905" s="58" t="n">
        <v>7.59</v>
      </c>
      <c r="Q905" s="58" t="n">
        <v>0.02</v>
      </c>
      <c r="R905" s="59" t="s">
        <v>3095</v>
      </c>
      <c r="S905" s="22"/>
      <c r="T905" s="11" t="str">
        <f aca="false">"16.12.25"</f>
        <v>16.12.25</v>
      </c>
    </row>
    <row r="906" customFormat="false" ht="7.5" hidden="false" customHeight="true" outlineLevel="2" collapsed="false">
      <c r="A906" s="60" t="str">
        <f aca="false">HYPERLINK("https://disk.360.yandex.ru/d/t8jX7dg78WdR-w","фото")</f>
        <v>фото</v>
      </c>
      <c r="B906" s="49" t="s">
        <v>3096</v>
      </c>
      <c r="C906" s="50" t="s">
        <v>3097</v>
      </c>
      <c r="D906" s="51" t="s">
        <v>3098</v>
      </c>
      <c r="E906" s="52" t="n">
        <f aca="false">I906*(1-J906)*(100-E1)/100</f>
        <v>1670.4</v>
      </c>
      <c r="F906" s="53"/>
      <c r="G906" s="54" t="n">
        <v>10</v>
      </c>
      <c r="H906" s="52" t="n">
        <f aca="false">E906*F906</f>
        <v>0</v>
      </c>
      <c r="I906" s="55" t="n">
        <v>2610</v>
      </c>
      <c r="J906" s="56"/>
      <c r="K906" s="57" t="n">
        <v>800</v>
      </c>
      <c r="L906" s="22" t="s">
        <v>44</v>
      </c>
      <c r="M906" s="22" t="s">
        <v>152</v>
      </c>
      <c r="N906" s="58" t="n">
        <f aca="false">F906*P906</f>
        <v>0</v>
      </c>
      <c r="O906" s="58" t="n">
        <f aca="false">F906*Q906</f>
        <v>0</v>
      </c>
      <c r="P906" s="58" t="n">
        <v>0.54</v>
      </c>
      <c r="Q906" s="58" t="n">
        <v>0.002</v>
      </c>
      <c r="R906" s="59" t="s">
        <v>3099</v>
      </c>
      <c r="S906" s="22"/>
      <c r="T906" s="11" t="str">
        <f aca="false">"16.12.25"</f>
        <v>16.12.25</v>
      </c>
    </row>
    <row r="907" customFormat="false" ht="7.5" hidden="false" customHeight="true" outlineLevel="2" collapsed="false">
      <c r="A907" s="60" t="str">
        <f aca="false">HYPERLINK("https://disk.360.yandex.ru/d/EzVmNhJbGk7CZA","фото")</f>
        <v>фото</v>
      </c>
      <c r="B907" s="49" t="s">
        <v>3100</v>
      </c>
      <c r="C907" s="50" t="s">
        <v>3101</v>
      </c>
      <c r="D907" s="51" t="s">
        <v>3102</v>
      </c>
      <c r="E907" s="52" t="n">
        <f aca="false">I907*(1-J907)*(100-E1)/100</f>
        <v>8883.2</v>
      </c>
      <c r="F907" s="53"/>
      <c r="G907" s="54" t="n">
        <v>1</v>
      </c>
      <c r="H907" s="52" t="n">
        <f aca="false">E907*F907</f>
        <v>0</v>
      </c>
      <c r="I907" s="55" t="n">
        <v>13880</v>
      </c>
      <c r="J907" s="56"/>
      <c r="K907" s="57" t="n">
        <v>53</v>
      </c>
      <c r="L907" s="22" t="s">
        <v>44</v>
      </c>
      <c r="M907" s="22"/>
      <c r="N907" s="58" t="n">
        <f aca="false">F907*P907</f>
        <v>0</v>
      </c>
      <c r="O907" s="58" t="n">
        <f aca="false">F907*Q907</f>
        <v>0</v>
      </c>
      <c r="P907" s="58" t="n">
        <v>15.88</v>
      </c>
      <c r="Q907" s="58" t="n">
        <v>0.07</v>
      </c>
      <c r="R907" s="59" t="s">
        <v>3103</v>
      </c>
      <c r="S907" s="22"/>
      <c r="T907" s="11" t="str">
        <f aca="false">"16.12.25"</f>
        <v>16.12.25</v>
      </c>
    </row>
    <row r="908" customFormat="false" ht="7.5" hidden="false" customHeight="true" outlineLevel="2" collapsed="false">
      <c r="A908" s="60" t="str">
        <f aca="false">HYPERLINK("https://disk.360.yandex.ru/d/jS19bs7IGV0MsQ","фото")</f>
        <v>фото</v>
      </c>
      <c r="B908" s="49" t="s">
        <v>3104</v>
      </c>
      <c r="C908" s="50" t="s">
        <v>3105</v>
      </c>
      <c r="D908" s="51" t="s">
        <v>3106</v>
      </c>
      <c r="E908" s="52" t="n">
        <f aca="false">I908*(1-J908)*(100-E1)/100</f>
        <v>10540.8</v>
      </c>
      <c r="F908" s="53"/>
      <c r="G908" s="54" t="n">
        <v>1</v>
      </c>
      <c r="H908" s="52" t="n">
        <f aca="false">E908*F908</f>
        <v>0</v>
      </c>
      <c r="I908" s="55" t="n">
        <v>16470</v>
      </c>
      <c r="J908" s="56"/>
      <c r="K908" s="57" t="n">
        <v>21</v>
      </c>
      <c r="L908" s="22" t="s">
        <v>44</v>
      </c>
      <c r="M908" s="22"/>
      <c r="N908" s="58" t="n">
        <f aca="false">F908*P908</f>
        <v>0</v>
      </c>
      <c r="O908" s="58" t="n">
        <f aca="false">F908*Q908</f>
        <v>0</v>
      </c>
      <c r="P908" s="58" t="n">
        <v>20.66</v>
      </c>
      <c r="Q908" s="58" t="n">
        <v>0.101</v>
      </c>
      <c r="R908" s="59" t="s">
        <v>3107</v>
      </c>
      <c r="S908" s="22"/>
      <c r="T908" s="11" t="str">
        <f aca="false">"16.12.25"</f>
        <v>16.12.25</v>
      </c>
    </row>
    <row r="909" customFormat="false" ht="7.5" hidden="false" customHeight="true" outlineLevel="2" collapsed="false">
      <c r="A909" s="60" t="str">
        <f aca="false">HYPERLINK("https://disk.360.yandex.ru/d/Ycw69YetPY5ZlA","фото")</f>
        <v>фото</v>
      </c>
      <c r="B909" s="49" t="s">
        <v>3108</v>
      </c>
      <c r="C909" s="50" t="s">
        <v>3109</v>
      </c>
      <c r="D909" s="51" t="s">
        <v>3110</v>
      </c>
      <c r="E909" s="52" t="n">
        <f aca="false">I909*(1-J909)*(100-E1)/100</f>
        <v>12294.4</v>
      </c>
      <c r="F909" s="53"/>
      <c r="G909" s="54" t="n">
        <v>1</v>
      </c>
      <c r="H909" s="52" t="n">
        <f aca="false">E909*F909</f>
        <v>0</v>
      </c>
      <c r="I909" s="55" t="n">
        <v>19210</v>
      </c>
      <c r="J909" s="56"/>
      <c r="K909" s="57" t="n">
        <v>0</v>
      </c>
      <c r="L909" s="22" t="s">
        <v>44</v>
      </c>
      <c r="M909" s="22"/>
      <c r="N909" s="58" t="n">
        <f aca="false">F909*P909</f>
        <v>0</v>
      </c>
      <c r="O909" s="58" t="n">
        <f aca="false">F909*Q909</f>
        <v>0</v>
      </c>
      <c r="P909" s="58" t="n">
        <v>24.78</v>
      </c>
      <c r="Q909" s="58" t="n">
        <v>0.097</v>
      </c>
      <c r="R909" s="59" t="s">
        <v>3111</v>
      </c>
      <c r="S909" s="22"/>
      <c r="T909" s="11" t="str">
        <f aca="false">"16.12.25"</f>
        <v>16.12.25</v>
      </c>
    </row>
    <row r="910" customFormat="false" ht="7.5" hidden="false" customHeight="true" outlineLevel="2" collapsed="false">
      <c r="A910" s="60" t="str">
        <f aca="false">HYPERLINK("https://disk.360.yandex.ru/d/iOu-D_Xe_rZxqA","фото")</f>
        <v>фото</v>
      </c>
      <c r="B910" s="49" t="s">
        <v>3112</v>
      </c>
      <c r="C910" s="50" t="s">
        <v>3113</v>
      </c>
      <c r="D910" s="51" t="s">
        <v>3114</v>
      </c>
      <c r="E910" s="52" t="n">
        <f aca="false">I910*(1-J910)*(100-E1)/100</f>
        <v>4170.24</v>
      </c>
      <c r="F910" s="53"/>
      <c r="G910" s="54" t="n">
        <v>2</v>
      </c>
      <c r="H910" s="52" t="n">
        <f aca="false">E910*F910</f>
        <v>0</v>
      </c>
      <c r="I910" s="55" t="n">
        <v>7240</v>
      </c>
      <c r="J910" s="56" t="n">
        <v>0.1</v>
      </c>
      <c r="K910" s="57" t="n">
        <v>94</v>
      </c>
      <c r="L910" s="22" t="s">
        <v>44</v>
      </c>
      <c r="M910" s="22" t="s">
        <v>152</v>
      </c>
      <c r="N910" s="58" t="n">
        <f aca="false">F910*P910</f>
        <v>0</v>
      </c>
      <c r="O910" s="58" t="n">
        <f aca="false">F910*Q910</f>
        <v>0</v>
      </c>
      <c r="P910" s="58" t="n">
        <v>7.75</v>
      </c>
      <c r="Q910" s="58" t="n">
        <v>0.014</v>
      </c>
      <c r="R910" s="59" t="s">
        <v>3115</v>
      </c>
      <c r="S910" s="22"/>
      <c r="T910" s="11" t="str">
        <f aca="false">"16.12.25"</f>
        <v>16.12.25</v>
      </c>
    </row>
    <row r="911" customFormat="false" ht="7.5" hidden="false" customHeight="true" outlineLevel="1" collapsed="false">
      <c r="A911" s="38"/>
      <c r="B911" s="39"/>
      <c r="C911" s="40" t="s">
        <v>3116</v>
      </c>
      <c r="D911" s="41"/>
      <c r="E911" s="42"/>
      <c r="F911" s="43"/>
      <c r="G911" s="44"/>
      <c r="H911" s="42"/>
      <c r="I911" s="45"/>
      <c r="J911" s="46"/>
      <c r="K911" s="45"/>
      <c r="L911" s="44"/>
      <c r="M911" s="44"/>
      <c r="N911" s="47"/>
      <c r="O911" s="47"/>
      <c r="P911" s="47"/>
      <c r="Q911" s="47"/>
      <c r="R911" s="39"/>
      <c r="S911" s="44"/>
      <c r="T911" s="11" t="str">
        <f aca="false">"16.12.25"</f>
        <v>16.12.25</v>
      </c>
    </row>
    <row r="912" customFormat="false" ht="7.5" hidden="false" customHeight="true" outlineLevel="2" collapsed="false">
      <c r="A912" s="60" t="str">
        <f aca="false">HYPERLINK("https://disk.yandex.ru/d/aeqNrAJy8l0-lw","фото")</f>
        <v>фото</v>
      </c>
      <c r="B912" s="49" t="s">
        <v>3117</v>
      </c>
      <c r="C912" s="50" t="s">
        <v>3118</v>
      </c>
      <c r="D912" s="51" t="s">
        <v>3119</v>
      </c>
      <c r="E912" s="52" t="n">
        <f aca="false">I912*(1-J912)*(100-E1)/100</f>
        <v>8563.2</v>
      </c>
      <c r="F912" s="53"/>
      <c r="G912" s="54" t="n">
        <v>1</v>
      </c>
      <c r="H912" s="52" t="n">
        <f aca="false">E912*F912</f>
        <v>0</v>
      </c>
      <c r="I912" s="55" t="n">
        <v>13380</v>
      </c>
      <c r="J912" s="56"/>
      <c r="K912" s="57" t="n">
        <v>96</v>
      </c>
      <c r="L912" s="22" t="s">
        <v>44</v>
      </c>
      <c r="M912" s="22"/>
      <c r="N912" s="58" t="n">
        <f aca="false">F912*P912</f>
        <v>0</v>
      </c>
      <c r="O912" s="58" t="n">
        <f aca="false">F912*Q912</f>
        <v>0</v>
      </c>
      <c r="P912" s="58" t="n">
        <v>8.5</v>
      </c>
      <c r="Q912" s="58" t="n">
        <v>0.08</v>
      </c>
      <c r="R912" s="59" t="s">
        <v>3120</v>
      </c>
      <c r="S912" s="22"/>
      <c r="T912" s="11" t="str">
        <f aca="false">"16.12.25"</f>
        <v>16.12.25</v>
      </c>
    </row>
    <row r="913" customFormat="false" ht="7.5" hidden="false" customHeight="true" outlineLevel="2" collapsed="false">
      <c r="A913" s="60" t="str">
        <f aca="false">HYPERLINK("https://disk.yandex.ru/d/oI8PiL8LA3_QuQ","фото")</f>
        <v>фото</v>
      </c>
      <c r="B913" s="49" t="s">
        <v>3121</v>
      </c>
      <c r="C913" s="50" t="s">
        <v>3122</v>
      </c>
      <c r="D913" s="51" t="s">
        <v>3123</v>
      </c>
      <c r="E913" s="52" t="n">
        <f aca="false">I913*(1-J913)*(100-E1)/100</f>
        <v>10425.6</v>
      </c>
      <c r="F913" s="53"/>
      <c r="G913" s="54" t="n">
        <v>1</v>
      </c>
      <c r="H913" s="52" t="n">
        <f aca="false">E913*F913</f>
        <v>0</v>
      </c>
      <c r="I913" s="55" t="n">
        <v>16290</v>
      </c>
      <c r="J913" s="56"/>
      <c r="K913" s="57" t="n">
        <v>130</v>
      </c>
      <c r="L913" s="22" t="s">
        <v>44</v>
      </c>
      <c r="M913" s="22"/>
      <c r="N913" s="58" t="n">
        <f aca="false">F913*P913</f>
        <v>0</v>
      </c>
      <c r="O913" s="58" t="n">
        <f aca="false">F913*Q913</f>
        <v>0</v>
      </c>
      <c r="P913" s="58" t="n">
        <v>10.16</v>
      </c>
      <c r="Q913" s="58" t="n">
        <v>0.058</v>
      </c>
      <c r="R913" s="59" t="s">
        <v>3124</v>
      </c>
      <c r="S913" s="22"/>
      <c r="T913" s="11" t="str">
        <f aca="false">"16.12.25"</f>
        <v>16.12.25</v>
      </c>
    </row>
    <row r="914" customFormat="false" ht="7.5" hidden="false" customHeight="true" outlineLevel="2" collapsed="false">
      <c r="A914" s="60" t="str">
        <f aca="false">HYPERLINK("https://disk.yandex.ru/d/i17g45Hh9Czcyg","фото")</f>
        <v>фото</v>
      </c>
      <c r="B914" s="49" t="s">
        <v>3125</v>
      </c>
      <c r="C914" s="50" t="s">
        <v>3126</v>
      </c>
      <c r="D914" s="51" t="s">
        <v>3127</v>
      </c>
      <c r="E914" s="52" t="n">
        <f aca="false">I914*(1-J914)*(100-E1)/100</f>
        <v>13356.8</v>
      </c>
      <c r="F914" s="53"/>
      <c r="G914" s="54" t="n">
        <v>1</v>
      </c>
      <c r="H914" s="52" t="n">
        <f aca="false">E914*F914</f>
        <v>0</v>
      </c>
      <c r="I914" s="55" t="n">
        <v>20870</v>
      </c>
      <c r="J914" s="56"/>
      <c r="K914" s="57" t="n">
        <v>127</v>
      </c>
      <c r="L914" s="22" t="s">
        <v>44</v>
      </c>
      <c r="M914" s="22"/>
      <c r="N914" s="58" t="n">
        <f aca="false">F914*P914</f>
        <v>0</v>
      </c>
      <c r="O914" s="58" t="n">
        <f aca="false">F914*Q914</f>
        <v>0</v>
      </c>
      <c r="P914" s="58" t="n">
        <v>11.82</v>
      </c>
      <c r="Q914" s="58" t="n">
        <v>0.066</v>
      </c>
      <c r="R914" s="59" t="s">
        <v>3128</v>
      </c>
      <c r="S914" s="22"/>
      <c r="T914" s="11" t="str">
        <f aca="false">"16.12.25"</f>
        <v>16.12.25</v>
      </c>
    </row>
    <row r="915" customFormat="false" ht="7.5" hidden="false" customHeight="true" outlineLevel="2" collapsed="false">
      <c r="A915" s="60" t="str">
        <f aca="false">HYPERLINK("https://disk.yandex.ru/d/KJZ01dpUxpIM9A","фото")</f>
        <v>фото</v>
      </c>
      <c r="B915" s="49" t="s">
        <v>3129</v>
      </c>
      <c r="C915" s="50" t="s">
        <v>3130</v>
      </c>
      <c r="D915" s="51" t="s">
        <v>3131</v>
      </c>
      <c r="E915" s="52" t="n">
        <f aca="false">I915*(1-J915)*(100-E1)/100</f>
        <v>5248</v>
      </c>
      <c r="F915" s="53"/>
      <c r="G915" s="54" t="n">
        <v>1</v>
      </c>
      <c r="H915" s="52" t="n">
        <f aca="false">E915*F915</f>
        <v>0</v>
      </c>
      <c r="I915" s="55" t="n">
        <v>8200</v>
      </c>
      <c r="J915" s="56"/>
      <c r="K915" s="57" t="n">
        <v>208</v>
      </c>
      <c r="L915" s="22" t="s">
        <v>44</v>
      </c>
      <c r="M915" s="22"/>
      <c r="N915" s="58" t="n">
        <f aca="false">F915*P915</f>
        <v>0</v>
      </c>
      <c r="O915" s="58" t="n">
        <f aca="false">F915*Q915</f>
        <v>0</v>
      </c>
      <c r="P915" s="58" t="n">
        <v>5.08</v>
      </c>
      <c r="Q915" s="58" t="n">
        <v>0.003</v>
      </c>
      <c r="R915" s="59" t="s">
        <v>3132</v>
      </c>
      <c r="S915" s="22"/>
      <c r="T915" s="11" t="str">
        <f aca="false">"16.12.25"</f>
        <v>16.12.25</v>
      </c>
    </row>
    <row r="916" customFormat="false" ht="7.5" hidden="false" customHeight="true" outlineLevel="2" collapsed="false">
      <c r="A916" s="60" t="str">
        <f aca="false">HYPERLINK("https://disk.360.yandex.ru/d/0MHOvGoJCfTnlQ","фото")</f>
        <v>фото</v>
      </c>
      <c r="B916" s="49" t="s">
        <v>3133</v>
      </c>
      <c r="C916" s="50" t="s">
        <v>3134</v>
      </c>
      <c r="D916" s="51" t="s">
        <v>3135</v>
      </c>
      <c r="E916" s="52" t="n">
        <f aca="false">I916*(1-J916)*(100-E1)/100</f>
        <v>24806.4</v>
      </c>
      <c r="F916" s="53"/>
      <c r="G916" s="54" t="n">
        <v>1</v>
      </c>
      <c r="H916" s="52" t="n">
        <f aca="false">E916*F916</f>
        <v>0</v>
      </c>
      <c r="I916" s="55" t="n">
        <v>38760</v>
      </c>
      <c r="J916" s="56"/>
      <c r="K916" s="57" t="n">
        <v>65</v>
      </c>
      <c r="L916" s="22" t="s">
        <v>53</v>
      </c>
      <c r="M916" s="22" t="s">
        <v>31</v>
      </c>
      <c r="N916" s="58" t="n">
        <f aca="false">F916*P916</f>
        <v>0</v>
      </c>
      <c r="O916" s="58" t="n">
        <f aca="false">F916*Q916</f>
        <v>0</v>
      </c>
      <c r="P916" s="58" t="n">
        <v>32.7</v>
      </c>
      <c r="Q916" s="58" t="n">
        <v>0.101</v>
      </c>
      <c r="R916" s="59" t="s">
        <v>3136</v>
      </c>
      <c r="S916" s="22"/>
      <c r="T916" s="11" t="str">
        <f aca="false">"16.12.25"</f>
        <v>16.12.25</v>
      </c>
    </row>
    <row r="917" customFormat="false" ht="7.5" hidden="false" customHeight="true" outlineLevel="2" collapsed="false">
      <c r="A917" s="60" t="str">
        <f aca="false">HYPERLINK("https://disk.360.yandex.ru/d/uUj4cUp0RHKnKw","фото")</f>
        <v>фото</v>
      </c>
      <c r="B917" s="49" t="s">
        <v>3137</v>
      </c>
      <c r="C917" s="50" t="s">
        <v>3138</v>
      </c>
      <c r="D917" s="51" t="s">
        <v>3139</v>
      </c>
      <c r="E917" s="52" t="n">
        <f aca="false">I917*(1-J917)*(100-E1)/100</f>
        <v>30624</v>
      </c>
      <c r="F917" s="53"/>
      <c r="G917" s="54" t="n">
        <v>1</v>
      </c>
      <c r="H917" s="52" t="n">
        <f aca="false">E917*F917</f>
        <v>0</v>
      </c>
      <c r="I917" s="55" t="n">
        <v>47850</v>
      </c>
      <c r="J917" s="56"/>
      <c r="K917" s="57" t="n">
        <v>56</v>
      </c>
      <c r="L917" s="22" t="s">
        <v>53</v>
      </c>
      <c r="M917" s="22" t="s">
        <v>31</v>
      </c>
      <c r="N917" s="58" t="n">
        <f aca="false">F917*P917</f>
        <v>0</v>
      </c>
      <c r="O917" s="58" t="n">
        <f aca="false">F917*Q917</f>
        <v>0</v>
      </c>
      <c r="P917" s="58" t="n">
        <v>34.95</v>
      </c>
      <c r="Q917" s="58" t="n">
        <v>0.138</v>
      </c>
      <c r="R917" s="59" t="s">
        <v>3140</v>
      </c>
      <c r="S917" s="22"/>
      <c r="T917" s="11" t="str">
        <f aca="false">"16.12.25"</f>
        <v>16.12.25</v>
      </c>
    </row>
    <row r="918" customFormat="false" ht="7.5" hidden="false" customHeight="true" outlineLevel="2" collapsed="false">
      <c r="A918" s="60" t="str">
        <f aca="false">HYPERLINK("https://disk.360.yandex.ru/d/t649IfT8Y-Vdmg","фото")</f>
        <v>фото</v>
      </c>
      <c r="B918" s="49" t="s">
        <v>3141</v>
      </c>
      <c r="C918" s="50" t="s">
        <v>3142</v>
      </c>
      <c r="D918" s="51" t="s">
        <v>3143</v>
      </c>
      <c r="E918" s="52" t="n">
        <f aca="false">I918*(1-J918)*(100-E1)/100</f>
        <v>43180.8</v>
      </c>
      <c r="F918" s="53"/>
      <c r="G918" s="54" t="n">
        <v>1</v>
      </c>
      <c r="H918" s="52" t="n">
        <f aca="false">E918*F918</f>
        <v>0</v>
      </c>
      <c r="I918" s="55" t="n">
        <v>67470</v>
      </c>
      <c r="J918" s="56"/>
      <c r="K918" s="57" t="n">
        <v>9</v>
      </c>
      <c r="L918" s="22" t="s">
        <v>53</v>
      </c>
      <c r="M918" s="22" t="s">
        <v>31</v>
      </c>
      <c r="N918" s="58" t="n">
        <f aca="false">F918*P918</f>
        <v>0</v>
      </c>
      <c r="O918" s="58" t="n">
        <f aca="false">F918*Q918</f>
        <v>0</v>
      </c>
      <c r="P918" s="58" t="n">
        <v>54.75</v>
      </c>
      <c r="Q918" s="58" t="n">
        <v>0.149</v>
      </c>
      <c r="R918" s="59" t="s">
        <v>3144</v>
      </c>
      <c r="S918" s="22"/>
      <c r="T918" s="11" t="str">
        <f aca="false">"16.12.25"</f>
        <v>16.12.25</v>
      </c>
    </row>
    <row r="919" customFormat="false" ht="7.5" hidden="false" customHeight="true" outlineLevel="2" collapsed="false">
      <c r="A919" s="60" t="str">
        <f aca="false">HYPERLINK("https://disk.360.yandex.ru/d/-0dNrOUhd_xl4w","фото")</f>
        <v>фото</v>
      </c>
      <c r="B919" s="49" t="s">
        <v>3145</v>
      </c>
      <c r="C919" s="50" t="s">
        <v>3146</v>
      </c>
      <c r="D919" s="51" t="s">
        <v>3147</v>
      </c>
      <c r="E919" s="52" t="n">
        <f aca="false">I919*(1-J919)*(100-E1)/100</f>
        <v>63174.4</v>
      </c>
      <c r="F919" s="53"/>
      <c r="G919" s="54" t="n">
        <v>1</v>
      </c>
      <c r="H919" s="52" t="n">
        <f aca="false">E919*F919</f>
        <v>0</v>
      </c>
      <c r="I919" s="55" t="n">
        <v>98710</v>
      </c>
      <c r="J919" s="56"/>
      <c r="K919" s="57" t="n">
        <v>4</v>
      </c>
      <c r="L919" s="22" t="s">
        <v>53</v>
      </c>
      <c r="M919" s="22" t="s">
        <v>31</v>
      </c>
      <c r="N919" s="58" t="n">
        <f aca="false">F919*P919</f>
        <v>0</v>
      </c>
      <c r="O919" s="58" t="n">
        <f aca="false">F919*Q919</f>
        <v>0</v>
      </c>
      <c r="P919" s="58" t="n">
        <v>79.85</v>
      </c>
      <c r="Q919" s="58" t="n">
        <v>0.203</v>
      </c>
      <c r="R919" s="59" t="s">
        <v>3148</v>
      </c>
      <c r="S919" s="22"/>
      <c r="T919" s="11" t="str">
        <f aca="false">"16.12.25"</f>
        <v>16.12.25</v>
      </c>
    </row>
    <row r="920" customFormat="false" ht="7.5" hidden="false" customHeight="true" outlineLevel="1" collapsed="false">
      <c r="A920" s="38"/>
      <c r="B920" s="39"/>
      <c r="C920" s="40" t="s">
        <v>3149</v>
      </c>
      <c r="D920" s="41"/>
      <c r="E920" s="42"/>
      <c r="F920" s="43"/>
      <c r="G920" s="44"/>
      <c r="H920" s="42"/>
      <c r="I920" s="45"/>
      <c r="J920" s="46"/>
      <c r="K920" s="45"/>
      <c r="L920" s="44"/>
      <c r="M920" s="44"/>
      <c r="N920" s="47"/>
      <c r="O920" s="47"/>
      <c r="P920" s="47"/>
      <c r="Q920" s="47"/>
      <c r="R920" s="39"/>
      <c r="S920" s="44"/>
      <c r="T920" s="11" t="str">
        <f aca="false">"16.12.25"</f>
        <v>16.12.25</v>
      </c>
    </row>
    <row r="921" customFormat="false" ht="7.5" hidden="false" customHeight="true" outlineLevel="2" collapsed="false">
      <c r="A921" s="60" t="str">
        <f aca="false">HYPERLINK("https://disk.360.yandex.ru/d/aMb79Ql1ShPb1w","фото")</f>
        <v>фото</v>
      </c>
      <c r="B921" s="49" t="s">
        <v>3150</v>
      </c>
      <c r="C921" s="50" t="s">
        <v>3151</v>
      </c>
      <c r="D921" s="51" t="s">
        <v>3152</v>
      </c>
      <c r="E921" s="52" t="n">
        <f aca="false">I921*(1-J921)*(100-E1)/100</f>
        <v>1056</v>
      </c>
      <c r="F921" s="53"/>
      <c r="G921" s="54" t="n">
        <v>20</v>
      </c>
      <c r="H921" s="52" t="n">
        <f aca="false">E921*F921</f>
        <v>0</v>
      </c>
      <c r="I921" s="55" t="n">
        <v>2200</v>
      </c>
      <c r="J921" s="56" t="n">
        <v>0.25</v>
      </c>
      <c r="K921" s="57" t="n">
        <v>15</v>
      </c>
      <c r="L921" s="22" t="s">
        <v>44</v>
      </c>
      <c r="M921" s="22"/>
      <c r="N921" s="58" t="n">
        <f aca="false">F921*P921</f>
        <v>0</v>
      </c>
      <c r="O921" s="58" t="n">
        <f aca="false">F921*Q921</f>
        <v>0</v>
      </c>
      <c r="P921" s="58" t="n">
        <v>3</v>
      </c>
      <c r="Q921" s="58" t="n">
        <v>0.013</v>
      </c>
      <c r="R921" s="59" t="s">
        <v>3153</v>
      </c>
      <c r="S921" s="22"/>
      <c r="T921" s="11" t="str">
        <f aca="false">"16.12.25"</f>
        <v>16.12.25</v>
      </c>
    </row>
    <row r="922" customFormat="false" ht="7.5" hidden="false" customHeight="true" outlineLevel="2" collapsed="false">
      <c r="A922" s="60" t="str">
        <f aca="false">HYPERLINK("https://disk.360.yandex.ru/d/IoV1RINI6kCBFQ","фото")</f>
        <v>фото</v>
      </c>
      <c r="B922" s="49" t="s">
        <v>3154</v>
      </c>
      <c r="C922" s="50" t="s">
        <v>3155</v>
      </c>
      <c r="D922" s="51" t="s">
        <v>3156</v>
      </c>
      <c r="E922" s="52" t="n">
        <f aca="false">I922*(1-J922)*(100-E1)/100</f>
        <v>1123.2</v>
      </c>
      <c r="F922" s="53"/>
      <c r="G922" s="54" t="n">
        <v>20</v>
      </c>
      <c r="H922" s="52" t="n">
        <f aca="false">E922*F922</f>
        <v>0</v>
      </c>
      <c r="I922" s="55" t="n">
        <v>2340</v>
      </c>
      <c r="J922" s="56" t="n">
        <v>0.25</v>
      </c>
      <c r="K922" s="57" t="n">
        <v>392</v>
      </c>
      <c r="L922" s="22" t="s">
        <v>44</v>
      </c>
      <c r="M922" s="22"/>
      <c r="N922" s="58" t="n">
        <f aca="false">F922*P922</f>
        <v>0</v>
      </c>
      <c r="O922" s="58" t="n">
        <f aca="false">F922*Q922</f>
        <v>0</v>
      </c>
      <c r="P922" s="58" t="n">
        <v>2.64</v>
      </c>
      <c r="Q922" s="58" t="n">
        <v>0.003</v>
      </c>
      <c r="R922" s="59" t="s">
        <v>3157</v>
      </c>
      <c r="S922" s="22"/>
      <c r="T922" s="11" t="str">
        <f aca="false">"16.12.25"</f>
        <v>16.12.25</v>
      </c>
    </row>
    <row r="923" customFormat="false" ht="7.5" hidden="false" customHeight="true" outlineLevel="2" collapsed="false">
      <c r="A923" s="60" t="str">
        <f aca="false">HYPERLINK("https://disk.360.yandex.ru/d/-IvuoPWhTMtKFQ","фото")</f>
        <v>фото</v>
      </c>
      <c r="B923" s="49" t="s">
        <v>3158</v>
      </c>
      <c r="C923" s="50" t="s">
        <v>3159</v>
      </c>
      <c r="D923" s="51" t="s">
        <v>3160</v>
      </c>
      <c r="E923" s="52" t="n">
        <f aca="false">I923*(1-J923)*(100-E1)/100</f>
        <v>1638.4</v>
      </c>
      <c r="F923" s="53"/>
      <c r="G923" s="54" t="n">
        <v>8</v>
      </c>
      <c r="H923" s="52" t="n">
        <f aca="false">E923*F923</f>
        <v>0</v>
      </c>
      <c r="I923" s="55" t="n">
        <v>2560</v>
      </c>
      <c r="J923" s="56"/>
      <c r="K923" s="57" t="n">
        <v>223</v>
      </c>
      <c r="L923" s="22" t="s">
        <v>44</v>
      </c>
      <c r="M923" s="22"/>
      <c r="N923" s="58" t="n">
        <f aca="false">F923*P923</f>
        <v>0</v>
      </c>
      <c r="O923" s="58" t="n">
        <f aca="false">F923*Q923</f>
        <v>0</v>
      </c>
      <c r="P923" s="58" t="n">
        <v>2</v>
      </c>
      <c r="Q923" s="58" t="n">
        <v>0.005</v>
      </c>
      <c r="R923" s="59" t="s">
        <v>3161</v>
      </c>
      <c r="S923" s="22"/>
      <c r="T923" s="11" t="str">
        <f aca="false">"16.12.25"</f>
        <v>16.12.25</v>
      </c>
    </row>
    <row r="924" customFormat="false" ht="7.5" hidden="false" customHeight="true" outlineLevel="2" collapsed="false">
      <c r="A924" s="60" t="str">
        <f aca="false">HYPERLINK("https://disk.360.yandex.ru/d/9GmYYGXlUtwvXg","фото")</f>
        <v>фото</v>
      </c>
      <c r="B924" s="49" t="s">
        <v>3162</v>
      </c>
      <c r="C924" s="50" t="s">
        <v>3163</v>
      </c>
      <c r="D924" s="51" t="s">
        <v>3164</v>
      </c>
      <c r="E924" s="52" t="n">
        <f aca="false">I924*(1-J924)*(100-E1)/100</f>
        <v>2489.6</v>
      </c>
      <c r="F924" s="53"/>
      <c r="G924" s="54" t="n">
        <v>6</v>
      </c>
      <c r="H924" s="52" t="n">
        <f aca="false">E924*F924</f>
        <v>0</v>
      </c>
      <c r="I924" s="55" t="n">
        <v>3890</v>
      </c>
      <c r="J924" s="56"/>
      <c r="K924" s="57" t="n">
        <v>191</v>
      </c>
      <c r="L924" s="22" t="s">
        <v>44</v>
      </c>
      <c r="M924" s="22"/>
      <c r="N924" s="58" t="n">
        <f aca="false">F924*P924</f>
        <v>0</v>
      </c>
      <c r="O924" s="58" t="n">
        <f aca="false">F924*Q924</f>
        <v>0</v>
      </c>
      <c r="P924" s="58" t="n">
        <v>3</v>
      </c>
      <c r="Q924" s="58" t="n">
        <v>0.013</v>
      </c>
      <c r="R924" s="59" t="s">
        <v>3165</v>
      </c>
      <c r="S924" s="22"/>
      <c r="T924" s="11" t="str">
        <f aca="false">"16.12.25"</f>
        <v>16.12.25</v>
      </c>
    </row>
    <row r="925" customFormat="false" ht="7.5" hidden="false" customHeight="true" outlineLevel="0" collapsed="false">
      <c r="A925" s="28"/>
      <c r="B925" s="29"/>
      <c r="C925" s="30" t="s">
        <v>3166</v>
      </c>
      <c r="D925" s="31"/>
      <c r="E925" s="32"/>
      <c r="F925" s="33"/>
      <c r="G925" s="34"/>
      <c r="H925" s="32"/>
      <c r="I925" s="35"/>
      <c r="J925" s="36"/>
      <c r="K925" s="35"/>
      <c r="L925" s="34"/>
      <c r="M925" s="34"/>
      <c r="N925" s="37"/>
      <c r="O925" s="37"/>
      <c r="P925" s="37"/>
      <c r="Q925" s="37"/>
      <c r="R925" s="29"/>
      <c r="S925" s="34"/>
      <c r="T925" s="11" t="str">
        <f aca="false">"16.12.25"</f>
        <v>16.12.25</v>
      </c>
    </row>
    <row r="926" customFormat="false" ht="7.5" hidden="false" customHeight="true" outlineLevel="1" collapsed="false">
      <c r="A926" s="38"/>
      <c r="B926" s="39"/>
      <c r="C926" s="40" t="s">
        <v>3167</v>
      </c>
      <c r="D926" s="41"/>
      <c r="E926" s="42"/>
      <c r="F926" s="43"/>
      <c r="G926" s="44"/>
      <c r="H926" s="42"/>
      <c r="I926" s="45"/>
      <c r="J926" s="46"/>
      <c r="K926" s="45"/>
      <c r="L926" s="44"/>
      <c r="M926" s="44"/>
      <c r="N926" s="47"/>
      <c r="O926" s="47"/>
      <c r="P926" s="47"/>
      <c r="Q926" s="47"/>
      <c r="R926" s="39"/>
      <c r="S926" s="44"/>
      <c r="T926" s="11" t="str">
        <f aca="false">"16.12.25"</f>
        <v>16.12.25</v>
      </c>
    </row>
    <row r="927" customFormat="false" ht="7.5" hidden="false" customHeight="true" outlineLevel="2" collapsed="false">
      <c r="A927" s="60" t="str">
        <f aca="false">HYPERLINK("https://disk.360.yandex.ru/d/COCWi1S0QICR5Q","фото")</f>
        <v>фото</v>
      </c>
      <c r="B927" s="49" t="s">
        <v>3168</v>
      </c>
      <c r="C927" s="50" t="s">
        <v>3169</v>
      </c>
      <c r="D927" s="51" t="s">
        <v>3170</v>
      </c>
      <c r="E927" s="52" t="n">
        <f aca="false">I927*(1-J927)*(100-E1)/100</f>
        <v>9106.56</v>
      </c>
      <c r="F927" s="53"/>
      <c r="G927" s="54" t="n">
        <v>1</v>
      </c>
      <c r="H927" s="52" t="n">
        <f aca="false">E927*F927</f>
        <v>0</v>
      </c>
      <c r="I927" s="55" t="n">
        <v>16740</v>
      </c>
      <c r="J927" s="56" t="n">
        <v>0.15</v>
      </c>
      <c r="K927" s="57" t="n">
        <v>265</v>
      </c>
      <c r="L927" s="22" t="s">
        <v>53</v>
      </c>
      <c r="M927" s="22" t="s">
        <v>152</v>
      </c>
      <c r="N927" s="58" t="n">
        <f aca="false">F927*P927</f>
        <v>0</v>
      </c>
      <c r="O927" s="58" t="n">
        <f aca="false">F927*Q927</f>
        <v>0</v>
      </c>
      <c r="P927" s="58" t="n">
        <v>17.5</v>
      </c>
      <c r="Q927" s="58" t="n">
        <v>0.084</v>
      </c>
      <c r="R927" s="59" t="s">
        <v>3171</v>
      </c>
      <c r="S927" s="22"/>
      <c r="T927" s="11" t="str">
        <f aca="false">"16.12.25"</f>
        <v>16.12.25</v>
      </c>
    </row>
    <row r="928" customFormat="false" ht="7.5" hidden="false" customHeight="true" outlineLevel="2" collapsed="false">
      <c r="A928" s="60" t="str">
        <f aca="false">HYPERLINK("https://disk.360.yandex.ru/d/ITNRKIjygngN0w","фото")</f>
        <v>фото</v>
      </c>
      <c r="B928" s="49" t="s">
        <v>3172</v>
      </c>
      <c r="C928" s="50" t="s">
        <v>3173</v>
      </c>
      <c r="D928" s="51" t="s">
        <v>3174</v>
      </c>
      <c r="E928" s="52" t="n">
        <f aca="false">I928*(1-J928)*(100-E1)/100</f>
        <v>1468.8</v>
      </c>
      <c r="F928" s="53"/>
      <c r="G928" s="54" t="n">
        <v>1</v>
      </c>
      <c r="H928" s="52" t="n">
        <f aca="false">E928*F928</f>
        <v>0</v>
      </c>
      <c r="I928" s="55" t="n">
        <v>2700</v>
      </c>
      <c r="J928" s="56" t="n">
        <v>0.15</v>
      </c>
      <c r="K928" s="57" t="n">
        <v>412</v>
      </c>
      <c r="L928" s="22" t="s">
        <v>53</v>
      </c>
      <c r="M928" s="22" t="s">
        <v>152</v>
      </c>
      <c r="N928" s="58" t="n">
        <f aca="false">F928*P928</f>
        <v>0</v>
      </c>
      <c r="O928" s="58" t="n">
        <f aca="false">F928*Q928</f>
        <v>0</v>
      </c>
      <c r="P928" s="58" t="n">
        <v>4.7</v>
      </c>
      <c r="Q928" s="58" t="n">
        <v>0.011</v>
      </c>
      <c r="R928" s="59" t="s">
        <v>3175</v>
      </c>
      <c r="S928" s="22"/>
      <c r="T928" s="11" t="str">
        <f aca="false">"16.12.25"</f>
        <v>16.12.25</v>
      </c>
    </row>
    <row r="929" customFormat="false" ht="7.5" hidden="false" customHeight="true" outlineLevel="1" collapsed="false">
      <c r="A929" s="38"/>
      <c r="B929" s="39"/>
      <c r="C929" s="40" t="s">
        <v>3176</v>
      </c>
      <c r="D929" s="41"/>
      <c r="E929" s="42"/>
      <c r="F929" s="43"/>
      <c r="G929" s="44"/>
      <c r="H929" s="42"/>
      <c r="I929" s="45"/>
      <c r="J929" s="46"/>
      <c r="K929" s="45"/>
      <c r="L929" s="44"/>
      <c r="M929" s="44"/>
      <c r="N929" s="47"/>
      <c r="O929" s="47"/>
      <c r="P929" s="47"/>
      <c r="Q929" s="47"/>
      <c r="R929" s="39"/>
      <c r="S929" s="44"/>
      <c r="T929" s="11" t="str">
        <f aca="false">"16.12.25"</f>
        <v>16.12.25</v>
      </c>
    </row>
    <row r="930" customFormat="false" ht="7.5" hidden="false" customHeight="true" outlineLevel="2" collapsed="false">
      <c r="A930" s="60" t="str">
        <f aca="false">HYPERLINK("https://disk.yandex.ru/d/lwWrBStQtUb12Q","фото")</f>
        <v>фото</v>
      </c>
      <c r="B930" s="49" t="s">
        <v>3177</v>
      </c>
      <c r="C930" s="50" t="s">
        <v>3178</v>
      </c>
      <c r="D930" s="51" t="s">
        <v>3179</v>
      </c>
      <c r="E930" s="52" t="n">
        <f aca="false">I930*(1-J930)*(100-E1)/100</f>
        <v>1300.8</v>
      </c>
      <c r="F930" s="53"/>
      <c r="G930" s="54" t="n">
        <v>8</v>
      </c>
      <c r="H930" s="52" t="n">
        <f aca="false">E930*F930</f>
        <v>0</v>
      </c>
      <c r="I930" s="55" t="n">
        <v>2710</v>
      </c>
      <c r="J930" s="56" t="n">
        <v>0.25</v>
      </c>
      <c r="K930" s="57" t="n">
        <v>28</v>
      </c>
      <c r="L930" s="22" t="s">
        <v>44</v>
      </c>
      <c r="M930" s="22"/>
      <c r="N930" s="58" t="n">
        <f aca="false">F930*P930</f>
        <v>0</v>
      </c>
      <c r="O930" s="58" t="n">
        <f aca="false">F930*Q930</f>
        <v>0</v>
      </c>
      <c r="P930" s="58" t="n">
        <v>2.712</v>
      </c>
      <c r="Q930" s="58" t="n">
        <v>0.007</v>
      </c>
      <c r="R930" s="59" t="s">
        <v>3180</v>
      </c>
      <c r="S930" s="22"/>
      <c r="T930" s="11" t="str">
        <f aca="false">"16.12.25"</f>
        <v>16.12.25</v>
      </c>
    </row>
    <row r="931" customFormat="false" ht="7.5" hidden="false" customHeight="true" outlineLevel="2" collapsed="false">
      <c r="A931" s="60" t="str">
        <f aca="false">HYPERLINK("https://disk.yandex.ru/d/xrnc3Cr5ZLdCdw","фото")</f>
        <v>фото</v>
      </c>
      <c r="B931" s="49" t="s">
        <v>3181</v>
      </c>
      <c r="C931" s="50" t="s">
        <v>3182</v>
      </c>
      <c r="D931" s="51" t="s">
        <v>3183</v>
      </c>
      <c r="E931" s="52" t="n">
        <f aca="false">I931*(1-J931)*(100-E1)/100</f>
        <v>1785.6</v>
      </c>
      <c r="F931" s="53"/>
      <c r="G931" s="54" t="n">
        <v>8</v>
      </c>
      <c r="H931" s="52" t="n">
        <f aca="false">E931*F931</f>
        <v>0</v>
      </c>
      <c r="I931" s="55" t="n">
        <v>2790</v>
      </c>
      <c r="J931" s="56"/>
      <c r="K931" s="57" t="n">
        <v>0</v>
      </c>
      <c r="L931" s="22" t="s">
        <v>44</v>
      </c>
      <c r="M931" s="22"/>
      <c r="N931" s="58" t="n">
        <f aca="false">F931*P931</f>
        <v>0</v>
      </c>
      <c r="O931" s="58" t="n">
        <f aca="false">F931*Q931</f>
        <v>0</v>
      </c>
      <c r="P931" s="58" t="n">
        <v>2.838</v>
      </c>
      <c r="Q931" s="58" t="n">
        <v>0.003</v>
      </c>
      <c r="R931" s="59" t="s">
        <v>3184</v>
      </c>
      <c r="S931" s="22"/>
      <c r="T931" s="11" t="str">
        <f aca="false">"16.12.25"</f>
        <v>16.12.25</v>
      </c>
    </row>
    <row r="932" customFormat="false" ht="7.5" hidden="false" customHeight="true" outlineLevel="2" collapsed="false">
      <c r="A932" s="60" t="str">
        <f aca="false">HYPERLINK("https://disk.yandex.ru/d/ZLdPlggX2LJQrg","фото")</f>
        <v>фото</v>
      </c>
      <c r="B932" s="49" t="s">
        <v>3185</v>
      </c>
      <c r="C932" s="50" t="s">
        <v>3186</v>
      </c>
      <c r="D932" s="51" t="s">
        <v>3187</v>
      </c>
      <c r="E932" s="52" t="n">
        <f aca="false">I932*(1-J932)*(100-E1)/100</f>
        <v>3072</v>
      </c>
      <c r="F932" s="53"/>
      <c r="G932" s="54" t="n">
        <v>6</v>
      </c>
      <c r="H932" s="52" t="n">
        <f aca="false">E932*F932</f>
        <v>0</v>
      </c>
      <c r="I932" s="55" t="n">
        <v>4800</v>
      </c>
      <c r="J932" s="56"/>
      <c r="K932" s="57" t="n">
        <v>0</v>
      </c>
      <c r="L932" s="22" t="s">
        <v>44</v>
      </c>
      <c r="M932" s="22"/>
      <c r="N932" s="58" t="n">
        <f aca="false">F932*P932</f>
        <v>0</v>
      </c>
      <c r="O932" s="58" t="n">
        <f aca="false">F932*Q932</f>
        <v>0</v>
      </c>
      <c r="P932" s="58" t="n">
        <v>4.5</v>
      </c>
      <c r="Q932" s="58" t="n">
        <v>0.011</v>
      </c>
      <c r="R932" s="59" t="s">
        <v>3188</v>
      </c>
      <c r="S932" s="22"/>
      <c r="T932" s="11" t="str">
        <f aca="false">"16.12.25"</f>
        <v>16.12.25</v>
      </c>
    </row>
    <row r="933" customFormat="false" ht="7.5" hidden="false" customHeight="true" outlineLevel="2" collapsed="false">
      <c r="A933" s="60" t="str">
        <f aca="false">HYPERLINK("https://disk.yandex.ru/d/pCaJ7-m_W_OhqA","фото")</f>
        <v>фото</v>
      </c>
      <c r="B933" s="49" t="s">
        <v>3189</v>
      </c>
      <c r="C933" s="50" t="s">
        <v>3190</v>
      </c>
      <c r="D933" s="51" t="s">
        <v>3191</v>
      </c>
      <c r="E933" s="52" t="n">
        <f aca="false">I933*(1-J933)*(100-E1)/100</f>
        <v>3577.6</v>
      </c>
      <c r="F933" s="53"/>
      <c r="G933" s="54" t="n">
        <v>5</v>
      </c>
      <c r="H933" s="52" t="n">
        <f aca="false">E933*F933</f>
        <v>0</v>
      </c>
      <c r="I933" s="55" t="n">
        <v>5590</v>
      </c>
      <c r="J933" s="56"/>
      <c r="K933" s="57" t="n">
        <v>4</v>
      </c>
      <c r="L933" s="22" t="s">
        <v>44</v>
      </c>
      <c r="M933" s="22"/>
      <c r="N933" s="58" t="n">
        <f aca="false">F933*P933</f>
        <v>0</v>
      </c>
      <c r="O933" s="58" t="n">
        <f aca="false">F933*Q933</f>
        <v>0</v>
      </c>
      <c r="P933" s="58" t="n">
        <v>6.41</v>
      </c>
      <c r="Q933" s="58" t="n">
        <v>0.009</v>
      </c>
      <c r="R933" s="59" t="s">
        <v>3192</v>
      </c>
      <c r="S933" s="22"/>
      <c r="T933" s="11" t="str">
        <f aca="false">"16.12.25"</f>
        <v>16.12.25</v>
      </c>
    </row>
    <row r="934" customFormat="false" ht="7.5" hidden="false" customHeight="true" outlineLevel="2" collapsed="false">
      <c r="A934" s="60" t="str">
        <f aca="false">HYPERLINK("https://disk.yandex.ru/d/e_W9fiNsDL_q9g","фото")</f>
        <v>фото</v>
      </c>
      <c r="B934" s="49" t="s">
        <v>3193</v>
      </c>
      <c r="C934" s="50" t="s">
        <v>3194</v>
      </c>
      <c r="D934" s="51"/>
      <c r="E934" s="52" t="n">
        <f aca="false">I934*(1-J934)*(100-E1)/100</f>
        <v>1740.8</v>
      </c>
      <c r="F934" s="53"/>
      <c r="G934" s="54" t="n">
        <v>6</v>
      </c>
      <c r="H934" s="52" t="n">
        <f aca="false">E934*F934</f>
        <v>0</v>
      </c>
      <c r="I934" s="55" t="n">
        <v>2720</v>
      </c>
      <c r="J934" s="56"/>
      <c r="K934" s="57" t="n">
        <v>0</v>
      </c>
      <c r="L934" s="22" t="s">
        <v>44</v>
      </c>
      <c r="M934" s="22"/>
      <c r="N934" s="58" t="n">
        <f aca="false">F934*P934</f>
        <v>0</v>
      </c>
      <c r="O934" s="58" t="n">
        <f aca="false">F934*Q934</f>
        <v>0</v>
      </c>
      <c r="P934" s="58" t="n">
        <v>3.85</v>
      </c>
      <c r="Q934" s="58" t="n">
        <v>0.005</v>
      </c>
      <c r="R934" s="59" t="s">
        <v>3195</v>
      </c>
      <c r="S934" s="22"/>
      <c r="T934" s="11" t="str">
        <f aca="false">"16.12.25"</f>
        <v>16.12.25</v>
      </c>
    </row>
    <row r="935" customFormat="false" ht="7.5" hidden="false" customHeight="true" outlineLevel="2" collapsed="false">
      <c r="A935" s="60" t="str">
        <f aca="false">HYPERLINK("https://disk.yandex.ru/d/BuiAAHu3rJNhMA","фото")</f>
        <v>фото</v>
      </c>
      <c r="B935" s="49" t="s">
        <v>3196</v>
      </c>
      <c r="C935" s="50" t="s">
        <v>3197</v>
      </c>
      <c r="D935" s="51"/>
      <c r="E935" s="52" t="n">
        <f aca="false">I935*(1-J935)*(100-E1)/100</f>
        <v>3180.8</v>
      </c>
      <c r="F935" s="53"/>
      <c r="G935" s="54" t="n">
        <v>5</v>
      </c>
      <c r="H935" s="52" t="n">
        <f aca="false">E935*F935</f>
        <v>0</v>
      </c>
      <c r="I935" s="55" t="n">
        <v>4970</v>
      </c>
      <c r="J935" s="56"/>
      <c r="K935" s="57" t="n">
        <v>0</v>
      </c>
      <c r="L935" s="22" t="s">
        <v>44</v>
      </c>
      <c r="M935" s="22"/>
      <c r="N935" s="58" t="n">
        <f aca="false">F935*P935</f>
        <v>0</v>
      </c>
      <c r="O935" s="58" t="n">
        <f aca="false">F935*Q935</f>
        <v>0</v>
      </c>
      <c r="P935" s="58" t="n">
        <v>5.55</v>
      </c>
      <c r="Q935" s="58" t="n">
        <v>0.02</v>
      </c>
      <c r="R935" s="59" t="s">
        <v>3198</v>
      </c>
      <c r="S935" s="22"/>
      <c r="T935" s="11" t="str">
        <f aca="false">"16.12.25"</f>
        <v>16.12.25</v>
      </c>
    </row>
    <row r="936" customFormat="false" ht="7.5" hidden="false" customHeight="true" outlineLevel="2" collapsed="false">
      <c r="A936" s="60" t="str">
        <f aca="false">HYPERLINK("https://disk.yandex.ru/d/yckCV8X_0zLWjw","фото")</f>
        <v>фото</v>
      </c>
      <c r="B936" s="49" t="s">
        <v>3199</v>
      </c>
      <c r="C936" s="50" t="s">
        <v>3200</v>
      </c>
      <c r="D936" s="51" t="s">
        <v>3201</v>
      </c>
      <c r="E936" s="52" t="n">
        <f aca="false">I936*(1-J936)*(100-E1)/100</f>
        <v>5299.2</v>
      </c>
      <c r="F936" s="53"/>
      <c r="G936" s="54" t="n">
        <v>1</v>
      </c>
      <c r="H936" s="52" t="n">
        <f aca="false">E936*F936</f>
        <v>0</v>
      </c>
      <c r="I936" s="55" t="n">
        <v>8280</v>
      </c>
      <c r="J936" s="56"/>
      <c r="K936" s="57" t="n">
        <v>0</v>
      </c>
      <c r="L936" s="22" t="s">
        <v>44</v>
      </c>
      <c r="M936" s="22"/>
      <c r="N936" s="58" t="n">
        <f aca="false">F936*P936</f>
        <v>0</v>
      </c>
      <c r="O936" s="58" t="n">
        <f aca="false">F936*Q936</f>
        <v>0</v>
      </c>
      <c r="P936" s="58" t="n">
        <v>10.3</v>
      </c>
      <c r="Q936" s="58" t="n">
        <v>0.003</v>
      </c>
      <c r="R936" s="59" t="s">
        <v>3202</v>
      </c>
      <c r="S936" s="22"/>
      <c r="T936" s="11" t="str">
        <f aca="false">"16.12.25"</f>
        <v>16.12.25</v>
      </c>
    </row>
    <row r="937" customFormat="false" ht="7.5" hidden="false" customHeight="true" outlineLevel="2" collapsed="false">
      <c r="A937" s="60" t="str">
        <f aca="false">HYPERLINK("https://disk.yandex.ru/d/mutKe8mha_FcwA","фото")</f>
        <v>фото</v>
      </c>
      <c r="B937" s="49" t="s">
        <v>3203</v>
      </c>
      <c r="C937" s="50" t="s">
        <v>3204</v>
      </c>
      <c r="D937" s="51"/>
      <c r="E937" s="52" t="n">
        <f aca="false">I937*(1-J937)*(100-E1)/100</f>
        <v>3283.2</v>
      </c>
      <c r="F937" s="53"/>
      <c r="G937" s="54" t="n">
        <v>5</v>
      </c>
      <c r="H937" s="52" t="n">
        <f aca="false">E937*F937</f>
        <v>0</v>
      </c>
      <c r="I937" s="55" t="n">
        <v>5130</v>
      </c>
      <c r="J937" s="56"/>
      <c r="K937" s="57" t="n">
        <v>0</v>
      </c>
      <c r="L937" s="22" t="s">
        <v>44</v>
      </c>
      <c r="M937" s="22"/>
      <c r="N937" s="58" t="n">
        <f aca="false">F937*P937</f>
        <v>0</v>
      </c>
      <c r="O937" s="58" t="n">
        <f aca="false">F937*Q937</f>
        <v>0</v>
      </c>
      <c r="P937" s="58" t="n">
        <v>5.8</v>
      </c>
      <c r="Q937" s="58" t="n">
        <v>0.011</v>
      </c>
      <c r="R937" s="59" t="s">
        <v>3205</v>
      </c>
      <c r="S937" s="22"/>
      <c r="T937" s="11" t="str">
        <f aca="false">"16.12.25"</f>
        <v>16.12.25</v>
      </c>
    </row>
    <row r="938" customFormat="false" ht="7.5" hidden="false" customHeight="true" outlineLevel="2" collapsed="false">
      <c r="A938" s="60" t="str">
        <f aca="false">HYPERLINK("https://disk.360.yandex.ru/d/KamkQl08Alpf_w","фото")</f>
        <v>фото</v>
      </c>
      <c r="B938" s="49" t="s">
        <v>3206</v>
      </c>
      <c r="C938" s="50" t="s">
        <v>3207</v>
      </c>
      <c r="D938" s="51"/>
      <c r="E938" s="52" t="n">
        <f aca="false">I938*(1-J938)*(100-E1)/100</f>
        <v>778.24</v>
      </c>
      <c r="F938" s="53"/>
      <c r="G938" s="54" t="n">
        <v>16</v>
      </c>
      <c r="H938" s="52" t="n">
        <f aca="false">E938*F938</f>
        <v>0</v>
      </c>
      <c r="I938" s="55" t="n">
        <v>1520</v>
      </c>
      <c r="J938" s="56" t="n">
        <v>0.2</v>
      </c>
      <c r="K938" s="57" t="n">
        <v>471</v>
      </c>
      <c r="L938" s="22" t="s">
        <v>44</v>
      </c>
      <c r="M938" s="22" t="s">
        <v>31</v>
      </c>
      <c r="N938" s="58" t="n">
        <f aca="false">F938*P938</f>
        <v>0</v>
      </c>
      <c r="O938" s="58" t="n">
        <f aca="false">F938*Q938</f>
        <v>0</v>
      </c>
      <c r="P938" s="58" t="n">
        <v>1.85</v>
      </c>
      <c r="Q938" s="58" t="n">
        <v>0.002</v>
      </c>
      <c r="R938" s="59" t="s">
        <v>3208</v>
      </c>
      <c r="S938" s="22"/>
      <c r="T938" s="11" t="str">
        <f aca="false">"16.12.25"</f>
        <v>16.12.25</v>
      </c>
    </row>
    <row r="939" customFormat="false" ht="7.5" hidden="false" customHeight="true" outlineLevel="2" collapsed="false">
      <c r="A939" s="60" t="str">
        <f aca="false">HYPERLINK("https://disk.360.yandex.ru/d/j7U3bq5QifWJxg","фото")</f>
        <v>фото</v>
      </c>
      <c r="B939" s="49" t="s">
        <v>3209</v>
      </c>
      <c r="C939" s="50" t="s">
        <v>3210</v>
      </c>
      <c r="D939" s="51"/>
      <c r="E939" s="52" t="n">
        <f aca="false">I939*(1-J939)*(100-E1)/100</f>
        <v>1295.36</v>
      </c>
      <c r="F939" s="53"/>
      <c r="G939" s="54" t="n">
        <v>5</v>
      </c>
      <c r="H939" s="52" t="n">
        <f aca="false">E939*F939</f>
        <v>0</v>
      </c>
      <c r="I939" s="55" t="n">
        <v>2530</v>
      </c>
      <c r="J939" s="56" t="n">
        <v>0.2</v>
      </c>
      <c r="K939" s="57" t="n">
        <v>454</v>
      </c>
      <c r="L939" s="22" t="s">
        <v>44</v>
      </c>
      <c r="M939" s="22" t="s">
        <v>31</v>
      </c>
      <c r="N939" s="58" t="n">
        <f aca="false">F939*P939</f>
        <v>0</v>
      </c>
      <c r="O939" s="58" t="n">
        <f aca="false">F939*Q939</f>
        <v>0</v>
      </c>
      <c r="P939" s="58" t="n">
        <v>4.08</v>
      </c>
      <c r="Q939" s="58" t="n">
        <v>0.005</v>
      </c>
      <c r="R939" s="59"/>
      <c r="S939" s="22"/>
      <c r="T939" s="11" t="str">
        <f aca="false">"16.12.25"</f>
        <v>16.12.25</v>
      </c>
    </row>
    <row r="940" customFormat="false" ht="7.5" hidden="false" customHeight="true" outlineLevel="2" collapsed="false">
      <c r="A940" s="60" t="str">
        <f aca="false">HYPERLINK("https://disk.360.yandex.ru/d/YnM-Irjq8VlS9Q","фото")</f>
        <v>фото</v>
      </c>
      <c r="B940" s="49" t="s">
        <v>3211</v>
      </c>
      <c r="C940" s="50" t="s">
        <v>3212</v>
      </c>
      <c r="D940" s="51"/>
      <c r="E940" s="52" t="n">
        <f aca="false">I940*(1-J940)*(100-E1)/100</f>
        <v>1392.64</v>
      </c>
      <c r="F940" s="53"/>
      <c r="G940" s="54" t="n">
        <v>6</v>
      </c>
      <c r="H940" s="52" t="n">
        <f aca="false">E940*F940</f>
        <v>0</v>
      </c>
      <c r="I940" s="55" t="n">
        <v>2720</v>
      </c>
      <c r="J940" s="56" t="n">
        <v>0.2</v>
      </c>
      <c r="K940" s="57" t="n">
        <v>426</v>
      </c>
      <c r="L940" s="22" t="s">
        <v>44</v>
      </c>
      <c r="M940" s="22" t="s">
        <v>31</v>
      </c>
      <c r="N940" s="58" t="n">
        <f aca="false">F940*P940</f>
        <v>0</v>
      </c>
      <c r="O940" s="58" t="n">
        <f aca="false">F940*Q940</f>
        <v>0</v>
      </c>
      <c r="P940" s="58" t="n">
        <v>3.8</v>
      </c>
      <c r="Q940" s="58" t="n">
        <v>0.007</v>
      </c>
      <c r="R940" s="59"/>
      <c r="S940" s="22"/>
      <c r="T940" s="11" t="str">
        <f aca="false">"16.12.25"</f>
        <v>16.12.25</v>
      </c>
    </row>
    <row r="941" customFormat="false" ht="7.5" hidden="false" customHeight="true" outlineLevel="2" collapsed="false">
      <c r="A941" s="60" t="str">
        <f aca="false">HYPERLINK("https://disk.360.yandex.ru/d/dDqOYjC_ioTRsA","фото")</f>
        <v>фото</v>
      </c>
      <c r="B941" s="49" t="s">
        <v>3213</v>
      </c>
      <c r="C941" s="50" t="s">
        <v>3214</v>
      </c>
      <c r="D941" s="51"/>
      <c r="E941" s="52" t="n">
        <f aca="false">I941*(1-J941)*(100-E1)/100</f>
        <v>2626.56</v>
      </c>
      <c r="F941" s="53"/>
      <c r="G941" s="54" t="n">
        <v>5</v>
      </c>
      <c r="H941" s="52" t="n">
        <f aca="false">E941*F941</f>
        <v>0</v>
      </c>
      <c r="I941" s="55" t="n">
        <v>5130</v>
      </c>
      <c r="J941" s="56" t="n">
        <v>0.2</v>
      </c>
      <c r="K941" s="57" t="n">
        <v>574</v>
      </c>
      <c r="L941" s="22" t="s">
        <v>44</v>
      </c>
      <c r="M941" s="22" t="s">
        <v>31</v>
      </c>
      <c r="N941" s="58" t="n">
        <f aca="false">F941*P941</f>
        <v>0</v>
      </c>
      <c r="O941" s="58" t="n">
        <f aca="false">F941*Q941</f>
        <v>0</v>
      </c>
      <c r="P941" s="58" t="n">
        <v>5.69</v>
      </c>
      <c r="Q941" s="58" t="n">
        <v>0.01</v>
      </c>
      <c r="R941" s="59"/>
      <c r="S941" s="22"/>
      <c r="T941" s="11" t="str">
        <f aca="false">"16.12.25"</f>
        <v>16.12.25</v>
      </c>
    </row>
    <row r="942" customFormat="false" ht="7.5" hidden="false" customHeight="true" outlineLevel="2" collapsed="false">
      <c r="A942" s="60" t="str">
        <f aca="false">HYPERLINK("https://disk.360.yandex.ru/d/e18NLsc0yZ7AEg","фото")</f>
        <v>фото</v>
      </c>
      <c r="B942" s="49" t="s">
        <v>3215</v>
      </c>
      <c r="C942" s="50" t="s">
        <v>3216</v>
      </c>
      <c r="D942" s="51"/>
      <c r="E942" s="52" t="n">
        <f aca="false">I942*(1-J942)*(100-E1)/100</f>
        <v>2862.08</v>
      </c>
      <c r="F942" s="53"/>
      <c r="G942" s="54" t="n">
        <v>5</v>
      </c>
      <c r="H942" s="52" t="n">
        <f aca="false">E942*F942</f>
        <v>0</v>
      </c>
      <c r="I942" s="55" t="n">
        <v>5590</v>
      </c>
      <c r="J942" s="56" t="n">
        <v>0.2</v>
      </c>
      <c r="K942" s="57" t="n">
        <v>174</v>
      </c>
      <c r="L942" s="22" t="s">
        <v>44</v>
      </c>
      <c r="M942" s="22" t="s">
        <v>31</v>
      </c>
      <c r="N942" s="58" t="n">
        <f aca="false">F942*P942</f>
        <v>0</v>
      </c>
      <c r="O942" s="58" t="n">
        <f aca="false">F942*Q942</f>
        <v>0</v>
      </c>
      <c r="P942" s="58" t="n">
        <v>6.59</v>
      </c>
      <c r="Q942" s="58" t="n">
        <v>0.009</v>
      </c>
      <c r="R942" s="59"/>
      <c r="S942" s="22"/>
      <c r="T942" s="11" t="str">
        <f aca="false">"16.12.25"</f>
        <v>16.12.25</v>
      </c>
    </row>
    <row r="943" customFormat="false" ht="7.5" hidden="false" customHeight="true" outlineLevel="2" collapsed="false">
      <c r="A943" s="60" t="str">
        <f aca="false">HYPERLINK("https://disk.360.yandex.ru/d/ycClC_F_4NFdzQ","фото")</f>
        <v>фото</v>
      </c>
      <c r="B943" s="49" t="s">
        <v>3217</v>
      </c>
      <c r="C943" s="50" t="s">
        <v>3218</v>
      </c>
      <c r="D943" s="51"/>
      <c r="E943" s="52" t="n">
        <f aca="false">I943*(1-J943)*(100-E1)/100</f>
        <v>2544.64</v>
      </c>
      <c r="F943" s="53"/>
      <c r="G943" s="54" t="n">
        <v>5</v>
      </c>
      <c r="H943" s="52" t="n">
        <f aca="false">E943*F943</f>
        <v>0</v>
      </c>
      <c r="I943" s="55" t="n">
        <v>4970</v>
      </c>
      <c r="J943" s="56" t="n">
        <v>0.2</v>
      </c>
      <c r="K943" s="57" t="n">
        <v>619</v>
      </c>
      <c r="L943" s="22" t="s">
        <v>44</v>
      </c>
      <c r="M943" s="22" t="s">
        <v>31</v>
      </c>
      <c r="N943" s="58" t="n">
        <f aca="false">F943*P943</f>
        <v>0</v>
      </c>
      <c r="O943" s="58" t="n">
        <f aca="false">F943*Q943</f>
        <v>0</v>
      </c>
      <c r="P943" s="58" t="n">
        <v>5.678</v>
      </c>
      <c r="Q943" s="58" t="n">
        <v>0.009</v>
      </c>
      <c r="R943" s="59" t="s">
        <v>3219</v>
      </c>
      <c r="S943" s="22"/>
      <c r="T943" s="11" t="str">
        <f aca="false">"16.12.25"</f>
        <v>16.12.25</v>
      </c>
    </row>
    <row r="944" customFormat="false" ht="7.5" hidden="false" customHeight="true" outlineLevel="2" collapsed="false">
      <c r="A944" s="48"/>
      <c r="B944" s="49" t="s">
        <v>3220</v>
      </c>
      <c r="C944" s="50" t="s">
        <v>3221</v>
      </c>
      <c r="D944" s="51"/>
      <c r="E944" s="52" t="n">
        <f aca="false">I944*(1-J944)*(100-E1)/100</f>
        <v>2862.08</v>
      </c>
      <c r="F944" s="53"/>
      <c r="G944" s="54" t="n">
        <v>5</v>
      </c>
      <c r="H944" s="52" t="n">
        <f aca="false">E944*F944</f>
        <v>0</v>
      </c>
      <c r="I944" s="55" t="n">
        <v>5590</v>
      </c>
      <c r="J944" s="56" t="n">
        <v>0.2</v>
      </c>
      <c r="K944" s="57" t="n">
        <v>987</v>
      </c>
      <c r="L944" s="22" t="s">
        <v>364</v>
      </c>
      <c r="M944" s="22" t="s">
        <v>31</v>
      </c>
      <c r="N944" s="58" t="n">
        <f aca="false">F944*P944</f>
        <v>0</v>
      </c>
      <c r="O944" s="58" t="n">
        <f aca="false">F944*Q944</f>
        <v>0</v>
      </c>
      <c r="P944" s="58" t="n">
        <v>6.38</v>
      </c>
      <c r="Q944" s="58" t="n">
        <v>0.01</v>
      </c>
      <c r="R944" s="59" t="s">
        <v>3222</v>
      </c>
      <c r="S944" s="22"/>
      <c r="T944" s="11" t="str">
        <f aca="false">"16.12.25"</f>
        <v>16.12.25</v>
      </c>
    </row>
    <row r="945" customFormat="false" ht="7.5" hidden="false" customHeight="true" outlineLevel="2" collapsed="false">
      <c r="A945" s="48"/>
      <c r="B945" s="49" t="s">
        <v>3223</v>
      </c>
      <c r="C945" s="50" t="s">
        <v>3224</v>
      </c>
      <c r="D945" s="51"/>
      <c r="E945" s="52" t="n">
        <f aca="false">I945*(1-J945)*(100-E1)/100</f>
        <v>778.24</v>
      </c>
      <c r="F945" s="53"/>
      <c r="G945" s="54" t="n">
        <v>16</v>
      </c>
      <c r="H945" s="52" t="n">
        <f aca="false">E945*F945</f>
        <v>0</v>
      </c>
      <c r="I945" s="55" t="n">
        <v>1520</v>
      </c>
      <c r="J945" s="56" t="n">
        <v>0.2</v>
      </c>
      <c r="K945" s="57" t="n">
        <v>1002</v>
      </c>
      <c r="L945" s="22" t="s">
        <v>364</v>
      </c>
      <c r="M945" s="22" t="s">
        <v>31</v>
      </c>
      <c r="N945" s="58" t="n">
        <f aca="false">F945*P945</f>
        <v>0</v>
      </c>
      <c r="O945" s="58" t="n">
        <f aca="false">F945*Q945</f>
        <v>0</v>
      </c>
      <c r="P945" s="58" t="n">
        <v>1.85</v>
      </c>
      <c r="Q945" s="58" t="n">
        <v>0.002</v>
      </c>
      <c r="R945" s="59" t="s">
        <v>3225</v>
      </c>
      <c r="S945" s="22"/>
      <c r="T945" s="11" t="str">
        <f aca="false">"16.12.25"</f>
        <v>16.12.25</v>
      </c>
    </row>
    <row r="946" customFormat="false" ht="7.5" hidden="false" customHeight="true" outlineLevel="2" collapsed="false">
      <c r="A946" s="48"/>
      <c r="B946" s="49" t="s">
        <v>3226</v>
      </c>
      <c r="C946" s="50" t="s">
        <v>3227</v>
      </c>
      <c r="D946" s="51"/>
      <c r="E946" s="52" t="n">
        <f aca="false">I946*(1-J946)*(100-E1)/100</f>
        <v>2544.64</v>
      </c>
      <c r="F946" s="53"/>
      <c r="G946" s="54" t="n">
        <v>5</v>
      </c>
      <c r="H946" s="52" t="n">
        <f aca="false">E946*F946</f>
        <v>0</v>
      </c>
      <c r="I946" s="55" t="n">
        <v>4970</v>
      </c>
      <c r="J946" s="56" t="n">
        <v>0.2</v>
      </c>
      <c r="K946" s="57" t="n">
        <v>473</v>
      </c>
      <c r="L946" s="22" t="s">
        <v>364</v>
      </c>
      <c r="M946" s="22" t="s">
        <v>31</v>
      </c>
      <c r="N946" s="58" t="n">
        <f aca="false">F946*P946</f>
        <v>0</v>
      </c>
      <c r="O946" s="58" t="n">
        <f aca="false">F946*Q946</f>
        <v>0</v>
      </c>
      <c r="P946" s="58" t="n">
        <v>5.44</v>
      </c>
      <c r="Q946" s="58" t="n">
        <v>0.01</v>
      </c>
      <c r="R946" s="59"/>
      <c r="S946" s="22"/>
      <c r="T946" s="11" t="str">
        <f aca="false">"16.12.25"</f>
        <v>16.12.25</v>
      </c>
    </row>
    <row r="947" customFormat="false" ht="7.5" hidden="false" customHeight="true" outlineLevel="2" collapsed="false">
      <c r="A947" s="48"/>
      <c r="B947" s="49" t="s">
        <v>3228</v>
      </c>
      <c r="C947" s="50" t="s">
        <v>3229</v>
      </c>
      <c r="D947" s="51"/>
      <c r="E947" s="52" t="n">
        <f aca="false">I947*(1-J947)*(100-E1)/100</f>
        <v>2862.08</v>
      </c>
      <c r="F947" s="53"/>
      <c r="G947" s="54" t="n">
        <v>5</v>
      </c>
      <c r="H947" s="52" t="n">
        <f aca="false">E947*F947</f>
        <v>0</v>
      </c>
      <c r="I947" s="55" t="n">
        <v>5590</v>
      </c>
      <c r="J947" s="56" t="n">
        <v>0.2</v>
      </c>
      <c r="K947" s="57" t="n">
        <v>193</v>
      </c>
      <c r="L947" s="22" t="s">
        <v>368</v>
      </c>
      <c r="M947" s="22" t="s">
        <v>31</v>
      </c>
      <c r="N947" s="58" t="n">
        <f aca="false">F947*P947</f>
        <v>0</v>
      </c>
      <c r="O947" s="58" t="n">
        <f aca="false">F947*Q947</f>
        <v>0</v>
      </c>
      <c r="P947" s="58" t="n">
        <v>6.39</v>
      </c>
      <c r="Q947" s="58" t="n">
        <v>0.01</v>
      </c>
      <c r="R947" s="59" t="s">
        <v>3230</v>
      </c>
      <c r="S947" s="22"/>
      <c r="T947" s="11" t="str">
        <f aca="false">"16.12.25"</f>
        <v>16.12.25</v>
      </c>
    </row>
    <row r="948" customFormat="false" ht="7.5" hidden="false" customHeight="true" outlineLevel="2" collapsed="false">
      <c r="A948" s="48"/>
      <c r="B948" s="49" t="s">
        <v>3231</v>
      </c>
      <c r="C948" s="50" t="s">
        <v>3232</v>
      </c>
      <c r="D948" s="51"/>
      <c r="E948" s="52" t="n">
        <f aca="false">I948*(1-J948)*(100-E1)/100</f>
        <v>778.24</v>
      </c>
      <c r="F948" s="53"/>
      <c r="G948" s="54" t="n">
        <v>16</v>
      </c>
      <c r="H948" s="52" t="n">
        <f aca="false">E948*F948</f>
        <v>0</v>
      </c>
      <c r="I948" s="55" t="n">
        <v>1520</v>
      </c>
      <c r="J948" s="56" t="n">
        <v>0.2</v>
      </c>
      <c r="K948" s="57" t="n">
        <v>226</v>
      </c>
      <c r="L948" s="22" t="s">
        <v>368</v>
      </c>
      <c r="M948" s="22" t="s">
        <v>31</v>
      </c>
      <c r="N948" s="58" t="n">
        <f aca="false">F948*P948</f>
        <v>0</v>
      </c>
      <c r="O948" s="58" t="n">
        <f aca="false">F948*Q948</f>
        <v>0</v>
      </c>
      <c r="P948" s="58" t="n">
        <v>1.89</v>
      </c>
      <c r="Q948" s="58" t="n">
        <v>0.01</v>
      </c>
      <c r="R948" s="59" t="s">
        <v>3233</v>
      </c>
      <c r="S948" s="22"/>
      <c r="T948" s="11" t="str">
        <f aca="false">"16.12.25"</f>
        <v>16.12.25</v>
      </c>
    </row>
    <row r="949" customFormat="false" ht="7.5" hidden="false" customHeight="true" outlineLevel="2" collapsed="false">
      <c r="A949" s="48"/>
      <c r="B949" s="49" t="s">
        <v>3234</v>
      </c>
      <c r="C949" s="50" t="s">
        <v>3235</v>
      </c>
      <c r="D949" s="51"/>
      <c r="E949" s="52" t="n">
        <f aca="false">I949*(1-J949)*(100-E1)/100</f>
        <v>1295.36</v>
      </c>
      <c r="F949" s="53"/>
      <c r="G949" s="54" t="n">
        <v>5</v>
      </c>
      <c r="H949" s="52" t="n">
        <f aca="false">E949*F949</f>
        <v>0</v>
      </c>
      <c r="I949" s="55" t="n">
        <v>2530</v>
      </c>
      <c r="J949" s="56" t="n">
        <v>0.2</v>
      </c>
      <c r="K949" s="57" t="n">
        <v>339</v>
      </c>
      <c r="L949" s="22" t="s">
        <v>368</v>
      </c>
      <c r="M949" s="22" t="s">
        <v>31</v>
      </c>
      <c r="N949" s="58" t="n">
        <f aca="false">F949*P949</f>
        <v>0</v>
      </c>
      <c r="O949" s="58" t="n">
        <f aca="false">F949*Q949</f>
        <v>0</v>
      </c>
      <c r="P949" s="58" t="n">
        <v>4.04</v>
      </c>
      <c r="Q949" s="58" t="n">
        <v>0.01</v>
      </c>
      <c r="R949" s="59" t="s">
        <v>3236</v>
      </c>
      <c r="S949" s="22"/>
      <c r="T949" s="11" t="str">
        <f aca="false">"16.12.25"</f>
        <v>16.12.25</v>
      </c>
    </row>
    <row r="950" customFormat="false" ht="7.5" hidden="false" customHeight="true" outlineLevel="2" collapsed="false">
      <c r="A950" s="48"/>
      <c r="B950" s="49" t="s">
        <v>3237</v>
      </c>
      <c r="C950" s="50" t="s">
        <v>3238</v>
      </c>
      <c r="D950" s="51"/>
      <c r="E950" s="52" t="n">
        <f aca="false">I950*(1-J950)*(100-E1)/100</f>
        <v>1392.64</v>
      </c>
      <c r="F950" s="53"/>
      <c r="G950" s="54" t="n">
        <v>6</v>
      </c>
      <c r="H950" s="52" t="n">
        <f aca="false">E950*F950</f>
        <v>0</v>
      </c>
      <c r="I950" s="55" t="n">
        <v>2720</v>
      </c>
      <c r="J950" s="56" t="n">
        <v>0.2</v>
      </c>
      <c r="K950" s="57" t="n">
        <v>187</v>
      </c>
      <c r="L950" s="22" t="s">
        <v>368</v>
      </c>
      <c r="M950" s="22" t="s">
        <v>31</v>
      </c>
      <c r="N950" s="58" t="n">
        <f aca="false">F950*P950</f>
        <v>0</v>
      </c>
      <c r="O950" s="58" t="n">
        <f aca="false">F950*Q950</f>
        <v>0</v>
      </c>
      <c r="P950" s="58" t="n">
        <v>3.92</v>
      </c>
      <c r="Q950" s="58" t="n">
        <v>0.01</v>
      </c>
      <c r="R950" s="59" t="s">
        <v>3239</v>
      </c>
      <c r="S950" s="22"/>
      <c r="T950" s="11" t="str">
        <f aca="false">"16.12.25"</f>
        <v>16.12.25</v>
      </c>
    </row>
    <row r="951" customFormat="false" ht="7.5" hidden="false" customHeight="true" outlineLevel="2" collapsed="false">
      <c r="A951" s="48"/>
      <c r="B951" s="49" t="s">
        <v>3240</v>
      </c>
      <c r="C951" s="50" t="s">
        <v>3241</v>
      </c>
      <c r="D951" s="51"/>
      <c r="E951" s="52" t="n">
        <f aca="false">I951*(1-J951)*(100-E1)/100</f>
        <v>2544.64</v>
      </c>
      <c r="F951" s="53"/>
      <c r="G951" s="54" t="n">
        <v>5</v>
      </c>
      <c r="H951" s="52" t="n">
        <f aca="false">E951*F951</f>
        <v>0</v>
      </c>
      <c r="I951" s="55" t="n">
        <v>4970</v>
      </c>
      <c r="J951" s="56" t="n">
        <v>0.2</v>
      </c>
      <c r="K951" s="57" t="n">
        <v>348</v>
      </c>
      <c r="L951" s="22" t="s">
        <v>368</v>
      </c>
      <c r="M951" s="22" t="s">
        <v>31</v>
      </c>
      <c r="N951" s="58" t="n">
        <f aca="false">F951*P951</f>
        <v>0</v>
      </c>
      <c r="O951" s="58" t="n">
        <f aca="false">F951*Q951</f>
        <v>0</v>
      </c>
      <c r="P951" s="58" t="n">
        <v>5.68</v>
      </c>
      <c r="Q951" s="58" t="n">
        <v>0.01</v>
      </c>
      <c r="R951" s="59" t="s">
        <v>3242</v>
      </c>
      <c r="S951" s="22"/>
      <c r="T951" s="11" t="str">
        <f aca="false">"16.12.25"</f>
        <v>16.12.25</v>
      </c>
    </row>
    <row r="952" customFormat="false" ht="7.5" hidden="false" customHeight="true" outlineLevel="2" collapsed="false">
      <c r="A952" s="48"/>
      <c r="B952" s="49" t="s">
        <v>3243</v>
      </c>
      <c r="C952" s="50" t="s">
        <v>3244</v>
      </c>
      <c r="D952" s="51"/>
      <c r="E952" s="52" t="n">
        <f aca="false">I952*(1-J952)*(100-E1)/100</f>
        <v>2626.56</v>
      </c>
      <c r="F952" s="53"/>
      <c r="G952" s="54" t="n">
        <v>5</v>
      </c>
      <c r="H952" s="52" t="n">
        <f aca="false">E952*F952</f>
        <v>0</v>
      </c>
      <c r="I952" s="55" t="n">
        <v>5130</v>
      </c>
      <c r="J952" s="56" t="n">
        <v>0.2</v>
      </c>
      <c r="K952" s="57" t="n">
        <v>0</v>
      </c>
      <c r="L952" s="22" t="s">
        <v>368</v>
      </c>
      <c r="M952" s="22" t="s">
        <v>31</v>
      </c>
      <c r="N952" s="58" t="n">
        <f aca="false">F952*P952</f>
        <v>0</v>
      </c>
      <c r="O952" s="58" t="n">
        <f aca="false">F952*Q952</f>
        <v>0</v>
      </c>
      <c r="P952" s="58" t="n">
        <v>5.74</v>
      </c>
      <c r="Q952" s="58" t="n">
        <v>0.01</v>
      </c>
      <c r="R952" s="59" t="s">
        <v>3245</v>
      </c>
      <c r="S952" s="22"/>
      <c r="T952" s="11" t="str">
        <f aca="false">"16.12.25"</f>
        <v>16.12.25</v>
      </c>
    </row>
    <row r="953" customFormat="false" ht="7.5" hidden="false" customHeight="true" outlineLevel="2" collapsed="false">
      <c r="A953" s="48"/>
      <c r="B953" s="49" t="s">
        <v>3246</v>
      </c>
      <c r="C953" s="50" t="s">
        <v>3247</v>
      </c>
      <c r="D953" s="51"/>
      <c r="E953" s="52" t="n">
        <f aca="false">I953*(1-J953)*(100-E1)/100</f>
        <v>2862.08</v>
      </c>
      <c r="F953" s="53"/>
      <c r="G953" s="54" t="n">
        <v>5</v>
      </c>
      <c r="H953" s="52" t="n">
        <f aca="false">E953*F953</f>
        <v>0</v>
      </c>
      <c r="I953" s="55" t="n">
        <v>5590</v>
      </c>
      <c r="J953" s="56" t="n">
        <v>0.2</v>
      </c>
      <c r="K953" s="57" t="n">
        <v>263</v>
      </c>
      <c r="L953" s="22" t="s">
        <v>800</v>
      </c>
      <c r="M953" s="22" t="s">
        <v>31</v>
      </c>
      <c r="N953" s="58" t="n">
        <f aca="false">F953*P953</f>
        <v>0</v>
      </c>
      <c r="O953" s="58" t="n">
        <f aca="false">F953*Q953</f>
        <v>0</v>
      </c>
      <c r="P953" s="58" t="n">
        <v>6.39</v>
      </c>
      <c r="Q953" s="58" t="n">
        <v>0.001</v>
      </c>
      <c r="R953" s="59" t="s">
        <v>3248</v>
      </c>
      <c r="S953" s="22"/>
      <c r="T953" s="11" t="str">
        <f aca="false">"16.12.25"</f>
        <v>16.12.25</v>
      </c>
    </row>
    <row r="954" customFormat="false" ht="7.5" hidden="false" customHeight="true" outlineLevel="2" collapsed="false">
      <c r="A954" s="48"/>
      <c r="B954" s="49" t="s">
        <v>3249</v>
      </c>
      <c r="C954" s="50" t="s">
        <v>3250</v>
      </c>
      <c r="D954" s="51"/>
      <c r="E954" s="52" t="n">
        <f aca="false">I954*(1-J954)*(100-E1)/100</f>
        <v>778.24</v>
      </c>
      <c r="F954" s="53"/>
      <c r="G954" s="54" t="n">
        <v>16</v>
      </c>
      <c r="H954" s="52" t="n">
        <f aca="false">E954*F954</f>
        <v>0</v>
      </c>
      <c r="I954" s="55" t="n">
        <v>1520</v>
      </c>
      <c r="J954" s="56" t="n">
        <v>0.2</v>
      </c>
      <c r="K954" s="57" t="n">
        <v>432</v>
      </c>
      <c r="L954" s="22" t="s">
        <v>800</v>
      </c>
      <c r="M954" s="22" t="s">
        <v>31</v>
      </c>
      <c r="N954" s="58" t="n">
        <f aca="false">F954*P954</f>
        <v>0</v>
      </c>
      <c r="O954" s="58" t="n">
        <f aca="false">F954*Q954</f>
        <v>0</v>
      </c>
      <c r="P954" s="58" t="n">
        <v>1.89</v>
      </c>
      <c r="Q954" s="58" t="n">
        <v>0.002</v>
      </c>
      <c r="R954" s="59" t="s">
        <v>3251</v>
      </c>
      <c r="S954" s="22"/>
      <c r="T954" s="11" t="str">
        <f aca="false">"16.12.25"</f>
        <v>16.12.25</v>
      </c>
    </row>
    <row r="955" customFormat="false" ht="7.5" hidden="false" customHeight="true" outlineLevel="2" collapsed="false">
      <c r="A955" s="48"/>
      <c r="B955" s="49" t="s">
        <v>3252</v>
      </c>
      <c r="C955" s="50" t="s">
        <v>3253</v>
      </c>
      <c r="D955" s="51"/>
      <c r="E955" s="52" t="n">
        <f aca="false">I955*(1-J955)*(100-E1)/100</f>
        <v>2544.64</v>
      </c>
      <c r="F955" s="53"/>
      <c r="G955" s="54" t="n">
        <v>5</v>
      </c>
      <c r="H955" s="52" t="n">
        <f aca="false">E955*F955</f>
        <v>0</v>
      </c>
      <c r="I955" s="55" t="n">
        <v>4970</v>
      </c>
      <c r="J955" s="56" t="n">
        <v>0.2</v>
      </c>
      <c r="K955" s="57" t="n">
        <v>962</v>
      </c>
      <c r="L955" s="22" t="s">
        <v>800</v>
      </c>
      <c r="M955" s="22" t="s">
        <v>31</v>
      </c>
      <c r="N955" s="58" t="n">
        <f aca="false">F955*P955</f>
        <v>0</v>
      </c>
      <c r="O955" s="58" t="n">
        <f aca="false">F955*Q955</f>
        <v>0</v>
      </c>
      <c r="P955" s="58" t="n">
        <v>5.44</v>
      </c>
      <c r="Q955" s="58" t="n">
        <v>0.01</v>
      </c>
      <c r="R955" s="59" t="s">
        <v>3254</v>
      </c>
      <c r="S955" s="22"/>
      <c r="T955" s="11" t="str">
        <f aca="false">"16.12.25"</f>
        <v>16.12.25</v>
      </c>
    </row>
    <row r="956" customFormat="false" ht="7.5" hidden="false" customHeight="true" outlineLevel="2" collapsed="false">
      <c r="A956" s="48"/>
      <c r="B956" s="49" t="s">
        <v>3255</v>
      </c>
      <c r="C956" s="50" t="s">
        <v>3256</v>
      </c>
      <c r="D956" s="51"/>
      <c r="E956" s="52" t="n">
        <f aca="false">I956*(1-J956)*(100-E1)/100</f>
        <v>2862.08</v>
      </c>
      <c r="F956" s="53"/>
      <c r="G956" s="54" t="n">
        <v>5</v>
      </c>
      <c r="H956" s="52" t="n">
        <f aca="false">E956*F956</f>
        <v>0</v>
      </c>
      <c r="I956" s="55" t="n">
        <v>5590</v>
      </c>
      <c r="J956" s="56" t="n">
        <v>0.2</v>
      </c>
      <c r="K956" s="57" t="n">
        <v>913</v>
      </c>
      <c r="L956" s="22" t="s">
        <v>372</v>
      </c>
      <c r="M956" s="22" t="s">
        <v>31</v>
      </c>
      <c r="N956" s="58" t="n">
        <f aca="false">F956*P956</f>
        <v>0</v>
      </c>
      <c r="O956" s="58" t="n">
        <f aca="false">F956*Q956</f>
        <v>0</v>
      </c>
      <c r="P956" s="58" t="n">
        <v>6.38</v>
      </c>
      <c r="Q956" s="58" t="n">
        <v>0.009</v>
      </c>
      <c r="R956" s="59" t="s">
        <v>3257</v>
      </c>
      <c r="S956" s="22"/>
      <c r="T956" s="11" t="str">
        <f aca="false">"16.12.25"</f>
        <v>16.12.25</v>
      </c>
    </row>
    <row r="957" customFormat="false" ht="7.5" hidden="false" customHeight="true" outlineLevel="2" collapsed="false">
      <c r="A957" s="48"/>
      <c r="B957" s="49" t="s">
        <v>3258</v>
      </c>
      <c r="C957" s="50" t="s">
        <v>3259</v>
      </c>
      <c r="D957" s="51"/>
      <c r="E957" s="52" t="n">
        <f aca="false">I957*(1-J957)*(100-E1)/100</f>
        <v>778.24</v>
      </c>
      <c r="F957" s="53"/>
      <c r="G957" s="54" t="n">
        <v>16</v>
      </c>
      <c r="H957" s="52" t="n">
        <f aca="false">E957*F957</f>
        <v>0</v>
      </c>
      <c r="I957" s="55" t="n">
        <v>1520</v>
      </c>
      <c r="J957" s="56" t="n">
        <v>0.2</v>
      </c>
      <c r="K957" s="57" t="n">
        <v>453</v>
      </c>
      <c r="L957" s="22" t="s">
        <v>372</v>
      </c>
      <c r="M957" s="22" t="s">
        <v>31</v>
      </c>
      <c r="N957" s="58" t="n">
        <f aca="false">F957*P957</f>
        <v>0</v>
      </c>
      <c r="O957" s="58" t="n">
        <f aca="false">F957*Q957</f>
        <v>0</v>
      </c>
      <c r="P957" s="58" t="n">
        <v>1.85</v>
      </c>
      <c r="Q957" s="58" t="n">
        <v>0.002</v>
      </c>
      <c r="R957" s="59" t="s">
        <v>3260</v>
      </c>
      <c r="S957" s="22"/>
      <c r="T957" s="11" t="str">
        <f aca="false">"16.12.25"</f>
        <v>16.12.25</v>
      </c>
    </row>
    <row r="958" customFormat="false" ht="7.5" hidden="false" customHeight="true" outlineLevel="2" collapsed="false">
      <c r="A958" s="48"/>
      <c r="B958" s="49" t="s">
        <v>3261</v>
      </c>
      <c r="C958" s="50" t="s">
        <v>3262</v>
      </c>
      <c r="D958" s="51"/>
      <c r="E958" s="52" t="n">
        <f aca="false">I958*(1-J958)*(100-E1)/100</f>
        <v>1295.36</v>
      </c>
      <c r="F958" s="53"/>
      <c r="G958" s="54" t="n">
        <v>5</v>
      </c>
      <c r="H958" s="52" t="n">
        <f aca="false">E958*F958</f>
        <v>0</v>
      </c>
      <c r="I958" s="55" t="n">
        <v>2530</v>
      </c>
      <c r="J958" s="56" t="n">
        <v>0.2</v>
      </c>
      <c r="K958" s="57" t="n">
        <v>458</v>
      </c>
      <c r="L958" s="22" t="s">
        <v>372</v>
      </c>
      <c r="M958" s="22" t="s">
        <v>31</v>
      </c>
      <c r="N958" s="58" t="n">
        <f aca="false">F958*P958</f>
        <v>0</v>
      </c>
      <c r="O958" s="58" t="n">
        <f aca="false">F958*Q958</f>
        <v>0</v>
      </c>
      <c r="P958" s="58" t="n">
        <v>4.08</v>
      </c>
      <c r="Q958" s="58" t="n">
        <v>0.005</v>
      </c>
      <c r="R958" s="59" t="s">
        <v>3263</v>
      </c>
      <c r="S958" s="22"/>
      <c r="T958" s="11" t="str">
        <f aca="false">"16.12.25"</f>
        <v>16.12.25</v>
      </c>
    </row>
    <row r="959" customFormat="false" ht="7.5" hidden="false" customHeight="true" outlineLevel="2" collapsed="false">
      <c r="A959" s="48"/>
      <c r="B959" s="49" t="s">
        <v>3264</v>
      </c>
      <c r="C959" s="50" t="s">
        <v>3265</v>
      </c>
      <c r="D959" s="51"/>
      <c r="E959" s="52" t="n">
        <f aca="false">I959*(1-J959)*(100-E1)/100</f>
        <v>1392.64</v>
      </c>
      <c r="F959" s="53"/>
      <c r="G959" s="54" t="n">
        <v>6</v>
      </c>
      <c r="H959" s="52" t="n">
        <f aca="false">E959*F959</f>
        <v>0</v>
      </c>
      <c r="I959" s="55" t="n">
        <v>2720</v>
      </c>
      <c r="J959" s="56" t="n">
        <v>0.2</v>
      </c>
      <c r="K959" s="57" t="n">
        <v>466</v>
      </c>
      <c r="L959" s="22" t="s">
        <v>372</v>
      </c>
      <c r="M959" s="22" t="s">
        <v>31</v>
      </c>
      <c r="N959" s="58" t="n">
        <f aca="false">F959*P959</f>
        <v>0</v>
      </c>
      <c r="O959" s="58" t="n">
        <f aca="false">F959*Q959</f>
        <v>0</v>
      </c>
      <c r="P959" s="58" t="n">
        <v>3.92</v>
      </c>
      <c r="Q959" s="58" t="n">
        <v>0.001</v>
      </c>
      <c r="R959" s="59" t="s">
        <v>3266</v>
      </c>
      <c r="S959" s="22"/>
      <c r="T959" s="11" t="str">
        <f aca="false">"16.12.25"</f>
        <v>16.12.25</v>
      </c>
    </row>
    <row r="960" customFormat="false" ht="7.5" hidden="false" customHeight="true" outlineLevel="2" collapsed="false">
      <c r="A960" s="48"/>
      <c r="B960" s="49" t="s">
        <v>3267</v>
      </c>
      <c r="C960" s="50" t="s">
        <v>3268</v>
      </c>
      <c r="D960" s="51"/>
      <c r="E960" s="52" t="n">
        <f aca="false">I960*(1-J960)*(100-E1)/100</f>
        <v>2544.64</v>
      </c>
      <c r="F960" s="53"/>
      <c r="G960" s="54" t="n">
        <v>5</v>
      </c>
      <c r="H960" s="52" t="n">
        <f aca="false">E960*F960</f>
        <v>0</v>
      </c>
      <c r="I960" s="55" t="n">
        <v>4970</v>
      </c>
      <c r="J960" s="56" t="n">
        <v>0.2</v>
      </c>
      <c r="K960" s="57" t="n">
        <v>887</v>
      </c>
      <c r="L960" s="22" t="s">
        <v>372</v>
      </c>
      <c r="M960" s="22" t="s">
        <v>31</v>
      </c>
      <c r="N960" s="58" t="n">
        <f aca="false">F960*P960</f>
        <v>0</v>
      </c>
      <c r="O960" s="58" t="n">
        <f aca="false">F960*Q960</f>
        <v>0</v>
      </c>
      <c r="P960" s="58" t="n">
        <v>5.44</v>
      </c>
      <c r="Q960" s="58" t="n">
        <v>0.01</v>
      </c>
      <c r="R960" s="59" t="s">
        <v>3269</v>
      </c>
      <c r="S960" s="22"/>
      <c r="T960" s="11" t="str">
        <f aca="false">"16.12.25"</f>
        <v>16.12.25</v>
      </c>
    </row>
    <row r="961" customFormat="false" ht="7.5" hidden="false" customHeight="true" outlineLevel="2" collapsed="false">
      <c r="A961" s="48"/>
      <c r="B961" s="49" t="s">
        <v>3270</v>
      </c>
      <c r="C961" s="50" t="s">
        <v>3271</v>
      </c>
      <c r="D961" s="51"/>
      <c r="E961" s="52" t="n">
        <f aca="false">I961*(1-J961)*(100-E1)/100</f>
        <v>2626.56</v>
      </c>
      <c r="F961" s="53"/>
      <c r="G961" s="54" t="n">
        <v>5</v>
      </c>
      <c r="H961" s="52" t="n">
        <f aca="false">E961*F961</f>
        <v>0</v>
      </c>
      <c r="I961" s="55" t="n">
        <v>5130</v>
      </c>
      <c r="J961" s="56" t="n">
        <v>0.2</v>
      </c>
      <c r="K961" s="57" t="n">
        <v>825</v>
      </c>
      <c r="L961" s="22" t="s">
        <v>372</v>
      </c>
      <c r="M961" s="22" t="s">
        <v>31</v>
      </c>
      <c r="N961" s="58" t="n">
        <f aca="false">F961*P961</f>
        <v>0</v>
      </c>
      <c r="O961" s="58" t="n">
        <f aca="false">F961*Q961</f>
        <v>0</v>
      </c>
      <c r="P961" s="58" t="n">
        <v>5.69</v>
      </c>
      <c r="Q961" s="58" t="n">
        <v>0.009</v>
      </c>
      <c r="R961" s="59" t="s">
        <v>3272</v>
      </c>
      <c r="S961" s="22"/>
      <c r="T961" s="11" t="str">
        <f aca="false">"16.12.25"</f>
        <v>16.12.25</v>
      </c>
    </row>
    <row r="962" customFormat="false" ht="7.5" hidden="false" customHeight="true" outlineLevel="2" collapsed="false">
      <c r="A962" s="48"/>
      <c r="B962" s="49" t="s">
        <v>3273</v>
      </c>
      <c r="C962" s="50" t="s">
        <v>3274</v>
      </c>
      <c r="D962" s="51"/>
      <c r="E962" s="52" t="n">
        <f aca="false">I962*(1-J962)*(100-E1)/100</f>
        <v>2862.08</v>
      </c>
      <c r="F962" s="53"/>
      <c r="G962" s="54" t="n">
        <v>5</v>
      </c>
      <c r="H962" s="52" t="n">
        <f aca="false">E962*F962</f>
        <v>0</v>
      </c>
      <c r="I962" s="55" t="n">
        <v>5590</v>
      </c>
      <c r="J962" s="56" t="n">
        <v>0.2</v>
      </c>
      <c r="K962" s="57" t="n">
        <v>285</v>
      </c>
      <c r="L962" s="22" t="s">
        <v>1815</v>
      </c>
      <c r="M962" s="22" t="s">
        <v>31</v>
      </c>
      <c r="N962" s="58" t="n">
        <f aca="false">F962*P962</f>
        <v>0</v>
      </c>
      <c r="O962" s="58" t="n">
        <f aca="false">F962*Q962</f>
        <v>0</v>
      </c>
      <c r="P962" s="58" t="n">
        <v>6.59</v>
      </c>
      <c r="Q962" s="58" t="n">
        <v>0.009</v>
      </c>
      <c r="R962" s="59" t="s">
        <v>3275</v>
      </c>
      <c r="S962" s="22"/>
      <c r="T962" s="11" t="str">
        <f aca="false">"16.12.25"</f>
        <v>16.12.25</v>
      </c>
    </row>
    <row r="963" customFormat="false" ht="7.5" hidden="false" customHeight="true" outlineLevel="2" collapsed="false">
      <c r="A963" s="48"/>
      <c r="B963" s="49" t="s">
        <v>3276</v>
      </c>
      <c r="C963" s="50" t="s">
        <v>3277</v>
      </c>
      <c r="D963" s="51"/>
      <c r="E963" s="52" t="n">
        <f aca="false">I963*(1-J963)*(100-E1)/100</f>
        <v>2544.64</v>
      </c>
      <c r="F963" s="53"/>
      <c r="G963" s="54" t="n">
        <v>5</v>
      </c>
      <c r="H963" s="52" t="n">
        <f aca="false">E963*F963</f>
        <v>0</v>
      </c>
      <c r="I963" s="55" t="n">
        <v>4970</v>
      </c>
      <c r="J963" s="56" t="n">
        <v>0.2</v>
      </c>
      <c r="K963" s="57" t="n">
        <v>125</v>
      </c>
      <c r="L963" s="22" t="s">
        <v>1815</v>
      </c>
      <c r="M963" s="22" t="s">
        <v>31</v>
      </c>
      <c r="N963" s="58" t="n">
        <f aca="false">F963*P963</f>
        <v>0</v>
      </c>
      <c r="O963" s="58" t="n">
        <f aca="false">F963*Q963</f>
        <v>0</v>
      </c>
      <c r="P963" s="58" t="n">
        <v>5.878</v>
      </c>
      <c r="Q963" s="58" t="n">
        <v>0.009</v>
      </c>
      <c r="R963" s="59" t="s">
        <v>3278</v>
      </c>
      <c r="S963" s="22"/>
      <c r="T963" s="11" t="str">
        <f aca="false">"16.12.25"</f>
        <v>16.12.25</v>
      </c>
    </row>
    <row r="964" customFormat="false" ht="7.5" hidden="false" customHeight="true" outlineLevel="2" collapsed="false">
      <c r="A964" s="48"/>
      <c r="B964" s="49" t="s">
        <v>3279</v>
      </c>
      <c r="C964" s="50" t="s">
        <v>3280</v>
      </c>
      <c r="D964" s="51"/>
      <c r="E964" s="52" t="n">
        <f aca="false">I964*(1-J964)*(100-E1)/100</f>
        <v>2626.56</v>
      </c>
      <c r="F964" s="53"/>
      <c r="G964" s="54" t="n">
        <v>5</v>
      </c>
      <c r="H964" s="52" t="n">
        <f aca="false">E964*F964</f>
        <v>0</v>
      </c>
      <c r="I964" s="55" t="n">
        <v>5130</v>
      </c>
      <c r="J964" s="56" t="n">
        <v>0.2</v>
      </c>
      <c r="K964" s="57" t="n">
        <v>225</v>
      </c>
      <c r="L964" s="22" t="s">
        <v>1815</v>
      </c>
      <c r="M964" s="22" t="s">
        <v>31</v>
      </c>
      <c r="N964" s="58" t="n">
        <f aca="false">F964*P964</f>
        <v>0</v>
      </c>
      <c r="O964" s="58" t="n">
        <f aca="false">F964*Q964</f>
        <v>0</v>
      </c>
      <c r="P964" s="58" t="n">
        <v>5.69</v>
      </c>
      <c r="Q964" s="58" t="n">
        <v>0.009</v>
      </c>
      <c r="R964" s="59" t="s">
        <v>3281</v>
      </c>
      <c r="S964" s="22"/>
      <c r="T964" s="11" t="str">
        <f aca="false">"16.12.25"</f>
        <v>16.12.25</v>
      </c>
    </row>
    <row r="965" customFormat="false" ht="7.5" hidden="false" customHeight="true" outlineLevel="1" collapsed="false">
      <c r="A965" s="38"/>
      <c r="B965" s="39"/>
      <c r="C965" s="40" t="s">
        <v>3282</v>
      </c>
      <c r="D965" s="41"/>
      <c r="E965" s="42"/>
      <c r="F965" s="43"/>
      <c r="G965" s="44"/>
      <c r="H965" s="42"/>
      <c r="I965" s="45"/>
      <c r="J965" s="46"/>
      <c r="K965" s="45"/>
      <c r="L965" s="44"/>
      <c r="M965" s="44"/>
      <c r="N965" s="47"/>
      <c r="O965" s="47"/>
      <c r="P965" s="47"/>
      <c r="Q965" s="47"/>
      <c r="R965" s="39"/>
      <c r="S965" s="44"/>
      <c r="T965" s="11" t="str">
        <f aca="false">"16.12.25"</f>
        <v>16.12.25</v>
      </c>
    </row>
    <row r="966" customFormat="false" ht="7.5" hidden="false" customHeight="true" outlineLevel="2" collapsed="false">
      <c r="A966" s="60" t="str">
        <f aca="false">HYPERLINK("https://disk.yandex.ru/d/zn30dNnGmtEjtw","фото")</f>
        <v>фото</v>
      </c>
      <c r="B966" s="49" t="s">
        <v>3283</v>
      </c>
      <c r="C966" s="50" t="s">
        <v>3284</v>
      </c>
      <c r="D966" s="51" t="s">
        <v>3285</v>
      </c>
      <c r="E966" s="52" t="n">
        <f aca="false">I966*(1-J966)*(100-E1)/100</f>
        <v>2585.6</v>
      </c>
      <c r="F966" s="53"/>
      <c r="G966" s="54" t="n">
        <v>4</v>
      </c>
      <c r="H966" s="52" t="n">
        <f aca="false">E966*F966</f>
        <v>0</v>
      </c>
      <c r="I966" s="55" t="n">
        <v>4040</v>
      </c>
      <c r="J966" s="56"/>
      <c r="K966" s="57" t="n">
        <v>408</v>
      </c>
      <c r="L966" s="22" t="s">
        <v>44</v>
      </c>
      <c r="M966" s="22"/>
      <c r="N966" s="58" t="n">
        <f aca="false">F966*P966</f>
        <v>0</v>
      </c>
      <c r="O966" s="58" t="n">
        <f aca="false">F966*Q966</f>
        <v>0</v>
      </c>
      <c r="P966" s="58" t="n">
        <v>5</v>
      </c>
      <c r="Q966" s="58" t="n">
        <v>0.022</v>
      </c>
      <c r="R966" s="59" t="s">
        <v>3286</v>
      </c>
      <c r="S966" s="22"/>
      <c r="T966" s="11" t="str">
        <f aca="false">"16.12.25"</f>
        <v>16.12.25</v>
      </c>
    </row>
    <row r="967" customFormat="false" ht="7.5" hidden="false" customHeight="true" outlineLevel="2" collapsed="false">
      <c r="A967" s="60" t="str">
        <f aca="false">HYPERLINK("https://disk.yandex.ru/d/YrMG8Vefe7kPyA","фото")</f>
        <v>фото</v>
      </c>
      <c r="B967" s="49" t="s">
        <v>3287</v>
      </c>
      <c r="C967" s="50" t="s">
        <v>3288</v>
      </c>
      <c r="D967" s="51" t="s">
        <v>3289</v>
      </c>
      <c r="E967" s="52" t="n">
        <f aca="false">I967*(1-J967)*(100-E1)/100</f>
        <v>5171.2</v>
      </c>
      <c r="F967" s="53"/>
      <c r="G967" s="54"/>
      <c r="H967" s="52" t="n">
        <f aca="false">E967*F967</f>
        <v>0</v>
      </c>
      <c r="I967" s="55" t="n">
        <v>8080</v>
      </c>
      <c r="J967" s="56"/>
      <c r="K967" s="57" t="n">
        <v>461</v>
      </c>
      <c r="L967" s="22" t="s">
        <v>53</v>
      </c>
      <c r="M967" s="22"/>
      <c r="N967" s="58" t="n">
        <f aca="false">F967*P967</f>
        <v>0</v>
      </c>
      <c r="O967" s="58" t="n">
        <f aca="false">F967*Q967</f>
        <v>0</v>
      </c>
      <c r="P967" s="58" t="n">
        <v>8.585</v>
      </c>
      <c r="Q967" s="58" t="n">
        <v>0.026</v>
      </c>
      <c r="R967" s="59"/>
      <c r="S967" s="22"/>
      <c r="T967" s="11" t="str">
        <f aca="false">"16.12.25"</f>
        <v>16.12.25</v>
      </c>
    </row>
    <row r="968" customFormat="false" ht="7.5" hidden="false" customHeight="true" outlineLevel="2" collapsed="false">
      <c r="A968" s="60" t="str">
        <f aca="false">HYPERLINK("https://disk.yandex.ru/d/Crma6qYOZSNYDA","фото")</f>
        <v>фото</v>
      </c>
      <c r="B968" s="49" t="s">
        <v>3290</v>
      </c>
      <c r="C968" s="50" t="s">
        <v>3291</v>
      </c>
      <c r="D968" s="51" t="s">
        <v>3289</v>
      </c>
      <c r="E968" s="52" t="n">
        <f aca="false">I968*(1-J968)*(100-E1)/100</f>
        <v>4121.6</v>
      </c>
      <c r="F968" s="53"/>
      <c r="G968" s="54" t="n">
        <v>2</v>
      </c>
      <c r="H968" s="52" t="n">
        <f aca="false">E968*F968</f>
        <v>0</v>
      </c>
      <c r="I968" s="55" t="n">
        <v>6440</v>
      </c>
      <c r="J968" s="56"/>
      <c r="K968" s="57" t="n">
        <v>870</v>
      </c>
      <c r="L968" s="22" t="s">
        <v>44</v>
      </c>
      <c r="M968" s="22"/>
      <c r="N968" s="58" t="n">
        <f aca="false">F968*P968</f>
        <v>0</v>
      </c>
      <c r="O968" s="58" t="n">
        <f aca="false">F968*Q968</f>
        <v>0</v>
      </c>
      <c r="P968" s="58" t="n">
        <v>7.85</v>
      </c>
      <c r="Q968" s="58" t="n">
        <v>0.026</v>
      </c>
      <c r="R968" s="59" t="s">
        <v>3292</v>
      </c>
      <c r="S968" s="22"/>
      <c r="T968" s="11" t="str">
        <f aca="false">"16.12.25"</f>
        <v>16.12.25</v>
      </c>
    </row>
    <row r="969" customFormat="false" ht="7.5" hidden="false" customHeight="true" outlineLevel="1" collapsed="false">
      <c r="A969" s="38"/>
      <c r="B969" s="39"/>
      <c r="C969" s="40" t="s">
        <v>3293</v>
      </c>
      <c r="D969" s="41"/>
      <c r="E969" s="42"/>
      <c r="F969" s="43"/>
      <c r="G969" s="44"/>
      <c r="H969" s="42"/>
      <c r="I969" s="45"/>
      <c r="J969" s="46"/>
      <c r="K969" s="45"/>
      <c r="L969" s="44"/>
      <c r="M969" s="44"/>
      <c r="N969" s="47"/>
      <c r="O969" s="47"/>
      <c r="P969" s="47"/>
      <c r="Q969" s="47"/>
      <c r="R969" s="39"/>
      <c r="S969" s="44"/>
      <c r="T969" s="11" t="str">
        <f aca="false">"16.12.25"</f>
        <v>16.12.25</v>
      </c>
    </row>
    <row r="970" customFormat="false" ht="7.5" hidden="false" customHeight="true" outlineLevel="2" collapsed="false">
      <c r="A970" s="60" t="str">
        <f aca="false">HYPERLINK("https://disk.360.yandex.ru/d/wcXEJn4bPpiRpQ","фото")</f>
        <v>фото</v>
      </c>
      <c r="B970" s="49" t="s">
        <v>3294</v>
      </c>
      <c r="C970" s="50" t="s">
        <v>3295</v>
      </c>
      <c r="D970" s="51"/>
      <c r="E970" s="52" t="n">
        <f aca="false">I970*(1-J970)*(100-E1)/100</f>
        <v>2154.24</v>
      </c>
      <c r="F970" s="53"/>
      <c r="G970" s="54" t="n">
        <v>10</v>
      </c>
      <c r="H970" s="52" t="n">
        <f aca="false">E970*F970</f>
        <v>0</v>
      </c>
      <c r="I970" s="55" t="n">
        <v>3960</v>
      </c>
      <c r="J970" s="56" t="n">
        <v>0.15</v>
      </c>
      <c r="K970" s="57" t="n">
        <v>62</v>
      </c>
      <c r="L970" s="22" t="s">
        <v>44</v>
      </c>
      <c r="M970" s="22" t="s">
        <v>152</v>
      </c>
      <c r="N970" s="58" t="n">
        <f aca="false">F970*P970</f>
        <v>0</v>
      </c>
      <c r="O970" s="58" t="n">
        <f aca="false">F970*Q970</f>
        <v>0</v>
      </c>
      <c r="P970" s="58" t="n">
        <v>2</v>
      </c>
      <c r="Q970" s="58" t="n">
        <v>0.035</v>
      </c>
      <c r="R970" s="59" t="s">
        <v>3296</v>
      </c>
      <c r="S970" s="22"/>
      <c r="T970" s="11" t="str">
        <f aca="false">"16.12.25"</f>
        <v>16.12.25</v>
      </c>
    </row>
    <row r="971" customFormat="false" ht="7.5" hidden="false" customHeight="true" outlineLevel="2" collapsed="false">
      <c r="A971" s="60" t="str">
        <f aca="false">HYPERLINK("https://disk.360.yandex.ru/d/iysVaxqyyjuNpA","фото")</f>
        <v>фото</v>
      </c>
      <c r="B971" s="49" t="s">
        <v>3297</v>
      </c>
      <c r="C971" s="50" t="s">
        <v>3298</v>
      </c>
      <c r="D971" s="51"/>
      <c r="E971" s="52" t="n">
        <f aca="false">I971*(1-J971)*(100-E1)/100</f>
        <v>2355.52</v>
      </c>
      <c r="F971" s="53"/>
      <c r="G971" s="54" t="n">
        <v>4</v>
      </c>
      <c r="H971" s="52" t="n">
        <f aca="false">E971*F971</f>
        <v>0</v>
      </c>
      <c r="I971" s="55" t="n">
        <v>4330</v>
      </c>
      <c r="J971" s="56" t="n">
        <v>0.15</v>
      </c>
      <c r="K971" s="57" t="n">
        <v>0</v>
      </c>
      <c r="L971" s="22" t="s">
        <v>44</v>
      </c>
      <c r="M971" s="22" t="s">
        <v>152</v>
      </c>
      <c r="N971" s="58" t="n">
        <f aca="false">F971*P971</f>
        <v>0</v>
      </c>
      <c r="O971" s="58" t="n">
        <f aca="false">F971*Q971</f>
        <v>0</v>
      </c>
      <c r="P971" s="58" t="n">
        <v>3.75</v>
      </c>
      <c r="Q971" s="58" t="n">
        <v>0.104</v>
      </c>
      <c r="R971" s="59" t="s">
        <v>3299</v>
      </c>
      <c r="S971" s="22"/>
      <c r="T971" s="11" t="str">
        <f aca="false">"16.12.25"</f>
        <v>16.12.25</v>
      </c>
    </row>
    <row r="972" customFormat="false" ht="7.5" hidden="false" customHeight="true" outlineLevel="2" collapsed="false">
      <c r="A972" s="60" t="str">
        <f aca="false">HYPERLINK("https://disk.360.yandex.ru/d/GWUa21U4PxdE7g","фото")</f>
        <v>фото</v>
      </c>
      <c r="B972" s="49" t="s">
        <v>3300</v>
      </c>
      <c r="C972" s="50" t="s">
        <v>3301</v>
      </c>
      <c r="D972" s="51"/>
      <c r="E972" s="52" t="n">
        <f aca="false">I972*(1-J972)*(100-E1)/100</f>
        <v>2442.56</v>
      </c>
      <c r="F972" s="53"/>
      <c r="G972" s="54" t="n">
        <v>4</v>
      </c>
      <c r="H972" s="52" t="n">
        <f aca="false">E972*F972</f>
        <v>0</v>
      </c>
      <c r="I972" s="55" t="n">
        <v>4490</v>
      </c>
      <c r="J972" s="56" t="n">
        <v>0.15</v>
      </c>
      <c r="K972" s="57" t="n">
        <v>0</v>
      </c>
      <c r="L972" s="22" t="s">
        <v>44</v>
      </c>
      <c r="M972" s="22" t="s">
        <v>152</v>
      </c>
      <c r="N972" s="58" t="n">
        <f aca="false">F972*P972</f>
        <v>0</v>
      </c>
      <c r="O972" s="58" t="n">
        <f aca="false">F972*Q972</f>
        <v>0</v>
      </c>
      <c r="P972" s="58" t="n">
        <v>3.75</v>
      </c>
      <c r="Q972" s="58" t="n">
        <v>0.104</v>
      </c>
      <c r="R972" s="59" t="s">
        <v>3302</v>
      </c>
      <c r="S972" s="22"/>
      <c r="T972" s="11" t="str">
        <f aca="false">"16.12.25"</f>
        <v>16.12.25</v>
      </c>
    </row>
    <row r="973" customFormat="false" ht="7.5" hidden="false" customHeight="true" outlineLevel="2" collapsed="false">
      <c r="A973" s="60" t="str">
        <f aca="false">HYPERLINK("https://disk.360.yandex.ru/d/PN3h_Df7g1L4XQ","фото")</f>
        <v>фото</v>
      </c>
      <c r="B973" s="49" t="s">
        <v>3303</v>
      </c>
      <c r="C973" s="50" t="s">
        <v>3304</v>
      </c>
      <c r="D973" s="51"/>
      <c r="E973" s="52" t="n">
        <f aca="false">I973*(1-J973)*(100-E1)/100</f>
        <v>3334.72</v>
      </c>
      <c r="F973" s="53"/>
      <c r="G973" s="54" t="n">
        <v>2</v>
      </c>
      <c r="H973" s="52" t="n">
        <f aca="false">E973*F973</f>
        <v>0</v>
      </c>
      <c r="I973" s="55" t="n">
        <v>6130</v>
      </c>
      <c r="J973" s="56" t="n">
        <v>0.15</v>
      </c>
      <c r="K973" s="57" t="n">
        <v>0</v>
      </c>
      <c r="L973" s="22" t="s">
        <v>44</v>
      </c>
      <c r="M973" s="22" t="s">
        <v>152</v>
      </c>
      <c r="N973" s="58" t="n">
        <f aca="false">F973*P973</f>
        <v>0</v>
      </c>
      <c r="O973" s="58" t="n">
        <f aca="false">F973*Q973</f>
        <v>0</v>
      </c>
      <c r="P973" s="58" t="n">
        <v>5</v>
      </c>
      <c r="Q973" s="58" t="n">
        <v>0.123</v>
      </c>
      <c r="R973" s="59" t="s">
        <v>3305</v>
      </c>
      <c r="S973" s="22"/>
      <c r="T973" s="11" t="str">
        <f aca="false">"16.12.25"</f>
        <v>16.12.25</v>
      </c>
    </row>
    <row r="974" customFormat="false" ht="7.5" hidden="false" customHeight="true" outlineLevel="2" collapsed="false">
      <c r="A974" s="60" t="str">
        <f aca="false">HYPERLINK("https://disk.360.yandex.ru/d/3opcdbZ9kgG8_Q","фото")</f>
        <v>фото</v>
      </c>
      <c r="B974" s="49" t="s">
        <v>3306</v>
      </c>
      <c r="C974" s="50" t="s">
        <v>3307</v>
      </c>
      <c r="D974" s="51"/>
      <c r="E974" s="52" t="n">
        <f aca="false">I974*(1-J974)*(100-E1)/100</f>
        <v>5478.08</v>
      </c>
      <c r="F974" s="53"/>
      <c r="G974" s="54" t="n">
        <v>2</v>
      </c>
      <c r="H974" s="52" t="n">
        <f aca="false">E974*F974</f>
        <v>0</v>
      </c>
      <c r="I974" s="55" t="n">
        <v>10070</v>
      </c>
      <c r="J974" s="56" t="n">
        <v>0.15</v>
      </c>
      <c r="K974" s="57" t="n">
        <v>36</v>
      </c>
      <c r="L974" s="22" t="s">
        <v>44</v>
      </c>
      <c r="M974" s="22" t="s">
        <v>152</v>
      </c>
      <c r="N974" s="58" t="n">
        <f aca="false">F974*P974</f>
        <v>0</v>
      </c>
      <c r="O974" s="58" t="n">
        <f aca="false">F974*Q974</f>
        <v>0</v>
      </c>
      <c r="P974" s="58" t="n">
        <v>7.5</v>
      </c>
      <c r="Q974" s="58" t="n">
        <v>0.07</v>
      </c>
      <c r="R974" s="59" t="s">
        <v>3308</v>
      </c>
      <c r="S974" s="22"/>
      <c r="T974" s="11" t="str">
        <f aca="false">"16.12.25"</f>
        <v>16.12.25</v>
      </c>
    </row>
    <row r="975" customFormat="false" ht="7.5" hidden="false" customHeight="true" outlineLevel="2" collapsed="false">
      <c r="A975" s="60" t="str">
        <f aca="false">HYPERLINK("https://disk.360.yandex.ru/d/JHtQ5ECTsGayBA","фото")</f>
        <v>фото</v>
      </c>
      <c r="B975" s="49" t="s">
        <v>3309</v>
      </c>
      <c r="C975" s="50" t="s">
        <v>3310</v>
      </c>
      <c r="D975" s="51"/>
      <c r="E975" s="52" t="n">
        <f aca="false">I975*(1-J975)*(100-E1)/100</f>
        <v>6566.08</v>
      </c>
      <c r="F975" s="53"/>
      <c r="G975" s="54" t="n">
        <v>2</v>
      </c>
      <c r="H975" s="52" t="n">
        <f aca="false">E975*F975</f>
        <v>0</v>
      </c>
      <c r="I975" s="55" t="n">
        <v>12070</v>
      </c>
      <c r="J975" s="56" t="n">
        <v>0.15</v>
      </c>
      <c r="K975" s="57" t="n">
        <v>61</v>
      </c>
      <c r="L975" s="22" t="s">
        <v>44</v>
      </c>
      <c r="M975" s="22" t="s">
        <v>152</v>
      </c>
      <c r="N975" s="58" t="n">
        <f aca="false">F975*P975</f>
        <v>0</v>
      </c>
      <c r="O975" s="58" t="n">
        <f aca="false">F975*Q975</f>
        <v>0</v>
      </c>
      <c r="P975" s="58" t="n">
        <v>9.5</v>
      </c>
      <c r="Q975" s="58" t="n">
        <v>0.264</v>
      </c>
      <c r="R975" s="59" t="s">
        <v>3311</v>
      </c>
      <c r="S975" s="22"/>
      <c r="T975" s="11" t="str">
        <f aca="false">"16.12.25"</f>
        <v>16.12.25</v>
      </c>
    </row>
    <row r="976" customFormat="false" ht="7.5" hidden="false" customHeight="true" outlineLevel="2" collapsed="false">
      <c r="A976" s="60" t="str">
        <f aca="false">HYPERLINK("https://disk.360.yandex.ru/d/EdoOY_IJbeRdjg","фото")</f>
        <v>фото</v>
      </c>
      <c r="B976" s="49" t="s">
        <v>3312</v>
      </c>
      <c r="C976" s="50" t="s">
        <v>3313</v>
      </c>
      <c r="D976" s="51"/>
      <c r="E976" s="52" t="n">
        <f aca="false">I976*(1-J976)*(100-E1)/100</f>
        <v>14002.56</v>
      </c>
      <c r="F976" s="53"/>
      <c r="G976" s="54" t="n">
        <v>1</v>
      </c>
      <c r="H976" s="52" t="n">
        <f aca="false">E976*F976</f>
        <v>0</v>
      </c>
      <c r="I976" s="55" t="n">
        <v>25740</v>
      </c>
      <c r="J976" s="56" t="n">
        <v>0.15</v>
      </c>
      <c r="K976" s="57" t="n">
        <v>0</v>
      </c>
      <c r="L976" s="22" t="s">
        <v>44</v>
      </c>
      <c r="M976" s="22" t="s">
        <v>152</v>
      </c>
      <c r="N976" s="58" t="n">
        <f aca="false">F976*P976</f>
        <v>0</v>
      </c>
      <c r="O976" s="58" t="n">
        <f aca="false">F976*Q976</f>
        <v>0</v>
      </c>
      <c r="P976" s="58" t="n">
        <v>22</v>
      </c>
      <c r="Q976" s="58" t="n">
        <v>0.289</v>
      </c>
      <c r="R976" s="59" t="s">
        <v>3314</v>
      </c>
      <c r="S976" s="22"/>
      <c r="T976" s="11" t="str">
        <f aca="false">"16.12.25"</f>
        <v>16.12.25</v>
      </c>
    </row>
    <row r="977" customFormat="false" ht="7.5" hidden="false" customHeight="true" outlineLevel="2" collapsed="false">
      <c r="A977" s="60" t="str">
        <f aca="false">HYPERLINK("https://disk.360.yandex.ru/d/oBbM8xreGcBhMw","фото")</f>
        <v>фото</v>
      </c>
      <c r="B977" s="49" t="s">
        <v>3315</v>
      </c>
      <c r="C977" s="50" t="s">
        <v>3316</v>
      </c>
      <c r="D977" s="51"/>
      <c r="E977" s="52" t="n">
        <f aca="false">I977*(1-J977)*(100-E1)/100</f>
        <v>12403.2</v>
      </c>
      <c r="F977" s="53"/>
      <c r="G977" s="54" t="n">
        <v>1</v>
      </c>
      <c r="H977" s="52" t="n">
        <f aca="false">E977*F977</f>
        <v>0</v>
      </c>
      <c r="I977" s="55" t="n">
        <v>22800</v>
      </c>
      <c r="J977" s="56" t="n">
        <v>0.15</v>
      </c>
      <c r="K977" s="57" t="n">
        <v>0</v>
      </c>
      <c r="L977" s="22" t="s">
        <v>44</v>
      </c>
      <c r="M977" s="22" t="s">
        <v>152</v>
      </c>
      <c r="N977" s="58" t="n">
        <f aca="false">F977*P977</f>
        <v>0</v>
      </c>
      <c r="O977" s="58" t="n">
        <f aca="false">F977*Q977</f>
        <v>0</v>
      </c>
      <c r="P977" s="58" t="n">
        <v>18</v>
      </c>
      <c r="Q977" s="58" t="n">
        <v>0.232</v>
      </c>
      <c r="R977" s="59" t="s">
        <v>3317</v>
      </c>
      <c r="S977" s="22"/>
      <c r="T977" s="11" t="str">
        <f aca="false">"16.12.25"</f>
        <v>16.12.25</v>
      </c>
    </row>
    <row r="978" customFormat="false" ht="7.5" hidden="false" customHeight="true" outlineLevel="2" collapsed="false">
      <c r="A978" s="60" t="str">
        <f aca="false">HYPERLINK("https://disk.360.yandex.ru/d/UAkrswX2ZN93mQ","фото")</f>
        <v>фото</v>
      </c>
      <c r="B978" s="49" t="s">
        <v>3318</v>
      </c>
      <c r="C978" s="50" t="s">
        <v>3319</v>
      </c>
      <c r="D978" s="51"/>
      <c r="E978" s="52" t="n">
        <f aca="false">I978*(1-J978)*(100-E1)/100</f>
        <v>14883.84</v>
      </c>
      <c r="F978" s="53"/>
      <c r="G978" s="54" t="n">
        <v>1</v>
      </c>
      <c r="H978" s="52" t="n">
        <f aca="false">E978*F978</f>
        <v>0</v>
      </c>
      <c r="I978" s="55" t="n">
        <v>27360</v>
      </c>
      <c r="J978" s="56" t="n">
        <v>0.15</v>
      </c>
      <c r="K978" s="57" t="n">
        <v>0</v>
      </c>
      <c r="L978" s="22" t="s">
        <v>44</v>
      </c>
      <c r="M978" s="22" t="s">
        <v>152</v>
      </c>
      <c r="N978" s="58" t="n">
        <f aca="false">F978*P978</f>
        <v>0</v>
      </c>
      <c r="O978" s="58" t="n">
        <f aca="false">F978*Q978</f>
        <v>0</v>
      </c>
      <c r="P978" s="58" t="n">
        <v>20</v>
      </c>
      <c r="Q978" s="58" t="n">
        <v>0.288</v>
      </c>
      <c r="R978" s="59" t="s">
        <v>3320</v>
      </c>
      <c r="S978" s="22"/>
      <c r="T978" s="11" t="str">
        <f aca="false">"16.12.25"</f>
        <v>16.12.25</v>
      </c>
    </row>
    <row r="979" customFormat="false" ht="7.5" hidden="false" customHeight="true" outlineLevel="0" collapsed="false">
      <c r="A979" s="28"/>
      <c r="B979" s="29"/>
      <c r="C979" s="30" t="s">
        <v>3321</v>
      </c>
      <c r="D979" s="31"/>
      <c r="E979" s="32"/>
      <c r="F979" s="33"/>
      <c r="G979" s="34"/>
      <c r="H979" s="32"/>
      <c r="I979" s="35"/>
      <c r="J979" s="36"/>
      <c r="K979" s="35"/>
      <c r="L979" s="34"/>
      <c r="M979" s="34"/>
      <c r="N979" s="37"/>
      <c r="O979" s="37"/>
      <c r="P979" s="37"/>
      <c r="Q979" s="37"/>
      <c r="R979" s="29"/>
      <c r="S979" s="34"/>
      <c r="T979" s="11" t="str">
        <f aca="false">"16.12.25"</f>
        <v>16.12.25</v>
      </c>
    </row>
    <row r="980" customFormat="false" ht="7.5" hidden="false" customHeight="true" outlineLevel="1" collapsed="false">
      <c r="A980" s="38"/>
      <c r="B980" s="39"/>
      <c r="C980" s="40" t="s">
        <v>3322</v>
      </c>
      <c r="D980" s="41"/>
      <c r="E980" s="42"/>
      <c r="F980" s="43"/>
      <c r="G980" s="44"/>
      <c r="H980" s="42"/>
      <c r="I980" s="45"/>
      <c r="J980" s="46"/>
      <c r="K980" s="45"/>
      <c r="L980" s="44"/>
      <c r="M980" s="44"/>
      <c r="N980" s="47"/>
      <c r="O980" s="47"/>
      <c r="P980" s="47"/>
      <c r="Q980" s="47"/>
      <c r="R980" s="39"/>
      <c r="S980" s="44"/>
      <c r="T980" s="11" t="str">
        <f aca="false">"16.12.25"</f>
        <v>16.12.25</v>
      </c>
    </row>
    <row r="981" customFormat="false" ht="7.5" hidden="false" customHeight="true" outlineLevel="2" collapsed="false">
      <c r="A981" s="60" t="str">
        <f aca="false">HYPERLINK("https://disk.360.yandex.ru/d/mBSLX7ft09eX8w","фото")</f>
        <v>фото</v>
      </c>
      <c r="B981" s="49" t="s">
        <v>3323</v>
      </c>
      <c r="C981" s="50" t="s">
        <v>3324</v>
      </c>
      <c r="D981" s="51" t="s">
        <v>3325</v>
      </c>
      <c r="E981" s="52" t="n">
        <f aca="false">I981*(1-J981)*(100-E1)/100</f>
        <v>1942.08</v>
      </c>
      <c r="F981" s="53"/>
      <c r="G981" s="54" t="n">
        <v>10</v>
      </c>
      <c r="H981" s="52" t="n">
        <f aca="false">E981*F981</f>
        <v>0</v>
      </c>
      <c r="I981" s="55" t="n">
        <v>3570</v>
      </c>
      <c r="J981" s="56" t="n">
        <v>0.15</v>
      </c>
      <c r="K981" s="57" t="n">
        <v>295</v>
      </c>
      <c r="L981" s="22" t="s">
        <v>44</v>
      </c>
      <c r="M981" s="22" t="s">
        <v>15</v>
      </c>
      <c r="N981" s="58" t="n">
        <f aca="false">F981*P981</f>
        <v>0</v>
      </c>
      <c r="O981" s="58" t="n">
        <f aca="false">F981*Q981</f>
        <v>0</v>
      </c>
      <c r="P981" s="58" t="n">
        <v>2.2</v>
      </c>
      <c r="Q981" s="58" t="n">
        <v>0.004</v>
      </c>
      <c r="R981" s="59" t="s">
        <v>3326</v>
      </c>
      <c r="S981" s="22"/>
      <c r="T981" s="11" t="str">
        <f aca="false">"16.12.25"</f>
        <v>16.12.25</v>
      </c>
    </row>
    <row r="982" customFormat="false" ht="7.5" hidden="false" customHeight="true" outlineLevel="2" collapsed="false">
      <c r="A982" s="60" t="str">
        <f aca="false">HYPERLINK("https://disk.360.yandex.ru/d/u7DBHxOllMfLGw","фото")</f>
        <v>фото</v>
      </c>
      <c r="B982" s="49" t="s">
        <v>3327</v>
      </c>
      <c r="C982" s="50" t="s">
        <v>3328</v>
      </c>
      <c r="D982" s="51" t="s">
        <v>3329</v>
      </c>
      <c r="E982" s="52" t="n">
        <f aca="false">I982*(1-J982)*(100-E1)/100</f>
        <v>2012.8</v>
      </c>
      <c r="F982" s="53"/>
      <c r="G982" s="54" t="n">
        <v>10</v>
      </c>
      <c r="H982" s="52" t="n">
        <f aca="false">E982*F982</f>
        <v>0</v>
      </c>
      <c r="I982" s="55" t="n">
        <v>3700</v>
      </c>
      <c r="J982" s="56" t="n">
        <v>0.15</v>
      </c>
      <c r="K982" s="57" t="n">
        <v>741</v>
      </c>
      <c r="L982" s="22" t="s">
        <v>44</v>
      </c>
      <c r="M982" s="22" t="s">
        <v>15</v>
      </c>
      <c r="N982" s="58" t="n">
        <f aca="false">F982*P982</f>
        <v>0</v>
      </c>
      <c r="O982" s="58" t="n">
        <f aca="false">F982*Q982</f>
        <v>0</v>
      </c>
      <c r="P982" s="58" t="n">
        <v>2.2</v>
      </c>
      <c r="Q982" s="58" t="n">
        <v>0.004</v>
      </c>
      <c r="R982" s="59" t="s">
        <v>3330</v>
      </c>
      <c r="S982" s="22"/>
      <c r="T982" s="11" t="str">
        <f aca="false">"16.12.25"</f>
        <v>16.12.25</v>
      </c>
    </row>
    <row r="983" customFormat="false" ht="7.5" hidden="false" customHeight="true" outlineLevel="2" collapsed="false">
      <c r="A983" s="60" t="str">
        <f aca="false">HYPERLINK("https://disk.360.yandex.ru/d/BRHZa1LJjAseNA","фото")</f>
        <v>фото</v>
      </c>
      <c r="B983" s="49" t="s">
        <v>3331</v>
      </c>
      <c r="C983" s="50" t="s">
        <v>3332</v>
      </c>
      <c r="D983" s="51" t="s">
        <v>3333</v>
      </c>
      <c r="E983" s="52" t="n">
        <f aca="false">I983*(1-J983)*(100-E1)/100</f>
        <v>2012.8</v>
      </c>
      <c r="F983" s="53"/>
      <c r="G983" s="54" t="n">
        <v>1</v>
      </c>
      <c r="H983" s="52" t="n">
        <f aca="false">E983*F983</f>
        <v>0</v>
      </c>
      <c r="I983" s="55" t="n">
        <v>3700</v>
      </c>
      <c r="J983" s="56" t="n">
        <v>0.15</v>
      </c>
      <c r="K983" s="57" t="n">
        <v>301</v>
      </c>
      <c r="L983" s="22" t="s">
        <v>53</v>
      </c>
      <c r="M983" s="22" t="s">
        <v>15</v>
      </c>
      <c r="N983" s="58" t="n">
        <f aca="false">F983*P983</f>
        <v>0</v>
      </c>
      <c r="O983" s="58" t="n">
        <f aca="false">F983*Q983</f>
        <v>0</v>
      </c>
      <c r="P983" s="58" t="n">
        <v>2.2</v>
      </c>
      <c r="Q983" s="58" t="n">
        <v>0.004</v>
      </c>
      <c r="R983" s="59" t="s">
        <v>3334</v>
      </c>
      <c r="S983" s="22"/>
      <c r="T983" s="11" t="str">
        <f aca="false">"16.12.25"</f>
        <v>16.12.25</v>
      </c>
    </row>
    <row r="984" customFormat="false" ht="7.5" hidden="false" customHeight="true" outlineLevel="2" collapsed="false">
      <c r="A984" s="60" t="str">
        <f aca="false">HYPERLINK("https://disk.360.yandex.ru/d/WQcxiTM7c9ctlw","фото")</f>
        <v>фото</v>
      </c>
      <c r="B984" s="49" t="s">
        <v>3335</v>
      </c>
      <c r="C984" s="50" t="s">
        <v>3336</v>
      </c>
      <c r="D984" s="51" t="s">
        <v>3337</v>
      </c>
      <c r="E984" s="52" t="n">
        <f aca="false">I984*(1-J984)*(100-E1)/100</f>
        <v>4446.72</v>
      </c>
      <c r="F984" s="53"/>
      <c r="G984" s="54" t="n">
        <v>1</v>
      </c>
      <c r="H984" s="52" t="n">
        <f aca="false">E984*F984</f>
        <v>0</v>
      </c>
      <c r="I984" s="55" t="n">
        <v>7720</v>
      </c>
      <c r="J984" s="56" t="n">
        <v>0.1</v>
      </c>
      <c r="K984" s="57" t="n">
        <v>266</v>
      </c>
      <c r="L984" s="22" t="s">
        <v>53</v>
      </c>
      <c r="M984" s="22" t="s">
        <v>152</v>
      </c>
      <c r="N984" s="58" t="n">
        <f aca="false">F984*P984</f>
        <v>0</v>
      </c>
      <c r="O984" s="58" t="n">
        <f aca="false">F984*Q984</f>
        <v>0</v>
      </c>
      <c r="P984" s="58" t="n">
        <v>17</v>
      </c>
      <c r="Q984" s="58" t="n">
        <v>0.031</v>
      </c>
      <c r="R984" s="59" t="s">
        <v>3338</v>
      </c>
      <c r="S984" s="22"/>
      <c r="T984" s="11" t="str">
        <f aca="false">"16.12.25"</f>
        <v>16.12.25</v>
      </c>
    </row>
    <row r="985" customFormat="false" ht="7.5" hidden="false" customHeight="true" outlineLevel="1" collapsed="false">
      <c r="A985" s="38"/>
      <c r="B985" s="39"/>
      <c r="C985" s="40" t="s">
        <v>3339</v>
      </c>
      <c r="D985" s="41"/>
      <c r="E985" s="42"/>
      <c r="F985" s="43"/>
      <c r="G985" s="44"/>
      <c r="H985" s="42"/>
      <c r="I985" s="45"/>
      <c r="J985" s="46"/>
      <c r="K985" s="45"/>
      <c r="L985" s="44"/>
      <c r="M985" s="44"/>
      <c r="N985" s="47"/>
      <c r="O985" s="47"/>
      <c r="P985" s="47"/>
      <c r="Q985" s="47"/>
      <c r="R985" s="39"/>
      <c r="S985" s="44"/>
      <c r="T985" s="11" t="str">
        <f aca="false">"16.12.25"</f>
        <v>16.12.25</v>
      </c>
    </row>
    <row r="986" customFormat="false" ht="7.5" hidden="false" customHeight="true" outlineLevel="2" collapsed="false">
      <c r="A986" s="60" t="str">
        <f aca="false">HYPERLINK("https://disk.360.yandex.ru/d/cizoqcq-jMbQaQ","фото")</f>
        <v>фото</v>
      </c>
      <c r="B986" s="49" t="s">
        <v>3340</v>
      </c>
      <c r="C986" s="50" t="s">
        <v>3341</v>
      </c>
      <c r="D986" s="51" t="s">
        <v>3342</v>
      </c>
      <c r="E986" s="52" t="n">
        <f aca="false">I986*(1-J986)*(100-E1)/100</f>
        <v>29289.6</v>
      </c>
      <c r="F986" s="53"/>
      <c r="G986" s="54" t="n">
        <v>1</v>
      </c>
      <c r="H986" s="52" t="n">
        <f aca="false">E986*F986</f>
        <v>0</v>
      </c>
      <c r="I986" s="55" t="n">
        <v>50850</v>
      </c>
      <c r="J986" s="56" t="n">
        <v>0.1</v>
      </c>
      <c r="K986" s="57" t="n">
        <v>62</v>
      </c>
      <c r="L986" s="22" t="s">
        <v>53</v>
      </c>
      <c r="M986" s="22" t="s">
        <v>15</v>
      </c>
      <c r="N986" s="58" t="n">
        <f aca="false">F986*P986</f>
        <v>0</v>
      </c>
      <c r="O986" s="58" t="n">
        <f aca="false">F986*Q986</f>
        <v>0</v>
      </c>
      <c r="P986" s="58" t="n">
        <v>53.8</v>
      </c>
      <c r="Q986" s="58" t="n">
        <v>0.21</v>
      </c>
      <c r="R986" s="59" t="s">
        <v>3343</v>
      </c>
      <c r="S986" s="22"/>
      <c r="T986" s="11" t="str">
        <f aca="false">"16.12.25"</f>
        <v>16.12.25</v>
      </c>
    </row>
    <row r="987" customFormat="false" ht="7.5" hidden="false" customHeight="true" outlineLevel="2" collapsed="false">
      <c r="A987" s="60" t="str">
        <f aca="false">HYPERLINK("https://disk.360.yandex.ru/d/jH3pQK_dJY7pCw","фото")</f>
        <v>фото</v>
      </c>
      <c r="B987" s="49" t="s">
        <v>3344</v>
      </c>
      <c r="C987" s="50" t="s">
        <v>3345</v>
      </c>
      <c r="D987" s="51" t="s">
        <v>3346</v>
      </c>
      <c r="E987" s="52" t="n">
        <f aca="false">I987*(1-J987)*(100-E1)/100</f>
        <v>31916.16</v>
      </c>
      <c r="F987" s="53"/>
      <c r="G987" s="54" t="n">
        <v>1</v>
      </c>
      <c r="H987" s="52" t="n">
        <f aca="false">E987*F987</f>
        <v>0</v>
      </c>
      <c r="I987" s="55" t="n">
        <v>55410</v>
      </c>
      <c r="J987" s="56" t="n">
        <v>0.1</v>
      </c>
      <c r="K987" s="57" t="n">
        <v>114</v>
      </c>
      <c r="L987" s="22" t="s">
        <v>53</v>
      </c>
      <c r="M987" s="22" t="s">
        <v>15</v>
      </c>
      <c r="N987" s="58" t="n">
        <f aca="false">F987*P987</f>
        <v>0</v>
      </c>
      <c r="O987" s="58" t="n">
        <f aca="false">F987*Q987</f>
        <v>0</v>
      </c>
      <c r="P987" s="58" t="n">
        <v>61.8</v>
      </c>
      <c r="Q987" s="58" t="n">
        <v>0.2</v>
      </c>
      <c r="R987" s="59" t="s">
        <v>3347</v>
      </c>
      <c r="S987" s="22"/>
      <c r="T987" s="11" t="str">
        <f aca="false">"16.12.25"</f>
        <v>16.12.25</v>
      </c>
    </row>
    <row r="988" customFormat="false" ht="7.5" hidden="false" customHeight="true" outlineLevel="2" collapsed="false">
      <c r="A988" s="60" t="str">
        <f aca="false">HYPERLINK("https://disk.360.yandex.ru/d/RmshKgE7EpxGYw","фото")</f>
        <v>фото</v>
      </c>
      <c r="B988" s="49" t="s">
        <v>3348</v>
      </c>
      <c r="C988" s="50" t="s">
        <v>3349</v>
      </c>
      <c r="D988" s="51" t="s">
        <v>3350</v>
      </c>
      <c r="E988" s="52" t="n">
        <f aca="false">I988*(1-J988)*(100-E1)/100</f>
        <v>31848</v>
      </c>
      <c r="F988" s="53"/>
      <c r="G988" s="54" t="n">
        <v>1</v>
      </c>
      <c r="H988" s="52" t="n">
        <f aca="false">E988*F988</f>
        <v>0</v>
      </c>
      <c r="I988" s="55" t="n">
        <v>66350</v>
      </c>
      <c r="J988" s="56" t="n">
        <v>0.25</v>
      </c>
      <c r="K988" s="57" t="n">
        <v>112</v>
      </c>
      <c r="L988" s="22" t="s">
        <v>53</v>
      </c>
      <c r="M988" s="22" t="s">
        <v>15</v>
      </c>
      <c r="N988" s="58" t="n">
        <f aca="false">F988*P988</f>
        <v>0</v>
      </c>
      <c r="O988" s="58" t="n">
        <f aca="false">F988*Q988</f>
        <v>0</v>
      </c>
      <c r="P988" s="58" t="n">
        <v>98</v>
      </c>
      <c r="Q988" s="58" t="n">
        <v>0.25</v>
      </c>
      <c r="R988" s="59" t="s">
        <v>3351</v>
      </c>
      <c r="S988" s="22"/>
      <c r="T988" s="11" t="str">
        <f aca="false">"16.12.25"</f>
        <v>16.12.25</v>
      </c>
    </row>
    <row r="989" customFormat="false" ht="7.5" hidden="false" customHeight="true" outlineLevel="2" collapsed="false">
      <c r="A989" s="60" t="str">
        <f aca="false">HYPERLINK("https://disk.360.yandex.ru/d/LhhIgZrVQQVz_w","фото")</f>
        <v>фото</v>
      </c>
      <c r="B989" s="49" t="s">
        <v>3352</v>
      </c>
      <c r="C989" s="50" t="s">
        <v>3353</v>
      </c>
      <c r="D989" s="51" t="s">
        <v>3354</v>
      </c>
      <c r="E989" s="52" t="n">
        <f aca="false">I989*(1-J989)*(100-E1)/100</f>
        <v>34680.96</v>
      </c>
      <c r="F989" s="53"/>
      <c r="G989" s="54" t="n">
        <v>1</v>
      </c>
      <c r="H989" s="52" t="n">
        <f aca="false">E989*F989</f>
        <v>0</v>
      </c>
      <c r="I989" s="55" t="n">
        <v>60210</v>
      </c>
      <c r="J989" s="56" t="n">
        <v>0.1</v>
      </c>
      <c r="K989" s="57" t="n">
        <v>92</v>
      </c>
      <c r="L989" s="22" t="s">
        <v>53</v>
      </c>
      <c r="M989" s="22" t="s">
        <v>15</v>
      </c>
      <c r="N989" s="58" t="n">
        <f aca="false">F989*P989</f>
        <v>0</v>
      </c>
      <c r="O989" s="58" t="n">
        <f aca="false">F989*Q989</f>
        <v>0</v>
      </c>
      <c r="P989" s="58" t="n">
        <v>83.8</v>
      </c>
      <c r="Q989" s="58" t="n">
        <v>0.16</v>
      </c>
      <c r="R989" s="59" t="s">
        <v>3355</v>
      </c>
      <c r="S989" s="22"/>
      <c r="T989" s="11" t="str">
        <f aca="false">"16.12.25"</f>
        <v>16.12.25</v>
      </c>
    </row>
    <row r="990" customFormat="false" ht="7.5" hidden="false" customHeight="true" outlineLevel="2" collapsed="false">
      <c r="A990" s="60" t="str">
        <f aca="false">HYPERLINK("https://disk.360.yandex.ru/d/WgLnEggOAwV2-w","фото")</f>
        <v>фото</v>
      </c>
      <c r="B990" s="49" t="s">
        <v>3356</v>
      </c>
      <c r="C990" s="50" t="s">
        <v>3357</v>
      </c>
      <c r="D990" s="51" t="s">
        <v>3358</v>
      </c>
      <c r="E990" s="52" t="n">
        <f aca="false">I990*(1-J990)*(100-E1)/100</f>
        <v>46563.84</v>
      </c>
      <c r="F990" s="53"/>
      <c r="G990" s="54" t="n">
        <v>1</v>
      </c>
      <c r="H990" s="52" t="n">
        <f aca="false">E990*F990</f>
        <v>0</v>
      </c>
      <c r="I990" s="55" t="n">
        <v>80840</v>
      </c>
      <c r="J990" s="56" t="n">
        <v>0.1</v>
      </c>
      <c r="K990" s="57" t="n">
        <v>105</v>
      </c>
      <c r="L990" s="22" t="s">
        <v>53</v>
      </c>
      <c r="M990" s="22" t="s">
        <v>15</v>
      </c>
      <c r="N990" s="58" t="n">
        <f aca="false">F990*P990</f>
        <v>0</v>
      </c>
      <c r="O990" s="58" t="n">
        <f aca="false">F990*Q990</f>
        <v>0</v>
      </c>
      <c r="P990" s="58" t="n">
        <v>97.2</v>
      </c>
      <c r="Q990" s="58" t="n">
        <v>0.33</v>
      </c>
      <c r="R990" s="59" t="s">
        <v>3359</v>
      </c>
      <c r="S990" s="22"/>
      <c r="T990" s="11" t="str">
        <f aca="false">"16.12.25"</f>
        <v>16.12.25</v>
      </c>
    </row>
    <row r="991" customFormat="false" ht="7.5" hidden="false" customHeight="true" outlineLevel="1" collapsed="false">
      <c r="A991" s="38"/>
      <c r="B991" s="39"/>
      <c r="C991" s="40" t="s">
        <v>3360</v>
      </c>
      <c r="D991" s="41"/>
      <c r="E991" s="42"/>
      <c r="F991" s="43"/>
      <c r="G991" s="44"/>
      <c r="H991" s="42"/>
      <c r="I991" s="45"/>
      <c r="J991" s="46"/>
      <c r="K991" s="45"/>
      <c r="L991" s="44"/>
      <c r="M991" s="44"/>
      <c r="N991" s="47"/>
      <c r="O991" s="47"/>
      <c r="P991" s="47"/>
      <c r="Q991" s="47"/>
      <c r="R991" s="39"/>
      <c r="S991" s="44"/>
      <c r="T991" s="11" t="str">
        <f aca="false">"16.12.25"</f>
        <v>16.12.25</v>
      </c>
    </row>
    <row r="992" customFormat="false" ht="7.5" hidden="false" customHeight="true" outlineLevel="2" collapsed="false">
      <c r="A992" s="60" t="str">
        <f aca="false">HYPERLINK("https://disk.360.yandex.ru/d/pMM1v6lBkZPEgw","фото")</f>
        <v>фото</v>
      </c>
      <c r="B992" s="49" t="s">
        <v>3361</v>
      </c>
      <c r="C992" s="50" t="s">
        <v>3362</v>
      </c>
      <c r="D992" s="51" t="s">
        <v>3363</v>
      </c>
      <c r="E992" s="52" t="n">
        <f aca="false">I992*(1-J992)*(100-E1)/100</f>
        <v>54896.64</v>
      </c>
      <c r="F992" s="53"/>
      <c r="G992" s="54" t="n">
        <v>1</v>
      </c>
      <c r="H992" s="52" t="n">
        <f aca="false">E992*F992</f>
        <v>0</v>
      </c>
      <c r="I992" s="55" t="n">
        <v>107220</v>
      </c>
      <c r="J992" s="56" t="n">
        <v>0.2</v>
      </c>
      <c r="K992" s="57" t="n">
        <v>22</v>
      </c>
      <c r="L992" s="22" t="s">
        <v>53</v>
      </c>
      <c r="M992" s="22"/>
      <c r="N992" s="58" t="n">
        <f aca="false">F992*P992</f>
        <v>0</v>
      </c>
      <c r="O992" s="58" t="n">
        <f aca="false">F992*Q992</f>
        <v>0</v>
      </c>
      <c r="P992" s="58" t="n">
        <v>87.6</v>
      </c>
      <c r="Q992" s="58" t="n">
        <v>0.45</v>
      </c>
      <c r="R992" s="59" t="s">
        <v>3364</v>
      </c>
      <c r="S992" s="22"/>
      <c r="T992" s="11" t="str">
        <f aca="false">"16.12.25"</f>
        <v>16.12.25</v>
      </c>
    </row>
    <row r="993" customFormat="false" ht="7.5" hidden="false" customHeight="true" outlineLevel="1" collapsed="false">
      <c r="A993" s="38"/>
      <c r="B993" s="39"/>
      <c r="C993" s="40" t="s">
        <v>3365</v>
      </c>
      <c r="D993" s="41"/>
      <c r="E993" s="42"/>
      <c r="F993" s="43"/>
      <c r="G993" s="44"/>
      <c r="H993" s="42"/>
      <c r="I993" s="45"/>
      <c r="J993" s="46"/>
      <c r="K993" s="45"/>
      <c r="L993" s="44"/>
      <c r="M993" s="44"/>
      <c r="N993" s="47"/>
      <c r="O993" s="47"/>
      <c r="P993" s="47"/>
      <c r="Q993" s="47"/>
      <c r="R993" s="39"/>
      <c r="S993" s="44"/>
      <c r="T993" s="11" t="str">
        <f aca="false">"16.12.25"</f>
        <v>16.12.25</v>
      </c>
    </row>
    <row r="994" customFormat="false" ht="7.5" hidden="false" customHeight="true" outlineLevel="2" collapsed="false">
      <c r="A994" s="60" t="str">
        <f aca="false">HYPERLINK("https://disk.360.yandex.ru/d/Q3T7_ahW5hTGHw","фото")</f>
        <v>фото</v>
      </c>
      <c r="B994" s="49" t="s">
        <v>3366</v>
      </c>
      <c r="C994" s="50" t="s">
        <v>3367</v>
      </c>
      <c r="D994" s="51" t="s">
        <v>3368</v>
      </c>
      <c r="E994" s="52" t="n">
        <f aca="false">I994*(1-J994)*(100-E1)/100</f>
        <v>957.44</v>
      </c>
      <c r="F994" s="53"/>
      <c r="G994" s="54" t="n">
        <v>10</v>
      </c>
      <c r="H994" s="52" t="n">
        <f aca="false">E994*F994</f>
        <v>0</v>
      </c>
      <c r="I994" s="55" t="n">
        <v>1760</v>
      </c>
      <c r="J994" s="56" t="n">
        <v>0.15</v>
      </c>
      <c r="K994" s="57" t="n">
        <v>83</v>
      </c>
      <c r="L994" s="22" t="s">
        <v>44</v>
      </c>
      <c r="M994" s="22" t="s">
        <v>15</v>
      </c>
      <c r="N994" s="58" t="n">
        <f aca="false">F994*P994</f>
        <v>0</v>
      </c>
      <c r="O994" s="58" t="n">
        <f aca="false">F994*Q994</f>
        <v>0</v>
      </c>
      <c r="P994" s="58" t="n">
        <v>2.22</v>
      </c>
      <c r="Q994" s="58" t="n">
        <v>0.003</v>
      </c>
      <c r="R994" s="59" t="s">
        <v>3369</v>
      </c>
      <c r="S994" s="22"/>
      <c r="T994" s="11" t="str">
        <f aca="false">"16.12.25"</f>
        <v>16.12.25</v>
      </c>
    </row>
    <row r="995" customFormat="false" ht="7.5" hidden="false" customHeight="true" outlineLevel="2" collapsed="false">
      <c r="A995" s="60" t="str">
        <f aca="false">HYPERLINK("https://disk.360.yandex.ru/d/J8ZaGxSg6dieBg","фото")</f>
        <v>фото</v>
      </c>
      <c r="B995" s="49" t="s">
        <v>3370</v>
      </c>
      <c r="C995" s="50" t="s">
        <v>3371</v>
      </c>
      <c r="D995" s="51" t="s">
        <v>3372</v>
      </c>
      <c r="E995" s="52" t="n">
        <f aca="false">I995*(1-J995)*(100-E1)/100</f>
        <v>2584</v>
      </c>
      <c r="F995" s="53"/>
      <c r="G995" s="54" t="n">
        <v>1</v>
      </c>
      <c r="H995" s="52" t="n">
        <f aca="false">E995*F995</f>
        <v>0</v>
      </c>
      <c r="I995" s="55" t="n">
        <v>4750</v>
      </c>
      <c r="J995" s="56" t="n">
        <v>0.15</v>
      </c>
      <c r="K995" s="57" t="n">
        <v>700</v>
      </c>
      <c r="L995" s="22" t="s">
        <v>44</v>
      </c>
      <c r="M995" s="22" t="s">
        <v>15</v>
      </c>
      <c r="N995" s="58" t="n">
        <f aca="false">F995*P995</f>
        <v>0</v>
      </c>
      <c r="O995" s="58" t="n">
        <f aca="false">F995*Q995</f>
        <v>0</v>
      </c>
      <c r="P995" s="58" t="n">
        <v>8.1</v>
      </c>
      <c r="Q995" s="58" t="n">
        <v>0.001</v>
      </c>
      <c r="R995" s="59" t="s">
        <v>3373</v>
      </c>
      <c r="S995" s="22"/>
      <c r="T995" s="11" t="str">
        <f aca="false">"16.12.25"</f>
        <v>16.12.25</v>
      </c>
    </row>
    <row r="996" customFormat="false" ht="7.5" hidden="false" customHeight="true" outlineLevel="1" collapsed="false">
      <c r="A996" s="38"/>
      <c r="B996" s="39"/>
      <c r="C996" s="40" t="s">
        <v>3374</v>
      </c>
      <c r="D996" s="41"/>
      <c r="E996" s="42"/>
      <c r="F996" s="43"/>
      <c r="G996" s="44"/>
      <c r="H996" s="42"/>
      <c r="I996" s="45"/>
      <c r="J996" s="46"/>
      <c r="K996" s="45"/>
      <c r="L996" s="44"/>
      <c r="M996" s="44"/>
      <c r="N996" s="47"/>
      <c r="O996" s="47"/>
      <c r="P996" s="47"/>
      <c r="Q996" s="47"/>
      <c r="R996" s="39"/>
      <c r="S996" s="44"/>
      <c r="T996" s="11" t="str">
        <f aca="false">"16.12.25"</f>
        <v>16.12.25</v>
      </c>
    </row>
    <row r="997" customFormat="false" ht="7.5" hidden="false" customHeight="true" outlineLevel="2" collapsed="false">
      <c r="A997" s="60" t="str">
        <f aca="false">HYPERLINK("https://disk.yandex.ru/d/j4iyaMXE3tM89Q","фото")</f>
        <v>фото</v>
      </c>
      <c r="B997" s="49" t="s">
        <v>3375</v>
      </c>
      <c r="C997" s="50" t="s">
        <v>3376</v>
      </c>
      <c r="D997" s="51" t="s">
        <v>3377</v>
      </c>
      <c r="E997" s="52" t="n">
        <f aca="false">I997*(1-J997)*(100-E1)/100</f>
        <v>50739.2</v>
      </c>
      <c r="F997" s="53"/>
      <c r="G997" s="54" t="n">
        <v>1</v>
      </c>
      <c r="H997" s="52" t="n">
        <f aca="false">E997*F997</f>
        <v>0</v>
      </c>
      <c r="I997" s="55" t="n">
        <v>79280</v>
      </c>
      <c r="J997" s="56"/>
      <c r="K997" s="57" t="n">
        <v>24</v>
      </c>
      <c r="L997" s="22" t="s">
        <v>44</v>
      </c>
      <c r="M997" s="22"/>
      <c r="N997" s="58" t="n">
        <f aca="false">F997*P997</f>
        <v>0</v>
      </c>
      <c r="O997" s="58" t="n">
        <f aca="false">F997*Q997</f>
        <v>0</v>
      </c>
      <c r="P997" s="58" t="n">
        <v>95</v>
      </c>
      <c r="Q997" s="58" t="n">
        <v>0.35</v>
      </c>
      <c r="R997" s="59" t="s">
        <v>3378</v>
      </c>
      <c r="S997" s="22"/>
      <c r="T997" s="11" t="str">
        <f aca="false">"16.12.25"</f>
        <v>16.12.25</v>
      </c>
    </row>
    <row r="998" customFormat="false" ht="7.5" hidden="false" customHeight="true" outlineLevel="1" collapsed="false">
      <c r="A998" s="38"/>
      <c r="B998" s="39"/>
      <c r="C998" s="40" t="s">
        <v>3379</v>
      </c>
      <c r="D998" s="41"/>
      <c r="E998" s="42"/>
      <c r="F998" s="43"/>
      <c r="G998" s="44"/>
      <c r="H998" s="42"/>
      <c r="I998" s="45"/>
      <c r="J998" s="46"/>
      <c r="K998" s="45"/>
      <c r="L998" s="44"/>
      <c r="M998" s="44"/>
      <c r="N998" s="47"/>
      <c r="O998" s="47"/>
      <c r="P998" s="47"/>
      <c r="Q998" s="47"/>
      <c r="R998" s="39"/>
      <c r="S998" s="44"/>
      <c r="T998" s="11" t="str">
        <f aca="false">"16.12.25"</f>
        <v>16.12.25</v>
      </c>
    </row>
    <row r="999" customFormat="false" ht="7.5" hidden="false" customHeight="true" outlineLevel="2" collapsed="false">
      <c r="A999" s="60" t="str">
        <f aca="false">HYPERLINK("https://disk.360.yandex.ru/d/eMklnmkwyqkHHQ","фото")</f>
        <v>фото</v>
      </c>
      <c r="B999" s="49" t="s">
        <v>3380</v>
      </c>
      <c r="C999" s="50" t="s">
        <v>3381</v>
      </c>
      <c r="D999" s="51" t="s">
        <v>3382</v>
      </c>
      <c r="E999" s="52" t="n">
        <f aca="false">I999*(1-J999)*(100-E1)/100</f>
        <v>37996.8</v>
      </c>
      <c r="F999" s="53"/>
      <c r="G999" s="54" t="n">
        <v>1</v>
      </c>
      <c r="H999" s="52" t="n">
        <f aca="false">E999*F999</f>
        <v>0</v>
      </c>
      <c r="I999" s="55" t="n">
        <v>79160</v>
      </c>
      <c r="J999" s="56" t="n">
        <v>0.25</v>
      </c>
      <c r="K999" s="57" t="n">
        <v>25</v>
      </c>
      <c r="L999" s="22" t="s">
        <v>53</v>
      </c>
      <c r="M999" s="22" t="s">
        <v>15</v>
      </c>
      <c r="N999" s="58" t="n">
        <f aca="false">F999*P999</f>
        <v>0</v>
      </c>
      <c r="O999" s="58" t="n">
        <f aca="false">F999*Q999</f>
        <v>0</v>
      </c>
      <c r="P999" s="58" t="n">
        <v>73.4</v>
      </c>
      <c r="Q999" s="58" t="n">
        <v>0.4</v>
      </c>
      <c r="R999" s="59" t="s">
        <v>3383</v>
      </c>
      <c r="S999" s="22"/>
      <c r="T999" s="11" t="str">
        <f aca="false">"16.12.25"</f>
        <v>16.12.25</v>
      </c>
    </row>
    <row r="1000" customFormat="false" ht="7.5" hidden="false" customHeight="true" outlineLevel="2" collapsed="false">
      <c r="A1000" s="60" t="str">
        <f aca="false">HYPERLINK("https://disk.360.yandex.ru/d/gQJuBNNlTGHxhQ","фото")</f>
        <v>фото</v>
      </c>
      <c r="B1000" s="49" t="s">
        <v>3384</v>
      </c>
      <c r="C1000" s="50" t="s">
        <v>3385</v>
      </c>
      <c r="D1000" s="51" t="s">
        <v>3386</v>
      </c>
      <c r="E1000" s="52" t="n">
        <f aca="false">I1000*(1-J1000)*(100-E1)/100</f>
        <v>59548.8</v>
      </c>
      <c r="F1000" s="53"/>
      <c r="G1000" s="54" t="n">
        <v>1</v>
      </c>
      <c r="H1000" s="52" t="n">
        <f aca="false">E1000*F1000</f>
        <v>0</v>
      </c>
      <c r="I1000" s="55" t="n">
        <v>124060</v>
      </c>
      <c r="J1000" s="56" t="n">
        <v>0.25</v>
      </c>
      <c r="K1000" s="57" t="n">
        <v>18</v>
      </c>
      <c r="L1000" s="22" t="s">
        <v>53</v>
      </c>
      <c r="M1000" s="22" t="s">
        <v>15</v>
      </c>
      <c r="N1000" s="58" t="n">
        <f aca="false">F1000*P1000</f>
        <v>0</v>
      </c>
      <c r="O1000" s="58" t="n">
        <f aca="false">F1000*Q1000</f>
        <v>0</v>
      </c>
      <c r="P1000" s="58" t="n">
        <v>125</v>
      </c>
      <c r="Q1000" s="58" t="n">
        <v>0.54</v>
      </c>
      <c r="R1000" s="59" t="s">
        <v>3387</v>
      </c>
      <c r="S1000" s="22"/>
      <c r="T1000" s="11" t="str">
        <f aca="false">"16.12.25"</f>
        <v>16.12.25</v>
      </c>
    </row>
    <row r="1001" customFormat="false" ht="7.5" hidden="false" customHeight="true" outlineLevel="1" collapsed="false">
      <c r="A1001" s="38"/>
      <c r="B1001" s="39"/>
      <c r="C1001" s="40" t="s">
        <v>3388</v>
      </c>
      <c r="D1001" s="41"/>
      <c r="E1001" s="42"/>
      <c r="F1001" s="43"/>
      <c r="G1001" s="44"/>
      <c r="H1001" s="42"/>
      <c r="I1001" s="45"/>
      <c r="J1001" s="46"/>
      <c r="K1001" s="45"/>
      <c r="L1001" s="44"/>
      <c r="M1001" s="44"/>
      <c r="N1001" s="47"/>
      <c r="O1001" s="47"/>
      <c r="P1001" s="47"/>
      <c r="Q1001" s="47"/>
      <c r="R1001" s="39"/>
      <c r="S1001" s="44"/>
      <c r="T1001" s="11" t="str">
        <f aca="false">"16.12.25"</f>
        <v>16.12.25</v>
      </c>
    </row>
    <row r="1002" customFormat="false" ht="7.5" hidden="false" customHeight="true" outlineLevel="2" collapsed="false">
      <c r="A1002" s="60" t="str">
        <f aca="false">HYPERLINK("https://disk.360.yandex.ru/d/kK06XvH3e-VM4Q","фото")</f>
        <v>фото</v>
      </c>
      <c r="B1002" s="49" t="s">
        <v>3389</v>
      </c>
      <c r="C1002" s="50" t="s">
        <v>3390</v>
      </c>
      <c r="D1002" s="51" t="s">
        <v>3391</v>
      </c>
      <c r="E1002" s="52" t="n">
        <f aca="false">I1002*(1-J1002)*(100-E1)/100</f>
        <v>19840</v>
      </c>
      <c r="F1002" s="53"/>
      <c r="G1002" s="54" t="n">
        <v>2</v>
      </c>
      <c r="H1002" s="52" t="n">
        <f aca="false">E1002*F1002</f>
        <v>0</v>
      </c>
      <c r="I1002" s="55" t="n">
        <v>38750</v>
      </c>
      <c r="J1002" s="56" t="n">
        <v>0.2</v>
      </c>
      <c r="K1002" s="57" t="n">
        <v>78</v>
      </c>
      <c r="L1002" s="22" t="s">
        <v>53</v>
      </c>
      <c r="M1002" s="22"/>
      <c r="N1002" s="58" t="n">
        <f aca="false">F1002*P1002</f>
        <v>0</v>
      </c>
      <c r="O1002" s="58" t="n">
        <f aca="false">F1002*Q1002</f>
        <v>0</v>
      </c>
      <c r="P1002" s="58" t="n">
        <v>31.4</v>
      </c>
      <c r="Q1002" s="58" t="n">
        <v>0.04</v>
      </c>
      <c r="R1002" s="59" t="s">
        <v>3392</v>
      </c>
      <c r="S1002" s="22"/>
      <c r="T1002" s="11" t="str">
        <f aca="false">"16.12.25"</f>
        <v>16.12.25</v>
      </c>
    </row>
    <row r="1003" customFormat="false" ht="7.5" hidden="false" customHeight="true" outlineLevel="2" collapsed="false">
      <c r="A1003" s="60" t="str">
        <f aca="false">HYPERLINK("https://disk.360.yandex.ru/d/OX5A-WwccZ54JQ","фото")</f>
        <v>фото</v>
      </c>
      <c r="B1003" s="49" t="s">
        <v>3393</v>
      </c>
      <c r="C1003" s="50" t="s">
        <v>3394</v>
      </c>
      <c r="D1003" s="51" t="s">
        <v>3395</v>
      </c>
      <c r="E1003" s="52" t="n">
        <f aca="false">I1003*(1-J1003)*(100-E1)/100</f>
        <v>28748.8</v>
      </c>
      <c r="F1003" s="53"/>
      <c r="G1003" s="54" t="n">
        <v>2</v>
      </c>
      <c r="H1003" s="52" t="n">
        <f aca="false">E1003*F1003</f>
        <v>0</v>
      </c>
      <c r="I1003" s="55" t="n">
        <v>56150</v>
      </c>
      <c r="J1003" s="56" t="n">
        <v>0.2</v>
      </c>
      <c r="K1003" s="57" t="n">
        <v>35</v>
      </c>
      <c r="L1003" s="22" t="s">
        <v>53</v>
      </c>
      <c r="M1003" s="22"/>
      <c r="N1003" s="58" t="n">
        <f aca="false">F1003*P1003</f>
        <v>0</v>
      </c>
      <c r="O1003" s="58" t="n">
        <f aca="false">F1003*Q1003</f>
        <v>0</v>
      </c>
      <c r="P1003" s="58" t="n">
        <v>47.3</v>
      </c>
      <c r="Q1003" s="58" t="n">
        <v>0.06</v>
      </c>
      <c r="R1003" s="59" t="s">
        <v>3396</v>
      </c>
      <c r="S1003" s="22"/>
      <c r="T1003" s="11" t="str">
        <f aca="false">"16.12.25"</f>
        <v>16.12.25</v>
      </c>
    </row>
    <row r="1004" customFormat="false" ht="7.5" hidden="false" customHeight="true" outlineLevel="2" collapsed="false">
      <c r="A1004" s="60" t="str">
        <f aca="false">HYPERLINK("https://disk.360.yandex.ru/d/S7G0gWpgpRVfTQ","фото")</f>
        <v>фото</v>
      </c>
      <c r="B1004" s="49" t="s">
        <v>3397</v>
      </c>
      <c r="C1004" s="50" t="s">
        <v>3398</v>
      </c>
      <c r="D1004" s="51" t="s">
        <v>3399</v>
      </c>
      <c r="E1004" s="52" t="n">
        <f aca="false">I1004*(1-J1004)*(100-E1)/100</f>
        <v>6348.8</v>
      </c>
      <c r="F1004" s="53"/>
      <c r="G1004" s="54" t="n">
        <v>2</v>
      </c>
      <c r="H1004" s="52" t="n">
        <f aca="false">E1004*F1004</f>
        <v>0</v>
      </c>
      <c r="I1004" s="55" t="n">
        <v>12400</v>
      </c>
      <c r="J1004" s="56" t="n">
        <v>0.2</v>
      </c>
      <c r="K1004" s="57" t="n">
        <v>346</v>
      </c>
      <c r="L1004" s="22" t="s">
        <v>53</v>
      </c>
      <c r="M1004" s="22"/>
      <c r="N1004" s="58" t="n">
        <f aca="false">F1004*P1004</f>
        <v>0</v>
      </c>
      <c r="O1004" s="58" t="n">
        <f aca="false">F1004*Q1004</f>
        <v>0</v>
      </c>
      <c r="P1004" s="58" t="n">
        <v>10.5</v>
      </c>
      <c r="Q1004" s="58" t="n">
        <v>0.011</v>
      </c>
      <c r="R1004" s="59" t="s">
        <v>3400</v>
      </c>
      <c r="S1004" s="22"/>
      <c r="T1004" s="11" t="str">
        <f aca="false">"16.12.25"</f>
        <v>16.12.25</v>
      </c>
    </row>
    <row r="1005" customFormat="false" ht="7.5" hidden="false" customHeight="true" outlineLevel="2" collapsed="false">
      <c r="A1005" s="60" t="str">
        <f aca="false">HYPERLINK("https://disk.360.yandex.ru/d/o__6C35gxT0gBA","фото")</f>
        <v>фото</v>
      </c>
      <c r="B1005" s="49" t="s">
        <v>3401</v>
      </c>
      <c r="C1005" s="50" t="s">
        <v>3402</v>
      </c>
      <c r="D1005" s="51" t="s">
        <v>3403</v>
      </c>
      <c r="E1005" s="52" t="n">
        <f aca="false">I1005*(1-J1005)*(100-E1)/100</f>
        <v>8811.52</v>
      </c>
      <c r="F1005" s="53"/>
      <c r="G1005" s="54" t="n">
        <v>2</v>
      </c>
      <c r="H1005" s="52" t="n">
        <f aca="false">E1005*F1005</f>
        <v>0</v>
      </c>
      <c r="I1005" s="55" t="n">
        <v>17210</v>
      </c>
      <c r="J1005" s="56" t="n">
        <v>0.2</v>
      </c>
      <c r="K1005" s="57" t="n">
        <v>261</v>
      </c>
      <c r="L1005" s="22" t="s">
        <v>53</v>
      </c>
      <c r="M1005" s="22"/>
      <c r="N1005" s="58" t="n">
        <f aca="false">F1005*P1005</f>
        <v>0</v>
      </c>
      <c r="O1005" s="58" t="n">
        <f aca="false">F1005*Q1005</f>
        <v>0</v>
      </c>
      <c r="P1005" s="58" t="n">
        <v>17</v>
      </c>
      <c r="Q1005" s="58" t="n">
        <v>0.015</v>
      </c>
      <c r="R1005" s="59" t="s">
        <v>3404</v>
      </c>
      <c r="S1005" s="22"/>
      <c r="T1005" s="11" t="str">
        <f aca="false">"16.12.25"</f>
        <v>16.12.25</v>
      </c>
    </row>
    <row r="1006" customFormat="false" ht="7.5" hidden="false" customHeight="true" outlineLevel="2" collapsed="false">
      <c r="A1006" s="60" t="str">
        <f aca="false">HYPERLINK("https://disk.360.yandex.ru/d/1oB4NM_X_Z_q-w","фото")</f>
        <v>фото</v>
      </c>
      <c r="B1006" s="49" t="s">
        <v>3405</v>
      </c>
      <c r="C1006" s="50" t="s">
        <v>3406</v>
      </c>
      <c r="D1006" s="51" t="s">
        <v>3407</v>
      </c>
      <c r="E1006" s="52" t="n">
        <f aca="false">I1006*(1-J1006)*(100-E1)/100</f>
        <v>17914.88</v>
      </c>
      <c r="F1006" s="53"/>
      <c r="G1006" s="54" t="n">
        <v>2</v>
      </c>
      <c r="H1006" s="52" t="n">
        <f aca="false">E1006*F1006</f>
        <v>0</v>
      </c>
      <c r="I1006" s="55" t="n">
        <v>34990</v>
      </c>
      <c r="J1006" s="56" t="n">
        <v>0.2</v>
      </c>
      <c r="K1006" s="57" t="n">
        <v>33</v>
      </c>
      <c r="L1006" s="22" t="s">
        <v>53</v>
      </c>
      <c r="M1006" s="22"/>
      <c r="N1006" s="58" t="n">
        <f aca="false">F1006*P1006</f>
        <v>0</v>
      </c>
      <c r="O1006" s="58" t="n">
        <f aca="false">F1006*Q1006</f>
        <v>0</v>
      </c>
      <c r="P1006" s="58" t="n">
        <v>32.2</v>
      </c>
      <c r="Q1006" s="58" t="n">
        <v>0.04</v>
      </c>
      <c r="R1006" s="59" t="s">
        <v>3408</v>
      </c>
      <c r="S1006" s="22"/>
      <c r="T1006" s="11" t="str">
        <f aca="false">"16.12.25"</f>
        <v>16.12.25</v>
      </c>
    </row>
    <row r="1007" customFormat="false" ht="7.5" hidden="false" customHeight="true" outlineLevel="2" collapsed="false">
      <c r="A1007" s="60" t="str">
        <f aca="false">HYPERLINK("https://disk.360.yandex.ru/d/OIKyJ27FqYLfgg","фото")</f>
        <v>фото</v>
      </c>
      <c r="B1007" s="49" t="s">
        <v>3409</v>
      </c>
      <c r="C1007" s="50" t="s">
        <v>3410</v>
      </c>
      <c r="D1007" s="51" t="s">
        <v>3411</v>
      </c>
      <c r="E1007" s="52" t="n">
        <f aca="false">I1007*(1-J1007)*(100-E1)/100</f>
        <v>12395.52</v>
      </c>
      <c r="F1007" s="53"/>
      <c r="G1007" s="54" t="n">
        <v>2</v>
      </c>
      <c r="H1007" s="52" t="n">
        <f aca="false">E1007*F1007</f>
        <v>0</v>
      </c>
      <c r="I1007" s="55" t="n">
        <v>24210</v>
      </c>
      <c r="J1007" s="56" t="n">
        <v>0.2</v>
      </c>
      <c r="K1007" s="57" t="n">
        <v>57</v>
      </c>
      <c r="L1007" s="22" t="s">
        <v>53</v>
      </c>
      <c r="M1007" s="22"/>
      <c r="N1007" s="58" t="n">
        <f aca="false">F1007*P1007</f>
        <v>0</v>
      </c>
      <c r="O1007" s="58" t="n">
        <f aca="false">F1007*Q1007</f>
        <v>0</v>
      </c>
      <c r="P1007" s="58" t="n">
        <v>17.5</v>
      </c>
      <c r="Q1007" s="58" t="n">
        <v>0.04</v>
      </c>
      <c r="R1007" s="59" t="s">
        <v>3412</v>
      </c>
      <c r="S1007" s="22"/>
      <c r="T1007" s="11" t="str">
        <f aca="false">"16.12.25"</f>
        <v>16.12.25</v>
      </c>
    </row>
    <row r="1008" customFormat="false" ht="7.5" hidden="false" customHeight="true" outlineLevel="0" collapsed="false">
      <c r="A1008" s="28"/>
      <c r="B1008" s="29"/>
      <c r="C1008" s="30" t="s">
        <v>3413</v>
      </c>
      <c r="D1008" s="31"/>
      <c r="E1008" s="32"/>
      <c r="F1008" s="33"/>
      <c r="G1008" s="34"/>
      <c r="H1008" s="32"/>
      <c r="I1008" s="35"/>
      <c r="J1008" s="36"/>
      <c r="K1008" s="35"/>
      <c r="L1008" s="34"/>
      <c r="M1008" s="34"/>
      <c r="N1008" s="37"/>
      <c r="O1008" s="37"/>
      <c r="P1008" s="37"/>
      <c r="Q1008" s="37"/>
      <c r="R1008" s="29"/>
      <c r="S1008" s="34"/>
      <c r="T1008" s="11" t="str">
        <f aca="false">"16.12.25"</f>
        <v>16.12.25</v>
      </c>
    </row>
    <row r="1009" customFormat="false" ht="7.5" hidden="false" customHeight="true" outlineLevel="1" collapsed="false">
      <c r="A1009" s="38"/>
      <c r="B1009" s="39"/>
      <c r="C1009" s="40" t="s">
        <v>3414</v>
      </c>
      <c r="D1009" s="41"/>
      <c r="E1009" s="42"/>
      <c r="F1009" s="43"/>
      <c r="G1009" s="44"/>
      <c r="H1009" s="42"/>
      <c r="I1009" s="45"/>
      <c r="J1009" s="46"/>
      <c r="K1009" s="45"/>
      <c r="L1009" s="44"/>
      <c r="M1009" s="44"/>
      <c r="N1009" s="47"/>
      <c r="O1009" s="47"/>
      <c r="P1009" s="47"/>
      <c r="Q1009" s="47"/>
      <c r="R1009" s="39"/>
      <c r="S1009" s="44"/>
      <c r="T1009" s="11" t="str">
        <f aca="false">"16.12.25"</f>
        <v>16.12.25</v>
      </c>
    </row>
    <row r="1010" customFormat="false" ht="7.5" hidden="false" customHeight="true" outlineLevel="2" collapsed="false">
      <c r="A1010" s="60" t="str">
        <f aca="false">HYPERLINK("https://disk.360.yandex.ru/d/futLitnkbY5KXg","фото")</f>
        <v>фото</v>
      </c>
      <c r="B1010" s="49" t="s">
        <v>3415</v>
      </c>
      <c r="C1010" s="50" t="s">
        <v>3416</v>
      </c>
      <c r="D1010" s="51" t="s">
        <v>3417</v>
      </c>
      <c r="E1010" s="52" t="n">
        <f aca="false">I1010*(1-J1010)*(100-E1)/100</f>
        <v>998.4</v>
      </c>
      <c r="F1010" s="53"/>
      <c r="G1010" s="54" t="n">
        <v>20</v>
      </c>
      <c r="H1010" s="52" t="n">
        <f aca="false">E1010*F1010</f>
        <v>0</v>
      </c>
      <c r="I1010" s="55" t="n">
        <v>1560</v>
      </c>
      <c r="J1010" s="56"/>
      <c r="K1010" s="57" t="n">
        <v>0</v>
      </c>
      <c r="L1010" s="22" t="s">
        <v>53</v>
      </c>
      <c r="M1010" s="22"/>
      <c r="N1010" s="58" t="n">
        <f aca="false">F1010*P1010</f>
        <v>0</v>
      </c>
      <c r="O1010" s="58" t="n">
        <f aca="false">F1010*Q1010</f>
        <v>0</v>
      </c>
      <c r="P1010" s="58" t="n">
        <v>0.86</v>
      </c>
      <c r="Q1010" s="58" t="n">
        <v>0.01</v>
      </c>
      <c r="R1010" s="59" t="s">
        <v>3418</v>
      </c>
      <c r="S1010" s="22"/>
      <c r="T1010" s="11" t="str">
        <f aca="false">"16.12.25"</f>
        <v>16.12.25</v>
      </c>
    </row>
    <row r="1011" customFormat="false" ht="7.5" hidden="false" customHeight="true" outlineLevel="2" collapsed="false">
      <c r="A1011" s="60" t="str">
        <f aca="false">HYPERLINK("https://disk.360.yandex.ru/d/NAuhUH0e8GuFkA","фото")</f>
        <v>фото</v>
      </c>
      <c r="B1011" s="49" t="s">
        <v>3419</v>
      </c>
      <c r="C1011" s="50" t="s">
        <v>3420</v>
      </c>
      <c r="D1011" s="51" t="s">
        <v>3421</v>
      </c>
      <c r="E1011" s="52" t="n">
        <f aca="false">I1011*(1-J1011)*(100-E1)/100</f>
        <v>800</v>
      </c>
      <c r="F1011" s="53"/>
      <c r="G1011" s="54" t="n">
        <v>20</v>
      </c>
      <c r="H1011" s="52" t="n">
        <f aca="false">E1011*F1011</f>
        <v>0</v>
      </c>
      <c r="I1011" s="55" t="n">
        <v>1250</v>
      </c>
      <c r="J1011" s="56"/>
      <c r="K1011" s="57" t="n">
        <v>0</v>
      </c>
      <c r="L1011" s="22" t="s">
        <v>53</v>
      </c>
      <c r="M1011" s="22"/>
      <c r="N1011" s="58" t="n">
        <f aca="false">F1011*P1011</f>
        <v>0</v>
      </c>
      <c r="O1011" s="58" t="n">
        <f aca="false">F1011*Q1011</f>
        <v>0</v>
      </c>
      <c r="P1011" s="58" t="n">
        <v>0.74</v>
      </c>
      <c r="Q1011" s="58" t="n">
        <v>0.006</v>
      </c>
      <c r="R1011" s="59" t="s">
        <v>3422</v>
      </c>
      <c r="S1011" s="22"/>
      <c r="T1011" s="11" t="str">
        <f aca="false">"16.12.25"</f>
        <v>16.12.25</v>
      </c>
    </row>
    <row r="1012" customFormat="false" ht="7.5" hidden="false" customHeight="true" outlineLevel="2" collapsed="false">
      <c r="A1012" s="60" t="str">
        <f aca="false">HYPERLINK("https://disk.360.yandex.ru/d/p39iGqPEwkyq6g","фото")</f>
        <v>фото</v>
      </c>
      <c r="B1012" s="49" t="s">
        <v>3423</v>
      </c>
      <c r="C1012" s="50" t="s">
        <v>3424</v>
      </c>
      <c r="D1012" s="51" t="s">
        <v>3425</v>
      </c>
      <c r="E1012" s="52" t="n">
        <f aca="false">I1012*(1-J1012)*(100-E1)/100</f>
        <v>953.6</v>
      </c>
      <c r="F1012" s="53"/>
      <c r="G1012" s="54" t="n">
        <v>20</v>
      </c>
      <c r="H1012" s="52" t="n">
        <f aca="false">E1012*F1012</f>
        <v>0</v>
      </c>
      <c r="I1012" s="55" t="n">
        <v>1490</v>
      </c>
      <c r="J1012" s="56"/>
      <c r="K1012" s="57" t="n">
        <v>0</v>
      </c>
      <c r="L1012" s="22" t="s">
        <v>53</v>
      </c>
      <c r="M1012" s="22"/>
      <c r="N1012" s="58" t="n">
        <f aca="false">F1012*P1012</f>
        <v>0</v>
      </c>
      <c r="O1012" s="58" t="n">
        <f aca="false">F1012*Q1012</f>
        <v>0</v>
      </c>
      <c r="P1012" s="58" t="n">
        <v>0.77</v>
      </c>
      <c r="Q1012" s="58" t="n">
        <v>0.006</v>
      </c>
      <c r="R1012" s="59" t="s">
        <v>3426</v>
      </c>
      <c r="S1012" s="22"/>
      <c r="T1012" s="11" t="str">
        <f aca="false">"16.12.25"</f>
        <v>16.12.25</v>
      </c>
    </row>
    <row r="1013" customFormat="false" ht="7.5" hidden="false" customHeight="true" outlineLevel="2" collapsed="false">
      <c r="A1013" s="60" t="str">
        <f aca="false">HYPERLINK("https://disk.360.yandex.ru/d/S5uS8RLo4AUfFw","фото")</f>
        <v>фото</v>
      </c>
      <c r="B1013" s="49" t="s">
        <v>3427</v>
      </c>
      <c r="C1013" s="50" t="s">
        <v>3428</v>
      </c>
      <c r="D1013" s="51" t="s">
        <v>3429</v>
      </c>
      <c r="E1013" s="52" t="n">
        <f aca="false">I1013*(1-J1013)*(100-E1)/100</f>
        <v>2009.6</v>
      </c>
      <c r="F1013" s="53"/>
      <c r="G1013" s="54" t="n">
        <v>20</v>
      </c>
      <c r="H1013" s="52" t="n">
        <f aca="false">E1013*F1013</f>
        <v>0</v>
      </c>
      <c r="I1013" s="55" t="n">
        <v>3140</v>
      </c>
      <c r="J1013" s="56"/>
      <c r="K1013" s="57" t="n">
        <v>0</v>
      </c>
      <c r="L1013" s="22" t="s">
        <v>53</v>
      </c>
      <c r="M1013" s="22"/>
      <c r="N1013" s="58" t="n">
        <f aca="false">F1013*P1013</f>
        <v>0</v>
      </c>
      <c r="O1013" s="58" t="n">
        <f aca="false">F1013*Q1013</f>
        <v>0</v>
      </c>
      <c r="P1013" s="58" t="n">
        <v>0.895</v>
      </c>
      <c r="Q1013" s="58" t="n">
        <v>0.01</v>
      </c>
      <c r="R1013" s="59" t="s">
        <v>3430</v>
      </c>
      <c r="S1013" s="22"/>
      <c r="T1013" s="11" t="str">
        <f aca="false">"16.12.25"</f>
        <v>16.12.25</v>
      </c>
    </row>
    <row r="1014" customFormat="false" ht="7.5" hidden="false" customHeight="true" outlineLevel="2" collapsed="false">
      <c r="A1014" s="60" t="str">
        <f aca="false">HYPERLINK("https://disk.360.yandex.ru/d/PLTzjFNoLYHPow","фото")</f>
        <v>фото</v>
      </c>
      <c r="B1014" s="49" t="s">
        <v>3431</v>
      </c>
      <c r="C1014" s="50" t="s">
        <v>3432</v>
      </c>
      <c r="D1014" s="51" t="s">
        <v>3433</v>
      </c>
      <c r="E1014" s="52" t="n">
        <f aca="false">I1014*(1-J1014)*(100-E1)/100</f>
        <v>1689.6</v>
      </c>
      <c r="F1014" s="53"/>
      <c r="G1014" s="54" t="n">
        <v>20</v>
      </c>
      <c r="H1014" s="52" t="n">
        <f aca="false">E1014*F1014</f>
        <v>0</v>
      </c>
      <c r="I1014" s="55" t="n">
        <v>2640</v>
      </c>
      <c r="J1014" s="56"/>
      <c r="K1014" s="57" t="n">
        <v>1141</v>
      </c>
      <c r="L1014" s="22" t="s">
        <v>53</v>
      </c>
      <c r="M1014" s="22"/>
      <c r="N1014" s="58" t="n">
        <f aca="false">F1014*P1014</f>
        <v>0</v>
      </c>
      <c r="O1014" s="58" t="n">
        <f aca="false">F1014*Q1014</f>
        <v>0</v>
      </c>
      <c r="P1014" s="58" t="n">
        <v>0.85</v>
      </c>
      <c r="Q1014" s="58" t="n">
        <v>0.01</v>
      </c>
      <c r="R1014" s="59" t="s">
        <v>3434</v>
      </c>
      <c r="S1014" s="22"/>
      <c r="T1014" s="11" t="str">
        <f aca="false">"16.12.25"</f>
        <v>16.12.25</v>
      </c>
    </row>
    <row r="1015" customFormat="false" ht="7.5" hidden="false" customHeight="true" outlineLevel="2" collapsed="false">
      <c r="A1015" s="48"/>
      <c r="B1015" s="49" t="s">
        <v>3435</v>
      </c>
      <c r="C1015" s="50" t="s">
        <v>3436</v>
      </c>
      <c r="D1015" s="51" t="s">
        <v>3437</v>
      </c>
      <c r="E1015" s="52" t="n">
        <f aca="false">I1015*(1-J1015)*(100-E1)/100</f>
        <v>1472</v>
      </c>
      <c r="F1015" s="53"/>
      <c r="G1015" s="54" t="n">
        <v>20</v>
      </c>
      <c r="H1015" s="52" t="n">
        <f aca="false">E1015*F1015</f>
        <v>0</v>
      </c>
      <c r="I1015" s="55" t="n">
        <v>2300</v>
      </c>
      <c r="J1015" s="56"/>
      <c r="K1015" s="57" t="n">
        <v>5</v>
      </c>
      <c r="L1015" s="22" t="s">
        <v>53</v>
      </c>
      <c r="M1015" s="22"/>
      <c r="N1015" s="58" t="n">
        <f aca="false">F1015*P1015</f>
        <v>0</v>
      </c>
      <c r="O1015" s="58" t="n">
        <f aca="false">F1015*Q1015</f>
        <v>0</v>
      </c>
      <c r="P1015" s="58" t="n">
        <v>0.8</v>
      </c>
      <c r="Q1015" s="58" t="n">
        <v>0.01</v>
      </c>
      <c r="R1015" s="59" t="s">
        <v>3438</v>
      </c>
      <c r="S1015" s="22"/>
      <c r="T1015" s="11" t="str">
        <f aca="false">"16.12.25"</f>
        <v>16.12.25</v>
      </c>
    </row>
    <row r="1016" customFormat="false" ht="7.5" hidden="false" customHeight="true" outlineLevel="2" collapsed="false">
      <c r="A1016" s="60" t="str">
        <f aca="false">HYPERLINK("https://disk.360.yandex.ru/d/GJD7v44cUyUCkA","фото")</f>
        <v>фото</v>
      </c>
      <c r="B1016" s="49" t="s">
        <v>3439</v>
      </c>
      <c r="C1016" s="50" t="s">
        <v>3440</v>
      </c>
      <c r="D1016" s="51" t="s">
        <v>3441</v>
      </c>
      <c r="E1016" s="52" t="n">
        <f aca="false">I1016*(1-J1016)*(100-E1)/100</f>
        <v>2566.4</v>
      </c>
      <c r="F1016" s="53"/>
      <c r="G1016" s="54" t="n">
        <v>20</v>
      </c>
      <c r="H1016" s="52" t="n">
        <f aca="false">E1016*F1016</f>
        <v>0</v>
      </c>
      <c r="I1016" s="55" t="n">
        <v>4010</v>
      </c>
      <c r="J1016" s="56"/>
      <c r="K1016" s="57" t="n">
        <v>727</v>
      </c>
      <c r="L1016" s="22" t="s">
        <v>53</v>
      </c>
      <c r="M1016" s="22"/>
      <c r="N1016" s="58" t="n">
        <f aca="false">F1016*P1016</f>
        <v>0</v>
      </c>
      <c r="O1016" s="58" t="n">
        <f aca="false">F1016*Q1016</f>
        <v>0</v>
      </c>
      <c r="P1016" s="58" t="n">
        <v>0.95</v>
      </c>
      <c r="Q1016" s="58" t="n">
        <v>0.01</v>
      </c>
      <c r="R1016" s="59" t="s">
        <v>3442</v>
      </c>
      <c r="S1016" s="22"/>
      <c r="T1016" s="11" t="str">
        <f aca="false">"16.12.25"</f>
        <v>16.12.25</v>
      </c>
    </row>
    <row r="1017" customFormat="false" ht="7.5" hidden="false" customHeight="true" outlineLevel="2" collapsed="false">
      <c r="A1017" s="60" t="str">
        <f aca="false">HYPERLINK("https://disk.360.yandex.ru/d/BX1xl6thH4i1OA","фото")</f>
        <v>фото</v>
      </c>
      <c r="B1017" s="49" t="s">
        <v>3443</v>
      </c>
      <c r="C1017" s="50" t="s">
        <v>3444</v>
      </c>
      <c r="D1017" s="51" t="s">
        <v>3445</v>
      </c>
      <c r="E1017" s="52" t="n">
        <f aca="false">I1017*(1-J1017)*(100-E1)/100</f>
        <v>2835.2</v>
      </c>
      <c r="F1017" s="53"/>
      <c r="G1017" s="54" t="n">
        <v>1</v>
      </c>
      <c r="H1017" s="52" t="n">
        <f aca="false">E1017*F1017</f>
        <v>0</v>
      </c>
      <c r="I1017" s="55" t="n">
        <v>4430</v>
      </c>
      <c r="J1017" s="56"/>
      <c r="K1017" s="57" t="n">
        <v>8</v>
      </c>
      <c r="L1017" s="22" t="s">
        <v>53</v>
      </c>
      <c r="M1017" s="22"/>
      <c r="N1017" s="58" t="n">
        <f aca="false">F1017*P1017</f>
        <v>0</v>
      </c>
      <c r="O1017" s="58" t="n">
        <f aca="false">F1017*Q1017</f>
        <v>0</v>
      </c>
      <c r="P1017" s="58" t="n">
        <v>0.95</v>
      </c>
      <c r="Q1017" s="58" t="n">
        <v>0.01</v>
      </c>
      <c r="R1017" s="59" t="s">
        <v>3446</v>
      </c>
      <c r="S1017" s="22"/>
      <c r="T1017" s="11" t="str">
        <f aca="false">"16.12.25"</f>
        <v>16.12.25</v>
      </c>
    </row>
    <row r="1018" customFormat="false" ht="7.5" hidden="false" customHeight="true" outlineLevel="2" collapsed="false">
      <c r="A1018" s="48"/>
      <c r="B1018" s="49" t="s">
        <v>3447</v>
      </c>
      <c r="C1018" s="50" t="s">
        <v>3448</v>
      </c>
      <c r="D1018" s="51" t="s">
        <v>3417</v>
      </c>
      <c r="E1018" s="52" t="n">
        <f aca="false">I1018*(1-J1018)*(100-E1)/100</f>
        <v>832</v>
      </c>
      <c r="F1018" s="53"/>
      <c r="G1018" s="54"/>
      <c r="H1018" s="52" t="n">
        <f aca="false">E1018*F1018</f>
        <v>0</v>
      </c>
      <c r="I1018" s="55" t="n">
        <v>1300</v>
      </c>
      <c r="J1018" s="56"/>
      <c r="K1018" s="57" t="n">
        <v>0</v>
      </c>
      <c r="L1018" s="22" t="s">
        <v>53</v>
      </c>
      <c r="M1018" s="22"/>
      <c r="N1018" s="58" t="n">
        <f aca="false">F1018*P1018</f>
        <v>0</v>
      </c>
      <c r="O1018" s="58" t="n">
        <f aca="false">F1018*Q1018</f>
        <v>0</v>
      </c>
      <c r="P1018" s="58" t="n">
        <v>0.86</v>
      </c>
      <c r="Q1018" s="58" t="n">
        <v>0.01</v>
      </c>
      <c r="R1018" s="59"/>
      <c r="S1018" s="22"/>
      <c r="T1018" s="11" t="str">
        <f aca="false">"16.12.25"</f>
        <v>16.12.25</v>
      </c>
    </row>
    <row r="1019" customFormat="false" ht="7.5" hidden="false" customHeight="true" outlineLevel="2" collapsed="false">
      <c r="A1019" s="60" t="str">
        <f aca="false">HYPERLINK("https://disk.360.yandex.ru/d/lpzi4n2zeQdgwg","фото")</f>
        <v>фото</v>
      </c>
      <c r="B1019" s="49" t="s">
        <v>3449</v>
      </c>
      <c r="C1019" s="50" t="s">
        <v>3450</v>
      </c>
      <c r="D1019" s="51" t="s">
        <v>3451</v>
      </c>
      <c r="E1019" s="52" t="n">
        <f aca="false">I1019*(1-J1019)*(100-E1)/100</f>
        <v>2240</v>
      </c>
      <c r="F1019" s="53"/>
      <c r="G1019" s="54" t="n">
        <v>20</v>
      </c>
      <c r="H1019" s="52" t="n">
        <f aca="false">E1019*F1019</f>
        <v>0</v>
      </c>
      <c r="I1019" s="55" t="n">
        <v>3500</v>
      </c>
      <c r="J1019" s="56"/>
      <c r="K1019" s="57" t="n">
        <v>0</v>
      </c>
      <c r="L1019" s="22" t="s">
        <v>53</v>
      </c>
      <c r="M1019" s="22"/>
      <c r="N1019" s="58" t="n">
        <f aca="false">F1019*P1019</f>
        <v>0</v>
      </c>
      <c r="O1019" s="58" t="n">
        <f aca="false">F1019*Q1019</f>
        <v>0</v>
      </c>
      <c r="P1019" s="58" t="n">
        <v>1.1</v>
      </c>
      <c r="Q1019" s="58" t="n">
        <v>0.01</v>
      </c>
      <c r="R1019" s="59" t="s">
        <v>3452</v>
      </c>
      <c r="S1019" s="22"/>
      <c r="T1019" s="11" t="str">
        <f aca="false">"16.12.25"</f>
        <v>16.12.25</v>
      </c>
    </row>
    <row r="1020" customFormat="false" ht="7.5" hidden="false" customHeight="true" outlineLevel="2" collapsed="false">
      <c r="A1020" s="60" t="str">
        <f aca="false">HYPERLINK("https://disk.360.yandex.ru/d/qzi_XrwPhqCaoA","фото")</f>
        <v>фото</v>
      </c>
      <c r="B1020" s="49" t="s">
        <v>3453</v>
      </c>
      <c r="C1020" s="50" t="s">
        <v>3454</v>
      </c>
      <c r="D1020" s="51" t="s">
        <v>3455</v>
      </c>
      <c r="E1020" s="52" t="n">
        <f aca="false">I1020*(1-J1020)*(100-E1)/100</f>
        <v>1376</v>
      </c>
      <c r="F1020" s="53"/>
      <c r="G1020" s="54" t="n">
        <v>20</v>
      </c>
      <c r="H1020" s="52" t="n">
        <f aca="false">E1020*F1020</f>
        <v>0</v>
      </c>
      <c r="I1020" s="55" t="n">
        <v>2150</v>
      </c>
      <c r="J1020" s="56"/>
      <c r="K1020" s="57" t="n">
        <v>0</v>
      </c>
      <c r="L1020" s="22" t="s">
        <v>53</v>
      </c>
      <c r="M1020" s="22"/>
      <c r="N1020" s="58" t="n">
        <f aca="false">F1020*P1020</f>
        <v>0</v>
      </c>
      <c r="O1020" s="58" t="n">
        <f aca="false">F1020*Q1020</f>
        <v>0</v>
      </c>
      <c r="P1020" s="58" t="n">
        <v>1</v>
      </c>
      <c r="Q1020" s="58" t="n">
        <v>0.01</v>
      </c>
      <c r="R1020" s="59" t="s">
        <v>3456</v>
      </c>
      <c r="S1020" s="22"/>
      <c r="T1020" s="11" t="str">
        <f aca="false">"16.12.25"</f>
        <v>16.12.25</v>
      </c>
    </row>
    <row r="1021" customFormat="false" ht="7.5" hidden="false" customHeight="true" outlineLevel="1" collapsed="false">
      <c r="A1021" s="38"/>
      <c r="B1021" s="39"/>
      <c r="C1021" s="40" t="s">
        <v>3457</v>
      </c>
      <c r="D1021" s="41"/>
      <c r="E1021" s="42"/>
      <c r="F1021" s="43"/>
      <c r="G1021" s="44"/>
      <c r="H1021" s="42"/>
      <c r="I1021" s="45"/>
      <c r="J1021" s="46"/>
      <c r="K1021" s="45"/>
      <c r="L1021" s="44"/>
      <c r="M1021" s="44"/>
      <c r="N1021" s="47"/>
      <c r="O1021" s="47"/>
      <c r="P1021" s="47"/>
      <c r="Q1021" s="47"/>
      <c r="R1021" s="39"/>
      <c r="S1021" s="44"/>
      <c r="T1021" s="11" t="str">
        <f aca="false">"16.12.25"</f>
        <v>16.12.25</v>
      </c>
    </row>
    <row r="1022" customFormat="false" ht="7.5" hidden="false" customHeight="true" outlineLevel="2" collapsed="false">
      <c r="A1022" s="48"/>
      <c r="B1022" s="49" t="s">
        <v>3458</v>
      </c>
      <c r="C1022" s="50" t="s">
        <v>3459</v>
      </c>
      <c r="D1022" s="51"/>
      <c r="E1022" s="52" t="n">
        <f aca="false">I1022*(1-J1022)*(100-E1)/100</f>
        <v>355.2</v>
      </c>
      <c r="F1022" s="53"/>
      <c r="G1022" s="54" t="n">
        <v>80</v>
      </c>
      <c r="H1022" s="52" t="n">
        <f aca="false">E1022*F1022</f>
        <v>0</v>
      </c>
      <c r="I1022" s="55" t="n">
        <v>740</v>
      </c>
      <c r="J1022" s="56" t="n">
        <v>0.25</v>
      </c>
      <c r="K1022" s="57" t="n">
        <v>296</v>
      </c>
      <c r="L1022" s="22" t="s">
        <v>368</v>
      </c>
      <c r="M1022" s="22"/>
      <c r="N1022" s="58" t="n">
        <f aca="false">F1022*P1022</f>
        <v>0</v>
      </c>
      <c r="O1022" s="58" t="n">
        <f aca="false">F1022*Q1022</f>
        <v>0</v>
      </c>
      <c r="P1022" s="58" t="n">
        <v>0.28</v>
      </c>
      <c r="Q1022" s="58" t="n">
        <v>0.002</v>
      </c>
      <c r="R1022" s="59"/>
      <c r="S1022" s="22"/>
      <c r="T1022" s="11" t="str">
        <f aca="false">"16.12.25"</f>
        <v>16.12.25</v>
      </c>
    </row>
    <row r="1023" customFormat="false" ht="7.5" hidden="false" customHeight="true" outlineLevel="2" collapsed="false">
      <c r="A1023" s="48"/>
      <c r="B1023" s="49" t="s">
        <v>3460</v>
      </c>
      <c r="C1023" s="50" t="s">
        <v>3461</v>
      </c>
      <c r="D1023" s="51"/>
      <c r="E1023" s="52" t="n">
        <f aca="false">I1023*(1-J1023)*(100-E1)/100</f>
        <v>355.2</v>
      </c>
      <c r="F1023" s="53"/>
      <c r="G1023" s="54" t="n">
        <v>80</v>
      </c>
      <c r="H1023" s="52" t="n">
        <f aca="false">E1023*F1023</f>
        <v>0</v>
      </c>
      <c r="I1023" s="55" t="n">
        <v>740</v>
      </c>
      <c r="J1023" s="56" t="n">
        <v>0.25</v>
      </c>
      <c r="K1023" s="57" t="n">
        <v>453</v>
      </c>
      <c r="L1023" s="22" t="s">
        <v>364</v>
      </c>
      <c r="M1023" s="22"/>
      <c r="N1023" s="58" t="n">
        <f aca="false">F1023*P1023</f>
        <v>0</v>
      </c>
      <c r="O1023" s="58" t="n">
        <f aca="false">F1023*Q1023</f>
        <v>0</v>
      </c>
      <c r="P1023" s="58" t="n">
        <v>0.28</v>
      </c>
      <c r="Q1023" s="58" t="n">
        <v>0.002</v>
      </c>
      <c r="R1023" s="59"/>
      <c r="S1023" s="22"/>
      <c r="T1023" s="11" t="str">
        <f aca="false">"16.12.25"</f>
        <v>16.12.25</v>
      </c>
    </row>
    <row r="1024" customFormat="false" ht="7.5" hidden="false" customHeight="true" outlineLevel="2" collapsed="false">
      <c r="A1024" s="48"/>
      <c r="B1024" s="49" t="s">
        <v>3462</v>
      </c>
      <c r="C1024" s="50" t="s">
        <v>3463</v>
      </c>
      <c r="D1024" s="51"/>
      <c r="E1024" s="52" t="n">
        <f aca="false">I1024*(1-J1024)*(100-E1)/100</f>
        <v>355.2</v>
      </c>
      <c r="F1024" s="53"/>
      <c r="G1024" s="54" t="n">
        <v>80</v>
      </c>
      <c r="H1024" s="52" t="n">
        <f aca="false">E1024*F1024</f>
        <v>0</v>
      </c>
      <c r="I1024" s="55" t="n">
        <v>740</v>
      </c>
      <c r="J1024" s="56" t="n">
        <v>0.25</v>
      </c>
      <c r="K1024" s="57" t="n">
        <v>86</v>
      </c>
      <c r="L1024" s="22" t="s">
        <v>372</v>
      </c>
      <c r="M1024" s="22"/>
      <c r="N1024" s="58" t="n">
        <f aca="false">F1024*P1024</f>
        <v>0</v>
      </c>
      <c r="O1024" s="58" t="n">
        <f aca="false">F1024*Q1024</f>
        <v>0</v>
      </c>
      <c r="P1024" s="58" t="n">
        <v>0.28</v>
      </c>
      <c r="Q1024" s="58" t="n">
        <v>0.002</v>
      </c>
      <c r="R1024" s="59"/>
      <c r="S1024" s="22"/>
      <c r="T1024" s="11" t="str">
        <f aca="false">"16.12.25"</f>
        <v>16.12.25</v>
      </c>
    </row>
    <row r="1025" customFormat="false" ht="7.5" hidden="false" customHeight="true" outlineLevel="2" collapsed="false">
      <c r="A1025" s="48"/>
      <c r="B1025" s="49" t="s">
        <v>3464</v>
      </c>
      <c r="C1025" s="50" t="s">
        <v>3465</v>
      </c>
      <c r="D1025" s="51" t="s">
        <v>3466</v>
      </c>
      <c r="E1025" s="52" t="n">
        <f aca="false">I1025*(1-J1025)*(100-E1)/100</f>
        <v>355.2</v>
      </c>
      <c r="F1025" s="53"/>
      <c r="G1025" s="54" t="n">
        <v>80</v>
      </c>
      <c r="H1025" s="52" t="n">
        <f aca="false">E1025*F1025</f>
        <v>0</v>
      </c>
      <c r="I1025" s="55" t="n">
        <v>740</v>
      </c>
      <c r="J1025" s="56" t="n">
        <v>0.25</v>
      </c>
      <c r="K1025" s="57" t="n">
        <v>1033</v>
      </c>
      <c r="L1025" s="22" t="s">
        <v>53</v>
      </c>
      <c r="M1025" s="22"/>
      <c r="N1025" s="58" t="n">
        <f aca="false">F1025*P1025</f>
        <v>0</v>
      </c>
      <c r="O1025" s="58" t="n">
        <f aca="false">F1025*Q1025</f>
        <v>0</v>
      </c>
      <c r="P1025" s="58" t="n">
        <v>0.28</v>
      </c>
      <c r="Q1025" s="58" t="n">
        <v>0.002</v>
      </c>
      <c r="R1025" s="59" t="s">
        <v>3467</v>
      </c>
      <c r="S1025" s="22"/>
      <c r="T1025" s="11" t="str">
        <f aca="false">"16.12.25"</f>
        <v>16.12.25</v>
      </c>
    </row>
    <row r="1026" customFormat="false" ht="7.5" hidden="false" customHeight="true" outlineLevel="0" collapsed="false">
      <c r="A1026" s="28"/>
      <c r="B1026" s="29"/>
      <c r="C1026" s="30" t="s">
        <v>3468</v>
      </c>
      <c r="D1026" s="31"/>
      <c r="E1026" s="32"/>
      <c r="F1026" s="33"/>
      <c r="G1026" s="34"/>
      <c r="H1026" s="32"/>
      <c r="I1026" s="35"/>
      <c r="J1026" s="36"/>
      <c r="K1026" s="35"/>
      <c r="L1026" s="34"/>
      <c r="M1026" s="34"/>
      <c r="N1026" s="37"/>
      <c r="O1026" s="37"/>
      <c r="P1026" s="37"/>
      <c r="Q1026" s="37"/>
      <c r="R1026" s="29"/>
      <c r="S1026" s="34"/>
      <c r="T1026" s="11" t="str">
        <f aca="false">"16.12.25"</f>
        <v>16.12.25</v>
      </c>
    </row>
    <row r="1027" customFormat="false" ht="7.5" hidden="false" customHeight="true" outlineLevel="1" collapsed="false">
      <c r="A1027" s="38"/>
      <c r="B1027" s="39"/>
      <c r="C1027" s="40" t="s">
        <v>3469</v>
      </c>
      <c r="D1027" s="41"/>
      <c r="E1027" s="42"/>
      <c r="F1027" s="43"/>
      <c r="G1027" s="44"/>
      <c r="H1027" s="42"/>
      <c r="I1027" s="45"/>
      <c r="J1027" s="46"/>
      <c r="K1027" s="45"/>
      <c r="L1027" s="44"/>
      <c r="M1027" s="44"/>
      <c r="N1027" s="47"/>
      <c r="O1027" s="47"/>
      <c r="P1027" s="47"/>
      <c r="Q1027" s="47"/>
      <c r="R1027" s="39"/>
      <c r="S1027" s="44"/>
      <c r="T1027" s="11" t="str">
        <f aca="false">"16.12.25"</f>
        <v>16.12.25</v>
      </c>
    </row>
    <row r="1028" customFormat="false" ht="7.5" hidden="false" customHeight="true" outlineLevel="2" collapsed="false">
      <c r="A1028" s="48"/>
      <c r="B1028" s="49" t="s">
        <v>3470</v>
      </c>
      <c r="C1028" s="50" t="s">
        <v>3471</v>
      </c>
      <c r="D1028" s="51"/>
      <c r="E1028" s="52" t="n">
        <f aca="false">I1028*(1-J1028)*(100-E1)/100</f>
        <v>1100.8</v>
      </c>
      <c r="F1028" s="53"/>
      <c r="G1028" s="54"/>
      <c r="H1028" s="52" t="n">
        <f aca="false">E1028*F1028</f>
        <v>0</v>
      </c>
      <c r="I1028" s="55" t="n">
        <v>1720</v>
      </c>
      <c r="J1028" s="56"/>
      <c r="K1028" s="57" t="n">
        <v>0</v>
      </c>
      <c r="L1028" s="22" t="s">
        <v>44</v>
      </c>
      <c r="M1028" s="22"/>
      <c r="N1028" s="58" t="n">
        <f aca="false">F1028*P1028</f>
        <v>0</v>
      </c>
      <c r="O1028" s="58" t="n">
        <f aca="false">F1028*Q1028</f>
        <v>0</v>
      </c>
      <c r="P1028" s="58"/>
      <c r="Q1028" s="58" t="n">
        <v>0.001</v>
      </c>
      <c r="R1028" s="59"/>
      <c r="S1028" s="22"/>
      <c r="T1028" s="11" t="str">
        <f aca="false">"16.12.25"</f>
        <v>16.12.25</v>
      </c>
    </row>
    <row r="1029" customFormat="false" ht="7.5" hidden="false" customHeight="true" outlineLevel="2" collapsed="false">
      <c r="A1029" s="48"/>
      <c r="B1029" s="49" t="s">
        <v>3472</v>
      </c>
      <c r="C1029" s="50" t="s">
        <v>3473</v>
      </c>
      <c r="D1029" s="51"/>
      <c r="E1029" s="52" t="n">
        <f aca="false">I1029*(1-J1029)*(100-E1)/100</f>
        <v>1228.8</v>
      </c>
      <c r="F1029" s="53"/>
      <c r="G1029" s="54"/>
      <c r="H1029" s="52" t="n">
        <f aca="false">E1029*F1029</f>
        <v>0</v>
      </c>
      <c r="I1029" s="55" t="n">
        <v>1920</v>
      </c>
      <c r="J1029" s="56"/>
      <c r="K1029" s="57" t="n">
        <v>0</v>
      </c>
      <c r="L1029" s="22" t="s">
        <v>44</v>
      </c>
      <c r="M1029" s="22"/>
      <c r="N1029" s="58" t="n">
        <f aca="false">F1029*P1029</f>
        <v>0</v>
      </c>
      <c r="O1029" s="58" t="n">
        <f aca="false">F1029*Q1029</f>
        <v>0</v>
      </c>
      <c r="P1029" s="58"/>
      <c r="Q1029" s="58" t="n">
        <v>0.001</v>
      </c>
      <c r="R1029" s="59"/>
      <c r="S1029" s="22"/>
      <c r="T1029" s="11" t="str">
        <f aca="false">"16.12.25"</f>
        <v>16.12.25</v>
      </c>
    </row>
    <row r="1030" customFormat="false" ht="7.5" hidden="false" customHeight="true" outlineLevel="2" collapsed="false">
      <c r="A1030" s="48"/>
      <c r="B1030" s="49" t="s">
        <v>3474</v>
      </c>
      <c r="C1030" s="50" t="s">
        <v>3475</v>
      </c>
      <c r="D1030" s="51"/>
      <c r="E1030" s="52" t="n">
        <f aca="false">I1030*(1-J1030)*(100-E1)/100</f>
        <v>2662.4</v>
      </c>
      <c r="F1030" s="53"/>
      <c r="G1030" s="54"/>
      <c r="H1030" s="52" t="n">
        <f aca="false">E1030*F1030</f>
        <v>0</v>
      </c>
      <c r="I1030" s="55" t="n">
        <v>4160</v>
      </c>
      <c r="J1030" s="56"/>
      <c r="K1030" s="57" t="n">
        <v>64</v>
      </c>
      <c r="L1030" s="22" t="s">
        <v>44</v>
      </c>
      <c r="M1030" s="22"/>
      <c r="N1030" s="58" t="n">
        <f aca="false">F1030*P1030</f>
        <v>0</v>
      </c>
      <c r="O1030" s="58" t="n">
        <f aca="false">F1030*Q1030</f>
        <v>0</v>
      </c>
      <c r="P1030" s="58"/>
      <c r="Q1030" s="58" t="n">
        <v>0.001</v>
      </c>
      <c r="R1030" s="59"/>
      <c r="S1030" s="22"/>
      <c r="T1030" s="11" t="str">
        <f aca="false">"16.12.25"</f>
        <v>16.12.25</v>
      </c>
    </row>
    <row r="1031" customFormat="false" ht="7.5" hidden="false" customHeight="true" outlineLevel="2" collapsed="false">
      <c r="A1031" s="48"/>
      <c r="B1031" s="49" t="s">
        <v>3476</v>
      </c>
      <c r="C1031" s="50" t="s">
        <v>3477</v>
      </c>
      <c r="D1031" s="51"/>
      <c r="E1031" s="52" t="n">
        <f aca="false">I1031*(1-J1031)*(100-E1)/100</f>
        <v>2662.4</v>
      </c>
      <c r="F1031" s="53"/>
      <c r="G1031" s="54"/>
      <c r="H1031" s="52" t="n">
        <f aca="false">E1031*F1031</f>
        <v>0</v>
      </c>
      <c r="I1031" s="55" t="n">
        <v>4160</v>
      </c>
      <c r="J1031" s="56"/>
      <c r="K1031" s="57" t="n">
        <v>0</v>
      </c>
      <c r="L1031" s="22" t="s">
        <v>44</v>
      </c>
      <c r="M1031" s="22"/>
      <c r="N1031" s="58" t="n">
        <f aca="false">F1031*P1031</f>
        <v>0</v>
      </c>
      <c r="O1031" s="58" t="n">
        <f aca="false">F1031*Q1031</f>
        <v>0</v>
      </c>
      <c r="P1031" s="58"/>
      <c r="Q1031" s="58"/>
      <c r="R1031" s="59"/>
      <c r="S1031" s="22"/>
      <c r="T1031" s="11" t="str">
        <f aca="false">"16.12.25"</f>
        <v>16.12.25</v>
      </c>
    </row>
    <row r="1032" customFormat="false" ht="7.5" hidden="false" customHeight="true" outlineLevel="2" collapsed="false">
      <c r="A1032" s="48"/>
      <c r="B1032" s="49" t="s">
        <v>3478</v>
      </c>
      <c r="C1032" s="50" t="s">
        <v>3479</v>
      </c>
      <c r="D1032" s="51"/>
      <c r="E1032" s="52" t="n">
        <f aca="false">I1032*(1-J1032)*(100-E1)/100</f>
        <v>147.2</v>
      </c>
      <c r="F1032" s="53"/>
      <c r="G1032" s="54" t="n">
        <v>500</v>
      </c>
      <c r="H1032" s="52" t="n">
        <f aca="false">E1032*F1032</f>
        <v>0</v>
      </c>
      <c r="I1032" s="55" t="n">
        <v>230</v>
      </c>
      <c r="J1032" s="56"/>
      <c r="K1032" s="57" t="n">
        <v>367</v>
      </c>
      <c r="L1032" s="22" t="s">
        <v>44</v>
      </c>
      <c r="M1032" s="22" t="s">
        <v>152</v>
      </c>
      <c r="N1032" s="58" t="n">
        <f aca="false">F1032*P1032</f>
        <v>0</v>
      </c>
      <c r="O1032" s="58" t="n">
        <f aca="false">F1032*Q1032</f>
        <v>0</v>
      </c>
      <c r="P1032" s="58" t="n">
        <v>0.05</v>
      </c>
      <c r="Q1032" s="58" t="n">
        <v>0.001</v>
      </c>
      <c r="R1032" s="59"/>
      <c r="S1032" s="22"/>
      <c r="T1032" s="11" t="str">
        <f aca="false">"16.12.25"</f>
        <v>16.12.25</v>
      </c>
    </row>
    <row r="1033" customFormat="false" ht="7.5" hidden="false" customHeight="true" outlineLevel="2" collapsed="false">
      <c r="A1033" s="48"/>
      <c r="B1033" s="49" t="s">
        <v>3480</v>
      </c>
      <c r="C1033" s="50" t="s">
        <v>3481</v>
      </c>
      <c r="D1033" s="51"/>
      <c r="E1033" s="52" t="n">
        <f aca="false">I1033*(1-J1033)*(100-E1)/100</f>
        <v>192</v>
      </c>
      <c r="F1033" s="53"/>
      <c r="G1033" s="54" t="n">
        <v>500</v>
      </c>
      <c r="H1033" s="52" t="n">
        <f aca="false">E1033*F1033</f>
        <v>0</v>
      </c>
      <c r="I1033" s="55" t="n">
        <v>300</v>
      </c>
      <c r="J1033" s="56"/>
      <c r="K1033" s="57" t="n">
        <v>477</v>
      </c>
      <c r="L1033" s="22" t="s">
        <v>44</v>
      </c>
      <c r="M1033" s="22" t="s">
        <v>152</v>
      </c>
      <c r="N1033" s="58" t="n">
        <f aca="false">F1033*P1033</f>
        <v>0</v>
      </c>
      <c r="O1033" s="58" t="n">
        <f aca="false">F1033*Q1033</f>
        <v>0</v>
      </c>
      <c r="P1033" s="58" t="n">
        <v>0.05</v>
      </c>
      <c r="Q1033" s="58" t="n">
        <v>0.001</v>
      </c>
      <c r="R1033" s="59"/>
      <c r="S1033" s="22"/>
      <c r="T1033" s="11" t="str">
        <f aca="false">"16.12.25"</f>
        <v>16.12.25</v>
      </c>
    </row>
    <row r="1034" customFormat="false" ht="7.5" hidden="false" customHeight="true" outlineLevel="2" collapsed="false">
      <c r="A1034" s="48"/>
      <c r="B1034" s="49" t="s">
        <v>3482</v>
      </c>
      <c r="C1034" s="50" t="s">
        <v>3483</v>
      </c>
      <c r="D1034" s="51" t="s">
        <v>3484</v>
      </c>
      <c r="E1034" s="52" t="n">
        <f aca="false">I1034*(1-J1034)*(100-E1)/100</f>
        <v>281.6</v>
      </c>
      <c r="F1034" s="53"/>
      <c r="G1034" s="54"/>
      <c r="H1034" s="52" t="n">
        <f aca="false">E1034*F1034</f>
        <v>0</v>
      </c>
      <c r="I1034" s="55" t="n">
        <v>440</v>
      </c>
      <c r="J1034" s="56"/>
      <c r="K1034" s="57" t="n">
        <v>247</v>
      </c>
      <c r="L1034" s="22" t="s">
        <v>44</v>
      </c>
      <c r="M1034" s="22"/>
      <c r="N1034" s="58" t="n">
        <f aca="false">F1034*P1034</f>
        <v>0</v>
      </c>
      <c r="O1034" s="58" t="n">
        <f aca="false">F1034*Q1034</f>
        <v>0</v>
      </c>
      <c r="P1034" s="58"/>
      <c r="Q1034" s="58"/>
      <c r="R1034" s="59"/>
      <c r="S1034" s="22"/>
      <c r="T1034" s="11" t="str">
        <f aca="false">"16.12.25"</f>
        <v>16.12.25</v>
      </c>
    </row>
    <row r="1035" customFormat="false" ht="7.5" hidden="false" customHeight="true" outlineLevel="2" collapsed="false">
      <c r="A1035" s="48"/>
      <c r="B1035" s="49" t="s">
        <v>3485</v>
      </c>
      <c r="C1035" s="50" t="s">
        <v>3486</v>
      </c>
      <c r="D1035" s="51"/>
      <c r="E1035" s="52" t="n">
        <f aca="false">I1035*(1-J1035)*(100-E1)/100</f>
        <v>83.2</v>
      </c>
      <c r="F1035" s="53"/>
      <c r="G1035" s="54"/>
      <c r="H1035" s="52" t="n">
        <f aca="false">E1035*F1035</f>
        <v>0</v>
      </c>
      <c r="I1035" s="55" t="n">
        <v>130</v>
      </c>
      <c r="J1035" s="56"/>
      <c r="K1035" s="57" t="n">
        <v>1</v>
      </c>
      <c r="L1035" s="22" t="s">
        <v>44</v>
      </c>
      <c r="M1035" s="22"/>
      <c r="N1035" s="58" t="n">
        <f aca="false">F1035*P1035</f>
        <v>0</v>
      </c>
      <c r="O1035" s="58" t="n">
        <f aca="false">F1035*Q1035</f>
        <v>0</v>
      </c>
      <c r="P1035" s="58" t="n">
        <v>0.25</v>
      </c>
      <c r="Q1035" s="58" t="n">
        <v>0.001</v>
      </c>
      <c r="R1035" s="59"/>
      <c r="S1035" s="22"/>
      <c r="T1035" s="11" t="str">
        <f aca="false">"16.12.25"</f>
        <v>16.12.25</v>
      </c>
    </row>
    <row r="1036" customFormat="false" ht="7.5" hidden="false" customHeight="true" outlineLevel="2" collapsed="false">
      <c r="A1036" s="48"/>
      <c r="B1036" s="49" t="s">
        <v>3487</v>
      </c>
      <c r="C1036" s="50" t="s">
        <v>3488</v>
      </c>
      <c r="D1036" s="51" t="s">
        <v>3489</v>
      </c>
      <c r="E1036" s="52" t="n">
        <f aca="false">I1036*(1-J1036)*(100-E1)/100</f>
        <v>1196.8</v>
      </c>
      <c r="F1036" s="53"/>
      <c r="G1036" s="54" t="n">
        <v>28</v>
      </c>
      <c r="H1036" s="52" t="n">
        <f aca="false">E1036*F1036</f>
        <v>0</v>
      </c>
      <c r="I1036" s="55" t="n">
        <v>1870</v>
      </c>
      <c r="J1036" s="56"/>
      <c r="K1036" s="57" t="n">
        <v>7</v>
      </c>
      <c r="L1036" s="22" t="s">
        <v>44</v>
      </c>
      <c r="M1036" s="22"/>
      <c r="N1036" s="58" t="n">
        <f aca="false">F1036*P1036</f>
        <v>0</v>
      </c>
      <c r="O1036" s="58" t="n">
        <f aca="false">F1036*Q1036</f>
        <v>0</v>
      </c>
      <c r="P1036" s="58" t="n">
        <v>0.4</v>
      </c>
      <c r="Q1036" s="58" t="n">
        <v>0.001</v>
      </c>
      <c r="R1036" s="59" t="s">
        <v>3490</v>
      </c>
      <c r="S1036" s="22"/>
      <c r="T1036" s="11" t="str">
        <f aca="false">"16.12.25"</f>
        <v>16.12.25</v>
      </c>
    </row>
    <row r="1037" customFormat="false" ht="7.5" hidden="false" customHeight="true" outlineLevel="2" collapsed="false">
      <c r="A1037" s="48"/>
      <c r="B1037" s="49" t="s">
        <v>3491</v>
      </c>
      <c r="C1037" s="50" t="s">
        <v>3492</v>
      </c>
      <c r="D1037" s="51"/>
      <c r="E1037" s="52" t="n">
        <f aca="false">I1037*(1-J1037)*(100-E1)/100</f>
        <v>147.2</v>
      </c>
      <c r="F1037" s="53"/>
      <c r="G1037" s="54" t="n">
        <v>500</v>
      </c>
      <c r="H1037" s="52" t="n">
        <f aca="false">E1037*F1037</f>
        <v>0</v>
      </c>
      <c r="I1037" s="55" t="n">
        <v>230</v>
      </c>
      <c r="J1037" s="56"/>
      <c r="K1037" s="57" t="n">
        <v>491</v>
      </c>
      <c r="L1037" s="22" t="s">
        <v>53</v>
      </c>
      <c r="M1037" s="22" t="s">
        <v>152</v>
      </c>
      <c r="N1037" s="58" t="n">
        <f aca="false">F1037*P1037</f>
        <v>0</v>
      </c>
      <c r="O1037" s="58" t="n">
        <f aca="false">F1037*Q1037</f>
        <v>0</v>
      </c>
      <c r="P1037" s="58" t="n">
        <v>0.05</v>
      </c>
      <c r="Q1037" s="58" t="n">
        <v>0.001</v>
      </c>
      <c r="R1037" s="59"/>
      <c r="S1037" s="22"/>
      <c r="T1037" s="11" t="str">
        <f aca="false">"16.12.25"</f>
        <v>16.12.25</v>
      </c>
    </row>
    <row r="1038" customFormat="false" ht="7.5" hidden="false" customHeight="true" outlineLevel="2" collapsed="false">
      <c r="A1038" s="48"/>
      <c r="B1038" s="49" t="s">
        <v>3493</v>
      </c>
      <c r="C1038" s="50" t="s">
        <v>3494</v>
      </c>
      <c r="D1038" s="51"/>
      <c r="E1038" s="52" t="n">
        <f aca="false">I1038*(1-J1038)*(100-E1)/100</f>
        <v>192</v>
      </c>
      <c r="F1038" s="53"/>
      <c r="G1038" s="54" t="n">
        <v>500</v>
      </c>
      <c r="H1038" s="52" t="n">
        <f aca="false">E1038*F1038</f>
        <v>0</v>
      </c>
      <c r="I1038" s="55" t="n">
        <v>300</v>
      </c>
      <c r="J1038" s="56"/>
      <c r="K1038" s="57" t="n">
        <v>491</v>
      </c>
      <c r="L1038" s="22" t="s">
        <v>53</v>
      </c>
      <c r="M1038" s="22" t="s">
        <v>152</v>
      </c>
      <c r="N1038" s="58" t="n">
        <f aca="false">F1038*P1038</f>
        <v>0</v>
      </c>
      <c r="O1038" s="58" t="n">
        <f aca="false">F1038*Q1038</f>
        <v>0</v>
      </c>
      <c r="P1038" s="58" t="n">
        <v>0.05</v>
      </c>
      <c r="Q1038" s="58" t="n">
        <v>0.001</v>
      </c>
      <c r="R1038" s="59"/>
      <c r="S1038" s="22"/>
      <c r="T1038" s="11" t="str">
        <f aca="false">"16.12.25"</f>
        <v>16.12.25</v>
      </c>
    </row>
    <row r="1039" customFormat="false" ht="7.5" hidden="false" customHeight="true" outlineLevel="2" collapsed="false">
      <c r="A1039" s="48"/>
      <c r="B1039" s="49" t="s">
        <v>3495</v>
      </c>
      <c r="C1039" s="50" t="s">
        <v>3496</v>
      </c>
      <c r="D1039" s="51" t="s">
        <v>3497</v>
      </c>
      <c r="E1039" s="52" t="n">
        <f aca="false">I1039*(1-J1039)*(100-E1)/100</f>
        <v>900.48</v>
      </c>
      <c r="F1039" s="53"/>
      <c r="G1039" s="54" t="n">
        <v>28</v>
      </c>
      <c r="H1039" s="52" t="n">
        <f aca="false">E1039*F1039</f>
        <v>0</v>
      </c>
      <c r="I1039" s="55" t="n">
        <v>2010</v>
      </c>
      <c r="J1039" s="56" t="n">
        <v>0.3</v>
      </c>
      <c r="K1039" s="57" t="n">
        <v>806</v>
      </c>
      <c r="L1039" s="22" t="s">
        <v>44</v>
      </c>
      <c r="M1039" s="22"/>
      <c r="N1039" s="58" t="n">
        <f aca="false">F1039*P1039</f>
        <v>0</v>
      </c>
      <c r="O1039" s="58" t="n">
        <f aca="false">F1039*Q1039</f>
        <v>0</v>
      </c>
      <c r="P1039" s="58" t="n">
        <v>0.45</v>
      </c>
      <c r="Q1039" s="58" t="n">
        <v>0.001</v>
      </c>
      <c r="R1039" s="59" t="s">
        <v>3498</v>
      </c>
      <c r="S1039" s="22"/>
      <c r="T1039" s="11" t="str">
        <f aca="false">"16.12.25"</f>
        <v>16.12.25</v>
      </c>
    </row>
    <row r="1040" customFormat="false" ht="7.5" hidden="false" customHeight="true" outlineLevel="2" collapsed="false">
      <c r="A1040" s="48"/>
      <c r="B1040" s="49" t="s">
        <v>3499</v>
      </c>
      <c r="C1040" s="50" t="s">
        <v>3500</v>
      </c>
      <c r="D1040" s="51" t="s">
        <v>3501</v>
      </c>
      <c r="E1040" s="52" t="n">
        <f aca="false">I1040*(1-J1040)*(100-E1)/100</f>
        <v>1567.488</v>
      </c>
      <c r="F1040" s="53"/>
      <c r="G1040" s="54" t="n">
        <v>20</v>
      </c>
      <c r="H1040" s="52" t="n">
        <f aca="false">E1040*F1040</f>
        <v>0</v>
      </c>
      <c r="I1040" s="55" t="n">
        <v>3140</v>
      </c>
      <c r="J1040" s="56" t="n">
        <v>0.22</v>
      </c>
      <c r="K1040" s="57" t="n">
        <v>908</v>
      </c>
      <c r="L1040" s="22" t="s">
        <v>44</v>
      </c>
      <c r="M1040" s="22"/>
      <c r="N1040" s="58" t="n">
        <f aca="false">F1040*P1040</f>
        <v>0</v>
      </c>
      <c r="O1040" s="58" t="n">
        <f aca="false">F1040*Q1040</f>
        <v>0</v>
      </c>
      <c r="P1040" s="58" t="n">
        <v>0.7</v>
      </c>
      <c r="Q1040" s="58" t="n">
        <v>0.001</v>
      </c>
      <c r="R1040" s="59" t="s">
        <v>3502</v>
      </c>
      <c r="S1040" s="22"/>
      <c r="T1040" s="11" t="str">
        <f aca="false">"16.12.25"</f>
        <v>16.12.25</v>
      </c>
    </row>
    <row r="1041" customFormat="false" ht="7.5" hidden="false" customHeight="true" outlineLevel="2" collapsed="false">
      <c r="A1041" s="48"/>
      <c r="B1041" s="49" t="s">
        <v>3503</v>
      </c>
      <c r="C1041" s="50" t="s">
        <v>3504</v>
      </c>
      <c r="D1041" s="51" t="s">
        <v>3505</v>
      </c>
      <c r="E1041" s="52" t="n">
        <f aca="false">I1041*(1-J1041)*(100-E1)/100</f>
        <v>1647.36</v>
      </c>
      <c r="F1041" s="53"/>
      <c r="G1041" s="54" t="n">
        <v>20</v>
      </c>
      <c r="H1041" s="52" t="n">
        <f aca="false">E1041*F1041</f>
        <v>0</v>
      </c>
      <c r="I1041" s="55" t="n">
        <v>3300</v>
      </c>
      <c r="J1041" s="56" t="n">
        <v>0.22</v>
      </c>
      <c r="K1041" s="57" t="n">
        <v>1209</v>
      </c>
      <c r="L1041" s="22" t="s">
        <v>44</v>
      </c>
      <c r="M1041" s="22"/>
      <c r="N1041" s="58" t="n">
        <f aca="false">F1041*P1041</f>
        <v>0</v>
      </c>
      <c r="O1041" s="58" t="n">
        <f aca="false">F1041*Q1041</f>
        <v>0</v>
      </c>
      <c r="P1041" s="58" t="n">
        <v>0.68</v>
      </c>
      <c r="Q1041" s="58" t="n">
        <v>0.001</v>
      </c>
      <c r="R1041" s="59" t="s">
        <v>3506</v>
      </c>
      <c r="S1041" s="22"/>
      <c r="T1041" s="11" t="str">
        <f aca="false">"16.12.25"</f>
        <v>16.12.25</v>
      </c>
    </row>
    <row r="1042" customFormat="false" ht="7.5" hidden="false" customHeight="true" outlineLevel="2" collapsed="false">
      <c r="A1042" s="48"/>
      <c r="B1042" s="49" t="s">
        <v>3507</v>
      </c>
      <c r="C1042" s="50" t="s">
        <v>3508</v>
      </c>
      <c r="D1042" s="51" t="s">
        <v>3497</v>
      </c>
      <c r="E1042" s="52" t="n">
        <f aca="false">I1042*(1-J1042)*(100-E1)/100</f>
        <v>486.4</v>
      </c>
      <c r="F1042" s="53"/>
      <c r="G1042" s="54" t="n">
        <v>50</v>
      </c>
      <c r="H1042" s="52" t="n">
        <f aca="false">E1042*F1042</f>
        <v>0</v>
      </c>
      <c r="I1042" s="55" t="n">
        <v>760</v>
      </c>
      <c r="J1042" s="56"/>
      <c r="K1042" s="57" t="n">
        <v>678</v>
      </c>
      <c r="L1042" s="22" t="s">
        <v>44</v>
      </c>
      <c r="M1042" s="22"/>
      <c r="N1042" s="58" t="n">
        <f aca="false">F1042*P1042</f>
        <v>0</v>
      </c>
      <c r="O1042" s="58" t="n">
        <f aca="false">F1042*Q1042</f>
        <v>0</v>
      </c>
      <c r="P1042" s="58" t="n">
        <v>0.49</v>
      </c>
      <c r="Q1042" s="58" t="n">
        <v>0.001</v>
      </c>
      <c r="R1042" s="59" t="s">
        <v>3509</v>
      </c>
      <c r="S1042" s="22"/>
      <c r="T1042" s="11" t="str">
        <f aca="false">"16.12.25"</f>
        <v>16.12.25</v>
      </c>
    </row>
    <row r="1043" customFormat="false" ht="7.5" hidden="false" customHeight="true" outlineLevel="2" collapsed="false">
      <c r="A1043" s="60" t="str">
        <f aca="false">HYPERLINK("https://disk.360.yandex.ru/d/YYXaafyNSXOS0A","фото")</f>
        <v>фото</v>
      </c>
      <c r="B1043" s="49" t="s">
        <v>3510</v>
      </c>
      <c r="C1043" s="50" t="s">
        <v>3511</v>
      </c>
      <c r="D1043" s="51" t="s">
        <v>3505</v>
      </c>
      <c r="E1043" s="52" t="n">
        <f aca="false">I1043*(1-J1043)*(100-E1)/100</f>
        <v>979.2</v>
      </c>
      <c r="F1043" s="53"/>
      <c r="G1043" s="54" t="n">
        <v>20</v>
      </c>
      <c r="H1043" s="52" t="n">
        <f aca="false">E1043*F1043</f>
        <v>0</v>
      </c>
      <c r="I1043" s="55" t="n">
        <v>1530</v>
      </c>
      <c r="J1043" s="56"/>
      <c r="K1043" s="57" t="n">
        <v>471</v>
      </c>
      <c r="L1043" s="22" t="s">
        <v>44</v>
      </c>
      <c r="M1043" s="22" t="s">
        <v>152</v>
      </c>
      <c r="N1043" s="58" t="n">
        <f aca="false">F1043*P1043</f>
        <v>0</v>
      </c>
      <c r="O1043" s="58" t="n">
        <f aca="false">F1043*Q1043</f>
        <v>0</v>
      </c>
      <c r="P1043" s="58" t="n">
        <v>0.7</v>
      </c>
      <c r="Q1043" s="58" t="n">
        <v>0.001</v>
      </c>
      <c r="R1043" s="59" t="s">
        <v>3512</v>
      </c>
      <c r="S1043" s="22"/>
      <c r="T1043" s="11" t="str">
        <f aca="false">"16.12.25"</f>
        <v>16.12.25</v>
      </c>
    </row>
    <row r="1044" customFormat="false" ht="7.5" hidden="false" customHeight="true" outlineLevel="2" collapsed="false">
      <c r="A1044" s="60" t="str">
        <f aca="false">HYPERLINK("https://disk.360.yandex.ru/d/QCCU45rDUscP4w","фото")</f>
        <v>фото</v>
      </c>
      <c r="B1044" s="49" t="s">
        <v>3513</v>
      </c>
      <c r="C1044" s="50" t="s">
        <v>3514</v>
      </c>
      <c r="D1044" s="51" t="s">
        <v>3515</v>
      </c>
      <c r="E1044" s="52" t="n">
        <f aca="false">I1044*(1-J1044)*(100-E1)/100</f>
        <v>1120</v>
      </c>
      <c r="F1044" s="53"/>
      <c r="G1044" s="54" t="n">
        <v>20</v>
      </c>
      <c r="H1044" s="52" t="n">
        <f aca="false">E1044*F1044</f>
        <v>0</v>
      </c>
      <c r="I1044" s="55" t="n">
        <v>1750</v>
      </c>
      <c r="J1044" s="56"/>
      <c r="K1044" s="57" t="n">
        <v>1449</v>
      </c>
      <c r="L1044" s="22" t="s">
        <v>44</v>
      </c>
      <c r="M1044" s="22" t="s">
        <v>152</v>
      </c>
      <c r="N1044" s="58" t="n">
        <f aca="false">F1044*P1044</f>
        <v>0</v>
      </c>
      <c r="O1044" s="58" t="n">
        <f aca="false">F1044*Q1044</f>
        <v>0</v>
      </c>
      <c r="P1044" s="58" t="n">
        <v>0.65</v>
      </c>
      <c r="Q1044" s="58" t="n">
        <v>0.001</v>
      </c>
      <c r="R1044" s="59" t="s">
        <v>3516</v>
      </c>
      <c r="S1044" s="22"/>
      <c r="T1044" s="11" t="str">
        <f aca="false">"16.12.25"</f>
        <v>16.12.25</v>
      </c>
    </row>
    <row r="1045" customFormat="false" ht="7.5" hidden="false" customHeight="true" outlineLevel="2" collapsed="false">
      <c r="A1045" s="60" t="str">
        <f aca="false">HYPERLINK("https://disk.360.yandex.ru/d/C5VgkU9oIYnMCw","фото")</f>
        <v>фото</v>
      </c>
      <c r="B1045" s="49" t="s">
        <v>3517</v>
      </c>
      <c r="C1045" s="50" t="s">
        <v>3518</v>
      </c>
      <c r="D1045" s="51" t="s">
        <v>3519</v>
      </c>
      <c r="E1045" s="52" t="n">
        <f aca="false">I1045*(1-J1045)*(100-E1)/100</f>
        <v>1523.2</v>
      </c>
      <c r="F1045" s="53"/>
      <c r="G1045" s="54" t="n">
        <v>20</v>
      </c>
      <c r="H1045" s="52" t="n">
        <f aca="false">E1045*F1045</f>
        <v>0</v>
      </c>
      <c r="I1045" s="55" t="n">
        <v>2380</v>
      </c>
      <c r="J1045" s="56"/>
      <c r="K1045" s="57" t="n">
        <v>887</v>
      </c>
      <c r="L1045" s="22" t="s">
        <v>44</v>
      </c>
      <c r="M1045" s="22" t="s">
        <v>152</v>
      </c>
      <c r="N1045" s="58" t="n">
        <f aca="false">F1045*P1045</f>
        <v>0</v>
      </c>
      <c r="O1045" s="58" t="n">
        <f aca="false">F1045*Q1045</f>
        <v>0</v>
      </c>
      <c r="P1045" s="58" t="n">
        <v>0.9</v>
      </c>
      <c r="Q1045" s="58" t="n">
        <v>0.001</v>
      </c>
      <c r="R1045" s="59" t="s">
        <v>3520</v>
      </c>
      <c r="S1045" s="22"/>
      <c r="T1045" s="11" t="str">
        <f aca="false">"16.12.25"</f>
        <v>16.12.25</v>
      </c>
    </row>
    <row r="1046" customFormat="false" ht="7.5" hidden="false" customHeight="true" outlineLevel="2" collapsed="false">
      <c r="A1046" s="48"/>
      <c r="B1046" s="49" t="s">
        <v>3521</v>
      </c>
      <c r="C1046" s="50" t="s">
        <v>3522</v>
      </c>
      <c r="D1046" s="51" t="s">
        <v>3523</v>
      </c>
      <c r="E1046" s="52" t="n">
        <f aca="false">I1046*(1-J1046)*(100-E1)/100</f>
        <v>2739.2</v>
      </c>
      <c r="F1046" s="53"/>
      <c r="G1046" s="54" t="n">
        <v>20</v>
      </c>
      <c r="H1046" s="52" t="n">
        <f aca="false">E1046*F1046</f>
        <v>0</v>
      </c>
      <c r="I1046" s="55" t="n">
        <v>4280</v>
      </c>
      <c r="J1046" s="56"/>
      <c r="K1046" s="57" t="n">
        <v>77</v>
      </c>
      <c r="L1046" s="22" t="s">
        <v>53</v>
      </c>
      <c r="M1046" s="22"/>
      <c r="N1046" s="58" t="n">
        <f aca="false">F1046*P1046</f>
        <v>0</v>
      </c>
      <c r="O1046" s="58" t="n">
        <f aca="false">F1046*Q1046</f>
        <v>0</v>
      </c>
      <c r="P1046" s="58" t="n">
        <v>0.7</v>
      </c>
      <c r="Q1046" s="58" t="n">
        <v>0.001</v>
      </c>
      <c r="R1046" s="59" t="s">
        <v>3524</v>
      </c>
      <c r="S1046" s="22"/>
      <c r="T1046" s="11" t="str">
        <f aca="false">"16.12.25"</f>
        <v>16.12.25</v>
      </c>
    </row>
    <row r="1047" customFormat="false" ht="7.5" hidden="false" customHeight="true" outlineLevel="2" collapsed="false">
      <c r="A1047" s="48"/>
      <c r="B1047" s="49" t="s">
        <v>3525</v>
      </c>
      <c r="C1047" s="50" t="s">
        <v>3526</v>
      </c>
      <c r="D1047" s="51"/>
      <c r="E1047" s="52" t="n">
        <f aca="false">I1047*(1-J1047)*(100-E1)/100</f>
        <v>844.8</v>
      </c>
      <c r="F1047" s="53"/>
      <c r="G1047" s="54"/>
      <c r="H1047" s="52" t="n">
        <f aca="false">E1047*F1047</f>
        <v>0</v>
      </c>
      <c r="I1047" s="55" t="n">
        <v>1320</v>
      </c>
      <c r="J1047" s="56"/>
      <c r="K1047" s="57" t="n">
        <v>143</v>
      </c>
      <c r="L1047" s="22" t="s">
        <v>44</v>
      </c>
      <c r="M1047" s="22"/>
      <c r="N1047" s="58" t="n">
        <f aca="false">F1047*P1047</f>
        <v>0</v>
      </c>
      <c r="O1047" s="58" t="n">
        <f aca="false">F1047*Q1047</f>
        <v>0</v>
      </c>
      <c r="P1047" s="58"/>
      <c r="Q1047" s="58"/>
      <c r="R1047" s="59"/>
      <c r="S1047" s="22"/>
      <c r="T1047" s="11" t="str">
        <f aca="false">"16.12.25"</f>
        <v>16.12.25</v>
      </c>
    </row>
    <row r="1048" customFormat="false" ht="7.5" hidden="false" customHeight="true" outlineLevel="2" collapsed="false">
      <c r="A1048" s="48"/>
      <c r="B1048" s="49" t="s">
        <v>3527</v>
      </c>
      <c r="C1048" s="50" t="s">
        <v>3528</v>
      </c>
      <c r="D1048" s="51"/>
      <c r="E1048" s="52" t="n">
        <f aca="false">I1048*(1-J1048)*(100-E1)/100</f>
        <v>243.2</v>
      </c>
      <c r="F1048" s="53"/>
      <c r="G1048" s="54"/>
      <c r="H1048" s="52" t="n">
        <f aca="false">E1048*F1048</f>
        <v>0</v>
      </c>
      <c r="I1048" s="55" t="n">
        <v>380</v>
      </c>
      <c r="J1048" s="56"/>
      <c r="K1048" s="57" t="n">
        <v>3</v>
      </c>
      <c r="L1048" s="22" t="s">
        <v>44</v>
      </c>
      <c r="M1048" s="22"/>
      <c r="N1048" s="58" t="n">
        <f aca="false">F1048*P1048</f>
        <v>0</v>
      </c>
      <c r="O1048" s="58" t="n">
        <f aca="false">F1048*Q1048</f>
        <v>0</v>
      </c>
      <c r="P1048" s="58"/>
      <c r="Q1048" s="58"/>
      <c r="R1048" s="59"/>
      <c r="S1048" s="22"/>
      <c r="T1048" s="11" t="str">
        <f aca="false">"16.12.25"</f>
        <v>16.12.25</v>
      </c>
    </row>
    <row r="1049" customFormat="false" ht="7.5" hidden="false" customHeight="true" outlineLevel="2" collapsed="false">
      <c r="A1049" s="48"/>
      <c r="B1049" s="49" t="s">
        <v>3529</v>
      </c>
      <c r="C1049" s="50" t="s">
        <v>3530</v>
      </c>
      <c r="D1049" s="51" t="s">
        <v>3531</v>
      </c>
      <c r="E1049" s="52" t="n">
        <f aca="false">I1049*(1-J1049)*(100-E1)/100</f>
        <v>96</v>
      </c>
      <c r="F1049" s="53"/>
      <c r="G1049" s="54"/>
      <c r="H1049" s="52" t="n">
        <f aca="false">E1049*F1049</f>
        <v>0</v>
      </c>
      <c r="I1049" s="55" t="n">
        <v>150</v>
      </c>
      <c r="J1049" s="56"/>
      <c r="K1049" s="57" t="n">
        <v>3768</v>
      </c>
      <c r="L1049" s="22" t="s">
        <v>44</v>
      </c>
      <c r="M1049" s="22"/>
      <c r="N1049" s="58" t="n">
        <f aca="false">F1049*P1049</f>
        <v>0</v>
      </c>
      <c r="O1049" s="58" t="n">
        <f aca="false">F1049*Q1049</f>
        <v>0</v>
      </c>
      <c r="P1049" s="58"/>
      <c r="Q1049" s="58"/>
      <c r="R1049" s="59"/>
      <c r="S1049" s="22"/>
      <c r="T1049" s="11" t="str">
        <f aca="false">"16.12.25"</f>
        <v>16.12.25</v>
      </c>
    </row>
    <row r="1050" customFormat="false" ht="7.5" hidden="false" customHeight="true" outlineLevel="2" collapsed="false">
      <c r="A1050" s="48"/>
      <c r="B1050" s="49" t="s">
        <v>3532</v>
      </c>
      <c r="C1050" s="50" t="s">
        <v>3533</v>
      </c>
      <c r="D1050" s="51" t="s">
        <v>3534</v>
      </c>
      <c r="E1050" s="52" t="n">
        <f aca="false">I1050*(1-J1050)*(100-E1)/100</f>
        <v>134.4</v>
      </c>
      <c r="F1050" s="53"/>
      <c r="G1050" s="54"/>
      <c r="H1050" s="52" t="n">
        <f aca="false">E1050*F1050</f>
        <v>0</v>
      </c>
      <c r="I1050" s="55" t="n">
        <v>210</v>
      </c>
      <c r="J1050" s="56"/>
      <c r="K1050" s="57" t="n">
        <v>1124</v>
      </c>
      <c r="L1050" s="22" t="s">
        <v>44</v>
      </c>
      <c r="M1050" s="22"/>
      <c r="N1050" s="58" t="n">
        <f aca="false">F1050*P1050</f>
        <v>0</v>
      </c>
      <c r="O1050" s="58" t="n">
        <f aca="false">F1050*Q1050</f>
        <v>0</v>
      </c>
      <c r="P1050" s="58"/>
      <c r="Q1050" s="58"/>
      <c r="R1050" s="59"/>
      <c r="S1050" s="22"/>
      <c r="T1050" s="11" t="str">
        <f aca="false">"16.12.25"</f>
        <v>16.12.25</v>
      </c>
    </row>
    <row r="1051" customFormat="false" ht="7.5" hidden="false" customHeight="true" outlineLevel="2" collapsed="false">
      <c r="A1051" s="48"/>
      <c r="B1051" s="49" t="s">
        <v>3535</v>
      </c>
      <c r="C1051" s="50" t="s">
        <v>3536</v>
      </c>
      <c r="D1051" s="51" t="s">
        <v>3537</v>
      </c>
      <c r="E1051" s="52" t="n">
        <f aca="false">I1051*(1-J1051)*(100-E1)/100</f>
        <v>44.8</v>
      </c>
      <c r="F1051" s="53"/>
      <c r="G1051" s="54"/>
      <c r="H1051" s="52" t="n">
        <f aca="false">E1051*F1051</f>
        <v>0</v>
      </c>
      <c r="I1051" s="55" t="n">
        <v>70</v>
      </c>
      <c r="J1051" s="56"/>
      <c r="K1051" s="57" t="n">
        <v>925</v>
      </c>
      <c r="L1051" s="22" t="s">
        <v>44</v>
      </c>
      <c r="M1051" s="22"/>
      <c r="N1051" s="58" t="n">
        <f aca="false">F1051*P1051</f>
        <v>0</v>
      </c>
      <c r="O1051" s="58" t="n">
        <f aca="false">F1051*Q1051</f>
        <v>0</v>
      </c>
      <c r="P1051" s="58"/>
      <c r="Q1051" s="58"/>
      <c r="R1051" s="59"/>
      <c r="S1051" s="22"/>
      <c r="T1051" s="11" t="str">
        <f aca="false">"16.12.25"</f>
        <v>16.12.25</v>
      </c>
    </row>
    <row r="1052" customFormat="false" ht="7.5" hidden="false" customHeight="true" outlineLevel="2" collapsed="false">
      <c r="A1052" s="48"/>
      <c r="B1052" s="49" t="s">
        <v>3538</v>
      </c>
      <c r="C1052" s="50" t="s">
        <v>3539</v>
      </c>
      <c r="D1052" s="51" t="s">
        <v>3540</v>
      </c>
      <c r="E1052" s="52" t="n">
        <f aca="false">I1052*(1-J1052)*(100-E1)/100</f>
        <v>12.8</v>
      </c>
      <c r="F1052" s="53"/>
      <c r="G1052" s="54"/>
      <c r="H1052" s="52" t="n">
        <f aca="false">E1052*F1052</f>
        <v>0</v>
      </c>
      <c r="I1052" s="55" t="n">
        <v>20</v>
      </c>
      <c r="J1052" s="56"/>
      <c r="K1052" s="57" t="n">
        <v>0</v>
      </c>
      <c r="L1052" s="22" t="s">
        <v>44</v>
      </c>
      <c r="M1052" s="22"/>
      <c r="N1052" s="58" t="n">
        <f aca="false">F1052*P1052</f>
        <v>0</v>
      </c>
      <c r="O1052" s="58" t="n">
        <f aca="false">F1052*Q1052</f>
        <v>0</v>
      </c>
      <c r="P1052" s="58"/>
      <c r="Q1052" s="58"/>
      <c r="R1052" s="59"/>
      <c r="S1052" s="22"/>
      <c r="T1052" s="11" t="str">
        <f aca="false">"16.12.25"</f>
        <v>16.12.25</v>
      </c>
    </row>
    <row r="1053" customFormat="false" ht="7.5" hidden="false" customHeight="true" outlineLevel="2" collapsed="false">
      <c r="A1053" s="60" t="str">
        <f aca="false">HYPERLINK("https://disk.360.yandex.ru/d/iU4nQygUuC012A","фото")</f>
        <v>фото</v>
      </c>
      <c r="B1053" s="49" t="s">
        <v>3541</v>
      </c>
      <c r="C1053" s="50" t="s">
        <v>3542</v>
      </c>
      <c r="D1053" s="51" t="s">
        <v>3543</v>
      </c>
      <c r="E1053" s="52" t="n">
        <f aca="false">I1053*(1-J1053)*(100-E1)/100</f>
        <v>115.2</v>
      </c>
      <c r="F1053" s="53"/>
      <c r="G1053" s="54"/>
      <c r="H1053" s="52" t="n">
        <f aca="false">E1053*F1053</f>
        <v>0</v>
      </c>
      <c r="I1053" s="55" t="n">
        <v>180</v>
      </c>
      <c r="J1053" s="56"/>
      <c r="K1053" s="57" t="n">
        <v>7378</v>
      </c>
      <c r="L1053" s="22" t="s">
        <v>44</v>
      </c>
      <c r="M1053" s="22"/>
      <c r="N1053" s="58" t="n">
        <f aca="false">F1053*P1053</f>
        <v>0</v>
      </c>
      <c r="O1053" s="58" t="n">
        <f aca="false">F1053*Q1053</f>
        <v>0</v>
      </c>
      <c r="P1053" s="58" t="n">
        <v>0.3</v>
      </c>
      <c r="Q1053" s="58" t="n">
        <v>0.001</v>
      </c>
      <c r="R1053" s="59"/>
      <c r="S1053" s="22"/>
      <c r="T1053" s="11" t="str">
        <f aca="false">"16.12.25"</f>
        <v>16.12.25</v>
      </c>
    </row>
    <row r="1054" customFormat="false" ht="7.5" hidden="false" customHeight="true" outlineLevel="2" collapsed="false">
      <c r="A1054" s="60" t="str">
        <f aca="false">HYPERLINK("https://disk.360.yandex.ru/d/idaLD89V8P8V_Q","фото")</f>
        <v>фото</v>
      </c>
      <c r="B1054" s="49" t="s">
        <v>3544</v>
      </c>
      <c r="C1054" s="50" t="s">
        <v>3545</v>
      </c>
      <c r="D1054" s="51" t="s">
        <v>3546</v>
      </c>
      <c r="E1054" s="52" t="n">
        <f aca="false">I1054*(1-J1054)*(100-E1)/100</f>
        <v>102.4</v>
      </c>
      <c r="F1054" s="53"/>
      <c r="G1054" s="54"/>
      <c r="H1054" s="52" t="n">
        <f aca="false">E1054*F1054</f>
        <v>0</v>
      </c>
      <c r="I1054" s="55" t="n">
        <v>160</v>
      </c>
      <c r="J1054" s="56"/>
      <c r="K1054" s="57" t="n">
        <v>950</v>
      </c>
      <c r="L1054" s="22" t="s">
        <v>44</v>
      </c>
      <c r="M1054" s="22"/>
      <c r="N1054" s="58" t="n">
        <f aca="false">F1054*P1054</f>
        <v>0</v>
      </c>
      <c r="O1054" s="58" t="n">
        <f aca="false">F1054*Q1054</f>
        <v>0</v>
      </c>
      <c r="P1054" s="58" t="n">
        <v>0.3</v>
      </c>
      <c r="Q1054" s="58" t="n">
        <v>0.001</v>
      </c>
      <c r="R1054" s="59"/>
      <c r="S1054" s="22"/>
      <c r="T1054" s="11" t="str">
        <f aca="false">"16.12.25"</f>
        <v>16.12.25</v>
      </c>
    </row>
    <row r="1055" customFormat="false" ht="7.5" hidden="false" customHeight="true" outlineLevel="2" collapsed="false">
      <c r="A1055" s="48"/>
      <c r="B1055" s="49" t="s">
        <v>3547</v>
      </c>
      <c r="C1055" s="50" t="s">
        <v>3548</v>
      </c>
      <c r="D1055" s="51"/>
      <c r="E1055" s="52" t="n">
        <f aca="false">I1055*(1-J1055)*(100-E1)/100</f>
        <v>166.4</v>
      </c>
      <c r="F1055" s="53"/>
      <c r="G1055" s="54"/>
      <c r="H1055" s="52" t="n">
        <f aca="false">E1055*F1055</f>
        <v>0</v>
      </c>
      <c r="I1055" s="55" t="n">
        <v>260</v>
      </c>
      <c r="J1055" s="56"/>
      <c r="K1055" s="57" t="n">
        <v>1081</v>
      </c>
      <c r="L1055" s="22" t="s">
        <v>44</v>
      </c>
      <c r="M1055" s="22"/>
      <c r="N1055" s="58" t="n">
        <f aca="false">F1055*P1055</f>
        <v>0</v>
      </c>
      <c r="O1055" s="58" t="n">
        <f aca="false">F1055*Q1055</f>
        <v>0</v>
      </c>
      <c r="P1055" s="58"/>
      <c r="Q1055" s="58"/>
      <c r="R1055" s="59"/>
      <c r="S1055" s="22"/>
      <c r="T1055" s="11" t="str">
        <f aca="false">"16.12.25"</f>
        <v>16.12.25</v>
      </c>
    </row>
    <row r="1056" customFormat="false" ht="7.5" hidden="false" customHeight="true" outlineLevel="1" collapsed="false">
      <c r="A1056" s="38"/>
      <c r="B1056" s="39"/>
      <c r="C1056" s="40" t="s">
        <v>3549</v>
      </c>
      <c r="D1056" s="41"/>
      <c r="E1056" s="42"/>
      <c r="F1056" s="43"/>
      <c r="G1056" s="44"/>
      <c r="H1056" s="42"/>
      <c r="I1056" s="45"/>
      <c r="J1056" s="46"/>
      <c r="K1056" s="45"/>
      <c r="L1056" s="44"/>
      <c r="M1056" s="44"/>
      <c r="N1056" s="47"/>
      <c r="O1056" s="47"/>
      <c r="P1056" s="47"/>
      <c r="Q1056" s="47"/>
      <c r="R1056" s="39"/>
      <c r="S1056" s="44"/>
      <c r="T1056" s="11" t="str">
        <f aca="false">"16.12.25"</f>
        <v>16.12.25</v>
      </c>
    </row>
    <row r="1057" customFormat="false" ht="7.5" hidden="false" customHeight="true" outlineLevel="2" collapsed="false">
      <c r="A1057" s="48"/>
      <c r="B1057" s="49" t="s">
        <v>3550</v>
      </c>
      <c r="C1057" s="50" t="s">
        <v>3551</v>
      </c>
      <c r="D1057" s="51"/>
      <c r="E1057" s="52" t="n">
        <f aca="false">I1057*(1-J1057)*(100-E1)/100</f>
        <v>294.4</v>
      </c>
      <c r="F1057" s="53"/>
      <c r="G1057" s="54"/>
      <c r="H1057" s="52" t="n">
        <f aca="false">E1057*F1057</f>
        <v>0</v>
      </c>
      <c r="I1057" s="55" t="n">
        <v>460</v>
      </c>
      <c r="J1057" s="56"/>
      <c r="K1057" s="57" t="n">
        <v>0</v>
      </c>
      <c r="L1057" s="22" t="s">
        <v>44</v>
      </c>
      <c r="M1057" s="22"/>
      <c r="N1057" s="58" t="n">
        <f aca="false">F1057*P1057</f>
        <v>0</v>
      </c>
      <c r="O1057" s="58" t="n">
        <f aca="false">F1057*Q1057</f>
        <v>0</v>
      </c>
      <c r="P1057" s="58"/>
      <c r="Q1057" s="58"/>
      <c r="R1057" s="59"/>
      <c r="S1057" s="22"/>
      <c r="T1057" s="11" t="str">
        <f aca="false">"16.12.25"</f>
        <v>16.12.25</v>
      </c>
    </row>
    <row r="1058" customFormat="false" ht="7.5" hidden="false" customHeight="true" outlineLevel="2" collapsed="false">
      <c r="A1058" s="48"/>
      <c r="B1058" s="49" t="s">
        <v>3552</v>
      </c>
      <c r="C1058" s="50" t="s">
        <v>3553</v>
      </c>
      <c r="D1058" s="51"/>
      <c r="E1058" s="52" t="n">
        <f aca="false">I1058*(1-J1058)*(100-E1)/100</f>
        <v>780.8</v>
      </c>
      <c r="F1058" s="53"/>
      <c r="G1058" s="54"/>
      <c r="H1058" s="52" t="n">
        <f aca="false">E1058*F1058</f>
        <v>0</v>
      </c>
      <c r="I1058" s="55" t="n">
        <v>1220</v>
      </c>
      <c r="J1058" s="56"/>
      <c r="K1058" s="57" t="n">
        <v>2</v>
      </c>
      <c r="L1058" s="22" t="s">
        <v>44</v>
      </c>
      <c r="M1058" s="22"/>
      <c r="N1058" s="58" t="n">
        <f aca="false">F1058*P1058</f>
        <v>0</v>
      </c>
      <c r="O1058" s="58" t="n">
        <f aca="false">F1058*Q1058</f>
        <v>0</v>
      </c>
      <c r="P1058" s="58"/>
      <c r="Q1058" s="58" t="n">
        <v>0.01</v>
      </c>
      <c r="R1058" s="59"/>
      <c r="S1058" s="22"/>
      <c r="T1058" s="11" t="str">
        <f aca="false">"16.12.25"</f>
        <v>16.12.25</v>
      </c>
    </row>
    <row r="1059" customFormat="false" ht="7.5" hidden="false" customHeight="true" outlineLevel="2" collapsed="false">
      <c r="A1059" s="48"/>
      <c r="B1059" s="49" t="s">
        <v>3554</v>
      </c>
      <c r="C1059" s="50" t="s">
        <v>3555</v>
      </c>
      <c r="D1059" s="51"/>
      <c r="E1059" s="52" t="n">
        <f aca="false">I1059*(1-J1059)*(100-E1)/100</f>
        <v>1145.6</v>
      </c>
      <c r="F1059" s="53"/>
      <c r="G1059" s="54"/>
      <c r="H1059" s="52" t="n">
        <f aca="false">E1059*F1059</f>
        <v>0</v>
      </c>
      <c r="I1059" s="55" t="n">
        <v>1790</v>
      </c>
      <c r="J1059" s="56"/>
      <c r="K1059" s="57" t="n">
        <v>0</v>
      </c>
      <c r="L1059" s="22" t="s">
        <v>44</v>
      </c>
      <c r="M1059" s="22"/>
      <c r="N1059" s="58" t="n">
        <f aca="false">F1059*P1059</f>
        <v>0</v>
      </c>
      <c r="O1059" s="58" t="n">
        <f aca="false">F1059*Q1059</f>
        <v>0</v>
      </c>
      <c r="P1059" s="58"/>
      <c r="Q1059" s="58" t="n">
        <v>0.02</v>
      </c>
      <c r="R1059" s="59"/>
      <c r="S1059" s="22"/>
      <c r="T1059" s="11" t="str">
        <f aca="false">"16.12.25"</f>
        <v>16.12.25</v>
      </c>
    </row>
    <row r="1060" customFormat="false" ht="7.5" hidden="false" customHeight="true" outlineLevel="2" collapsed="false">
      <c r="A1060" s="48"/>
      <c r="B1060" s="49" t="s">
        <v>3556</v>
      </c>
      <c r="C1060" s="50" t="s">
        <v>3557</v>
      </c>
      <c r="D1060" s="51"/>
      <c r="E1060" s="52" t="n">
        <f aca="false">I1060*(1-J1060)*(100-E1)/100</f>
        <v>339.2</v>
      </c>
      <c r="F1060" s="53"/>
      <c r="G1060" s="54"/>
      <c r="H1060" s="52" t="n">
        <f aca="false">E1060*F1060</f>
        <v>0</v>
      </c>
      <c r="I1060" s="55" t="n">
        <v>530</v>
      </c>
      <c r="J1060" s="56"/>
      <c r="K1060" s="57" t="n">
        <v>0</v>
      </c>
      <c r="L1060" s="22" t="s">
        <v>44</v>
      </c>
      <c r="M1060" s="22"/>
      <c r="N1060" s="58" t="n">
        <f aca="false">F1060*P1060</f>
        <v>0</v>
      </c>
      <c r="O1060" s="58" t="n">
        <f aca="false">F1060*Q1060</f>
        <v>0</v>
      </c>
      <c r="P1060" s="58" t="n">
        <v>2</v>
      </c>
      <c r="Q1060" s="58" t="n">
        <v>0.001</v>
      </c>
      <c r="R1060" s="59"/>
      <c r="S1060" s="22"/>
      <c r="T1060" s="11" t="str">
        <f aca="false">"16.12.25"</f>
        <v>16.12.25</v>
      </c>
    </row>
    <row r="1061" customFormat="false" ht="7.5" hidden="false" customHeight="true" outlineLevel="2" collapsed="false">
      <c r="A1061" s="48"/>
      <c r="B1061" s="49" t="s">
        <v>3558</v>
      </c>
      <c r="C1061" s="50" t="s">
        <v>3559</v>
      </c>
      <c r="D1061" s="51"/>
      <c r="E1061" s="52" t="n">
        <f aca="false">I1061*(1-J1061)*(100-E1)/100</f>
        <v>230.4</v>
      </c>
      <c r="F1061" s="53"/>
      <c r="G1061" s="54"/>
      <c r="H1061" s="52" t="n">
        <f aca="false">E1061*F1061</f>
        <v>0</v>
      </c>
      <c r="I1061" s="55" t="n">
        <v>360</v>
      </c>
      <c r="J1061" s="56"/>
      <c r="K1061" s="57" t="n">
        <v>0</v>
      </c>
      <c r="L1061" s="22" t="s">
        <v>44</v>
      </c>
      <c r="M1061" s="22"/>
      <c r="N1061" s="58" t="n">
        <f aca="false">F1061*P1061</f>
        <v>0</v>
      </c>
      <c r="O1061" s="58" t="n">
        <f aca="false">F1061*Q1061</f>
        <v>0</v>
      </c>
      <c r="P1061" s="58"/>
      <c r="Q1061" s="58" t="n">
        <v>0.001</v>
      </c>
      <c r="R1061" s="59"/>
      <c r="S1061" s="22"/>
      <c r="T1061" s="11" t="str">
        <f aca="false">"16.12.25"</f>
        <v>16.12.25</v>
      </c>
    </row>
    <row r="1062" customFormat="false" ht="7.5" hidden="false" customHeight="true" outlineLevel="2" collapsed="false">
      <c r="A1062" s="48"/>
      <c r="B1062" s="49" t="s">
        <v>3560</v>
      </c>
      <c r="C1062" s="50" t="s">
        <v>3561</v>
      </c>
      <c r="D1062" s="51"/>
      <c r="E1062" s="52" t="n">
        <f aca="false">I1062*(1-J1062)*(100-E1)/100</f>
        <v>198.4</v>
      </c>
      <c r="F1062" s="53"/>
      <c r="G1062" s="54"/>
      <c r="H1062" s="52" t="n">
        <f aca="false">E1062*F1062</f>
        <v>0</v>
      </c>
      <c r="I1062" s="55" t="n">
        <v>310</v>
      </c>
      <c r="J1062" s="56"/>
      <c r="K1062" s="57" t="n">
        <v>142</v>
      </c>
      <c r="L1062" s="22" t="s">
        <v>44</v>
      </c>
      <c r="M1062" s="22"/>
      <c r="N1062" s="58" t="n">
        <f aca="false">F1062*P1062</f>
        <v>0</v>
      </c>
      <c r="O1062" s="58" t="n">
        <f aca="false">F1062*Q1062</f>
        <v>0</v>
      </c>
      <c r="P1062" s="58"/>
      <c r="Q1062" s="58"/>
      <c r="R1062" s="59"/>
      <c r="S1062" s="22"/>
      <c r="T1062" s="11" t="str">
        <f aca="false">"16.12.25"</f>
        <v>16.12.25</v>
      </c>
    </row>
    <row r="1063" customFormat="false" ht="7.5" hidden="false" customHeight="true" outlineLevel="2" collapsed="false">
      <c r="A1063" s="48"/>
      <c r="B1063" s="49" t="s">
        <v>3562</v>
      </c>
      <c r="C1063" s="50" t="s">
        <v>3563</v>
      </c>
      <c r="D1063" s="51"/>
      <c r="E1063" s="52" t="n">
        <f aca="false">I1063*(1-J1063)*(100-E1)/100</f>
        <v>640</v>
      </c>
      <c r="F1063" s="53"/>
      <c r="G1063" s="54"/>
      <c r="H1063" s="52" t="n">
        <f aca="false">E1063*F1063</f>
        <v>0</v>
      </c>
      <c r="I1063" s="55" t="n">
        <v>1000</v>
      </c>
      <c r="J1063" s="56"/>
      <c r="K1063" s="57" t="n">
        <v>30</v>
      </c>
      <c r="L1063" s="22" t="s">
        <v>44</v>
      </c>
      <c r="M1063" s="22"/>
      <c r="N1063" s="58" t="n">
        <f aca="false">F1063*P1063</f>
        <v>0</v>
      </c>
      <c r="O1063" s="58" t="n">
        <f aca="false">F1063*Q1063</f>
        <v>0</v>
      </c>
      <c r="P1063" s="58"/>
      <c r="Q1063" s="58"/>
      <c r="R1063" s="59"/>
      <c r="S1063" s="22"/>
      <c r="T1063" s="11" t="str">
        <f aca="false">"16.12.25"</f>
        <v>16.12.25</v>
      </c>
    </row>
    <row r="1064" customFormat="false" ht="7.5" hidden="false" customHeight="true" outlineLevel="2" collapsed="false">
      <c r="A1064" s="48"/>
      <c r="B1064" s="49" t="s">
        <v>3564</v>
      </c>
      <c r="C1064" s="50" t="s">
        <v>3565</v>
      </c>
      <c r="D1064" s="51" t="s">
        <v>3566</v>
      </c>
      <c r="E1064" s="52" t="n">
        <f aca="false">I1064*(1-J1064)*(100-E1)/100</f>
        <v>262.4</v>
      </c>
      <c r="F1064" s="53"/>
      <c r="G1064" s="54" t="n">
        <v>50</v>
      </c>
      <c r="H1064" s="52" t="n">
        <f aca="false">E1064*F1064</f>
        <v>0</v>
      </c>
      <c r="I1064" s="55" t="n">
        <v>410</v>
      </c>
      <c r="J1064" s="56"/>
      <c r="K1064" s="57" t="n">
        <v>430</v>
      </c>
      <c r="L1064" s="22" t="s">
        <v>44</v>
      </c>
      <c r="M1064" s="22"/>
      <c r="N1064" s="58" t="n">
        <f aca="false">F1064*P1064</f>
        <v>0</v>
      </c>
      <c r="O1064" s="58" t="n">
        <f aca="false">F1064*Q1064</f>
        <v>0</v>
      </c>
      <c r="P1064" s="58" t="n">
        <v>0.19</v>
      </c>
      <c r="Q1064" s="58" t="n">
        <v>0.001</v>
      </c>
      <c r="R1064" s="59" t="s">
        <v>3567</v>
      </c>
      <c r="S1064" s="22"/>
      <c r="T1064" s="11" t="str">
        <f aca="false">"16.12.25"</f>
        <v>16.12.25</v>
      </c>
    </row>
    <row r="1065" customFormat="false" ht="7.5" hidden="false" customHeight="true" outlineLevel="2" collapsed="false">
      <c r="A1065" s="48"/>
      <c r="B1065" s="49" t="s">
        <v>3568</v>
      </c>
      <c r="C1065" s="50" t="s">
        <v>3569</v>
      </c>
      <c r="D1065" s="51" t="s">
        <v>3566</v>
      </c>
      <c r="E1065" s="52" t="n">
        <f aca="false">I1065*(1-J1065)*(100-E1)/100</f>
        <v>249.6</v>
      </c>
      <c r="F1065" s="53"/>
      <c r="G1065" s="54" t="n">
        <v>50</v>
      </c>
      <c r="H1065" s="52" t="n">
        <f aca="false">E1065*F1065</f>
        <v>0</v>
      </c>
      <c r="I1065" s="55" t="n">
        <v>390</v>
      </c>
      <c r="J1065" s="56"/>
      <c r="K1065" s="57" t="n">
        <v>419</v>
      </c>
      <c r="L1065" s="22" t="s">
        <v>44</v>
      </c>
      <c r="M1065" s="22"/>
      <c r="N1065" s="58" t="n">
        <f aca="false">F1065*P1065</f>
        <v>0</v>
      </c>
      <c r="O1065" s="58" t="n">
        <f aca="false">F1065*Q1065</f>
        <v>0</v>
      </c>
      <c r="P1065" s="58" t="n">
        <v>0.19</v>
      </c>
      <c r="Q1065" s="58" t="n">
        <v>0.001</v>
      </c>
      <c r="R1065" s="59"/>
      <c r="S1065" s="22"/>
      <c r="T1065" s="11" t="str">
        <f aca="false">"16.12.25"</f>
        <v>16.12.25</v>
      </c>
    </row>
    <row r="1066" customFormat="false" ht="7.5" hidden="false" customHeight="true" outlineLevel="2" collapsed="false">
      <c r="A1066" s="48"/>
      <c r="B1066" s="49" t="s">
        <v>3570</v>
      </c>
      <c r="C1066" s="50" t="s">
        <v>3571</v>
      </c>
      <c r="D1066" s="51" t="s">
        <v>3572</v>
      </c>
      <c r="E1066" s="52" t="n">
        <f aca="false">I1066*(1-J1066)*(100-E1)/100</f>
        <v>134.4</v>
      </c>
      <c r="F1066" s="53"/>
      <c r="G1066" s="54"/>
      <c r="H1066" s="52" t="n">
        <f aca="false">E1066*F1066</f>
        <v>0</v>
      </c>
      <c r="I1066" s="55" t="n">
        <v>210</v>
      </c>
      <c r="J1066" s="56"/>
      <c r="K1066" s="57" t="n">
        <v>3</v>
      </c>
      <c r="L1066" s="22" t="s">
        <v>44</v>
      </c>
      <c r="M1066" s="22"/>
      <c r="N1066" s="58" t="n">
        <f aca="false">F1066*P1066</f>
        <v>0</v>
      </c>
      <c r="O1066" s="58" t="n">
        <f aca="false">F1066*Q1066</f>
        <v>0</v>
      </c>
      <c r="P1066" s="58"/>
      <c r="Q1066" s="58"/>
      <c r="R1066" s="59"/>
      <c r="S1066" s="22"/>
      <c r="T1066" s="11" t="str">
        <f aca="false">"16.12.25"</f>
        <v>16.12.25</v>
      </c>
    </row>
    <row r="1067" customFormat="false" ht="7.5" hidden="false" customHeight="true" outlineLevel="2" collapsed="false">
      <c r="A1067" s="48"/>
      <c r="B1067" s="49" t="s">
        <v>3573</v>
      </c>
      <c r="C1067" s="50" t="s">
        <v>3574</v>
      </c>
      <c r="D1067" s="51"/>
      <c r="E1067" s="52" t="n">
        <f aca="false">I1067*(1-J1067)*(100-E1)/100</f>
        <v>70.4</v>
      </c>
      <c r="F1067" s="53"/>
      <c r="G1067" s="54"/>
      <c r="H1067" s="52" t="n">
        <f aca="false">E1067*F1067</f>
        <v>0</v>
      </c>
      <c r="I1067" s="55" t="n">
        <v>110</v>
      </c>
      <c r="J1067" s="56"/>
      <c r="K1067" s="57" t="n">
        <v>0</v>
      </c>
      <c r="L1067" s="22" t="s">
        <v>53</v>
      </c>
      <c r="M1067" s="22"/>
      <c r="N1067" s="58" t="n">
        <f aca="false">F1067*P1067</f>
        <v>0</v>
      </c>
      <c r="O1067" s="58" t="n">
        <f aca="false">F1067*Q1067</f>
        <v>0</v>
      </c>
      <c r="P1067" s="58"/>
      <c r="Q1067" s="58" t="n">
        <v>0.001</v>
      </c>
      <c r="R1067" s="59" t="s">
        <v>3575</v>
      </c>
      <c r="S1067" s="22"/>
      <c r="T1067" s="11" t="str">
        <f aca="false">"16.12.25"</f>
        <v>16.12.25</v>
      </c>
    </row>
    <row r="1068" customFormat="false" ht="7.5" hidden="false" customHeight="true" outlineLevel="2" collapsed="false">
      <c r="A1068" s="48"/>
      <c r="B1068" s="49" t="s">
        <v>3576</v>
      </c>
      <c r="C1068" s="50" t="s">
        <v>3577</v>
      </c>
      <c r="D1068" s="51"/>
      <c r="E1068" s="52" t="n">
        <f aca="false">I1068*(1-J1068)*(100-E1)/100</f>
        <v>256</v>
      </c>
      <c r="F1068" s="53"/>
      <c r="G1068" s="54"/>
      <c r="H1068" s="52" t="n">
        <f aca="false">E1068*F1068</f>
        <v>0</v>
      </c>
      <c r="I1068" s="55" t="n">
        <v>400</v>
      </c>
      <c r="J1068" s="56"/>
      <c r="K1068" s="57" t="n">
        <v>0</v>
      </c>
      <c r="L1068" s="22" t="s">
        <v>53</v>
      </c>
      <c r="M1068" s="22"/>
      <c r="N1068" s="58" t="n">
        <f aca="false">F1068*P1068</f>
        <v>0</v>
      </c>
      <c r="O1068" s="58" t="n">
        <f aca="false">F1068*Q1068</f>
        <v>0</v>
      </c>
      <c r="P1068" s="58"/>
      <c r="Q1068" s="58" t="n">
        <v>0.01</v>
      </c>
      <c r="R1068" s="59" t="s">
        <v>3578</v>
      </c>
      <c r="S1068" s="22"/>
      <c r="T1068" s="11" t="str">
        <f aca="false">"16.12.25"</f>
        <v>16.12.25</v>
      </c>
    </row>
    <row r="1069" customFormat="false" ht="7.5" hidden="false" customHeight="true" outlineLevel="2" collapsed="false">
      <c r="A1069" s="48"/>
      <c r="B1069" s="49" t="s">
        <v>3579</v>
      </c>
      <c r="C1069" s="50" t="s">
        <v>3580</v>
      </c>
      <c r="D1069" s="51"/>
      <c r="E1069" s="52" t="n">
        <f aca="false">I1069*(1-J1069)*(100-E1)/100</f>
        <v>268.8</v>
      </c>
      <c r="F1069" s="53"/>
      <c r="G1069" s="54" t="n">
        <v>8</v>
      </c>
      <c r="H1069" s="52" t="n">
        <f aca="false">E1069*F1069</f>
        <v>0</v>
      </c>
      <c r="I1069" s="55" t="n">
        <v>420</v>
      </c>
      <c r="J1069" s="56"/>
      <c r="K1069" s="57" t="n">
        <v>0</v>
      </c>
      <c r="L1069" s="22" t="s">
        <v>53</v>
      </c>
      <c r="M1069" s="22"/>
      <c r="N1069" s="58" t="n">
        <f aca="false">F1069*P1069</f>
        <v>0</v>
      </c>
      <c r="O1069" s="58" t="n">
        <f aca="false">F1069*Q1069</f>
        <v>0</v>
      </c>
      <c r="P1069" s="58" t="n">
        <v>1</v>
      </c>
      <c r="Q1069" s="58" t="n">
        <v>0.01</v>
      </c>
      <c r="R1069" s="59" t="s">
        <v>3581</v>
      </c>
      <c r="S1069" s="22"/>
      <c r="T1069" s="11" t="str">
        <f aca="false">"16.12.25"</f>
        <v>16.12.25</v>
      </c>
    </row>
    <row r="1070" customFormat="false" ht="7.5" hidden="false" customHeight="true" outlineLevel="2" collapsed="false">
      <c r="A1070" s="48"/>
      <c r="B1070" s="49" t="s">
        <v>3582</v>
      </c>
      <c r="C1070" s="50" t="s">
        <v>3583</v>
      </c>
      <c r="D1070" s="51"/>
      <c r="E1070" s="52" t="n">
        <f aca="false">I1070*(1-J1070)*(100-E1)/100</f>
        <v>294.4</v>
      </c>
      <c r="F1070" s="53"/>
      <c r="G1070" s="54"/>
      <c r="H1070" s="52" t="n">
        <f aca="false">E1070*F1070</f>
        <v>0</v>
      </c>
      <c r="I1070" s="55" t="n">
        <v>460</v>
      </c>
      <c r="J1070" s="56"/>
      <c r="K1070" s="57" t="n">
        <v>0</v>
      </c>
      <c r="L1070" s="22" t="s">
        <v>53</v>
      </c>
      <c r="M1070" s="22"/>
      <c r="N1070" s="58" t="n">
        <f aca="false">F1070*P1070</f>
        <v>0</v>
      </c>
      <c r="O1070" s="58" t="n">
        <f aca="false">F1070*Q1070</f>
        <v>0</v>
      </c>
      <c r="P1070" s="58"/>
      <c r="Q1070" s="58" t="n">
        <v>0.01</v>
      </c>
      <c r="R1070" s="59" t="s">
        <v>3584</v>
      </c>
      <c r="S1070" s="22"/>
      <c r="T1070" s="11" t="str">
        <f aca="false">"16.12.25"</f>
        <v>16.12.25</v>
      </c>
    </row>
    <row r="1071" customFormat="false" ht="7.5" hidden="false" customHeight="true" outlineLevel="2" collapsed="false">
      <c r="A1071" s="48"/>
      <c r="B1071" s="49" t="s">
        <v>3585</v>
      </c>
      <c r="C1071" s="50" t="s">
        <v>3586</v>
      </c>
      <c r="D1071" s="51"/>
      <c r="E1071" s="52" t="n">
        <f aca="false">I1071*(1-J1071)*(100-E1)/100</f>
        <v>307.2</v>
      </c>
      <c r="F1071" s="53"/>
      <c r="G1071" s="54" t="n">
        <v>8</v>
      </c>
      <c r="H1071" s="52" t="n">
        <f aca="false">E1071*F1071</f>
        <v>0</v>
      </c>
      <c r="I1071" s="55" t="n">
        <v>480</v>
      </c>
      <c r="J1071" s="56"/>
      <c r="K1071" s="57" t="n">
        <v>0</v>
      </c>
      <c r="L1071" s="22" t="s">
        <v>53</v>
      </c>
      <c r="M1071" s="22"/>
      <c r="N1071" s="58" t="n">
        <f aca="false">F1071*P1071</f>
        <v>0</v>
      </c>
      <c r="O1071" s="58" t="n">
        <f aca="false">F1071*Q1071</f>
        <v>0</v>
      </c>
      <c r="P1071" s="58" t="n">
        <v>1</v>
      </c>
      <c r="Q1071" s="58" t="n">
        <v>0.001</v>
      </c>
      <c r="R1071" s="59" t="s">
        <v>3587</v>
      </c>
      <c r="S1071" s="22"/>
      <c r="T1071" s="11" t="str">
        <f aca="false">"16.12.25"</f>
        <v>16.12.25</v>
      </c>
    </row>
    <row r="1072" customFormat="false" ht="7.5" hidden="false" customHeight="true" outlineLevel="2" collapsed="false">
      <c r="A1072" s="48"/>
      <c r="B1072" s="49" t="s">
        <v>3588</v>
      </c>
      <c r="C1072" s="50" t="s">
        <v>3589</v>
      </c>
      <c r="D1072" s="51"/>
      <c r="E1072" s="52" t="n">
        <f aca="false">I1072*(1-J1072)*(100-E1)/100</f>
        <v>320</v>
      </c>
      <c r="F1072" s="53"/>
      <c r="G1072" s="54"/>
      <c r="H1072" s="52" t="n">
        <f aca="false">E1072*F1072</f>
        <v>0</v>
      </c>
      <c r="I1072" s="55" t="n">
        <v>500</v>
      </c>
      <c r="J1072" s="56"/>
      <c r="K1072" s="57" t="n">
        <v>0</v>
      </c>
      <c r="L1072" s="22" t="s">
        <v>53</v>
      </c>
      <c r="M1072" s="22"/>
      <c r="N1072" s="58" t="n">
        <f aca="false">F1072*P1072</f>
        <v>0</v>
      </c>
      <c r="O1072" s="58" t="n">
        <f aca="false">F1072*Q1072</f>
        <v>0</v>
      </c>
      <c r="P1072" s="58"/>
      <c r="Q1072" s="58" t="n">
        <v>0.01</v>
      </c>
      <c r="R1072" s="59" t="s">
        <v>3590</v>
      </c>
      <c r="S1072" s="22"/>
      <c r="T1072" s="11" t="str">
        <f aca="false">"16.12.25"</f>
        <v>16.12.25</v>
      </c>
    </row>
    <row r="1073" customFormat="false" ht="7.5" hidden="false" customHeight="true" outlineLevel="2" collapsed="false">
      <c r="A1073" s="48"/>
      <c r="B1073" s="49" t="s">
        <v>3591</v>
      </c>
      <c r="C1073" s="50" t="s">
        <v>3592</v>
      </c>
      <c r="D1073" s="51"/>
      <c r="E1073" s="52" t="n">
        <f aca="false">I1073*(1-J1073)*(100-E1)/100</f>
        <v>2560</v>
      </c>
      <c r="F1073" s="53"/>
      <c r="G1073" s="54" t="n">
        <v>1</v>
      </c>
      <c r="H1073" s="52" t="n">
        <f aca="false">E1073*F1073</f>
        <v>0</v>
      </c>
      <c r="I1073" s="55" t="n">
        <v>4000</v>
      </c>
      <c r="J1073" s="56"/>
      <c r="K1073" s="57" t="n">
        <v>0</v>
      </c>
      <c r="L1073" s="22" t="s">
        <v>44</v>
      </c>
      <c r="M1073" s="22"/>
      <c r="N1073" s="58" t="n">
        <f aca="false">F1073*P1073</f>
        <v>0</v>
      </c>
      <c r="O1073" s="58" t="n">
        <f aca="false">F1073*Q1073</f>
        <v>0</v>
      </c>
      <c r="P1073" s="58" t="n">
        <v>3.9</v>
      </c>
      <c r="Q1073" s="58" t="n">
        <v>0.053</v>
      </c>
      <c r="R1073" s="59"/>
      <c r="S1073" s="22"/>
      <c r="T1073" s="11" t="str">
        <f aca="false">"16.12.25"</f>
        <v>16.12.25</v>
      </c>
    </row>
    <row r="1074" customFormat="false" ht="7.5" hidden="false" customHeight="true" outlineLevel="1" collapsed="false">
      <c r="A1074" s="38"/>
      <c r="B1074" s="39"/>
      <c r="C1074" s="40" t="s">
        <v>3593</v>
      </c>
      <c r="D1074" s="41"/>
      <c r="E1074" s="42"/>
      <c r="F1074" s="43"/>
      <c r="G1074" s="44"/>
      <c r="H1074" s="42"/>
      <c r="I1074" s="45"/>
      <c r="J1074" s="46"/>
      <c r="K1074" s="45"/>
      <c r="L1074" s="44"/>
      <c r="M1074" s="44"/>
      <c r="N1074" s="47"/>
      <c r="O1074" s="47"/>
      <c r="P1074" s="47"/>
      <c r="Q1074" s="47"/>
      <c r="R1074" s="39"/>
      <c r="S1074" s="44"/>
      <c r="T1074" s="11" t="str">
        <f aca="false">"16.12.25"</f>
        <v>16.12.25</v>
      </c>
    </row>
    <row r="1075" customFormat="false" ht="7.5" hidden="false" customHeight="true" outlineLevel="2" collapsed="false">
      <c r="A1075" s="48"/>
      <c r="B1075" s="49" t="s">
        <v>3594</v>
      </c>
      <c r="C1075" s="50" t="s">
        <v>3595</v>
      </c>
      <c r="D1075" s="51"/>
      <c r="E1075" s="52" t="n">
        <f aca="false">I1075*(1-J1075)*(100-E1)/100</f>
        <v>332.8</v>
      </c>
      <c r="F1075" s="53"/>
      <c r="G1075" s="54"/>
      <c r="H1075" s="52" t="n">
        <f aca="false">E1075*F1075</f>
        <v>0</v>
      </c>
      <c r="I1075" s="55" t="n">
        <v>520</v>
      </c>
      <c r="J1075" s="56"/>
      <c r="K1075" s="57" t="n">
        <v>0</v>
      </c>
      <c r="L1075" s="22" t="s">
        <v>1291</v>
      </c>
      <c r="M1075" s="22"/>
      <c r="N1075" s="58" t="n">
        <f aca="false">F1075*P1075</f>
        <v>0</v>
      </c>
      <c r="O1075" s="58" t="n">
        <f aca="false">F1075*Q1075</f>
        <v>0</v>
      </c>
      <c r="P1075" s="58" t="n">
        <v>1.135</v>
      </c>
      <c r="Q1075" s="58" t="n">
        <v>0.001</v>
      </c>
      <c r="R1075" s="59"/>
      <c r="S1075" s="22"/>
      <c r="T1075" s="11" t="str">
        <f aca="false">"16.12.25"</f>
        <v>16.12.25</v>
      </c>
    </row>
    <row r="1076" customFormat="false" ht="7.5" hidden="false" customHeight="true" outlineLevel="2" collapsed="false">
      <c r="A1076" s="48"/>
      <c r="B1076" s="49" t="s">
        <v>3596</v>
      </c>
      <c r="C1076" s="50" t="s">
        <v>3597</v>
      </c>
      <c r="D1076" s="51" t="s">
        <v>3598</v>
      </c>
      <c r="E1076" s="52" t="n">
        <f aca="false">I1076*(1-J1076)*(100-E1)/100</f>
        <v>294.4</v>
      </c>
      <c r="F1076" s="53"/>
      <c r="G1076" s="54" t="n">
        <v>40</v>
      </c>
      <c r="H1076" s="52" t="n">
        <f aca="false">E1076*F1076</f>
        <v>0</v>
      </c>
      <c r="I1076" s="55" t="n">
        <v>460</v>
      </c>
      <c r="J1076" s="56"/>
      <c r="K1076" s="57" t="n">
        <v>268</v>
      </c>
      <c r="L1076" s="22" t="s">
        <v>44</v>
      </c>
      <c r="M1076" s="22"/>
      <c r="N1076" s="58" t="n">
        <f aca="false">F1076*P1076</f>
        <v>0</v>
      </c>
      <c r="O1076" s="58" t="n">
        <f aca="false">F1076*Q1076</f>
        <v>0</v>
      </c>
      <c r="P1076" s="58" t="n">
        <v>0.437</v>
      </c>
      <c r="Q1076" s="58" t="n">
        <v>0.001</v>
      </c>
      <c r="R1076" s="59" t="s">
        <v>3599</v>
      </c>
      <c r="S1076" s="22"/>
      <c r="T1076" s="11" t="str">
        <f aca="false">"16.12.25"</f>
        <v>16.12.25</v>
      </c>
    </row>
    <row r="1077" customFormat="false" ht="7.5" hidden="false" customHeight="true" outlineLevel="2" collapsed="false">
      <c r="A1077" s="48"/>
      <c r="B1077" s="49" t="s">
        <v>3600</v>
      </c>
      <c r="C1077" s="50" t="s">
        <v>3601</v>
      </c>
      <c r="D1077" s="51"/>
      <c r="E1077" s="52" t="n">
        <f aca="false">I1077*(1-J1077)*(100-E1)/100</f>
        <v>371.2</v>
      </c>
      <c r="F1077" s="53"/>
      <c r="G1077" s="54"/>
      <c r="H1077" s="52" t="n">
        <f aca="false">E1077*F1077</f>
        <v>0</v>
      </c>
      <c r="I1077" s="55" t="n">
        <v>580</v>
      </c>
      <c r="J1077" s="56"/>
      <c r="K1077" s="57" t="n">
        <v>0</v>
      </c>
      <c r="L1077" s="22" t="s">
        <v>44</v>
      </c>
      <c r="M1077" s="22"/>
      <c r="N1077" s="58" t="n">
        <f aca="false">F1077*P1077</f>
        <v>0</v>
      </c>
      <c r="O1077" s="58" t="n">
        <f aca="false">F1077*Q1077</f>
        <v>0</v>
      </c>
      <c r="P1077" s="58" t="n">
        <v>1.135</v>
      </c>
      <c r="Q1077" s="58"/>
      <c r="R1077" s="59"/>
      <c r="S1077" s="22"/>
      <c r="T1077" s="11" t="str">
        <f aca="false">"16.12.25"</f>
        <v>16.12.25</v>
      </c>
    </row>
    <row r="1078" customFormat="false" ht="7.5" hidden="false" customHeight="true" outlineLevel="2" collapsed="false">
      <c r="A1078" s="48"/>
      <c r="B1078" s="49" t="s">
        <v>3602</v>
      </c>
      <c r="C1078" s="50" t="s">
        <v>3603</v>
      </c>
      <c r="D1078" s="51"/>
      <c r="E1078" s="52" t="n">
        <f aca="false">I1078*(1-J1078)*(100-E1)/100</f>
        <v>332.8</v>
      </c>
      <c r="F1078" s="53"/>
      <c r="G1078" s="54"/>
      <c r="H1078" s="52" t="n">
        <f aca="false">E1078*F1078</f>
        <v>0</v>
      </c>
      <c r="I1078" s="55" t="n">
        <v>520</v>
      </c>
      <c r="J1078" s="56"/>
      <c r="K1078" s="57" t="n">
        <v>1</v>
      </c>
      <c r="L1078" s="22" t="s">
        <v>44</v>
      </c>
      <c r="M1078" s="22"/>
      <c r="N1078" s="58" t="n">
        <f aca="false">F1078*P1078</f>
        <v>0</v>
      </c>
      <c r="O1078" s="58" t="n">
        <f aca="false">F1078*Q1078</f>
        <v>0</v>
      </c>
      <c r="P1078" s="58" t="n">
        <v>5.43</v>
      </c>
      <c r="Q1078" s="58" t="n">
        <v>0.01</v>
      </c>
      <c r="R1078" s="59"/>
      <c r="S1078" s="22"/>
      <c r="T1078" s="11" t="str">
        <f aca="false">"16.12.25"</f>
        <v>16.12.25</v>
      </c>
    </row>
    <row r="1079" customFormat="false" ht="7.5" hidden="false" customHeight="true" outlineLevel="2" collapsed="false">
      <c r="A1079" s="48"/>
      <c r="B1079" s="49" t="s">
        <v>3604</v>
      </c>
      <c r="C1079" s="50" t="s">
        <v>3605</v>
      </c>
      <c r="D1079" s="51" t="s">
        <v>3606</v>
      </c>
      <c r="E1079" s="52" t="n">
        <f aca="false">I1079*(1-J1079)*(100-E1)/100</f>
        <v>172.8</v>
      </c>
      <c r="F1079" s="53"/>
      <c r="G1079" s="54" t="n">
        <v>50</v>
      </c>
      <c r="H1079" s="52" t="n">
        <f aca="false">E1079*F1079</f>
        <v>0</v>
      </c>
      <c r="I1079" s="55" t="n">
        <v>270</v>
      </c>
      <c r="J1079" s="56"/>
      <c r="K1079" s="57" t="n">
        <v>684</v>
      </c>
      <c r="L1079" s="22" t="s">
        <v>44</v>
      </c>
      <c r="M1079" s="22"/>
      <c r="N1079" s="58" t="n">
        <f aca="false">F1079*P1079</f>
        <v>0</v>
      </c>
      <c r="O1079" s="58" t="n">
        <f aca="false">F1079*Q1079</f>
        <v>0</v>
      </c>
      <c r="P1079" s="58" t="n">
        <v>0.26</v>
      </c>
      <c r="Q1079" s="58" t="n">
        <v>0.001</v>
      </c>
      <c r="R1079" s="59" t="s">
        <v>3607</v>
      </c>
      <c r="S1079" s="22"/>
      <c r="T1079" s="11" t="str">
        <f aca="false">"16.12.25"</f>
        <v>16.12.25</v>
      </c>
    </row>
    <row r="1080" customFormat="false" ht="7.5" hidden="false" customHeight="true" outlineLevel="2" collapsed="false">
      <c r="A1080" s="48"/>
      <c r="B1080" s="49" t="s">
        <v>3608</v>
      </c>
      <c r="C1080" s="50" t="s">
        <v>3609</v>
      </c>
      <c r="D1080" s="51" t="s">
        <v>3610</v>
      </c>
      <c r="E1080" s="52" t="n">
        <f aca="false">I1080*(1-J1080)*(100-E1)/100</f>
        <v>332.8</v>
      </c>
      <c r="F1080" s="53"/>
      <c r="G1080" s="54" t="n">
        <v>20</v>
      </c>
      <c r="H1080" s="52" t="n">
        <f aca="false">E1080*F1080</f>
        <v>0</v>
      </c>
      <c r="I1080" s="55" t="n">
        <v>520</v>
      </c>
      <c r="J1080" s="56"/>
      <c r="K1080" s="57" t="n">
        <v>521</v>
      </c>
      <c r="L1080" s="22" t="s">
        <v>44</v>
      </c>
      <c r="M1080" s="22"/>
      <c r="N1080" s="58" t="n">
        <f aca="false">F1080*P1080</f>
        <v>0</v>
      </c>
      <c r="O1080" s="58" t="n">
        <f aca="false">F1080*Q1080</f>
        <v>0</v>
      </c>
      <c r="P1080" s="58" t="n">
        <v>1</v>
      </c>
      <c r="Q1080" s="58" t="n">
        <v>0.001</v>
      </c>
      <c r="R1080" s="59" t="s">
        <v>3611</v>
      </c>
      <c r="S1080" s="22"/>
      <c r="T1080" s="11" t="str">
        <f aca="false">"16.12.25"</f>
        <v>16.12.25</v>
      </c>
    </row>
    <row r="1081" customFormat="false" ht="7.5" hidden="false" customHeight="true" outlineLevel="2" collapsed="false">
      <c r="A1081" s="48"/>
      <c r="B1081" s="49" t="s">
        <v>3612</v>
      </c>
      <c r="C1081" s="50" t="s">
        <v>3613</v>
      </c>
      <c r="D1081" s="51" t="s">
        <v>3614</v>
      </c>
      <c r="E1081" s="52" t="n">
        <f aca="false">I1081*(1-J1081)*(100-E1)/100</f>
        <v>121.6</v>
      </c>
      <c r="F1081" s="53"/>
      <c r="G1081" s="54" t="n">
        <v>60</v>
      </c>
      <c r="H1081" s="52" t="n">
        <f aca="false">E1081*F1081</f>
        <v>0</v>
      </c>
      <c r="I1081" s="55" t="n">
        <v>190</v>
      </c>
      <c r="J1081" s="56"/>
      <c r="K1081" s="57" t="n">
        <v>28</v>
      </c>
      <c r="L1081" s="22" t="s">
        <v>44</v>
      </c>
      <c r="M1081" s="22"/>
      <c r="N1081" s="58" t="n">
        <f aca="false">F1081*P1081</f>
        <v>0</v>
      </c>
      <c r="O1081" s="58" t="n">
        <f aca="false">F1081*Q1081</f>
        <v>0</v>
      </c>
      <c r="P1081" s="58" t="n">
        <v>0.35</v>
      </c>
      <c r="Q1081" s="58" t="n">
        <v>0.001</v>
      </c>
      <c r="R1081" s="59" t="s">
        <v>3615</v>
      </c>
      <c r="S1081" s="22"/>
      <c r="T1081" s="11" t="str">
        <f aca="false">"16.12.25"</f>
        <v>16.12.25</v>
      </c>
    </row>
    <row r="1082" customFormat="false" ht="7.5" hidden="false" customHeight="true" outlineLevel="2" collapsed="false">
      <c r="A1082" s="48"/>
      <c r="B1082" s="49" t="s">
        <v>3616</v>
      </c>
      <c r="C1082" s="50" t="s">
        <v>3617</v>
      </c>
      <c r="D1082" s="51" t="s">
        <v>3618</v>
      </c>
      <c r="E1082" s="52" t="n">
        <f aca="false">I1082*(1-J1082)*(100-E1)/100</f>
        <v>121.6</v>
      </c>
      <c r="F1082" s="53"/>
      <c r="G1082" s="54" t="n">
        <v>60</v>
      </c>
      <c r="H1082" s="52" t="n">
        <f aca="false">E1082*F1082</f>
        <v>0</v>
      </c>
      <c r="I1082" s="55" t="n">
        <v>190</v>
      </c>
      <c r="J1082" s="56"/>
      <c r="K1082" s="57" t="n">
        <v>0</v>
      </c>
      <c r="L1082" s="22" t="s">
        <v>44</v>
      </c>
      <c r="M1082" s="22"/>
      <c r="N1082" s="58" t="n">
        <f aca="false">F1082*P1082</f>
        <v>0</v>
      </c>
      <c r="O1082" s="58" t="n">
        <f aca="false">F1082*Q1082</f>
        <v>0</v>
      </c>
      <c r="P1082" s="58" t="n">
        <v>0.3</v>
      </c>
      <c r="Q1082" s="58" t="n">
        <v>0.001</v>
      </c>
      <c r="R1082" s="59" t="s">
        <v>3619</v>
      </c>
      <c r="S1082" s="22"/>
      <c r="T1082" s="11" t="str">
        <f aca="false">"16.12.25"</f>
        <v>16.12.25</v>
      </c>
    </row>
    <row r="1083" customFormat="false" ht="7.5" hidden="false" customHeight="true" outlineLevel="2" collapsed="false">
      <c r="A1083" s="48"/>
      <c r="B1083" s="49" t="s">
        <v>3620</v>
      </c>
      <c r="C1083" s="50" t="s">
        <v>3621</v>
      </c>
      <c r="D1083" s="51" t="s">
        <v>3622</v>
      </c>
      <c r="E1083" s="52" t="n">
        <f aca="false">I1083*(1-J1083)*(100-E1)/100</f>
        <v>198.4</v>
      </c>
      <c r="F1083" s="53"/>
      <c r="G1083" s="54" t="n">
        <v>40</v>
      </c>
      <c r="H1083" s="52" t="n">
        <f aca="false">E1083*F1083</f>
        <v>0</v>
      </c>
      <c r="I1083" s="55" t="n">
        <v>310</v>
      </c>
      <c r="J1083" s="56"/>
      <c r="K1083" s="57" t="n">
        <v>44</v>
      </c>
      <c r="L1083" s="22" t="s">
        <v>44</v>
      </c>
      <c r="M1083" s="22"/>
      <c r="N1083" s="58" t="n">
        <f aca="false">F1083*P1083</f>
        <v>0</v>
      </c>
      <c r="O1083" s="58" t="n">
        <f aca="false">F1083*Q1083</f>
        <v>0</v>
      </c>
      <c r="P1083" s="58" t="n">
        <v>0.6</v>
      </c>
      <c r="Q1083" s="58" t="n">
        <v>0.001</v>
      </c>
      <c r="R1083" s="59" t="s">
        <v>3623</v>
      </c>
      <c r="S1083" s="22"/>
      <c r="T1083" s="11" t="str">
        <f aca="false">"16.12.25"</f>
        <v>16.12.25</v>
      </c>
    </row>
    <row r="1084" customFormat="false" ht="7.5" hidden="false" customHeight="true" outlineLevel="2" collapsed="false">
      <c r="A1084" s="48"/>
      <c r="B1084" s="49" t="s">
        <v>3624</v>
      </c>
      <c r="C1084" s="50" t="s">
        <v>3625</v>
      </c>
      <c r="D1084" s="51"/>
      <c r="E1084" s="52" t="n">
        <f aca="false">I1084*(1-J1084)*(100-E1)/100</f>
        <v>326.4</v>
      </c>
      <c r="F1084" s="53"/>
      <c r="G1084" s="54"/>
      <c r="H1084" s="52" t="n">
        <f aca="false">E1084*F1084</f>
        <v>0</v>
      </c>
      <c r="I1084" s="55" t="n">
        <v>510</v>
      </c>
      <c r="J1084" s="56"/>
      <c r="K1084" s="57" t="n">
        <v>1</v>
      </c>
      <c r="L1084" s="22" t="s">
        <v>44</v>
      </c>
      <c r="M1084" s="22"/>
      <c r="N1084" s="58" t="n">
        <f aca="false">F1084*P1084</f>
        <v>0</v>
      </c>
      <c r="O1084" s="58" t="n">
        <f aca="false">F1084*Q1084</f>
        <v>0</v>
      </c>
      <c r="P1084" s="58" t="n">
        <v>0.494</v>
      </c>
      <c r="Q1084" s="58" t="n">
        <v>0.001</v>
      </c>
      <c r="R1084" s="59"/>
      <c r="S1084" s="22"/>
      <c r="T1084" s="11" t="str">
        <f aca="false">"16.12.25"</f>
        <v>16.12.25</v>
      </c>
    </row>
    <row r="1085" customFormat="false" ht="7.5" hidden="false" customHeight="true" outlineLevel="2" collapsed="false">
      <c r="A1085" s="48"/>
      <c r="B1085" s="49" t="s">
        <v>3626</v>
      </c>
      <c r="C1085" s="50" t="s">
        <v>3627</v>
      </c>
      <c r="D1085" s="51"/>
      <c r="E1085" s="52" t="n">
        <f aca="false">I1085*(1-J1085)*(100-E1)/100</f>
        <v>403.2</v>
      </c>
      <c r="F1085" s="53"/>
      <c r="G1085" s="54"/>
      <c r="H1085" s="52" t="n">
        <f aca="false">E1085*F1085</f>
        <v>0</v>
      </c>
      <c r="I1085" s="55" t="n">
        <v>630</v>
      </c>
      <c r="J1085" s="56"/>
      <c r="K1085" s="57" t="n">
        <v>0</v>
      </c>
      <c r="L1085" s="22" t="s">
        <v>44</v>
      </c>
      <c r="M1085" s="22"/>
      <c r="N1085" s="58" t="n">
        <f aca="false">F1085*P1085</f>
        <v>0</v>
      </c>
      <c r="O1085" s="58" t="n">
        <f aca="false">F1085*Q1085</f>
        <v>0</v>
      </c>
      <c r="P1085" s="58" t="n">
        <v>0.532</v>
      </c>
      <c r="Q1085" s="58" t="n">
        <v>0.001</v>
      </c>
      <c r="R1085" s="59"/>
      <c r="S1085" s="22"/>
      <c r="T1085" s="11" t="str">
        <f aca="false">"16.12.25"</f>
        <v>16.12.25</v>
      </c>
    </row>
    <row r="1086" customFormat="false" ht="7.5" hidden="false" customHeight="true" outlineLevel="2" collapsed="false">
      <c r="A1086" s="48"/>
      <c r="B1086" s="49" t="s">
        <v>3628</v>
      </c>
      <c r="C1086" s="50" t="s">
        <v>3629</v>
      </c>
      <c r="D1086" s="51"/>
      <c r="E1086" s="52" t="n">
        <f aca="false">I1086*(1-J1086)*(100-E1)/100</f>
        <v>403.2</v>
      </c>
      <c r="F1086" s="53"/>
      <c r="G1086" s="54"/>
      <c r="H1086" s="52" t="n">
        <f aca="false">E1086*F1086</f>
        <v>0</v>
      </c>
      <c r="I1086" s="55" t="n">
        <v>630</v>
      </c>
      <c r="J1086" s="56"/>
      <c r="K1086" s="57" t="n">
        <v>1</v>
      </c>
      <c r="L1086" s="22" t="s">
        <v>44</v>
      </c>
      <c r="M1086" s="22"/>
      <c r="N1086" s="58" t="n">
        <f aca="false">F1086*P1086</f>
        <v>0</v>
      </c>
      <c r="O1086" s="58" t="n">
        <f aca="false">F1086*Q1086</f>
        <v>0</v>
      </c>
      <c r="P1086" s="58" t="n">
        <v>0.612</v>
      </c>
      <c r="Q1086" s="58" t="n">
        <v>0.001</v>
      </c>
      <c r="R1086" s="59"/>
      <c r="S1086" s="22"/>
      <c r="T1086" s="11" t="str">
        <f aca="false">"16.12.25"</f>
        <v>16.12.25</v>
      </c>
    </row>
    <row r="1087" customFormat="false" ht="7.5" hidden="false" customHeight="true" outlineLevel="2" collapsed="false">
      <c r="A1087" s="48"/>
      <c r="B1087" s="49" t="s">
        <v>3630</v>
      </c>
      <c r="C1087" s="50" t="s">
        <v>3631</v>
      </c>
      <c r="D1087" s="51"/>
      <c r="E1087" s="52" t="n">
        <f aca="false">I1087*(1-J1087)*(100-E1)/100</f>
        <v>1184</v>
      </c>
      <c r="F1087" s="53"/>
      <c r="G1087" s="54"/>
      <c r="H1087" s="52" t="n">
        <f aca="false">E1087*F1087</f>
        <v>0</v>
      </c>
      <c r="I1087" s="55" t="n">
        <v>1850</v>
      </c>
      <c r="J1087" s="56"/>
      <c r="K1087" s="57" t="n">
        <v>572</v>
      </c>
      <c r="L1087" s="22" t="s">
        <v>44</v>
      </c>
      <c r="M1087" s="22"/>
      <c r="N1087" s="58" t="n">
        <f aca="false">F1087*P1087</f>
        <v>0</v>
      </c>
      <c r="O1087" s="58" t="n">
        <f aca="false">F1087*Q1087</f>
        <v>0</v>
      </c>
      <c r="P1087" s="58"/>
      <c r="Q1087" s="58"/>
      <c r="R1087" s="59"/>
      <c r="S1087" s="22"/>
      <c r="T1087" s="11" t="str">
        <f aca="false">"16.12.25"</f>
        <v>16.12.25</v>
      </c>
    </row>
    <row r="1088" customFormat="false" ht="7.5" hidden="false" customHeight="true" outlineLevel="2" collapsed="false">
      <c r="A1088" s="48"/>
      <c r="B1088" s="49" t="s">
        <v>3632</v>
      </c>
      <c r="C1088" s="50" t="s">
        <v>3633</v>
      </c>
      <c r="D1088" s="51" t="s">
        <v>3598</v>
      </c>
      <c r="E1088" s="52" t="n">
        <f aca="false">I1088*(1-J1088)*(100-E1)/100</f>
        <v>256</v>
      </c>
      <c r="F1088" s="53"/>
      <c r="G1088" s="54" t="n">
        <v>50</v>
      </c>
      <c r="H1088" s="52" t="n">
        <f aca="false">E1088*F1088</f>
        <v>0</v>
      </c>
      <c r="I1088" s="55" t="n">
        <v>400</v>
      </c>
      <c r="J1088" s="56"/>
      <c r="K1088" s="57" t="n">
        <v>800</v>
      </c>
      <c r="L1088" s="22" t="s">
        <v>44</v>
      </c>
      <c r="M1088" s="22"/>
      <c r="N1088" s="58" t="n">
        <f aca="false">F1088*P1088</f>
        <v>0</v>
      </c>
      <c r="O1088" s="58" t="n">
        <f aca="false">F1088*Q1088</f>
        <v>0</v>
      </c>
      <c r="P1088" s="58" t="n">
        <v>0.33</v>
      </c>
      <c r="Q1088" s="58" t="n">
        <v>0.001</v>
      </c>
      <c r="R1088" s="59" t="s">
        <v>3634</v>
      </c>
      <c r="S1088" s="22"/>
      <c r="T1088" s="11" t="str">
        <f aca="false">"16.12.25"</f>
        <v>16.12.25</v>
      </c>
    </row>
    <row r="1089" customFormat="false" ht="7.5" hidden="false" customHeight="true" outlineLevel="2" collapsed="false">
      <c r="A1089" s="48"/>
      <c r="B1089" s="49" t="s">
        <v>3635</v>
      </c>
      <c r="C1089" s="50" t="s">
        <v>3636</v>
      </c>
      <c r="D1089" s="51" t="s">
        <v>3637</v>
      </c>
      <c r="E1089" s="52" t="n">
        <f aca="false">I1089*(1-J1089)*(100-E1)/100</f>
        <v>243.2</v>
      </c>
      <c r="F1089" s="53"/>
      <c r="G1089" s="54" t="n">
        <v>100</v>
      </c>
      <c r="H1089" s="52" t="n">
        <f aca="false">E1089*F1089</f>
        <v>0</v>
      </c>
      <c r="I1089" s="55" t="n">
        <v>380</v>
      </c>
      <c r="J1089" s="56"/>
      <c r="K1089" s="57" t="n">
        <v>0</v>
      </c>
      <c r="L1089" s="22" t="s">
        <v>44</v>
      </c>
      <c r="M1089" s="22"/>
      <c r="N1089" s="58" t="n">
        <f aca="false">F1089*P1089</f>
        <v>0</v>
      </c>
      <c r="O1089" s="58" t="n">
        <f aca="false">F1089*Q1089</f>
        <v>0</v>
      </c>
      <c r="P1089" s="58" t="n">
        <v>0.165</v>
      </c>
      <c r="Q1089" s="58" t="n">
        <v>0.001</v>
      </c>
      <c r="R1089" s="59"/>
      <c r="S1089" s="22"/>
      <c r="T1089" s="11" t="str">
        <f aca="false">"16.12.25"</f>
        <v>16.12.25</v>
      </c>
    </row>
    <row r="1090" customFormat="false" ht="7.5" hidden="false" customHeight="true" outlineLevel="2" collapsed="false">
      <c r="A1090" s="48"/>
      <c r="B1090" s="49" t="s">
        <v>3638</v>
      </c>
      <c r="C1090" s="50" t="s">
        <v>3639</v>
      </c>
      <c r="D1090" s="51" t="s">
        <v>3598</v>
      </c>
      <c r="E1090" s="52" t="n">
        <f aca="false">I1090*(1-J1090)*(100-E1)/100</f>
        <v>294.4</v>
      </c>
      <c r="F1090" s="53"/>
      <c r="G1090" s="54" t="n">
        <v>50</v>
      </c>
      <c r="H1090" s="52" t="n">
        <f aca="false">E1090*F1090</f>
        <v>0</v>
      </c>
      <c r="I1090" s="55" t="n">
        <v>460</v>
      </c>
      <c r="J1090" s="56"/>
      <c r="K1090" s="57" t="n">
        <v>2025</v>
      </c>
      <c r="L1090" s="22" t="s">
        <v>44</v>
      </c>
      <c r="M1090" s="22"/>
      <c r="N1090" s="58" t="n">
        <f aca="false">F1090*P1090</f>
        <v>0</v>
      </c>
      <c r="O1090" s="58" t="n">
        <f aca="false">F1090*Q1090</f>
        <v>0</v>
      </c>
      <c r="P1090" s="58" t="n">
        <v>0.29</v>
      </c>
      <c r="Q1090" s="58" t="n">
        <v>0.001</v>
      </c>
      <c r="R1090" s="59"/>
      <c r="S1090" s="22"/>
      <c r="T1090" s="11" t="str">
        <f aca="false">"16.12.25"</f>
        <v>16.12.25</v>
      </c>
    </row>
    <row r="1091" customFormat="false" ht="7.5" hidden="false" customHeight="true" outlineLevel="2" collapsed="false">
      <c r="A1091" s="48"/>
      <c r="B1091" s="49" t="s">
        <v>3640</v>
      </c>
      <c r="C1091" s="50" t="s">
        <v>3641</v>
      </c>
      <c r="D1091" s="51"/>
      <c r="E1091" s="52" t="n">
        <f aca="false">I1091*(1-J1091)*(100-E1)/100</f>
        <v>332.8</v>
      </c>
      <c r="F1091" s="53"/>
      <c r="G1091" s="54"/>
      <c r="H1091" s="52" t="n">
        <f aca="false">E1091*F1091</f>
        <v>0</v>
      </c>
      <c r="I1091" s="55" t="n">
        <v>520</v>
      </c>
      <c r="J1091" s="56"/>
      <c r="K1091" s="57" t="n">
        <v>0</v>
      </c>
      <c r="L1091" s="22" t="s">
        <v>44</v>
      </c>
      <c r="M1091" s="22"/>
      <c r="N1091" s="58" t="n">
        <f aca="false">F1091*P1091</f>
        <v>0</v>
      </c>
      <c r="O1091" s="58" t="n">
        <f aca="false">F1091*Q1091</f>
        <v>0</v>
      </c>
      <c r="P1091" s="58" t="n">
        <v>1.13</v>
      </c>
      <c r="Q1091" s="58" t="n">
        <v>0.01</v>
      </c>
      <c r="R1091" s="59"/>
      <c r="S1091" s="22"/>
      <c r="T1091" s="11" t="str">
        <f aca="false">"16.12.25"</f>
        <v>16.12.25</v>
      </c>
    </row>
    <row r="1092" customFormat="false" ht="7.5" hidden="false" customHeight="true" outlineLevel="2" collapsed="false">
      <c r="A1092" s="48"/>
      <c r="B1092" s="49" t="s">
        <v>3642</v>
      </c>
      <c r="C1092" s="50" t="s">
        <v>3643</v>
      </c>
      <c r="D1092" s="51"/>
      <c r="E1092" s="52" t="n">
        <f aca="false">I1092*(1-J1092)*(100-E1)/100</f>
        <v>371.2</v>
      </c>
      <c r="F1092" s="53"/>
      <c r="G1092" s="54"/>
      <c r="H1092" s="52" t="n">
        <f aca="false">E1092*F1092</f>
        <v>0</v>
      </c>
      <c r="I1092" s="55" t="n">
        <v>580</v>
      </c>
      <c r="J1092" s="56"/>
      <c r="K1092" s="57" t="n">
        <v>27380</v>
      </c>
      <c r="L1092" s="22" t="s">
        <v>44</v>
      </c>
      <c r="M1092" s="22"/>
      <c r="N1092" s="58" t="n">
        <f aca="false">F1092*P1092</f>
        <v>0</v>
      </c>
      <c r="O1092" s="58" t="n">
        <f aca="false">F1092*Q1092</f>
        <v>0</v>
      </c>
      <c r="P1092" s="58" t="n">
        <v>1.13</v>
      </c>
      <c r="Q1092" s="58"/>
      <c r="R1092" s="59"/>
      <c r="S1092" s="22"/>
      <c r="T1092" s="11" t="str">
        <f aca="false">"16.12.25"</f>
        <v>16.12.25</v>
      </c>
    </row>
    <row r="1093" customFormat="false" ht="7.5" hidden="false" customHeight="true" outlineLevel="2" collapsed="false">
      <c r="A1093" s="48"/>
      <c r="B1093" s="49" t="s">
        <v>3644</v>
      </c>
      <c r="C1093" s="50" t="s">
        <v>3645</v>
      </c>
      <c r="D1093" s="51"/>
      <c r="E1093" s="52" t="n">
        <f aca="false">I1093*(1-J1093)*(100-E1)/100</f>
        <v>1689.6</v>
      </c>
      <c r="F1093" s="53"/>
      <c r="G1093" s="54"/>
      <c r="H1093" s="52" t="n">
        <f aca="false">E1093*F1093</f>
        <v>0</v>
      </c>
      <c r="I1093" s="55" t="n">
        <v>2640</v>
      </c>
      <c r="J1093" s="56"/>
      <c r="K1093" s="57" t="n">
        <v>1213</v>
      </c>
      <c r="L1093" s="22" t="s">
        <v>44</v>
      </c>
      <c r="M1093" s="22"/>
      <c r="N1093" s="58" t="n">
        <f aca="false">F1093*P1093</f>
        <v>0</v>
      </c>
      <c r="O1093" s="58" t="n">
        <f aca="false">F1093*Q1093</f>
        <v>0</v>
      </c>
      <c r="P1093" s="58" t="n">
        <v>5.415</v>
      </c>
      <c r="Q1093" s="58" t="n">
        <v>0.003</v>
      </c>
      <c r="R1093" s="59"/>
      <c r="S1093" s="22"/>
      <c r="T1093" s="11" t="str">
        <f aca="false">"16.12.25"</f>
        <v>16.12.25</v>
      </c>
    </row>
    <row r="1094" customFormat="false" ht="7.5" hidden="false" customHeight="true" outlineLevel="2" collapsed="false">
      <c r="A1094" s="48"/>
      <c r="B1094" s="49" t="s">
        <v>3646</v>
      </c>
      <c r="C1094" s="50" t="s">
        <v>3647</v>
      </c>
      <c r="D1094" s="51"/>
      <c r="E1094" s="52" t="n">
        <f aca="false">I1094*(1-J1094)*(100-E1)/100</f>
        <v>1619.2</v>
      </c>
      <c r="F1094" s="53"/>
      <c r="G1094" s="54"/>
      <c r="H1094" s="52" t="n">
        <f aca="false">E1094*F1094</f>
        <v>0</v>
      </c>
      <c r="I1094" s="55" t="n">
        <v>2530</v>
      </c>
      <c r="J1094" s="56"/>
      <c r="K1094" s="57" t="n">
        <v>1493</v>
      </c>
      <c r="L1094" s="22" t="s">
        <v>44</v>
      </c>
      <c r="M1094" s="22"/>
      <c r="N1094" s="58" t="n">
        <f aca="false">F1094*P1094</f>
        <v>0</v>
      </c>
      <c r="O1094" s="58" t="n">
        <f aca="false">F1094*Q1094</f>
        <v>0</v>
      </c>
      <c r="P1094" s="58" t="n">
        <v>5.415</v>
      </c>
      <c r="Q1094" s="58" t="n">
        <v>0.003</v>
      </c>
      <c r="R1094" s="59"/>
      <c r="S1094" s="22"/>
      <c r="T1094" s="11" t="str">
        <f aca="false">"16.12.25"</f>
        <v>16.12.25</v>
      </c>
    </row>
    <row r="1095" customFormat="false" ht="7.5" hidden="false" customHeight="true" outlineLevel="2" collapsed="false">
      <c r="A1095" s="48"/>
      <c r="B1095" s="49" t="s">
        <v>3648</v>
      </c>
      <c r="C1095" s="50" t="s">
        <v>3649</v>
      </c>
      <c r="D1095" s="51"/>
      <c r="E1095" s="52" t="n">
        <f aca="false">I1095*(1-J1095)*(100-E1)/100</f>
        <v>44.8</v>
      </c>
      <c r="F1095" s="53"/>
      <c r="G1095" s="54"/>
      <c r="H1095" s="52" t="n">
        <f aca="false">E1095*F1095</f>
        <v>0</v>
      </c>
      <c r="I1095" s="55" t="n">
        <v>70</v>
      </c>
      <c r="J1095" s="56"/>
      <c r="K1095" s="57" t="n">
        <v>1807</v>
      </c>
      <c r="L1095" s="22" t="s">
        <v>44</v>
      </c>
      <c r="M1095" s="22"/>
      <c r="N1095" s="58" t="n">
        <f aca="false">F1095*P1095</f>
        <v>0</v>
      </c>
      <c r="O1095" s="58" t="n">
        <f aca="false">F1095*Q1095</f>
        <v>0</v>
      </c>
      <c r="P1095" s="58"/>
      <c r="Q1095" s="58" t="n">
        <v>0.01</v>
      </c>
      <c r="R1095" s="59"/>
      <c r="S1095" s="22"/>
      <c r="T1095" s="11" t="str">
        <f aca="false">"16.12.25"</f>
        <v>16.12.25</v>
      </c>
    </row>
    <row r="1096" customFormat="false" ht="7.5" hidden="false" customHeight="true" outlineLevel="2" collapsed="false">
      <c r="A1096" s="48"/>
      <c r="B1096" s="49" t="s">
        <v>3650</v>
      </c>
      <c r="C1096" s="50" t="s">
        <v>3651</v>
      </c>
      <c r="D1096" s="51"/>
      <c r="E1096" s="52" t="n">
        <f aca="false">I1096*(1-J1096)*(100-E1)/100</f>
        <v>89.6</v>
      </c>
      <c r="F1096" s="53"/>
      <c r="G1096" s="54" t="n">
        <v>20</v>
      </c>
      <c r="H1096" s="52" t="n">
        <f aca="false">E1096*F1096</f>
        <v>0</v>
      </c>
      <c r="I1096" s="55" t="n">
        <v>140</v>
      </c>
      <c r="J1096" s="56"/>
      <c r="K1096" s="57" t="n">
        <v>2165</v>
      </c>
      <c r="L1096" s="22" t="s">
        <v>44</v>
      </c>
      <c r="M1096" s="22"/>
      <c r="N1096" s="58" t="n">
        <f aca="false">F1096*P1096</f>
        <v>0</v>
      </c>
      <c r="O1096" s="58" t="n">
        <f aca="false">F1096*Q1096</f>
        <v>0</v>
      </c>
      <c r="P1096" s="58"/>
      <c r="Q1096" s="58" t="n">
        <v>0.002</v>
      </c>
      <c r="R1096" s="59" t="s">
        <v>3652</v>
      </c>
      <c r="S1096" s="22"/>
      <c r="T1096" s="11" t="str">
        <f aca="false">"16.12.25"</f>
        <v>16.12.25</v>
      </c>
    </row>
    <row r="1097" customFormat="false" ht="7.5" hidden="false" customHeight="true" outlineLevel="2" collapsed="false">
      <c r="A1097" s="48"/>
      <c r="B1097" s="49" t="s">
        <v>3653</v>
      </c>
      <c r="C1097" s="50" t="s">
        <v>3654</v>
      </c>
      <c r="D1097" s="51"/>
      <c r="E1097" s="52" t="n">
        <f aca="false">I1097*(1-J1097)*(100-E1)/100</f>
        <v>70.4</v>
      </c>
      <c r="F1097" s="53"/>
      <c r="G1097" s="54"/>
      <c r="H1097" s="52" t="n">
        <f aca="false">E1097*F1097</f>
        <v>0</v>
      </c>
      <c r="I1097" s="55" t="n">
        <v>110</v>
      </c>
      <c r="J1097" s="56"/>
      <c r="K1097" s="57" t="n">
        <v>3</v>
      </c>
      <c r="L1097" s="22" t="s">
        <v>44</v>
      </c>
      <c r="M1097" s="22"/>
      <c r="N1097" s="58" t="n">
        <f aca="false">F1097*P1097</f>
        <v>0</v>
      </c>
      <c r="O1097" s="58" t="n">
        <f aca="false">F1097*Q1097</f>
        <v>0</v>
      </c>
      <c r="P1097" s="58" t="n">
        <v>0.19</v>
      </c>
      <c r="Q1097" s="58" t="n">
        <v>0.001</v>
      </c>
      <c r="R1097" s="59"/>
      <c r="S1097" s="22"/>
      <c r="T1097" s="11" t="str">
        <f aca="false">"16.12.25"</f>
        <v>16.12.25</v>
      </c>
    </row>
    <row r="1098" customFormat="false" ht="7.5" hidden="false" customHeight="true" outlineLevel="2" collapsed="false">
      <c r="A1098" s="48"/>
      <c r="B1098" s="49" t="s">
        <v>3655</v>
      </c>
      <c r="C1098" s="50" t="s">
        <v>3656</v>
      </c>
      <c r="D1098" s="51"/>
      <c r="E1098" s="52" t="n">
        <f aca="false">I1098*(1-J1098)*(100-E1)/100</f>
        <v>172.8</v>
      </c>
      <c r="F1098" s="53"/>
      <c r="G1098" s="54" t="n">
        <v>50</v>
      </c>
      <c r="H1098" s="52" t="n">
        <f aca="false">E1098*F1098</f>
        <v>0</v>
      </c>
      <c r="I1098" s="55" t="n">
        <v>270</v>
      </c>
      <c r="J1098" s="56"/>
      <c r="K1098" s="57" t="n">
        <v>110</v>
      </c>
      <c r="L1098" s="22" t="s">
        <v>44</v>
      </c>
      <c r="M1098" s="22"/>
      <c r="N1098" s="58" t="n">
        <f aca="false">F1098*P1098</f>
        <v>0</v>
      </c>
      <c r="O1098" s="58" t="n">
        <f aca="false">F1098*Q1098</f>
        <v>0</v>
      </c>
      <c r="P1098" s="58"/>
      <c r="Q1098" s="58"/>
      <c r="R1098" s="59" t="s">
        <v>3657</v>
      </c>
      <c r="S1098" s="22"/>
      <c r="T1098" s="11" t="str">
        <f aca="false">"16.12.25"</f>
        <v>16.12.25</v>
      </c>
    </row>
    <row r="1099" customFormat="false" ht="7.5" hidden="false" customHeight="true" outlineLevel="2" collapsed="false">
      <c r="A1099" s="48"/>
      <c r="B1099" s="49" t="s">
        <v>3658</v>
      </c>
      <c r="C1099" s="50" t="s">
        <v>3659</v>
      </c>
      <c r="D1099" s="51"/>
      <c r="E1099" s="52" t="n">
        <f aca="false">I1099*(1-J1099)*(100-E1)/100</f>
        <v>172.8</v>
      </c>
      <c r="F1099" s="53"/>
      <c r="G1099" s="54"/>
      <c r="H1099" s="52" t="n">
        <f aca="false">E1099*F1099</f>
        <v>0</v>
      </c>
      <c r="I1099" s="55" t="n">
        <v>270</v>
      </c>
      <c r="J1099" s="56"/>
      <c r="K1099" s="57" t="n">
        <v>24</v>
      </c>
      <c r="L1099" s="22" t="s">
        <v>44</v>
      </c>
      <c r="M1099" s="22"/>
      <c r="N1099" s="58" t="n">
        <f aca="false">F1099*P1099</f>
        <v>0</v>
      </c>
      <c r="O1099" s="58" t="n">
        <f aca="false">F1099*Q1099</f>
        <v>0</v>
      </c>
      <c r="P1099" s="58"/>
      <c r="Q1099" s="58"/>
      <c r="R1099" s="59"/>
      <c r="S1099" s="22"/>
      <c r="T1099" s="11" t="str">
        <f aca="false">"16.12.25"</f>
        <v>16.12.25</v>
      </c>
    </row>
    <row r="1100" customFormat="false" ht="7.5" hidden="false" customHeight="true" outlineLevel="2" collapsed="false">
      <c r="A1100" s="48"/>
      <c r="B1100" s="49" t="s">
        <v>3660</v>
      </c>
      <c r="C1100" s="50" t="s">
        <v>3661</v>
      </c>
      <c r="D1100" s="51"/>
      <c r="E1100" s="52" t="n">
        <f aca="false">I1100*(1-J1100)*(100-E1)/100</f>
        <v>620.8</v>
      </c>
      <c r="F1100" s="53"/>
      <c r="G1100" s="54"/>
      <c r="H1100" s="52" t="n">
        <f aca="false">E1100*F1100</f>
        <v>0</v>
      </c>
      <c r="I1100" s="55" t="n">
        <v>970</v>
      </c>
      <c r="J1100" s="56"/>
      <c r="K1100" s="57" t="n">
        <v>264</v>
      </c>
      <c r="L1100" s="22" t="s">
        <v>44</v>
      </c>
      <c r="M1100" s="22"/>
      <c r="N1100" s="58" t="n">
        <f aca="false">F1100*P1100</f>
        <v>0</v>
      </c>
      <c r="O1100" s="58" t="n">
        <f aca="false">F1100*Q1100</f>
        <v>0</v>
      </c>
      <c r="P1100" s="58"/>
      <c r="Q1100" s="58"/>
      <c r="R1100" s="59"/>
      <c r="S1100" s="22"/>
      <c r="T1100" s="11" t="str">
        <f aca="false">"16.12.25"</f>
        <v>16.12.25</v>
      </c>
    </row>
    <row r="1101" customFormat="false" ht="7.5" hidden="false" customHeight="true" outlineLevel="2" collapsed="false">
      <c r="A1101" s="48"/>
      <c r="B1101" s="49" t="s">
        <v>3662</v>
      </c>
      <c r="C1101" s="50" t="s">
        <v>3663</v>
      </c>
      <c r="D1101" s="51"/>
      <c r="E1101" s="52" t="n">
        <f aca="false">I1101*(1-J1101)*(100-E1)/100</f>
        <v>294.4</v>
      </c>
      <c r="F1101" s="53"/>
      <c r="G1101" s="54"/>
      <c r="H1101" s="52" t="n">
        <f aca="false">E1101*F1101</f>
        <v>0</v>
      </c>
      <c r="I1101" s="55" t="n">
        <v>460</v>
      </c>
      <c r="J1101" s="56"/>
      <c r="K1101" s="57" t="n">
        <v>0</v>
      </c>
      <c r="L1101" s="22" t="s">
        <v>44</v>
      </c>
      <c r="M1101" s="22"/>
      <c r="N1101" s="58" t="n">
        <f aca="false">F1101*P1101</f>
        <v>0</v>
      </c>
      <c r="O1101" s="58" t="n">
        <f aca="false">F1101*Q1101</f>
        <v>0</v>
      </c>
      <c r="P1101" s="58"/>
      <c r="Q1101" s="58"/>
      <c r="R1101" s="59"/>
      <c r="S1101" s="22"/>
      <c r="T1101" s="11" t="str">
        <f aca="false">"16.12.25"</f>
        <v>16.12.25</v>
      </c>
    </row>
    <row r="1102" customFormat="false" ht="7.5" hidden="false" customHeight="true" outlineLevel="2" collapsed="false">
      <c r="A1102" s="48"/>
      <c r="B1102" s="49" t="s">
        <v>3664</v>
      </c>
      <c r="C1102" s="50" t="s">
        <v>3665</v>
      </c>
      <c r="D1102" s="51" t="s">
        <v>3666</v>
      </c>
      <c r="E1102" s="52" t="n">
        <f aca="false">I1102*(1-J1102)*(100-E1)/100</f>
        <v>992</v>
      </c>
      <c r="F1102" s="53"/>
      <c r="G1102" s="54"/>
      <c r="H1102" s="52" t="n">
        <f aca="false">E1102*F1102</f>
        <v>0</v>
      </c>
      <c r="I1102" s="55" t="n">
        <v>1550</v>
      </c>
      <c r="J1102" s="56"/>
      <c r="K1102" s="57" t="n">
        <v>13</v>
      </c>
      <c r="L1102" s="22" t="s">
        <v>368</v>
      </c>
      <c r="M1102" s="22"/>
      <c r="N1102" s="58" t="n">
        <f aca="false">F1102*P1102</f>
        <v>0</v>
      </c>
      <c r="O1102" s="58" t="n">
        <f aca="false">F1102*Q1102</f>
        <v>0</v>
      </c>
      <c r="P1102" s="58" t="n">
        <v>5</v>
      </c>
      <c r="Q1102" s="58" t="n">
        <v>0.003</v>
      </c>
      <c r="R1102" s="59"/>
      <c r="S1102" s="22"/>
      <c r="T1102" s="11" t="str">
        <f aca="false">"16.12.25"</f>
        <v>16.12.25</v>
      </c>
    </row>
    <row r="1103" customFormat="false" ht="7.5" hidden="false" customHeight="true" outlineLevel="2" collapsed="false">
      <c r="A1103" s="48"/>
      <c r="B1103" s="49" t="s">
        <v>3667</v>
      </c>
      <c r="C1103" s="50" t="s">
        <v>3668</v>
      </c>
      <c r="D1103" s="51" t="s">
        <v>3666</v>
      </c>
      <c r="E1103" s="52" t="n">
        <f aca="false">I1103*(1-J1103)*(100-E1)/100</f>
        <v>992</v>
      </c>
      <c r="F1103" s="53"/>
      <c r="G1103" s="54"/>
      <c r="H1103" s="52" t="n">
        <f aca="false">E1103*F1103</f>
        <v>0</v>
      </c>
      <c r="I1103" s="55" t="n">
        <v>1550</v>
      </c>
      <c r="J1103" s="56"/>
      <c r="K1103" s="57" t="n">
        <v>165</v>
      </c>
      <c r="L1103" s="22" t="s">
        <v>364</v>
      </c>
      <c r="M1103" s="22"/>
      <c r="N1103" s="58" t="n">
        <f aca="false">F1103*P1103</f>
        <v>0</v>
      </c>
      <c r="O1103" s="58" t="n">
        <f aca="false">F1103*Q1103</f>
        <v>0</v>
      </c>
      <c r="P1103" s="58" t="n">
        <v>5</v>
      </c>
      <c r="Q1103" s="58" t="n">
        <v>0.003</v>
      </c>
      <c r="R1103" s="59"/>
      <c r="S1103" s="22"/>
      <c r="T1103" s="11" t="str">
        <f aca="false">"16.12.25"</f>
        <v>16.12.25</v>
      </c>
    </row>
    <row r="1104" customFormat="false" ht="7.5" hidden="false" customHeight="true" outlineLevel="2" collapsed="false">
      <c r="A1104" s="48"/>
      <c r="B1104" s="49" t="s">
        <v>3669</v>
      </c>
      <c r="C1104" s="50" t="s">
        <v>3670</v>
      </c>
      <c r="D1104" s="51"/>
      <c r="E1104" s="52" t="n">
        <f aca="false">I1104*(1-J1104)*(100-E1)/100</f>
        <v>19.2</v>
      </c>
      <c r="F1104" s="53"/>
      <c r="G1104" s="54"/>
      <c r="H1104" s="52" t="n">
        <f aca="false">E1104*F1104</f>
        <v>0</v>
      </c>
      <c r="I1104" s="55" t="n">
        <v>30</v>
      </c>
      <c r="J1104" s="56"/>
      <c r="K1104" s="57" t="n">
        <v>80</v>
      </c>
      <c r="L1104" s="22" t="s">
        <v>53</v>
      </c>
      <c r="M1104" s="22"/>
      <c r="N1104" s="58" t="n">
        <f aca="false">F1104*P1104</f>
        <v>0</v>
      </c>
      <c r="O1104" s="58" t="n">
        <f aca="false">F1104*Q1104</f>
        <v>0</v>
      </c>
      <c r="P1104" s="58"/>
      <c r="Q1104" s="58"/>
      <c r="R1104" s="59"/>
      <c r="S1104" s="22"/>
      <c r="T1104" s="11" t="str">
        <f aca="false">"16.12.25"</f>
        <v>16.12.25</v>
      </c>
    </row>
    <row r="1105" customFormat="false" ht="7.5" hidden="false" customHeight="true" outlineLevel="2" collapsed="false">
      <c r="A1105" s="48"/>
      <c r="B1105" s="49" t="s">
        <v>3671</v>
      </c>
      <c r="C1105" s="50" t="s">
        <v>3672</v>
      </c>
      <c r="D1105" s="51"/>
      <c r="E1105" s="52" t="n">
        <f aca="false">I1105*(1-J1105)*(100-E1)/100</f>
        <v>2080</v>
      </c>
      <c r="F1105" s="53"/>
      <c r="G1105" s="54"/>
      <c r="H1105" s="52" t="n">
        <f aca="false">E1105*F1105</f>
        <v>0</v>
      </c>
      <c r="I1105" s="55" t="n">
        <v>3250</v>
      </c>
      <c r="J1105" s="56"/>
      <c r="K1105" s="57" t="n">
        <v>150</v>
      </c>
      <c r="L1105" s="22" t="s">
        <v>53</v>
      </c>
      <c r="M1105" s="22"/>
      <c r="N1105" s="58" t="n">
        <f aca="false">F1105*P1105</f>
        <v>0</v>
      </c>
      <c r="O1105" s="58" t="n">
        <f aca="false">F1105*Q1105</f>
        <v>0</v>
      </c>
      <c r="P1105" s="58"/>
      <c r="Q1105" s="58"/>
      <c r="R1105" s="59"/>
      <c r="S1105" s="22"/>
      <c r="T1105" s="11" t="str">
        <f aca="false">"16.12.25"</f>
        <v>16.12.25</v>
      </c>
    </row>
    <row r="1106" customFormat="false" ht="7.5" hidden="false" customHeight="true" outlineLevel="2" collapsed="false">
      <c r="A1106" s="48"/>
      <c r="B1106" s="49" t="s">
        <v>3673</v>
      </c>
      <c r="C1106" s="50" t="s">
        <v>3674</v>
      </c>
      <c r="D1106" s="51"/>
      <c r="E1106" s="52" t="n">
        <f aca="false">I1106*(1-J1106)*(100-E1)/100</f>
        <v>294.4</v>
      </c>
      <c r="F1106" s="53"/>
      <c r="G1106" s="54"/>
      <c r="H1106" s="52" t="n">
        <f aca="false">E1106*F1106</f>
        <v>0</v>
      </c>
      <c r="I1106" s="55" t="n">
        <v>460</v>
      </c>
      <c r="J1106" s="56"/>
      <c r="K1106" s="57" t="n">
        <v>579</v>
      </c>
      <c r="L1106" s="22" t="s">
        <v>53</v>
      </c>
      <c r="M1106" s="22"/>
      <c r="N1106" s="58" t="n">
        <f aca="false">F1106*P1106</f>
        <v>0</v>
      </c>
      <c r="O1106" s="58" t="n">
        <f aca="false">F1106*Q1106</f>
        <v>0</v>
      </c>
      <c r="P1106" s="58"/>
      <c r="Q1106" s="58"/>
      <c r="R1106" s="59"/>
      <c r="S1106" s="22"/>
      <c r="T1106" s="11" t="str">
        <f aca="false">"16.12.25"</f>
        <v>16.12.25</v>
      </c>
    </row>
    <row r="1107" customFormat="false" ht="7.5" hidden="false" customHeight="true" outlineLevel="2" collapsed="false">
      <c r="A1107" s="48"/>
      <c r="B1107" s="49" t="s">
        <v>3675</v>
      </c>
      <c r="C1107" s="50" t="s">
        <v>3676</v>
      </c>
      <c r="D1107" s="51"/>
      <c r="E1107" s="52" t="n">
        <f aca="false">I1107*(1-J1107)*(100-E1)/100</f>
        <v>4083.2</v>
      </c>
      <c r="F1107" s="53"/>
      <c r="G1107" s="54"/>
      <c r="H1107" s="52" t="n">
        <f aca="false">E1107*F1107</f>
        <v>0</v>
      </c>
      <c r="I1107" s="55" t="n">
        <v>6380</v>
      </c>
      <c r="J1107" s="56"/>
      <c r="K1107" s="57" t="n">
        <v>1</v>
      </c>
      <c r="L1107" s="22" t="s">
        <v>53</v>
      </c>
      <c r="M1107" s="22"/>
      <c r="N1107" s="58" t="n">
        <f aca="false">F1107*P1107</f>
        <v>0</v>
      </c>
      <c r="O1107" s="58" t="n">
        <f aca="false">F1107*Q1107</f>
        <v>0</v>
      </c>
      <c r="P1107" s="58" t="n">
        <v>2.85</v>
      </c>
      <c r="Q1107" s="58" t="n">
        <v>0.011</v>
      </c>
      <c r="R1107" s="59"/>
      <c r="S1107" s="22"/>
      <c r="T1107" s="11" t="str">
        <f aca="false">"16.12.25"</f>
        <v>16.12.25</v>
      </c>
    </row>
    <row r="1108" customFormat="false" ht="7.5" hidden="false" customHeight="true" outlineLevel="2" collapsed="false">
      <c r="A1108" s="48"/>
      <c r="B1108" s="49" t="s">
        <v>3677</v>
      </c>
      <c r="C1108" s="50" t="s">
        <v>3678</v>
      </c>
      <c r="D1108" s="51"/>
      <c r="E1108" s="52" t="n">
        <f aca="false">I1108*(1-J1108)*(100-E1)/100</f>
        <v>4870.4</v>
      </c>
      <c r="F1108" s="53"/>
      <c r="G1108" s="54"/>
      <c r="H1108" s="52" t="n">
        <f aca="false">E1108*F1108</f>
        <v>0</v>
      </c>
      <c r="I1108" s="55" t="n">
        <v>7610</v>
      </c>
      <c r="J1108" s="56"/>
      <c r="K1108" s="57" t="n">
        <v>1</v>
      </c>
      <c r="L1108" s="22" t="s">
        <v>53</v>
      </c>
      <c r="M1108" s="22"/>
      <c r="N1108" s="58" t="n">
        <f aca="false">F1108*P1108</f>
        <v>0</v>
      </c>
      <c r="O1108" s="58" t="n">
        <f aca="false">F1108*Q1108</f>
        <v>0</v>
      </c>
      <c r="P1108" s="58" t="n">
        <v>2.85</v>
      </c>
      <c r="Q1108" s="58" t="n">
        <v>0.011</v>
      </c>
      <c r="R1108" s="59"/>
      <c r="S1108" s="22"/>
      <c r="T1108" s="11" t="str">
        <f aca="false">"16.12.25"</f>
        <v>16.12.25</v>
      </c>
    </row>
    <row r="1109" customFormat="false" ht="7.5" hidden="false" customHeight="true" outlineLevel="2" collapsed="false">
      <c r="A1109" s="48"/>
      <c r="B1109" s="49" t="s">
        <v>3679</v>
      </c>
      <c r="C1109" s="50" t="s">
        <v>3680</v>
      </c>
      <c r="D1109" s="51"/>
      <c r="E1109" s="52" t="n">
        <f aca="false">I1109*(1-J1109)*(100-E1)/100</f>
        <v>1484.8</v>
      </c>
      <c r="F1109" s="53"/>
      <c r="G1109" s="54"/>
      <c r="H1109" s="52" t="n">
        <f aca="false">E1109*F1109</f>
        <v>0</v>
      </c>
      <c r="I1109" s="55" t="n">
        <v>2320</v>
      </c>
      <c r="J1109" s="56"/>
      <c r="K1109" s="57" t="n">
        <v>9</v>
      </c>
      <c r="L1109" s="22" t="s">
        <v>53</v>
      </c>
      <c r="M1109" s="22"/>
      <c r="N1109" s="58" t="n">
        <f aca="false">F1109*P1109</f>
        <v>0</v>
      </c>
      <c r="O1109" s="58" t="n">
        <f aca="false">F1109*Q1109</f>
        <v>0</v>
      </c>
      <c r="P1109" s="58"/>
      <c r="Q1109" s="58" t="n">
        <v>0.012</v>
      </c>
      <c r="R1109" s="59" t="s">
        <v>3681</v>
      </c>
      <c r="S1109" s="22"/>
      <c r="T1109" s="11" t="str">
        <f aca="false">"16.12.25"</f>
        <v>16.12.25</v>
      </c>
    </row>
    <row r="1110" customFormat="false" ht="7.5" hidden="false" customHeight="true" outlineLevel="2" collapsed="false">
      <c r="A1110" s="48"/>
      <c r="B1110" s="49" t="s">
        <v>3682</v>
      </c>
      <c r="C1110" s="50" t="s">
        <v>3683</v>
      </c>
      <c r="D1110" s="51"/>
      <c r="E1110" s="52" t="n">
        <f aca="false">I1110*(1-J1110)*(100-E1)/100</f>
        <v>672</v>
      </c>
      <c r="F1110" s="53"/>
      <c r="G1110" s="54"/>
      <c r="H1110" s="52" t="n">
        <f aca="false">E1110*F1110</f>
        <v>0</v>
      </c>
      <c r="I1110" s="55" t="n">
        <v>1050</v>
      </c>
      <c r="J1110" s="56"/>
      <c r="K1110" s="57" t="n">
        <v>0</v>
      </c>
      <c r="L1110" s="22" t="s">
        <v>53</v>
      </c>
      <c r="M1110" s="22"/>
      <c r="N1110" s="58" t="n">
        <f aca="false">F1110*P1110</f>
        <v>0</v>
      </c>
      <c r="O1110" s="58" t="n">
        <f aca="false">F1110*Q1110</f>
        <v>0</v>
      </c>
      <c r="P1110" s="58" t="n">
        <v>1.28</v>
      </c>
      <c r="Q1110" s="58" t="n">
        <v>0.012</v>
      </c>
      <c r="R1110" s="59"/>
      <c r="S1110" s="22"/>
      <c r="T1110" s="11" t="str">
        <f aca="false">"16.12.25"</f>
        <v>16.12.25</v>
      </c>
    </row>
    <row r="1111" customFormat="false" ht="7.5" hidden="false" customHeight="true" outlineLevel="2" collapsed="false">
      <c r="A1111" s="48"/>
      <c r="B1111" s="49" t="s">
        <v>3684</v>
      </c>
      <c r="C1111" s="50" t="s">
        <v>3685</v>
      </c>
      <c r="D1111" s="51"/>
      <c r="E1111" s="52" t="n">
        <f aca="false">I1111*(1-J1111)*(100-E1)/100</f>
        <v>1843.2</v>
      </c>
      <c r="F1111" s="53"/>
      <c r="G1111" s="54" t="n">
        <v>10</v>
      </c>
      <c r="H1111" s="52" t="n">
        <f aca="false">E1111*F1111</f>
        <v>0</v>
      </c>
      <c r="I1111" s="55" t="n">
        <v>2880</v>
      </c>
      <c r="J1111" s="56"/>
      <c r="K1111" s="57" t="n">
        <v>3</v>
      </c>
      <c r="L1111" s="22" t="s">
        <v>53</v>
      </c>
      <c r="M1111" s="22"/>
      <c r="N1111" s="58" t="n">
        <f aca="false">F1111*P1111</f>
        <v>0</v>
      </c>
      <c r="O1111" s="58" t="n">
        <f aca="false">F1111*Q1111</f>
        <v>0</v>
      </c>
      <c r="P1111" s="58" t="n">
        <v>1.8</v>
      </c>
      <c r="Q1111" s="58" t="n">
        <v>0.009</v>
      </c>
      <c r="R1111" s="59"/>
      <c r="S1111" s="22"/>
      <c r="T1111" s="11" t="str">
        <f aca="false">"16.12.25"</f>
        <v>16.12.25</v>
      </c>
    </row>
    <row r="1112" customFormat="false" ht="7.5" hidden="false" customHeight="true" outlineLevel="2" collapsed="false">
      <c r="A1112" s="48"/>
      <c r="B1112" s="49" t="s">
        <v>3686</v>
      </c>
      <c r="C1112" s="50" t="s">
        <v>3687</v>
      </c>
      <c r="D1112" s="51"/>
      <c r="E1112" s="52" t="n">
        <f aca="false">I1112*(1-J1112)*(100-E1)/100</f>
        <v>7513.6</v>
      </c>
      <c r="F1112" s="53"/>
      <c r="G1112" s="54" t="n">
        <v>10</v>
      </c>
      <c r="H1112" s="52" t="n">
        <f aca="false">E1112*F1112</f>
        <v>0</v>
      </c>
      <c r="I1112" s="55" t="n">
        <v>11740</v>
      </c>
      <c r="J1112" s="56"/>
      <c r="K1112" s="57" t="n">
        <v>50</v>
      </c>
      <c r="L1112" s="22" t="s">
        <v>53</v>
      </c>
      <c r="M1112" s="22"/>
      <c r="N1112" s="58" t="n">
        <f aca="false">F1112*P1112</f>
        <v>0</v>
      </c>
      <c r="O1112" s="58" t="n">
        <f aca="false">F1112*Q1112</f>
        <v>0</v>
      </c>
      <c r="P1112" s="58" t="n">
        <v>1.51</v>
      </c>
      <c r="Q1112" s="58" t="n">
        <v>0.01</v>
      </c>
      <c r="R1112" s="59"/>
      <c r="S1112" s="22"/>
      <c r="T1112" s="11" t="str">
        <f aca="false">"16.12.25"</f>
        <v>16.12.25</v>
      </c>
    </row>
    <row r="1113" customFormat="false" ht="7.5" hidden="false" customHeight="true" outlineLevel="2" collapsed="false">
      <c r="A1113" s="48"/>
      <c r="B1113" s="49" t="s">
        <v>3688</v>
      </c>
      <c r="C1113" s="50" t="s">
        <v>3689</v>
      </c>
      <c r="D1113" s="51"/>
      <c r="E1113" s="52" t="n">
        <f aca="false">I1113*(1-J1113)*(100-E1)/100</f>
        <v>5625.6</v>
      </c>
      <c r="F1113" s="53"/>
      <c r="G1113" s="54"/>
      <c r="H1113" s="52" t="n">
        <f aca="false">E1113*F1113</f>
        <v>0</v>
      </c>
      <c r="I1113" s="55" t="n">
        <v>8790</v>
      </c>
      <c r="J1113" s="56"/>
      <c r="K1113" s="57" t="n">
        <v>1</v>
      </c>
      <c r="L1113" s="22" t="s">
        <v>53</v>
      </c>
      <c r="M1113" s="22"/>
      <c r="N1113" s="58" t="n">
        <f aca="false">F1113*P1113</f>
        <v>0</v>
      </c>
      <c r="O1113" s="58" t="n">
        <f aca="false">F1113*Q1113</f>
        <v>0</v>
      </c>
      <c r="P1113" s="58" t="n">
        <v>2.95</v>
      </c>
      <c r="Q1113" s="58" t="n">
        <v>0.011</v>
      </c>
      <c r="R1113" s="59"/>
      <c r="S1113" s="22"/>
      <c r="T1113" s="11" t="str">
        <f aca="false">"16.12.25"</f>
        <v>16.12.25</v>
      </c>
    </row>
    <row r="1114" customFormat="false" ht="7.5" hidden="false" customHeight="true" outlineLevel="2" collapsed="false">
      <c r="A1114" s="48"/>
      <c r="B1114" s="49" t="s">
        <v>3690</v>
      </c>
      <c r="C1114" s="50" t="s">
        <v>3691</v>
      </c>
      <c r="D1114" s="51"/>
      <c r="E1114" s="52" t="n">
        <f aca="false">I1114*(1-J1114)*(100-E1)/100</f>
        <v>7686.4</v>
      </c>
      <c r="F1114" s="53"/>
      <c r="G1114" s="54"/>
      <c r="H1114" s="52" t="n">
        <f aca="false">E1114*F1114</f>
        <v>0</v>
      </c>
      <c r="I1114" s="55" t="n">
        <v>12010</v>
      </c>
      <c r="J1114" s="56"/>
      <c r="K1114" s="57" t="n">
        <v>14</v>
      </c>
      <c r="L1114" s="22" t="s">
        <v>53</v>
      </c>
      <c r="M1114" s="22"/>
      <c r="N1114" s="58" t="n">
        <f aca="false">F1114*P1114</f>
        <v>0</v>
      </c>
      <c r="O1114" s="58" t="n">
        <f aca="false">F1114*Q1114</f>
        <v>0</v>
      </c>
      <c r="P1114" s="58"/>
      <c r="Q1114" s="58"/>
      <c r="R1114" s="59"/>
      <c r="S1114" s="22"/>
      <c r="T1114" s="11" t="str">
        <f aca="false">"16.12.25"</f>
        <v>16.12.25</v>
      </c>
    </row>
    <row r="1115" customFormat="false" ht="7.5" hidden="false" customHeight="true" outlineLevel="2" collapsed="false">
      <c r="A1115" s="48"/>
      <c r="B1115" s="49" t="s">
        <v>3692</v>
      </c>
      <c r="C1115" s="50" t="s">
        <v>3693</v>
      </c>
      <c r="D1115" s="51"/>
      <c r="E1115" s="52" t="n">
        <f aca="false">I1115*(1-J1115)*(100-E1)/100</f>
        <v>9542.4</v>
      </c>
      <c r="F1115" s="53"/>
      <c r="G1115" s="54"/>
      <c r="H1115" s="52" t="n">
        <f aca="false">E1115*F1115</f>
        <v>0</v>
      </c>
      <c r="I1115" s="55" t="n">
        <v>14910</v>
      </c>
      <c r="J1115" s="56"/>
      <c r="K1115" s="57" t="n">
        <v>33</v>
      </c>
      <c r="L1115" s="22" t="s">
        <v>53</v>
      </c>
      <c r="M1115" s="22"/>
      <c r="N1115" s="58" t="n">
        <f aca="false">F1115*P1115</f>
        <v>0</v>
      </c>
      <c r="O1115" s="58" t="n">
        <f aca="false">F1115*Q1115</f>
        <v>0</v>
      </c>
      <c r="P1115" s="58" t="n">
        <v>2.9</v>
      </c>
      <c r="Q1115" s="58" t="n">
        <v>0.014</v>
      </c>
      <c r="R1115" s="59"/>
      <c r="S1115" s="22"/>
      <c r="T1115" s="11" t="str">
        <f aca="false">"16.12.25"</f>
        <v>16.12.25</v>
      </c>
    </row>
    <row r="1116" customFormat="false" ht="7.5" hidden="false" customHeight="true" outlineLevel="2" collapsed="false">
      <c r="A1116" s="48"/>
      <c r="B1116" s="49" t="s">
        <v>3694</v>
      </c>
      <c r="C1116" s="50" t="s">
        <v>3695</v>
      </c>
      <c r="D1116" s="51"/>
      <c r="E1116" s="52" t="n">
        <f aca="false">I1116*(1-J1116)*(100-E1)/100</f>
        <v>14316.8</v>
      </c>
      <c r="F1116" s="53"/>
      <c r="G1116" s="54"/>
      <c r="H1116" s="52" t="n">
        <f aca="false">E1116*F1116</f>
        <v>0</v>
      </c>
      <c r="I1116" s="55" t="n">
        <v>22370</v>
      </c>
      <c r="J1116" s="56"/>
      <c r="K1116" s="57" t="n">
        <v>17</v>
      </c>
      <c r="L1116" s="22" t="s">
        <v>53</v>
      </c>
      <c r="M1116" s="22"/>
      <c r="N1116" s="58" t="n">
        <f aca="false">F1116*P1116</f>
        <v>0</v>
      </c>
      <c r="O1116" s="58" t="n">
        <f aca="false">F1116*Q1116</f>
        <v>0</v>
      </c>
      <c r="P1116" s="58" t="n">
        <v>2.9</v>
      </c>
      <c r="Q1116" s="58" t="n">
        <v>0.011</v>
      </c>
      <c r="R1116" s="59"/>
      <c r="S1116" s="22"/>
      <c r="T1116" s="11" t="str">
        <f aca="false">"16.12.25"</f>
        <v>16.12.25</v>
      </c>
    </row>
    <row r="1117" customFormat="false" ht="7.5" hidden="false" customHeight="true" outlineLevel="2" collapsed="false">
      <c r="A1117" s="48"/>
      <c r="B1117" s="49" t="s">
        <v>3696</v>
      </c>
      <c r="C1117" s="50" t="s">
        <v>3697</v>
      </c>
      <c r="D1117" s="51"/>
      <c r="E1117" s="52" t="n">
        <f aca="false">I1117*(1-J1117)*(100-E1)/100</f>
        <v>10854.4</v>
      </c>
      <c r="F1117" s="53"/>
      <c r="G1117" s="54"/>
      <c r="H1117" s="52" t="n">
        <f aca="false">E1117*F1117</f>
        <v>0</v>
      </c>
      <c r="I1117" s="55" t="n">
        <v>16960</v>
      </c>
      <c r="J1117" s="56"/>
      <c r="K1117" s="57" t="n">
        <v>29</v>
      </c>
      <c r="L1117" s="22" t="s">
        <v>53</v>
      </c>
      <c r="M1117" s="22"/>
      <c r="N1117" s="58" t="n">
        <f aca="false">F1117*P1117</f>
        <v>0</v>
      </c>
      <c r="O1117" s="58" t="n">
        <f aca="false">F1117*Q1117</f>
        <v>0</v>
      </c>
      <c r="P1117" s="58" t="n">
        <v>2.9</v>
      </c>
      <c r="Q1117" s="58" t="n">
        <v>0.014</v>
      </c>
      <c r="R1117" s="59"/>
      <c r="S1117" s="22"/>
      <c r="T1117" s="11" t="str">
        <f aca="false">"16.12.25"</f>
        <v>16.12.25</v>
      </c>
    </row>
    <row r="1118" customFormat="false" ht="7.5" hidden="false" customHeight="true" outlineLevel="2" collapsed="false">
      <c r="A1118" s="48"/>
      <c r="B1118" s="49" t="s">
        <v>3698</v>
      </c>
      <c r="C1118" s="50" t="s">
        <v>3699</v>
      </c>
      <c r="D1118" s="51"/>
      <c r="E1118" s="52" t="n">
        <f aca="false">I1118*(1-J1118)*(100-E1)/100</f>
        <v>11532.8</v>
      </c>
      <c r="F1118" s="53"/>
      <c r="G1118" s="54"/>
      <c r="H1118" s="52" t="n">
        <f aca="false">E1118*F1118</f>
        <v>0</v>
      </c>
      <c r="I1118" s="55" t="n">
        <v>18020</v>
      </c>
      <c r="J1118" s="56"/>
      <c r="K1118" s="57" t="n">
        <v>5</v>
      </c>
      <c r="L1118" s="22" t="s">
        <v>53</v>
      </c>
      <c r="M1118" s="22"/>
      <c r="N1118" s="58" t="n">
        <f aca="false">F1118*P1118</f>
        <v>0</v>
      </c>
      <c r="O1118" s="58" t="n">
        <f aca="false">F1118*Q1118</f>
        <v>0</v>
      </c>
      <c r="P1118" s="58" t="n">
        <v>2.9</v>
      </c>
      <c r="Q1118" s="58" t="n">
        <v>0.011</v>
      </c>
      <c r="R1118" s="59"/>
      <c r="S1118" s="22"/>
      <c r="T1118" s="11" t="str">
        <f aca="false">"16.12.25"</f>
        <v>16.12.25</v>
      </c>
    </row>
    <row r="1119" customFormat="false" ht="7.5" hidden="false" customHeight="true" outlineLevel="2" collapsed="false">
      <c r="A1119" s="48"/>
      <c r="B1119" s="49" t="s">
        <v>3700</v>
      </c>
      <c r="C1119" s="50" t="s">
        <v>3701</v>
      </c>
      <c r="D1119" s="51"/>
      <c r="E1119" s="52" t="n">
        <f aca="false">I1119*(1-J1119)*(100-E1)/100</f>
        <v>2080</v>
      </c>
      <c r="F1119" s="53"/>
      <c r="G1119" s="54"/>
      <c r="H1119" s="52" t="n">
        <f aca="false">E1119*F1119</f>
        <v>0</v>
      </c>
      <c r="I1119" s="55" t="n">
        <v>3250</v>
      </c>
      <c r="J1119" s="56"/>
      <c r="K1119" s="57" t="n">
        <v>180</v>
      </c>
      <c r="L1119" s="22" t="s">
        <v>53</v>
      </c>
      <c r="M1119" s="22"/>
      <c r="N1119" s="58" t="n">
        <f aca="false">F1119*P1119</f>
        <v>0</v>
      </c>
      <c r="O1119" s="58" t="n">
        <f aca="false">F1119*Q1119</f>
        <v>0</v>
      </c>
      <c r="P1119" s="58"/>
      <c r="Q1119" s="58"/>
      <c r="R1119" s="59"/>
      <c r="S1119" s="22"/>
      <c r="T1119" s="11" t="str">
        <f aca="false">"16.12.25"</f>
        <v>16.12.25</v>
      </c>
    </row>
    <row r="1120" customFormat="false" ht="7.5" hidden="false" customHeight="true" outlineLevel="2" collapsed="false">
      <c r="A1120" s="48"/>
      <c r="B1120" s="49" t="s">
        <v>3702</v>
      </c>
      <c r="C1120" s="50" t="s">
        <v>3703</v>
      </c>
      <c r="D1120" s="51"/>
      <c r="E1120" s="52" t="n">
        <f aca="false">I1120*(1-J1120)*(100-E1)/100</f>
        <v>1984</v>
      </c>
      <c r="F1120" s="53"/>
      <c r="G1120" s="54"/>
      <c r="H1120" s="52" t="n">
        <f aca="false">E1120*F1120</f>
        <v>0</v>
      </c>
      <c r="I1120" s="55" t="n">
        <v>3100</v>
      </c>
      <c r="J1120" s="56"/>
      <c r="K1120" s="57" t="n">
        <v>90</v>
      </c>
      <c r="L1120" s="22" t="s">
        <v>53</v>
      </c>
      <c r="M1120" s="22"/>
      <c r="N1120" s="58" t="n">
        <f aca="false">F1120*P1120</f>
        <v>0</v>
      </c>
      <c r="O1120" s="58" t="n">
        <f aca="false">F1120*Q1120</f>
        <v>0</v>
      </c>
      <c r="P1120" s="58"/>
      <c r="Q1120" s="58"/>
      <c r="R1120" s="59"/>
      <c r="S1120" s="22"/>
      <c r="T1120" s="11" t="str">
        <f aca="false">"16.12.25"</f>
        <v>16.12.25</v>
      </c>
    </row>
    <row r="1121" customFormat="false" ht="7.5" hidden="false" customHeight="true" outlineLevel="2" collapsed="false">
      <c r="A1121" s="48"/>
      <c r="B1121" s="49" t="s">
        <v>3704</v>
      </c>
      <c r="C1121" s="50" t="s">
        <v>3705</v>
      </c>
      <c r="D1121" s="51"/>
      <c r="E1121" s="52" t="n">
        <f aca="false">I1121*(1-J1121)*(100-E1)/100</f>
        <v>2553.6</v>
      </c>
      <c r="F1121" s="53"/>
      <c r="G1121" s="54"/>
      <c r="H1121" s="52" t="n">
        <f aca="false">E1121*F1121</f>
        <v>0</v>
      </c>
      <c r="I1121" s="55" t="n">
        <v>3990</v>
      </c>
      <c r="J1121" s="56"/>
      <c r="K1121" s="57" t="n">
        <v>5</v>
      </c>
      <c r="L1121" s="22" t="s">
        <v>53</v>
      </c>
      <c r="M1121" s="22"/>
      <c r="N1121" s="58" t="n">
        <f aca="false">F1121*P1121</f>
        <v>0</v>
      </c>
      <c r="O1121" s="58" t="n">
        <f aca="false">F1121*Q1121</f>
        <v>0</v>
      </c>
      <c r="P1121" s="58"/>
      <c r="Q1121" s="58"/>
      <c r="R1121" s="59"/>
      <c r="S1121" s="22"/>
      <c r="T1121" s="11" t="str">
        <f aca="false">"16.12.25"</f>
        <v>16.12.25</v>
      </c>
    </row>
    <row r="1122" customFormat="false" ht="7.5" hidden="false" customHeight="true" outlineLevel="2" collapsed="false">
      <c r="A1122" s="48"/>
      <c r="B1122" s="49" t="s">
        <v>3706</v>
      </c>
      <c r="C1122" s="50" t="s">
        <v>3707</v>
      </c>
      <c r="D1122" s="51"/>
      <c r="E1122" s="52" t="n">
        <f aca="false">I1122*(1-J1122)*(100-E1)/100</f>
        <v>3180.8</v>
      </c>
      <c r="F1122" s="53"/>
      <c r="G1122" s="54"/>
      <c r="H1122" s="52" t="n">
        <f aca="false">E1122*F1122</f>
        <v>0</v>
      </c>
      <c r="I1122" s="55" t="n">
        <v>4970</v>
      </c>
      <c r="J1122" s="56"/>
      <c r="K1122" s="57" t="n">
        <v>1</v>
      </c>
      <c r="L1122" s="22" t="s">
        <v>53</v>
      </c>
      <c r="M1122" s="22"/>
      <c r="N1122" s="58" t="n">
        <f aca="false">F1122*P1122</f>
        <v>0</v>
      </c>
      <c r="O1122" s="58" t="n">
        <f aca="false">F1122*Q1122</f>
        <v>0</v>
      </c>
      <c r="P1122" s="58"/>
      <c r="Q1122" s="58"/>
      <c r="R1122" s="59"/>
      <c r="S1122" s="22"/>
      <c r="T1122" s="11" t="str">
        <f aca="false">"16.12.25"</f>
        <v>16.12.25</v>
      </c>
    </row>
    <row r="1123" customFormat="false" ht="7.5" hidden="false" customHeight="true" outlineLevel="2" collapsed="false">
      <c r="A1123" s="48"/>
      <c r="B1123" s="49" t="s">
        <v>3708</v>
      </c>
      <c r="C1123" s="50" t="s">
        <v>3709</v>
      </c>
      <c r="D1123" s="51"/>
      <c r="E1123" s="52" t="n">
        <f aca="false">I1123*(1-J1123)*(100-E1)/100</f>
        <v>2988.8</v>
      </c>
      <c r="F1123" s="53"/>
      <c r="G1123" s="54"/>
      <c r="H1123" s="52" t="n">
        <f aca="false">E1123*F1123</f>
        <v>0</v>
      </c>
      <c r="I1123" s="55" t="n">
        <v>4670</v>
      </c>
      <c r="J1123" s="56"/>
      <c r="K1123" s="57" t="n">
        <v>2</v>
      </c>
      <c r="L1123" s="22" t="s">
        <v>53</v>
      </c>
      <c r="M1123" s="22"/>
      <c r="N1123" s="58" t="n">
        <f aca="false">F1123*P1123</f>
        <v>0</v>
      </c>
      <c r="O1123" s="58" t="n">
        <f aca="false">F1123*Q1123</f>
        <v>0</v>
      </c>
      <c r="P1123" s="58" t="n">
        <v>2.7</v>
      </c>
      <c r="Q1123" s="58" t="n">
        <v>0.011</v>
      </c>
      <c r="R1123" s="59"/>
      <c r="S1123" s="22"/>
      <c r="T1123" s="11" t="str">
        <f aca="false">"16.12.25"</f>
        <v>16.12.25</v>
      </c>
    </row>
    <row r="1124" customFormat="false" ht="7.5" hidden="false" customHeight="true" outlineLevel="2" collapsed="false">
      <c r="A1124" s="48"/>
      <c r="B1124" s="49" t="s">
        <v>3710</v>
      </c>
      <c r="C1124" s="50" t="s">
        <v>3711</v>
      </c>
      <c r="D1124" s="51"/>
      <c r="E1124" s="52" t="n">
        <f aca="false">I1124*(1-J1124)*(100-E1)/100</f>
        <v>3417.6</v>
      </c>
      <c r="F1124" s="53"/>
      <c r="G1124" s="54" t="n">
        <v>10</v>
      </c>
      <c r="H1124" s="52" t="n">
        <f aca="false">E1124*F1124</f>
        <v>0</v>
      </c>
      <c r="I1124" s="55" t="n">
        <v>5340</v>
      </c>
      <c r="J1124" s="56"/>
      <c r="K1124" s="57" t="n">
        <v>300</v>
      </c>
      <c r="L1124" s="22" t="s">
        <v>53</v>
      </c>
      <c r="M1124" s="22"/>
      <c r="N1124" s="58" t="n">
        <f aca="false">F1124*P1124</f>
        <v>0</v>
      </c>
      <c r="O1124" s="58" t="n">
        <f aca="false">F1124*Q1124</f>
        <v>0</v>
      </c>
      <c r="P1124" s="58" t="n">
        <v>1.51</v>
      </c>
      <c r="Q1124" s="58" t="n">
        <v>0.01</v>
      </c>
      <c r="R1124" s="59"/>
      <c r="S1124" s="22"/>
      <c r="T1124" s="11" t="str">
        <f aca="false">"16.12.25"</f>
        <v>16.12.25</v>
      </c>
    </row>
    <row r="1125" customFormat="false" ht="7.5" hidden="false" customHeight="true" outlineLevel="2" collapsed="false">
      <c r="A1125" s="48"/>
      <c r="B1125" s="49" t="s">
        <v>3712</v>
      </c>
      <c r="C1125" s="50" t="s">
        <v>3713</v>
      </c>
      <c r="D1125" s="51"/>
      <c r="E1125" s="52" t="n">
        <f aca="false">I1125*(1-J1125)*(100-E1)/100</f>
        <v>3411.2</v>
      </c>
      <c r="F1125" s="53"/>
      <c r="G1125" s="54"/>
      <c r="H1125" s="52" t="n">
        <f aca="false">E1125*F1125</f>
        <v>0</v>
      </c>
      <c r="I1125" s="55" t="n">
        <v>5330</v>
      </c>
      <c r="J1125" s="56"/>
      <c r="K1125" s="57" t="n">
        <v>166</v>
      </c>
      <c r="L1125" s="22" t="s">
        <v>53</v>
      </c>
      <c r="M1125" s="22"/>
      <c r="N1125" s="58" t="n">
        <f aca="false">F1125*P1125</f>
        <v>0</v>
      </c>
      <c r="O1125" s="58" t="n">
        <f aca="false">F1125*Q1125</f>
        <v>0</v>
      </c>
      <c r="P1125" s="58" t="n">
        <v>2.26</v>
      </c>
      <c r="Q1125" s="58" t="n">
        <v>0.08</v>
      </c>
      <c r="R1125" s="59"/>
      <c r="S1125" s="22"/>
      <c r="T1125" s="11" t="str">
        <f aca="false">"16.12.25"</f>
        <v>16.12.25</v>
      </c>
    </row>
    <row r="1126" customFormat="false" ht="7.5" hidden="false" customHeight="true" outlineLevel="2" collapsed="false">
      <c r="A1126" s="48"/>
      <c r="B1126" s="49" t="s">
        <v>3714</v>
      </c>
      <c r="C1126" s="50" t="s">
        <v>3715</v>
      </c>
      <c r="D1126" s="51"/>
      <c r="E1126" s="52" t="n">
        <f aca="false">I1126*(1-J1126)*(100-E1)/100</f>
        <v>3417.6</v>
      </c>
      <c r="F1126" s="53"/>
      <c r="G1126" s="54" t="n">
        <v>10</v>
      </c>
      <c r="H1126" s="52" t="n">
        <f aca="false">E1126*F1126</f>
        <v>0</v>
      </c>
      <c r="I1126" s="55" t="n">
        <v>5340</v>
      </c>
      <c r="J1126" s="56"/>
      <c r="K1126" s="57" t="n">
        <v>96</v>
      </c>
      <c r="L1126" s="22" t="s">
        <v>53</v>
      </c>
      <c r="M1126" s="22"/>
      <c r="N1126" s="58" t="n">
        <f aca="false">F1126*P1126</f>
        <v>0</v>
      </c>
      <c r="O1126" s="58" t="n">
        <f aca="false">F1126*Q1126</f>
        <v>0</v>
      </c>
      <c r="P1126" s="58" t="n">
        <v>1.51</v>
      </c>
      <c r="Q1126" s="58" t="n">
        <v>0.01</v>
      </c>
      <c r="R1126" s="59"/>
      <c r="S1126" s="22"/>
      <c r="T1126" s="11" t="str">
        <f aca="false">"16.12.25"</f>
        <v>16.12.25</v>
      </c>
    </row>
    <row r="1127" customFormat="false" ht="7.5" hidden="false" customHeight="true" outlineLevel="2" collapsed="false">
      <c r="A1127" s="48"/>
      <c r="B1127" s="49" t="s">
        <v>3716</v>
      </c>
      <c r="C1127" s="50" t="s">
        <v>3717</v>
      </c>
      <c r="D1127" s="51"/>
      <c r="E1127" s="52" t="n">
        <f aca="false">I1127*(1-J1127)*(100-E1)/100</f>
        <v>19.2</v>
      </c>
      <c r="F1127" s="53"/>
      <c r="G1127" s="54"/>
      <c r="H1127" s="52" t="n">
        <f aca="false">E1127*F1127</f>
        <v>0</v>
      </c>
      <c r="I1127" s="55" t="n">
        <v>30</v>
      </c>
      <c r="J1127" s="56"/>
      <c r="K1127" s="57" t="n">
        <v>110</v>
      </c>
      <c r="L1127" s="22" t="s">
        <v>53</v>
      </c>
      <c r="M1127" s="22"/>
      <c r="N1127" s="58" t="n">
        <f aca="false">F1127*P1127</f>
        <v>0</v>
      </c>
      <c r="O1127" s="58" t="n">
        <f aca="false">F1127*Q1127</f>
        <v>0</v>
      </c>
      <c r="P1127" s="58"/>
      <c r="Q1127" s="58"/>
      <c r="R1127" s="59"/>
      <c r="S1127" s="22"/>
      <c r="T1127" s="11" t="str">
        <f aca="false">"16.12.25"</f>
        <v>16.12.25</v>
      </c>
    </row>
    <row r="1128" customFormat="false" ht="7.5" hidden="false" customHeight="true" outlineLevel="2" collapsed="false">
      <c r="A1128" s="48"/>
      <c r="B1128" s="49" t="s">
        <v>3718</v>
      </c>
      <c r="C1128" s="50" t="s">
        <v>3719</v>
      </c>
      <c r="D1128" s="51"/>
      <c r="E1128" s="52" t="n">
        <f aca="false">I1128*(1-J1128)*(100-E1)/100</f>
        <v>19.2</v>
      </c>
      <c r="F1128" s="53"/>
      <c r="G1128" s="54"/>
      <c r="H1128" s="52" t="n">
        <f aca="false">E1128*F1128</f>
        <v>0</v>
      </c>
      <c r="I1128" s="55" t="n">
        <v>30</v>
      </c>
      <c r="J1128" s="56"/>
      <c r="K1128" s="57" t="n">
        <v>40</v>
      </c>
      <c r="L1128" s="22" t="s">
        <v>53</v>
      </c>
      <c r="M1128" s="22"/>
      <c r="N1128" s="58" t="n">
        <f aca="false">F1128*P1128</f>
        <v>0</v>
      </c>
      <c r="O1128" s="58" t="n">
        <f aca="false">F1128*Q1128</f>
        <v>0</v>
      </c>
      <c r="P1128" s="58"/>
      <c r="Q1128" s="58"/>
      <c r="R1128" s="59"/>
      <c r="S1128" s="22"/>
      <c r="T1128" s="11" t="str">
        <f aca="false">"16.12.25"</f>
        <v>16.12.25</v>
      </c>
    </row>
    <row r="1129" customFormat="false" ht="7.5" hidden="false" customHeight="true" outlineLevel="2" collapsed="false">
      <c r="A1129" s="48"/>
      <c r="B1129" s="49" t="s">
        <v>3720</v>
      </c>
      <c r="C1129" s="50" t="s">
        <v>3721</v>
      </c>
      <c r="D1129" s="51"/>
      <c r="E1129" s="52" t="n">
        <f aca="false">I1129*(1-J1129)*(100-E1)/100</f>
        <v>19.2</v>
      </c>
      <c r="F1129" s="53"/>
      <c r="G1129" s="54"/>
      <c r="H1129" s="52" t="n">
        <f aca="false">E1129*F1129</f>
        <v>0</v>
      </c>
      <c r="I1129" s="55" t="n">
        <v>30</v>
      </c>
      <c r="J1129" s="56"/>
      <c r="K1129" s="57" t="n">
        <v>10</v>
      </c>
      <c r="L1129" s="22" t="s">
        <v>53</v>
      </c>
      <c r="M1129" s="22"/>
      <c r="N1129" s="58" t="n">
        <f aca="false">F1129*P1129</f>
        <v>0</v>
      </c>
      <c r="O1129" s="58" t="n">
        <f aca="false">F1129*Q1129</f>
        <v>0</v>
      </c>
      <c r="P1129" s="58"/>
      <c r="Q1129" s="58"/>
      <c r="R1129" s="59"/>
      <c r="S1129" s="22"/>
      <c r="T1129" s="11" t="str">
        <f aca="false">"16.12.25"</f>
        <v>16.12.25</v>
      </c>
    </row>
    <row r="1130" customFormat="false" ht="7.5" hidden="false" customHeight="true" outlineLevel="2" collapsed="false">
      <c r="A1130" s="48"/>
      <c r="B1130" s="49" t="s">
        <v>3722</v>
      </c>
      <c r="C1130" s="50" t="s">
        <v>3723</v>
      </c>
      <c r="D1130" s="51"/>
      <c r="E1130" s="52" t="n">
        <f aca="false">I1130*(1-J1130)*(100-E1)/100</f>
        <v>710.4</v>
      </c>
      <c r="F1130" s="53"/>
      <c r="G1130" s="54"/>
      <c r="H1130" s="52" t="n">
        <f aca="false">E1130*F1130</f>
        <v>0</v>
      </c>
      <c r="I1130" s="55" t="n">
        <v>1110</v>
      </c>
      <c r="J1130" s="56"/>
      <c r="K1130" s="57" t="n">
        <v>3</v>
      </c>
      <c r="L1130" s="22" t="s">
        <v>53</v>
      </c>
      <c r="M1130" s="22"/>
      <c r="N1130" s="58" t="n">
        <f aca="false">F1130*P1130</f>
        <v>0</v>
      </c>
      <c r="O1130" s="58" t="n">
        <f aca="false">F1130*Q1130</f>
        <v>0</v>
      </c>
      <c r="P1130" s="58"/>
      <c r="Q1130" s="58"/>
      <c r="R1130" s="59"/>
      <c r="S1130" s="22"/>
      <c r="T1130" s="11" t="str">
        <f aca="false">"16.12.25"</f>
        <v>16.12.25</v>
      </c>
    </row>
    <row r="1131" customFormat="false" ht="7.5" hidden="false" customHeight="true" outlineLevel="2" collapsed="false">
      <c r="A1131" s="48"/>
      <c r="B1131" s="49" t="s">
        <v>3724</v>
      </c>
      <c r="C1131" s="50" t="s">
        <v>3725</v>
      </c>
      <c r="D1131" s="51"/>
      <c r="E1131" s="52" t="n">
        <f aca="false">I1131*(1-J1131)*(100-E1)/100</f>
        <v>371.2</v>
      </c>
      <c r="F1131" s="53"/>
      <c r="G1131" s="54" t="n">
        <v>20</v>
      </c>
      <c r="H1131" s="52" t="n">
        <f aca="false">E1131*F1131</f>
        <v>0</v>
      </c>
      <c r="I1131" s="55" t="n">
        <v>580</v>
      </c>
      <c r="J1131" s="56"/>
      <c r="K1131" s="57" t="n">
        <v>6611</v>
      </c>
      <c r="L1131" s="22" t="s">
        <v>3726</v>
      </c>
      <c r="M1131" s="22"/>
      <c r="N1131" s="58" t="n">
        <f aca="false">F1131*P1131</f>
        <v>0</v>
      </c>
      <c r="O1131" s="58" t="n">
        <f aca="false">F1131*Q1131</f>
        <v>0</v>
      </c>
      <c r="P1131" s="58" t="n">
        <v>1.122</v>
      </c>
      <c r="Q1131" s="58" t="n">
        <v>0.001</v>
      </c>
      <c r="R1131" s="59" t="s">
        <v>3727</v>
      </c>
      <c r="S1131" s="22"/>
      <c r="T1131" s="11" t="str">
        <f aca="false">"16.12.25"</f>
        <v>16.12.25</v>
      </c>
    </row>
    <row r="1132" customFormat="false" ht="7.5" hidden="false" customHeight="true" outlineLevel="2" collapsed="false">
      <c r="A1132" s="48"/>
      <c r="B1132" s="49" t="s">
        <v>3728</v>
      </c>
      <c r="C1132" s="50" t="s">
        <v>3729</v>
      </c>
      <c r="D1132" s="51"/>
      <c r="E1132" s="52" t="n">
        <f aca="false">I1132*(1-J1132)*(100-E1)/100</f>
        <v>332.8</v>
      </c>
      <c r="F1132" s="53"/>
      <c r="G1132" s="54" t="n">
        <v>20</v>
      </c>
      <c r="H1132" s="52" t="n">
        <f aca="false">E1132*F1132</f>
        <v>0</v>
      </c>
      <c r="I1132" s="55" t="n">
        <v>520</v>
      </c>
      <c r="J1132" s="56"/>
      <c r="K1132" s="57" t="n">
        <v>0</v>
      </c>
      <c r="L1132" s="22" t="s">
        <v>3726</v>
      </c>
      <c r="M1132" s="22"/>
      <c r="N1132" s="58" t="n">
        <f aca="false">F1132*P1132</f>
        <v>0</v>
      </c>
      <c r="O1132" s="58" t="n">
        <f aca="false">F1132*Q1132</f>
        <v>0</v>
      </c>
      <c r="P1132" s="58" t="n">
        <v>1.124</v>
      </c>
      <c r="Q1132" s="58" t="n">
        <v>0.002</v>
      </c>
      <c r="R1132" s="59" t="s">
        <v>3730</v>
      </c>
      <c r="S1132" s="22"/>
      <c r="T1132" s="11" t="str">
        <f aca="false">"16.12.25"</f>
        <v>16.12.25</v>
      </c>
    </row>
    <row r="1133" customFormat="false" ht="7.5" hidden="false" customHeight="true" outlineLevel="2" collapsed="false">
      <c r="A1133" s="48"/>
      <c r="B1133" s="49" t="s">
        <v>3731</v>
      </c>
      <c r="C1133" s="50" t="s">
        <v>3732</v>
      </c>
      <c r="D1133" s="51"/>
      <c r="E1133" s="52" t="n">
        <f aca="false">I1133*(1-J1133)*(100-E1)/100</f>
        <v>992</v>
      </c>
      <c r="F1133" s="53"/>
      <c r="G1133" s="54" t="n">
        <v>20</v>
      </c>
      <c r="H1133" s="52" t="n">
        <f aca="false">E1133*F1133</f>
        <v>0</v>
      </c>
      <c r="I1133" s="55" t="n">
        <v>1550</v>
      </c>
      <c r="J1133" s="56"/>
      <c r="K1133" s="57" t="n">
        <v>20</v>
      </c>
      <c r="L1133" s="22" t="s">
        <v>3726</v>
      </c>
      <c r="M1133" s="22"/>
      <c r="N1133" s="58" t="n">
        <f aca="false">F1133*P1133</f>
        <v>0</v>
      </c>
      <c r="O1133" s="58" t="n">
        <f aca="false">F1133*Q1133</f>
        <v>0</v>
      </c>
      <c r="P1133" s="58" t="n">
        <v>5.43</v>
      </c>
      <c r="Q1133" s="58" t="n">
        <v>0.64</v>
      </c>
      <c r="R1133" s="59"/>
      <c r="S1133" s="22"/>
      <c r="T1133" s="11" t="str">
        <f aca="false">"16.12.25"</f>
        <v>16.12.25</v>
      </c>
    </row>
    <row r="1134" customFormat="false" ht="7.5" hidden="false" customHeight="true" outlineLevel="2" collapsed="false">
      <c r="A1134" s="48"/>
      <c r="B1134" s="49" t="s">
        <v>3733</v>
      </c>
      <c r="C1134" s="50" t="s">
        <v>3734</v>
      </c>
      <c r="D1134" s="51"/>
      <c r="E1134" s="52" t="n">
        <f aca="false">I1134*(1-J1134)*(100-E1)/100</f>
        <v>972.8</v>
      </c>
      <c r="F1134" s="53"/>
      <c r="G1134" s="54" t="n">
        <v>20</v>
      </c>
      <c r="H1134" s="52" t="n">
        <f aca="false">E1134*F1134</f>
        <v>0</v>
      </c>
      <c r="I1134" s="55" t="n">
        <v>1520</v>
      </c>
      <c r="J1134" s="56"/>
      <c r="K1134" s="57" t="n">
        <v>0</v>
      </c>
      <c r="L1134" s="22" t="s">
        <v>3726</v>
      </c>
      <c r="M1134" s="22"/>
      <c r="N1134" s="58" t="n">
        <f aca="false">F1134*P1134</f>
        <v>0</v>
      </c>
      <c r="O1134" s="58" t="n">
        <f aca="false">F1134*Q1134</f>
        <v>0</v>
      </c>
      <c r="P1134" s="58" t="n">
        <v>5.43</v>
      </c>
      <c r="Q1134" s="58" t="n">
        <v>0.64</v>
      </c>
      <c r="R1134" s="59"/>
      <c r="S1134" s="22"/>
      <c r="T1134" s="11" t="str">
        <f aca="false">"16.12.25"</f>
        <v>16.12.25</v>
      </c>
    </row>
    <row r="1135" customFormat="false" ht="7.5" hidden="false" customHeight="true" outlineLevel="2" collapsed="false">
      <c r="A1135" s="48"/>
      <c r="B1135" s="49" t="s">
        <v>3735</v>
      </c>
      <c r="C1135" s="50" t="s">
        <v>3736</v>
      </c>
      <c r="D1135" s="51"/>
      <c r="E1135" s="52" t="n">
        <f aca="false">I1135*(1-J1135)*(100-E1)/100</f>
        <v>44.8</v>
      </c>
      <c r="F1135" s="53"/>
      <c r="G1135" s="54" t="n">
        <v>400</v>
      </c>
      <c r="H1135" s="52" t="n">
        <f aca="false">E1135*F1135</f>
        <v>0</v>
      </c>
      <c r="I1135" s="55" t="n">
        <v>70</v>
      </c>
      <c r="J1135" s="56"/>
      <c r="K1135" s="57" t="n">
        <v>1433</v>
      </c>
      <c r="L1135" s="22" t="s">
        <v>44</v>
      </c>
      <c r="M1135" s="22"/>
      <c r="N1135" s="58" t="n">
        <f aca="false">F1135*P1135</f>
        <v>0</v>
      </c>
      <c r="O1135" s="58" t="n">
        <f aca="false">F1135*Q1135</f>
        <v>0</v>
      </c>
      <c r="P1135" s="58" t="n">
        <v>0.04</v>
      </c>
      <c r="Q1135" s="58" t="n">
        <v>0.001</v>
      </c>
      <c r="R1135" s="59"/>
      <c r="S1135" s="22"/>
      <c r="T1135" s="11" t="str">
        <f aca="false">"16.12.25"</f>
        <v>16.12.25</v>
      </c>
    </row>
    <row r="1136" customFormat="false" ht="7.5" hidden="false" customHeight="true" outlineLevel="2" collapsed="false">
      <c r="A1136" s="48"/>
      <c r="B1136" s="49" t="s">
        <v>3737</v>
      </c>
      <c r="C1136" s="50" t="s">
        <v>3738</v>
      </c>
      <c r="D1136" s="51"/>
      <c r="E1136" s="52" t="n">
        <f aca="false">I1136*(1-J1136)*(100-E1)/100</f>
        <v>89.6</v>
      </c>
      <c r="F1136" s="53"/>
      <c r="G1136" s="54" t="n">
        <v>200</v>
      </c>
      <c r="H1136" s="52" t="n">
        <f aca="false">E1136*F1136</f>
        <v>0</v>
      </c>
      <c r="I1136" s="55" t="n">
        <v>140</v>
      </c>
      <c r="J1136" s="56"/>
      <c r="K1136" s="57" t="n">
        <v>3467</v>
      </c>
      <c r="L1136" s="22" t="s">
        <v>44</v>
      </c>
      <c r="M1136" s="22"/>
      <c r="N1136" s="58" t="n">
        <f aca="false">F1136*P1136</f>
        <v>0</v>
      </c>
      <c r="O1136" s="58" t="n">
        <f aca="false">F1136*Q1136</f>
        <v>0</v>
      </c>
      <c r="P1136" s="58" t="n">
        <v>0.08</v>
      </c>
      <c r="Q1136" s="58" t="n">
        <v>0.001</v>
      </c>
      <c r="R1136" s="59"/>
      <c r="S1136" s="22"/>
      <c r="T1136" s="11" t="str">
        <f aca="false">"16.12.25"</f>
        <v>16.12.25</v>
      </c>
    </row>
    <row r="1137" customFormat="false" ht="7.5" hidden="false" customHeight="true" outlineLevel="2" collapsed="false">
      <c r="A1137" s="48"/>
      <c r="B1137" s="49" t="s">
        <v>3739</v>
      </c>
      <c r="C1137" s="50" t="s">
        <v>3740</v>
      </c>
      <c r="D1137" s="51"/>
      <c r="E1137" s="52" t="n">
        <f aca="false">I1137*(1-J1137)*(100-E1)/100</f>
        <v>1894.4</v>
      </c>
      <c r="F1137" s="53"/>
      <c r="G1137" s="54"/>
      <c r="H1137" s="52" t="n">
        <f aca="false">E1137*F1137</f>
        <v>0</v>
      </c>
      <c r="I1137" s="55" t="n">
        <v>2960</v>
      </c>
      <c r="J1137" s="56"/>
      <c r="K1137" s="57" t="n">
        <v>165</v>
      </c>
      <c r="L1137" s="22" t="s">
        <v>44</v>
      </c>
      <c r="M1137" s="22"/>
      <c r="N1137" s="58" t="n">
        <f aca="false">F1137*P1137</f>
        <v>0</v>
      </c>
      <c r="O1137" s="58" t="n">
        <f aca="false">F1137*Q1137</f>
        <v>0</v>
      </c>
      <c r="P1137" s="58"/>
      <c r="Q1137" s="58"/>
      <c r="R1137" s="59"/>
      <c r="S1137" s="22"/>
      <c r="T1137" s="11" t="str">
        <f aca="false">"16.12.25"</f>
        <v>16.12.25</v>
      </c>
    </row>
    <row r="1138" customFormat="false" ht="7.5" hidden="false" customHeight="true" outlineLevel="2" collapsed="false">
      <c r="A1138" s="48"/>
      <c r="B1138" s="49" t="s">
        <v>3741</v>
      </c>
      <c r="C1138" s="50" t="s">
        <v>3742</v>
      </c>
      <c r="D1138" s="51"/>
      <c r="E1138" s="52" t="n">
        <f aca="false">I1138*(1-J1138)*(100-E1)/100</f>
        <v>83.2</v>
      </c>
      <c r="F1138" s="53"/>
      <c r="G1138" s="54"/>
      <c r="H1138" s="52" t="n">
        <f aca="false">E1138*F1138</f>
        <v>0</v>
      </c>
      <c r="I1138" s="55" t="n">
        <v>130</v>
      </c>
      <c r="J1138" s="56"/>
      <c r="K1138" s="57" t="n">
        <v>0</v>
      </c>
      <c r="L1138" s="22" t="s">
        <v>53</v>
      </c>
      <c r="M1138" s="22"/>
      <c r="N1138" s="58" t="n">
        <f aca="false">F1138*P1138</f>
        <v>0</v>
      </c>
      <c r="O1138" s="58" t="n">
        <f aca="false">F1138*Q1138</f>
        <v>0</v>
      </c>
      <c r="P1138" s="58" t="n">
        <v>0.05</v>
      </c>
      <c r="Q1138" s="58" t="n">
        <v>0.001</v>
      </c>
      <c r="R1138" s="59"/>
      <c r="S1138" s="22"/>
      <c r="T1138" s="11" t="str">
        <f aca="false">"16.12.25"</f>
        <v>16.12.25</v>
      </c>
    </row>
    <row r="1139" customFormat="false" ht="7.5" hidden="false" customHeight="true" outlineLevel="2" collapsed="false">
      <c r="A1139" s="48"/>
      <c r="B1139" s="49" t="s">
        <v>3743</v>
      </c>
      <c r="C1139" s="50" t="s">
        <v>3744</v>
      </c>
      <c r="D1139" s="51"/>
      <c r="E1139" s="52" t="n">
        <f aca="false">I1139*(1-J1139)*(100-E1)/100</f>
        <v>51.2</v>
      </c>
      <c r="F1139" s="53"/>
      <c r="G1139" s="54"/>
      <c r="H1139" s="52" t="n">
        <f aca="false">E1139*F1139</f>
        <v>0</v>
      </c>
      <c r="I1139" s="55" t="n">
        <v>80</v>
      </c>
      <c r="J1139" s="56"/>
      <c r="K1139" s="57" t="n">
        <v>794</v>
      </c>
      <c r="L1139" s="22" t="s">
        <v>53</v>
      </c>
      <c r="M1139" s="22"/>
      <c r="N1139" s="58" t="n">
        <f aca="false">F1139*P1139</f>
        <v>0</v>
      </c>
      <c r="O1139" s="58" t="n">
        <f aca="false">F1139*Q1139</f>
        <v>0</v>
      </c>
      <c r="P1139" s="58" t="n">
        <v>0.02</v>
      </c>
      <c r="Q1139" s="58" t="n">
        <v>0.001</v>
      </c>
      <c r="R1139" s="59"/>
      <c r="S1139" s="22"/>
      <c r="T1139" s="11" t="str">
        <f aca="false">"16.12.25"</f>
        <v>16.12.25</v>
      </c>
    </row>
    <row r="1140" customFormat="false" ht="7.5" hidden="false" customHeight="true" outlineLevel="2" collapsed="false">
      <c r="A1140" s="48"/>
      <c r="B1140" s="49" t="s">
        <v>3745</v>
      </c>
      <c r="C1140" s="50" t="s">
        <v>3746</v>
      </c>
      <c r="D1140" s="51"/>
      <c r="E1140" s="52" t="n">
        <f aca="false">I1140*(1-J1140)*(100-E1)/100</f>
        <v>51.2</v>
      </c>
      <c r="F1140" s="53"/>
      <c r="G1140" s="54"/>
      <c r="H1140" s="52" t="n">
        <f aca="false">E1140*F1140</f>
        <v>0</v>
      </c>
      <c r="I1140" s="55" t="n">
        <v>80</v>
      </c>
      <c r="J1140" s="56"/>
      <c r="K1140" s="57" t="n">
        <v>0</v>
      </c>
      <c r="L1140" s="22" t="s">
        <v>53</v>
      </c>
      <c r="M1140" s="22"/>
      <c r="N1140" s="58" t="n">
        <f aca="false">F1140*P1140</f>
        <v>0</v>
      </c>
      <c r="O1140" s="58" t="n">
        <f aca="false">F1140*Q1140</f>
        <v>0</v>
      </c>
      <c r="P1140" s="58" t="n">
        <v>0.02</v>
      </c>
      <c r="Q1140" s="58" t="n">
        <v>0.001</v>
      </c>
      <c r="R1140" s="59"/>
      <c r="S1140" s="22"/>
      <c r="T1140" s="11" t="str">
        <f aca="false">"16.12.25"</f>
        <v>16.12.25</v>
      </c>
    </row>
    <row r="1141" customFormat="false" ht="7.5" hidden="false" customHeight="true" outlineLevel="2" collapsed="false">
      <c r="A1141" s="48"/>
      <c r="B1141" s="49" t="s">
        <v>3747</v>
      </c>
      <c r="C1141" s="50" t="s">
        <v>3748</v>
      </c>
      <c r="D1141" s="51"/>
      <c r="E1141" s="52" t="n">
        <f aca="false">I1141*(1-J1141)*(100-E1)/100</f>
        <v>51.2</v>
      </c>
      <c r="F1141" s="53"/>
      <c r="G1141" s="54"/>
      <c r="H1141" s="52" t="n">
        <f aca="false">E1141*F1141</f>
        <v>0</v>
      </c>
      <c r="I1141" s="55" t="n">
        <v>80</v>
      </c>
      <c r="J1141" s="56"/>
      <c r="K1141" s="57" t="n">
        <v>0</v>
      </c>
      <c r="L1141" s="22" t="s">
        <v>53</v>
      </c>
      <c r="M1141" s="22"/>
      <c r="N1141" s="58" t="n">
        <f aca="false">F1141*P1141</f>
        <v>0</v>
      </c>
      <c r="O1141" s="58" t="n">
        <f aca="false">F1141*Q1141</f>
        <v>0</v>
      </c>
      <c r="P1141" s="58" t="n">
        <v>0.02</v>
      </c>
      <c r="Q1141" s="58" t="n">
        <v>0.001</v>
      </c>
      <c r="R1141" s="59"/>
      <c r="S1141" s="22"/>
      <c r="T1141" s="11" t="str">
        <f aca="false">"16.12.25"</f>
        <v>16.12.25</v>
      </c>
    </row>
    <row r="1142" customFormat="false" ht="7.5" hidden="false" customHeight="true" outlineLevel="2" collapsed="false">
      <c r="A1142" s="48"/>
      <c r="B1142" s="49" t="s">
        <v>3749</v>
      </c>
      <c r="C1142" s="50" t="s">
        <v>3750</v>
      </c>
      <c r="D1142" s="51"/>
      <c r="E1142" s="52" t="n">
        <f aca="false">I1142*(1-J1142)*(100-E1)/100</f>
        <v>51.2</v>
      </c>
      <c r="F1142" s="53"/>
      <c r="G1142" s="54"/>
      <c r="H1142" s="52" t="n">
        <f aca="false">E1142*F1142</f>
        <v>0</v>
      </c>
      <c r="I1142" s="55" t="n">
        <v>80</v>
      </c>
      <c r="J1142" s="56"/>
      <c r="K1142" s="57" t="n">
        <v>0</v>
      </c>
      <c r="L1142" s="22" t="s">
        <v>53</v>
      </c>
      <c r="M1142" s="22"/>
      <c r="N1142" s="58" t="n">
        <f aca="false">F1142*P1142</f>
        <v>0</v>
      </c>
      <c r="O1142" s="58" t="n">
        <f aca="false">F1142*Q1142</f>
        <v>0</v>
      </c>
      <c r="P1142" s="58" t="n">
        <v>0.02</v>
      </c>
      <c r="Q1142" s="58" t="n">
        <v>0.001</v>
      </c>
      <c r="R1142" s="59"/>
      <c r="S1142" s="22"/>
      <c r="T1142" s="11" t="str">
        <f aca="false">"16.12.25"</f>
        <v>16.12.25</v>
      </c>
    </row>
    <row r="1143" customFormat="false" ht="7.5" hidden="false" customHeight="true" outlineLevel="2" collapsed="false">
      <c r="A1143" s="48"/>
      <c r="B1143" s="49" t="s">
        <v>3751</v>
      </c>
      <c r="C1143" s="50" t="s">
        <v>3752</v>
      </c>
      <c r="D1143" s="51"/>
      <c r="E1143" s="52" t="n">
        <f aca="false">I1143*(1-J1143)*(100-E1)/100</f>
        <v>51.2</v>
      </c>
      <c r="F1143" s="53"/>
      <c r="G1143" s="54"/>
      <c r="H1143" s="52" t="n">
        <f aca="false">E1143*F1143</f>
        <v>0</v>
      </c>
      <c r="I1143" s="55" t="n">
        <v>80</v>
      </c>
      <c r="J1143" s="56"/>
      <c r="K1143" s="57" t="n">
        <v>0</v>
      </c>
      <c r="L1143" s="22" t="s">
        <v>53</v>
      </c>
      <c r="M1143" s="22"/>
      <c r="N1143" s="58" t="n">
        <f aca="false">F1143*P1143</f>
        <v>0</v>
      </c>
      <c r="O1143" s="58" t="n">
        <f aca="false">F1143*Q1143</f>
        <v>0</v>
      </c>
      <c r="P1143" s="58" t="n">
        <v>0.02</v>
      </c>
      <c r="Q1143" s="58" t="n">
        <v>0.001</v>
      </c>
      <c r="R1143" s="59"/>
      <c r="S1143" s="22"/>
      <c r="T1143" s="11" t="str">
        <f aca="false">"16.12.25"</f>
        <v>16.12.25</v>
      </c>
    </row>
    <row r="1144" customFormat="false" ht="7.5" hidden="false" customHeight="true" outlineLevel="2" collapsed="false">
      <c r="A1144" s="48"/>
      <c r="B1144" s="49" t="s">
        <v>3753</v>
      </c>
      <c r="C1144" s="50" t="s">
        <v>3754</v>
      </c>
      <c r="D1144" s="51"/>
      <c r="E1144" s="52" t="n">
        <f aca="false">I1144*(1-J1144)*(100-E1)/100</f>
        <v>51.2</v>
      </c>
      <c r="F1144" s="53"/>
      <c r="G1144" s="54"/>
      <c r="H1144" s="52" t="n">
        <f aca="false">E1144*F1144</f>
        <v>0</v>
      </c>
      <c r="I1144" s="55" t="n">
        <v>80</v>
      </c>
      <c r="J1144" s="56"/>
      <c r="K1144" s="57" t="n">
        <v>0</v>
      </c>
      <c r="L1144" s="22" t="s">
        <v>53</v>
      </c>
      <c r="M1144" s="22"/>
      <c r="N1144" s="58" t="n">
        <f aca="false">F1144*P1144</f>
        <v>0</v>
      </c>
      <c r="O1144" s="58" t="n">
        <f aca="false">F1144*Q1144</f>
        <v>0</v>
      </c>
      <c r="P1144" s="58" t="n">
        <v>0.02</v>
      </c>
      <c r="Q1144" s="58" t="n">
        <v>0.001</v>
      </c>
      <c r="R1144" s="59"/>
      <c r="S1144" s="22"/>
      <c r="T1144" s="11" t="str">
        <f aca="false">"16.12.25"</f>
        <v>16.12.25</v>
      </c>
    </row>
    <row r="1145" customFormat="false" ht="7.5" hidden="false" customHeight="true" outlineLevel="2" collapsed="false">
      <c r="A1145" s="48"/>
      <c r="B1145" s="49" t="s">
        <v>3755</v>
      </c>
      <c r="C1145" s="50" t="s">
        <v>3756</v>
      </c>
      <c r="D1145" s="51"/>
      <c r="E1145" s="52" t="n">
        <f aca="false">I1145*(1-J1145)*(100-E1)/100</f>
        <v>51.2</v>
      </c>
      <c r="F1145" s="53"/>
      <c r="G1145" s="54"/>
      <c r="H1145" s="52" t="n">
        <f aca="false">E1145*F1145</f>
        <v>0</v>
      </c>
      <c r="I1145" s="55" t="n">
        <v>80</v>
      </c>
      <c r="J1145" s="56"/>
      <c r="K1145" s="57" t="n">
        <v>47</v>
      </c>
      <c r="L1145" s="22" t="s">
        <v>53</v>
      </c>
      <c r="M1145" s="22"/>
      <c r="N1145" s="58" t="n">
        <f aca="false">F1145*P1145</f>
        <v>0</v>
      </c>
      <c r="O1145" s="58" t="n">
        <f aca="false">F1145*Q1145</f>
        <v>0</v>
      </c>
      <c r="P1145" s="58" t="n">
        <v>0.02</v>
      </c>
      <c r="Q1145" s="58" t="n">
        <v>0.001</v>
      </c>
      <c r="R1145" s="59"/>
      <c r="S1145" s="22"/>
      <c r="T1145" s="11" t="str">
        <f aca="false">"16.12.25"</f>
        <v>16.12.25</v>
      </c>
    </row>
    <row r="1146" customFormat="false" ht="7.5" hidden="false" customHeight="true" outlineLevel="2" collapsed="false">
      <c r="A1146" s="48"/>
      <c r="B1146" s="49" t="s">
        <v>3757</v>
      </c>
      <c r="C1146" s="50" t="s">
        <v>3758</v>
      </c>
      <c r="D1146" s="51"/>
      <c r="E1146" s="52" t="n">
        <f aca="false">I1146*(1-J1146)*(100-E1)/100</f>
        <v>172.8</v>
      </c>
      <c r="F1146" s="53"/>
      <c r="G1146" s="54" t="n">
        <v>150</v>
      </c>
      <c r="H1146" s="52" t="n">
        <f aca="false">E1146*F1146</f>
        <v>0</v>
      </c>
      <c r="I1146" s="55" t="n">
        <v>270</v>
      </c>
      <c r="J1146" s="56"/>
      <c r="K1146" s="57" t="n">
        <v>204</v>
      </c>
      <c r="L1146" s="22" t="s">
        <v>53</v>
      </c>
      <c r="M1146" s="22"/>
      <c r="N1146" s="58" t="n">
        <f aca="false">F1146*P1146</f>
        <v>0</v>
      </c>
      <c r="O1146" s="58" t="n">
        <f aca="false">F1146*Q1146</f>
        <v>0</v>
      </c>
      <c r="P1146" s="58" t="n">
        <v>0.07</v>
      </c>
      <c r="Q1146" s="58" t="n">
        <v>0.001</v>
      </c>
      <c r="R1146" s="59" t="s">
        <v>3759</v>
      </c>
      <c r="S1146" s="22"/>
      <c r="T1146" s="11" t="str">
        <f aca="false">"16.12.25"</f>
        <v>16.12.25</v>
      </c>
    </row>
    <row r="1147" customFormat="false" ht="7.5" hidden="false" customHeight="true" outlineLevel="2" collapsed="false">
      <c r="A1147" s="48"/>
      <c r="B1147" s="49" t="s">
        <v>3760</v>
      </c>
      <c r="C1147" s="50" t="s">
        <v>3761</v>
      </c>
      <c r="D1147" s="51"/>
      <c r="E1147" s="52" t="n">
        <f aca="false">I1147*(1-J1147)*(100-E1)/100</f>
        <v>44.8</v>
      </c>
      <c r="F1147" s="53"/>
      <c r="G1147" s="54"/>
      <c r="H1147" s="52" t="n">
        <f aca="false">E1147*F1147</f>
        <v>0</v>
      </c>
      <c r="I1147" s="55" t="n">
        <v>70</v>
      </c>
      <c r="J1147" s="56"/>
      <c r="K1147" s="57" t="n">
        <v>0</v>
      </c>
      <c r="L1147" s="22" t="s">
        <v>44</v>
      </c>
      <c r="M1147" s="22"/>
      <c r="N1147" s="58" t="n">
        <f aca="false">F1147*P1147</f>
        <v>0</v>
      </c>
      <c r="O1147" s="58" t="n">
        <f aca="false">F1147*Q1147</f>
        <v>0</v>
      </c>
      <c r="P1147" s="58"/>
      <c r="Q1147" s="58"/>
      <c r="R1147" s="59"/>
      <c r="S1147" s="22"/>
      <c r="T1147" s="11" t="str">
        <f aca="false">"16.12.25"</f>
        <v>16.12.25</v>
      </c>
    </row>
    <row r="1148" customFormat="false" ht="7.5" hidden="false" customHeight="true" outlineLevel="2" collapsed="false">
      <c r="A1148" s="48"/>
      <c r="B1148" s="49" t="s">
        <v>3762</v>
      </c>
      <c r="C1148" s="50" t="s">
        <v>3763</v>
      </c>
      <c r="D1148" s="51" t="s">
        <v>3606</v>
      </c>
      <c r="E1148" s="52" t="n">
        <f aca="false">I1148*(1-J1148)*(100-E1)/100</f>
        <v>96</v>
      </c>
      <c r="F1148" s="53"/>
      <c r="G1148" s="54" t="n">
        <v>100</v>
      </c>
      <c r="H1148" s="52" t="n">
        <f aca="false">E1148*F1148</f>
        <v>0</v>
      </c>
      <c r="I1148" s="55" t="n">
        <v>150</v>
      </c>
      <c r="J1148" s="56"/>
      <c r="K1148" s="57" t="n">
        <v>1383</v>
      </c>
      <c r="L1148" s="22" t="s">
        <v>44</v>
      </c>
      <c r="M1148" s="22"/>
      <c r="N1148" s="58" t="n">
        <f aca="false">F1148*P1148</f>
        <v>0</v>
      </c>
      <c r="O1148" s="58" t="n">
        <f aca="false">F1148*Q1148</f>
        <v>0</v>
      </c>
      <c r="P1148" s="58" t="n">
        <v>0.1</v>
      </c>
      <c r="Q1148" s="58" t="n">
        <v>0.001</v>
      </c>
      <c r="R1148" s="59" t="s">
        <v>3764</v>
      </c>
      <c r="S1148" s="22"/>
      <c r="T1148" s="11" t="str">
        <f aca="false">"16.12.25"</f>
        <v>16.12.25</v>
      </c>
    </row>
    <row r="1149" customFormat="false" ht="7.5" hidden="false" customHeight="true" outlineLevel="2" collapsed="false">
      <c r="A1149" s="48"/>
      <c r="B1149" s="49" t="s">
        <v>3765</v>
      </c>
      <c r="C1149" s="50" t="s">
        <v>3766</v>
      </c>
      <c r="D1149" s="51"/>
      <c r="E1149" s="52" t="n">
        <f aca="false">I1149*(1-J1149)*(100-E1)/100</f>
        <v>32</v>
      </c>
      <c r="F1149" s="53"/>
      <c r="G1149" s="54"/>
      <c r="H1149" s="52" t="n">
        <f aca="false">E1149*F1149</f>
        <v>0</v>
      </c>
      <c r="I1149" s="55" t="n">
        <v>50</v>
      </c>
      <c r="J1149" s="56"/>
      <c r="K1149" s="57" t="n">
        <v>0</v>
      </c>
      <c r="L1149" s="22" t="s">
        <v>53</v>
      </c>
      <c r="M1149" s="22"/>
      <c r="N1149" s="58" t="n">
        <f aca="false">F1149*P1149</f>
        <v>0</v>
      </c>
      <c r="O1149" s="58" t="n">
        <f aca="false">F1149*Q1149</f>
        <v>0</v>
      </c>
      <c r="P1149" s="58" t="n">
        <v>0.15</v>
      </c>
      <c r="Q1149" s="58" t="n">
        <v>0.001</v>
      </c>
      <c r="R1149" s="59"/>
      <c r="S1149" s="22"/>
      <c r="T1149" s="11" t="str">
        <f aca="false">"16.12.25"</f>
        <v>16.12.25</v>
      </c>
    </row>
    <row r="1150" customFormat="false" ht="7.5" hidden="false" customHeight="true" outlineLevel="2" collapsed="false">
      <c r="A1150" s="48"/>
      <c r="B1150" s="49" t="s">
        <v>3767</v>
      </c>
      <c r="C1150" s="50" t="s">
        <v>3768</v>
      </c>
      <c r="D1150" s="51"/>
      <c r="E1150" s="52" t="n">
        <f aca="false">I1150*(1-J1150)*(100-E1)/100</f>
        <v>25.6</v>
      </c>
      <c r="F1150" s="53"/>
      <c r="G1150" s="54"/>
      <c r="H1150" s="52" t="n">
        <f aca="false">E1150*F1150</f>
        <v>0</v>
      </c>
      <c r="I1150" s="55" t="n">
        <v>40</v>
      </c>
      <c r="J1150" s="56"/>
      <c r="K1150" s="57" t="n">
        <v>0</v>
      </c>
      <c r="L1150" s="22" t="s">
        <v>53</v>
      </c>
      <c r="M1150" s="22"/>
      <c r="N1150" s="58" t="n">
        <f aca="false">F1150*P1150</f>
        <v>0</v>
      </c>
      <c r="O1150" s="58" t="n">
        <f aca="false">F1150*Q1150</f>
        <v>0</v>
      </c>
      <c r="P1150" s="58" t="n">
        <v>0.15</v>
      </c>
      <c r="Q1150" s="58" t="n">
        <v>0.001</v>
      </c>
      <c r="R1150" s="59"/>
      <c r="S1150" s="22"/>
      <c r="T1150" s="11" t="str">
        <f aca="false">"16.12.25"</f>
        <v>16.12.25</v>
      </c>
    </row>
    <row r="1151" customFormat="false" ht="7.5" hidden="false" customHeight="true" outlineLevel="2" collapsed="false">
      <c r="A1151" s="48"/>
      <c r="B1151" s="49" t="s">
        <v>3769</v>
      </c>
      <c r="C1151" s="50" t="s">
        <v>3770</v>
      </c>
      <c r="D1151" s="51" t="s">
        <v>3771</v>
      </c>
      <c r="E1151" s="52" t="n">
        <f aca="false">I1151*(1-J1151)*(100-E1)/100</f>
        <v>614.4</v>
      </c>
      <c r="F1151" s="53"/>
      <c r="G1151" s="54" t="n">
        <v>16</v>
      </c>
      <c r="H1151" s="52" t="n">
        <f aca="false">E1151*F1151</f>
        <v>0</v>
      </c>
      <c r="I1151" s="55" t="n">
        <v>960</v>
      </c>
      <c r="J1151" s="56"/>
      <c r="K1151" s="57" t="n">
        <v>0</v>
      </c>
      <c r="L1151" s="22" t="s">
        <v>53</v>
      </c>
      <c r="M1151" s="22"/>
      <c r="N1151" s="58" t="n">
        <f aca="false">F1151*P1151</f>
        <v>0</v>
      </c>
      <c r="O1151" s="58" t="n">
        <f aca="false">F1151*Q1151</f>
        <v>0</v>
      </c>
      <c r="P1151" s="58" t="n">
        <v>0.958</v>
      </c>
      <c r="Q1151" s="58" t="n">
        <v>0.004</v>
      </c>
      <c r="R1151" s="59" t="s">
        <v>3772</v>
      </c>
      <c r="S1151" s="22"/>
      <c r="T1151" s="11" t="str">
        <f aca="false">"16.12.25"</f>
        <v>16.12.25</v>
      </c>
    </row>
    <row r="1152" customFormat="false" ht="7.5" hidden="false" customHeight="true" outlineLevel="2" collapsed="false">
      <c r="A1152" s="48"/>
      <c r="B1152" s="49" t="s">
        <v>3773</v>
      </c>
      <c r="C1152" s="50" t="s">
        <v>3774</v>
      </c>
      <c r="D1152" s="51" t="s">
        <v>3775</v>
      </c>
      <c r="E1152" s="52" t="n">
        <f aca="false">I1152*(1-J1152)*(100-E1)/100</f>
        <v>748.8</v>
      </c>
      <c r="F1152" s="53"/>
      <c r="G1152" s="54" t="n">
        <v>1</v>
      </c>
      <c r="H1152" s="52" t="n">
        <f aca="false">E1152*F1152</f>
        <v>0</v>
      </c>
      <c r="I1152" s="55" t="n">
        <v>1170</v>
      </c>
      <c r="J1152" s="56"/>
      <c r="K1152" s="57" t="n">
        <v>0</v>
      </c>
      <c r="L1152" s="22" t="s">
        <v>53</v>
      </c>
      <c r="M1152" s="22"/>
      <c r="N1152" s="58" t="n">
        <f aca="false">F1152*P1152</f>
        <v>0</v>
      </c>
      <c r="O1152" s="58" t="n">
        <f aca="false">F1152*Q1152</f>
        <v>0</v>
      </c>
      <c r="P1152" s="58" t="n">
        <v>0.24</v>
      </c>
      <c r="Q1152" s="58" t="n">
        <v>0.004</v>
      </c>
      <c r="R1152" s="59" t="s">
        <v>3776</v>
      </c>
      <c r="S1152" s="22"/>
      <c r="T1152" s="11" t="str">
        <f aca="false">"16.12.25"</f>
        <v>16.12.25</v>
      </c>
    </row>
    <row r="1153" customFormat="false" ht="7.5" hidden="false" customHeight="true" outlineLevel="2" collapsed="false">
      <c r="A1153" s="48"/>
      <c r="B1153" s="49" t="s">
        <v>3777</v>
      </c>
      <c r="C1153" s="50" t="s">
        <v>3778</v>
      </c>
      <c r="D1153" s="51"/>
      <c r="E1153" s="52" t="n">
        <f aca="false">I1153*(1-J1153)*(100-E1)/100</f>
        <v>204.8</v>
      </c>
      <c r="F1153" s="53"/>
      <c r="G1153" s="54" t="n">
        <v>40</v>
      </c>
      <c r="H1153" s="52" t="n">
        <f aca="false">E1153*F1153</f>
        <v>0</v>
      </c>
      <c r="I1153" s="55" t="n">
        <v>320</v>
      </c>
      <c r="J1153" s="56"/>
      <c r="K1153" s="57" t="n">
        <v>0</v>
      </c>
      <c r="L1153" s="22" t="s">
        <v>44</v>
      </c>
      <c r="M1153" s="22"/>
      <c r="N1153" s="58" t="n">
        <f aca="false">F1153*P1153</f>
        <v>0</v>
      </c>
      <c r="O1153" s="58" t="n">
        <f aca="false">F1153*Q1153</f>
        <v>0</v>
      </c>
      <c r="P1153" s="58" t="n">
        <v>0.625</v>
      </c>
      <c r="Q1153" s="58" t="n">
        <v>0.001</v>
      </c>
      <c r="R1153" s="59" t="s">
        <v>3779</v>
      </c>
      <c r="S1153" s="22"/>
      <c r="T1153" s="11" t="str">
        <f aca="false">"16.12.25"</f>
        <v>16.12.25</v>
      </c>
    </row>
    <row r="1154" customFormat="false" ht="7.5" hidden="false" customHeight="true" outlineLevel="2" collapsed="false">
      <c r="A1154" s="48"/>
      <c r="B1154" s="49" t="s">
        <v>3780</v>
      </c>
      <c r="C1154" s="50" t="s">
        <v>3781</v>
      </c>
      <c r="D1154" s="51"/>
      <c r="E1154" s="52" t="n">
        <f aca="false">I1154*(1-J1154)*(100-E1)/100</f>
        <v>339.2</v>
      </c>
      <c r="F1154" s="53"/>
      <c r="G1154" s="54" t="n">
        <v>20</v>
      </c>
      <c r="H1154" s="52" t="n">
        <f aca="false">E1154*F1154</f>
        <v>0</v>
      </c>
      <c r="I1154" s="55" t="n">
        <v>530</v>
      </c>
      <c r="J1154" s="56"/>
      <c r="K1154" s="57" t="n">
        <v>0</v>
      </c>
      <c r="L1154" s="22" t="s">
        <v>44</v>
      </c>
      <c r="M1154" s="22"/>
      <c r="N1154" s="58" t="n">
        <f aca="false">F1154*P1154</f>
        <v>0</v>
      </c>
      <c r="O1154" s="58" t="n">
        <f aca="false">F1154*Q1154</f>
        <v>0</v>
      </c>
      <c r="P1154" s="58" t="n">
        <v>1</v>
      </c>
      <c r="Q1154" s="58" t="n">
        <v>0.001</v>
      </c>
      <c r="R1154" s="59" t="s">
        <v>3782</v>
      </c>
      <c r="S1154" s="22"/>
      <c r="T1154" s="11" t="str">
        <f aca="false">"16.12.25"</f>
        <v>16.12.25</v>
      </c>
    </row>
    <row r="1155" customFormat="false" ht="7.5" hidden="false" customHeight="true" outlineLevel="2" collapsed="false">
      <c r="A1155" s="48"/>
      <c r="B1155" s="49" t="s">
        <v>3783</v>
      </c>
      <c r="C1155" s="50" t="s">
        <v>3784</v>
      </c>
      <c r="D1155" s="51"/>
      <c r="E1155" s="52" t="n">
        <f aca="false">I1155*(1-J1155)*(100-E1)/100</f>
        <v>172.8</v>
      </c>
      <c r="F1155" s="53"/>
      <c r="G1155" s="54"/>
      <c r="H1155" s="52" t="n">
        <f aca="false">E1155*F1155</f>
        <v>0</v>
      </c>
      <c r="I1155" s="55" t="n">
        <v>270</v>
      </c>
      <c r="J1155" s="56"/>
      <c r="K1155" s="57" t="n">
        <v>524</v>
      </c>
      <c r="L1155" s="22" t="s">
        <v>44</v>
      </c>
      <c r="M1155" s="22"/>
      <c r="N1155" s="58" t="n">
        <f aca="false">F1155*P1155</f>
        <v>0</v>
      </c>
      <c r="O1155" s="58" t="n">
        <f aca="false">F1155*Q1155</f>
        <v>0</v>
      </c>
      <c r="P1155" s="58" t="n">
        <v>0.4</v>
      </c>
      <c r="Q1155" s="58" t="n">
        <v>0.001</v>
      </c>
      <c r="R1155" s="59"/>
      <c r="S1155" s="22"/>
      <c r="T1155" s="11" t="str">
        <f aca="false">"16.12.25"</f>
        <v>16.12.25</v>
      </c>
    </row>
    <row r="1156" customFormat="false" ht="7.5" hidden="false" customHeight="true" outlineLevel="2" collapsed="false">
      <c r="A1156" s="48"/>
      <c r="B1156" s="49" t="s">
        <v>3785</v>
      </c>
      <c r="C1156" s="50" t="s">
        <v>3786</v>
      </c>
      <c r="D1156" s="51"/>
      <c r="E1156" s="52" t="n">
        <f aca="false">I1156*(1-J1156)*(100-E1)/100</f>
        <v>172.8</v>
      </c>
      <c r="F1156" s="53"/>
      <c r="G1156" s="54"/>
      <c r="H1156" s="52" t="n">
        <f aca="false">E1156*F1156</f>
        <v>0</v>
      </c>
      <c r="I1156" s="55" t="n">
        <v>270</v>
      </c>
      <c r="J1156" s="56"/>
      <c r="K1156" s="57" t="n">
        <v>557</v>
      </c>
      <c r="L1156" s="22" t="s">
        <v>44</v>
      </c>
      <c r="M1156" s="22"/>
      <c r="N1156" s="58" t="n">
        <f aca="false">F1156*P1156</f>
        <v>0</v>
      </c>
      <c r="O1156" s="58" t="n">
        <f aca="false">F1156*Q1156</f>
        <v>0</v>
      </c>
      <c r="P1156" s="58" t="n">
        <v>0.43</v>
      </c>
      <c r="Q1156" s="58" t="n">
        <v>0.001</v>
      </c>
      <c r="R1156" s="59"/>
      <c r="S1156" s="22"/>
      <c r="T1156" s="11" t="str">
        <f aca="false">"16.12.25"</f>
        <v>16.12.25</v>
      </c>
    </row>
    <row r="1157" customFormat="false" ht="7.5" hidden="false" customHeight="true" outlineLevel="2" collapsed="false">
      <c r="A1157" s="48"/>
      <c r="B1157" s="49" t="s">
        <v>3787</v>
      </c>
      <c r="C1157" s="50" t="s">
        <v>3788</v>
      </c>
      <c r="D1157" s="51"/>
      <c r="E1157" s="52" t="n">
        <f aca="false">I1157*(1-J1157)*(100-E1)/100</f>
        <v>947.2</v>
      </c>
      <c r="F1157" s="53"/>
      <c r="G1157" s="54" t="n">
        <v>10</v>
      </c>
      <c r="H1157" s="52" t="n">
        <f aca="false">E1157*F1157</f>
        <v>0</v>
      </c>
      <c r="I1157" s="55" t="n">
        <v>1480</v>
      </c>
      <c r="J1157" s="56"/>
      <c r="K1157" s="57" t="n">
        <v>0</v>
      </c>
      <c r="L1157" s="22" t="s">
        <v>44</v>
      </c>
      <c r="M1157" s="22"/>
      <c r="N1157" s="58" t="n">
        <f aca="false">F1157*P1157</f>
        <v>0</v>
      </c>
      <c r="O1157" s="58" t="n">
        <f aca="false">F1157*Q1157</f>
        <v>0</v>
      </c>
      <c r="P1157" s="58" t="n">
        <v>0.95</v>
      </c>
      <c r="Q1157" s="58" t="n">
        <v>0.007</v>
      </c>
      <c r="R1157" s="59" t="s">
        <v>3789</v>
      </c>
      <c r="S1157" s="22"/>
      <c r="T1157" s="11" t="str">
        <f aca="false">"16.12.25"</f>
        <v>16.12.25</v>
      </c>
    </row>
    <row r="1158" customFormat="false" ht="7.5" hidden="false" customHeight="true" outlineLevel="2" collapsed="false">
      <c r="A1158" s="48"/>
      <c r="B1158" s="49" t="s">
        <v>3790</v>
      </c>
      <c r="C1158" s="50" t="s">
        <v>3791</v>
      </c>
      <c r="D1158" s="51"/>
      <c r="E1158" s="52" t="n">
        <f aca="false">I1158*(1-J1158)*(100-E1)/100</f>
        <v>1753.6</v>
      </c>
      <c r="F1158" s="53"/>
      <c r="G1158" s="54"/>
      <c r="H1158" s="52" t="n">
        <f aca="false">E1158*F1158</f>
        <v>0</v>
      </c>
      <c r="I1158" s="55" t="n">
        <v>2740</v>
      </c>
      <c r="J1158" s="56"/>
      <c r="K1158" s="57" t="n">
        <v>97</v>
      </c>
      <c r="L1158" s="22" t="s">
        <v>44</v>
      </c>
      <c r="M1158" s="22"/>
      <c r="N1158" s="58" t="n">
        <f aca="false">F1158*P1158</f>
        <v>0</v>
      </c>
      <c r="O1158" s="58" t="n">
        <f aca="false">F1158*Q1158</f>
        <v>0</v>
      </c>
      <c r="P1158" s="58"/>
      <c r="Q1158" s="58" t="n">
        <v>0.001</v>
      </c>
      <c r="R1158" s="59"/>
      <c r="S1158" s="22"/>
      <c r="T1158" s="11" t="str">
        <f aca="false">"16.12.25"</f>
        <v>16.12.25</v>
      </c>
    </row>
    <row r="1159" customFormat="false" ht="7.5" hidden="false" customHeight="true" outlineLevel="2" collapsed="false">
      <c r="A1159" s="48"/>
      <c r="B1159" s="49" t="s">
        <v>3792</v>
      </c>
      <c r="C1159" s="50" t="s">
        <v>3793</v>
      </c>
      <c r="D1159" s="51" t="s">
        <v>3794</v>
      </c>
      <c r="E1159" s="52" t="n">
        <f aca="false">I1159*(1-J1159)*(100-E1)/100</f>
        <v>1753.6</v>
      </c>
      <c r="F1159" s="53"/>
      <c r="G1159" s="54" t="n">
        <v>10</v>
      </c>
      <c r="H1159" s="52" t="n">
        <f aca="false">E1159*F1159</f>
        <v>0</v>
      </c>
      <c r="I1159" s="55" t="n">
        <v>2740</v>
      </c>
      <c r="J1159" s="56"/>
      <c r="K1159" s="57" t="n">
        <v>396</v>
      </c>
      <c r="L1159" s="22" t="s">
        <v>44</v>
      </c>
      <c r="M1159" s="22"/>
      <c r="N1159" s="58" t="n">
        <f aca="false">F1159*P1159</f>
        <v>0</v>
      </c>
      <c r="O1159" s="58" t="n">
        <f aca="false">F1159*Q1159</f>
        <v>0</v>
      </c>
      <c r="P1159" s="58" t="n">
        <v>1.75</v>
      </c>
      <c r="Q1159" s="58" t="n">
        <v>0.007</v>
      </c>
      <c r="R1159" s="59" t="s">
        <v>3795</v>
      </c>
      <c r="S1159" s="22"/>
      <c r="T1159" s="11" t="str">
        <f aca="false">"16.12.25"</f>
        <v>16.12.25</v>
      </c>
    </row>
    <row r="1160" customFormat="false" ht="7.5" hidden="false" customHeight="true" outlineLevel="2" collapsed="false">
      <c r="A1160" s="48"/>
      <c r="B1160" s="49" t="s">
        <v>3796</v>
      </c>
      <c r="C1160" s="50" t="s">
        <v>3797</v>
      </c>
      <c r="D1160" s="51"/>
      <c r="E1160" s="52" t="n">
        <f aca="false">I1160*(1-J1160)*(100-E1)/100</f>
        <v>1984</v>
      </c>
      <c r="F1160" s="53"/>
      <c r="G1160" s="54"/>
      <c r="H1160" s="52" t="n">
        <f aca="false">E1160*F1160</f>
        <v>0</v>
      </c>
      <c r="I1160" s="55" t="n">
        <v>3100</v>
      </c>
      <c r="J1160" s="56"/>
      <c r="K1160" s="57" t="n">
        <v>4</v>
      </c>
      <c r="L1160" s="22" t="s">
        <v>44</v>
      </c>
      <c r="M1160" s="22"/>
      <c r="N1160" s="58" t="n">
        <f aca="false">F1160*P1160</f>
        <v>0</v>
      </c>
      <c r="O1160" s="58" t="n">
        <f aca="false">F1160*Q1160</f>
        <v>0</v>
      </c>
      <c r="P1160" s="58"/>
      <c r="Q1160" s="58" t="n">
        <v>0.006</v>
      </c>
      <c r="R1160" s="59"/>
      <c r="S1160" s="22"/>
      <c r="T1160" s="11" t="str">
        <f aca="false">"16.12.25"</f>
        <v>16.12.25</v>
      </c>
    </row>
    <row r="1161" customFormat="false" ht="7.5" hidden="false" customHeight="true" outlineLevel="2" collapsed="false">
      <c r="A1161" s="48"/>
      <c r="B1161" s="49" t="s">
        <v>3798</v>
      </c>
      <c r="C1161" s="50" t="s">
        <v>3799</v>
      </c>
      <c r="D1161" s="51"/>
      <c r="E1161" s="52" t="n">
        <f aca="false">I1161*(1-J1161)*(100-E1)/100</f>
        <v>8128</v>
      </c>
      <c r="F1161" s="53"/>
      <c r="G1161" s="54" t="n">
        <v>10</v>
      </c>
      <c r="H1161" s="52" t="n">
        <f aca="false">E1161*F1161</f>
        <v>0</v>
      </c>
      <c r="I1161" s="55" t="n">
        <v>12700</v>
      </c>
      <c r="J1161" s="56"/>
      <c r="K1161" s="57" t="n">
        <v>59</v>
      </c>
      <c r="L1161" s="22" t="s">
        <v>53</v>
      </c>
      <c r="M1161" s="22"/>
      <c r="N1161" s="58" t="n">
        <f aca="false">F1161*P1161</f>
        <v>0</v>
      </c>
      <c r="O1161" s="58" t="n">
        <f aca="false">F1161*Q1161</f>
        <v>0</v>
      </c>
      <c r="P1161" s="58" t="n">
        <v>1.755</v>
      </c>
      <c r="Q1161" s="58" t="n">
        <v>0.007</v>
      </c>
      <c r="R1161" s="59"/>
      <c r="S1161" s="22"/>
      <c r="T1161" s="11" t="str">
        <f aca="false">"16.12.25"</f>
        <v>16.12.25</v>
      </c>
    </row>
    <row r="1162" customFormat="false" ht="7.5" hidden="false" customHeight="true" outlineLevel="2" collapsed="false">
      <c r="A1162" s="48"/>
      <c r="B1162" s="49" t="s">
        <v>3800</v>
      </c>
      <c r="C1162" s="50" t="s">
        <v>3801</v>
      </c>
      <c r="D1162" s="51" t="s">
        <v>3802</v>
      </c>
      <c r="E1162" s="52" t="n">
        <f aca="false">I1162*(1-J1162)*(100-E1)/100</f>
        <v>2188.8</v>
      </c>
      <c r="F1162" s="53"/>
      <c r="G1162" s="54" t="n">
        <v>10</v>
      </c>
      <c r="H1162" s="52" t="n">
        <f aca="false">E1162*F1162</f>
        <v>0</v>
      </c>
      <c r="I1162" s="55" t="n">
        <v>3420</v>
      </c>
      <c r="J1162" s="56"/>
      <c r="K1162" s="57" t="n">
        <v>51</v>
      </c>
      <c r="L1162" s="22" t="s">
        <v>53</v>
      </c>
      <c r="M1162" s="22"/>
      <c r="N1162" s="58" t="n">
        <f aca="false">F1162*P1162</f>
        <v>0</v>
      </c>
      <c r="O1162" s="58" t="n">
        <f aca="false">F1162*Q1162</f>
        <v>0</v>
      </c>
      <c r="P1162" s="58"/>
      <c r="Q1162" s="58" t="n">
        <v>0.008</v>
      </c>
      <c r="R1162" s="59"/>
      <c r="S1162" s="22"/>
      <c r="T1162" s="11" t="str">
        <f aca="false">"16.12.25"</f>
        <v>16.12.25</v>
      </c>
    </row>
    <row r="1163" customFormat="false" ht="7.5" hidden="false" customHeight="true" outlineLevel="2" collapsed="false">
      <c r="A1163" s="48"/>
      <c r="B1163" s="49" t="s">
        <v>3803</v>
      </c>
      <c r="C1163" s="50" t="s">
        <v>3804</v>
      </c>
      <c r="D1163" s="51" t="s">
        <v>3805</v>
      </c>
      <c r="E1163" s="52" t="n">
        <f aca="false">I1163*(1-J1163)*(100-E1)/100</f>
        <v>5452.8</v>
      </c>
      <c r="F1163" s="53"/>
      <c r="G1163" s="54" t="n">
        <v>10</v>
      </c>
      <c r="H1163" s="52" t="n">
        <f aca="false">E1163*F1163</f>
        <v>0</v>
      </c>
      <c r="I1163" s="55" t="n">
        <v>8520</v>
      </c>
      <c r="J1163" s="56"/>
      <c r="K1163" s="57" t="n">
        <v>69</v>
      </c>
      <c r="L1163" s="22" t="s">
        <v>53</v>
      </c>
      <c r="M1163" s="22"/>
      <c r="N1163" s="58" t="n">
        <f aca="false">F1163*P1163</f>
        <v>0</v>
      </c>
      <c r="O1163" s="58" t="n">
        <f aca="false">F1163*Q1163</f>
        <v>0</v>
      </c>
      <c r="P1163" s="58" t="n">
        <v>2.27</v>
      </c>
      <c r="Q1163" s="58" t="n">
        <v>0.009</v>
      </c>
      <c r="R1163" s="59" t="s">
        <v>3806</v>
      </c>
      <c r="S1163" s="22"/>
      <c r="T1163" s="11" t="str">
        <f aca="false">"16.12.25"</f>
        <v>16.12.25</v>
      </c>
    </row>
    <row r="1164" customFormat="false" ht="7.5" hidden="false" customHeight="true" outlineLevel="2" collapsed="false">
      <c r="A1164" s="48"/>
      <c r="B1164" s="49" t="s">
        <v>3807</v>
      </c>
      <c r="C1164" s="50" t="s">
        <v>3808</v>
      </c>
      <c r="D1164" s="51" t="s">
        <v>3809</v>
      </c>
      <c r="E1164" s="52" t="n">
        <f aca="false">I1164*(1-J1164)*(100-E1)/100</f>
        <v>6496</v>
      </c>
      <c r="F1164" s="53"/>
      <c r="G1164" s="54" t="n">
        <v>10</v>
      </c>
      <c r="H1164" s="52" t="n">
        <f aca="false">E1164*F1164</f>
        <v>0</v>
      </c>
      <c r="I1164" s="55" t="n">
        <v>10150</v>
      </c>
      <c r="J1164" s="56"/>
      <c r="K1164" s="57" t="n">
        <v>46</v>
      </c>
      <c r="L1164" s="22" t="s">
        <v>53</v>
      </c>
      <c r="M1164" s="22"/>
      <c r="N1164" s="58" t="n">
        <f aca="false">F1164*P1164</f>
        <v>0</v>
      </c>
      <c r="O1164" s="58" t="n">
        <f aca="false">F1164*Q1164</f>
        <v>0</v>
      </c>
      <c r="P1164" s="58" t="n">
        <v>2.695</v>
      </c>
      <c r="Q1164" s="58" t="n">
        <v>0.005</v>
      </c>
      <c r="R1164" s="59" t="s">
        <v>3810</v>
      </c>
      <c r="S1164" s="22"/>
      <c r="T1164" s="11" t="str">
        <f aca="false">"16.12.25"</f>
        <v>16.12.25</v>
      </c>
    </row>
    <row r="1165" customFormat="false" ht="7.5" hidden="false" customHeight="true" outlineLevel="2" collapsed="false">
      <c r="A1165" s="48"/>
      <c r="B1165" s="49" t="s">
        <v>3811</v>
      </c>
      <c r="C1165" s="50" t="s">
        <v>3812</v>
      </c>
      <c r="D1165" s="51" t="s">
        <v>3813</v>
      </c>
      <c r="E1165" s="52" t="n">
        <f aca="false">I1165*(1-J1165)*(100-E1)/100</f>
        <v>3411.2</v>
      </c>
      <c r="F1165" s="53"/>
      <c r="G1165" s="54"/>
      <c r="H1165" s="52" t="n">
        <f aca="false">E1165*F1165</f>
        <v>0</v>
      </c>
      <c r="I1165" s="55" t="n">
        <v>5330</v>
      </c>
      <c r="J1165" s="56"/>
      <c r="K1165" s="57" t="n">
        <v>5</v>
      </c>
      <c r="L1165" s="22" t="s">
        <v>53</v>
      </c>
      <c r="M1165" s="22"/>
      <c r="N1165" s="58" t="n">
        <f aca="false">F1165*P1165</f>
        <v>0</v>
      </c>
      <c r="O1165" s="58" t="n">
        <f aca="false">F1165*Q1165</f>
        <v>0</v>
      </c>
      <c r="P1165" s="58"/>
      <c r="Q1165" s="58"/>
      <c r="R1165" s="59"/>
      <c r="S1165" s="22"/>
      <c r="T1165" s="11" t="str">
        <f aca="false">"16.12.25"</f>
        <v>16.12.25</v>
      </c>
    </row>
    <row r="1166" customFormat="false" ht="7.5" hidden="false" customHeight="true" outlineLevel="2" collapsed="false">
      <c r="A1166" s="48"/>
      <c r="B1166" s="49" t="s">
        <v>3814</v>
      </c>
      <c r="C1166" s="50" t="s">
        <v>3815</v>
      </c>
      <c r="D1166" s="51" t="s">
        <v>3816</v>
      </c>
      <c r="E1166" s="52" t="n">
        <f aca="false">I1166*(1-J1166)*(100-E1)/100</f>
        <v>3417.6</v>
      </c>
      <c r="F1166" s="53"/>
      <c r="G1166" s="54" t="n">
        <v>10</v>
      </c>
      <c r="H1166" s="52" t="n">
        <f aca="false">E1166*F1166</f>
        <v>0</v>
      </c>
      <c r="I1166" s="55" t="n">
        <v>5340</v>
      </c>
      <c r="J1166" s="56"/>
      <c r="K1166" s="57" t="n">
        <v>0</v>
      </c>
      <c r="L1166" s="22" t="s">
        <v>53</v>
      </c>
      <c r="M1166" s="22"/>
      <c r="N1166" s="58" t="n">
        <f aca="false">F1166*P1166</f>
        <v>0</v>
      </c>
      <c r="O1166" s="58" t="n">
        <f aca="false">F1166*Q1166</f>
        <v>0</v>
      </c>
      <c r="P1166" s="58" t="n">
        <v>1.51</v>
      </c>
      <c r="Q1166" s="58" t="n">
        <v>0.01</v>
      </c>
      <c r="R1166" s="59" t="s">
        <v>3817</v>
      </c>
      <c r="S1166" s="22"/>
      <c r="T1166" s="11" t="str">
        <f aca="false">"16.12.25"</f>
        <v>16.12.25</v>
      </c>
    </row>
    <row r="1167" customFormat="false" ht="7.5" hidden="false" customHeight="true" outlineLevel="2" collapsed="false">
      <c r="A1167" s="48"/>
      <c r="B1167" s="49" t="s">
        <v>3818</v>
      </c>
      <c r="C1167" s="50" t="s">
        <v>3819</v>
      </c>
      <c r="D1167" s="51" t="s">
        <v>3820</v>
      </c>
      <c r="E1167" s="52" t="n">
        <f aca="false">I1167*(1-J1167)*(100-E1)/100</f>
        <v>3539.2</v>
      </c>
      <c r="F1167" s="53"/>
      <c r="G1167" s="54" t="n">
        <v>10</v>
      </c>
      <c r="H1167" s="52" t="n">
        <f aca="false">E1167*F1167</f>
        <v>0</v>
      </c>
      <c r="I1167" s="55" t="n">
        <v>5530</v>
      </c>
      <c r="J1167" s="56"/>
      <c r="K1167" s="57" t="n">
        <v>35</v>
      </c>
      <c r="L1167" s="22" t="s">
        <v>53</v>
      </c>
      <c r="M1167" s="22"/>
      <c r="N1167" s="58" t="n">
        <f aca="false">F1167*P1167</f>
        <v>0</v>
      </c>
      <c r="O1167" s="58" t="n">
        <f aca="false">F1167*Q1167</f>
        <v>0</v>
      </c>
      <c r="P1167" s="58" t="n">
        <v>1.6</v>
      </c>
      <c r="Q1167" s="58" t="n">
        <v>0.001</v>
      </c>
      <c r="R1167" s="59" t="s">
        <v>3821</v>
      </c>
      <c r="S1167" s="22"/>
      <c r="T1167" s="11" t="str">
        <f aca="false">"16.12.25"</f>
        <v>16.12.25</v>
      </c>
    </row>
    <row r="1168" customFormat="false" ht="7.5" hidden="false" customHeight="true" outlineLevel="2" collapsed="false">
      <c r="A1168" s="48"/>
      <c r="B1168" s="49" t="s">
        <v>3708</v>
      </c>
      <c r="C1168" s="50" t="s">
        <v>3822</v>
      </c>
      <c r="D1168" s="51" t="s">
        <v>3823</v>
      </c>
      <c r="E1168" s="52" t="n">
        <f aca="false">I1168*(1-J1168)*(100-E1)/100</f>
        <v>3987.2</v>
      </c>
      <c r="F1168" s="53"/>
      <c r="G1168" s="54"/>
      <c r="H1168" s="52" t="n">
        <f aca="false">E1168*F1168</f>
        <v>0</v>
      </c>
      <c r="I1168" s="55" t="n">
        <v>6230</v>
      </c>
      <c r="J1168" s="56"/>
      <c r="K1168" s="57" t="n">
        <v>0</v>
      </c>
      <c r="L1168" s="22" t="s">
        <v>53</v>
      </c>
      <c r="M1168" s="22"/>
      <c r="N1168" s="58" t="n">
        <f aca="false">F1168*P1168</f>
        <v>0</v>
      </c>
      <c r="O1168" s="58" t="n">
        <f aca="false">F1168*Q1168</f>
        <v>0</v>
      </c>
      <c r="P1168" s="58" t="n">
        <v>2.7</v>
      </c>
      <c r="Q1168" s="58" t="n">
        <v>0.011</v>
      </c>
      <c r="R1168" s="59"/>
      <c r="S1168" s="22"/>
      <c r="T1168" s="11" t="str">
        <f aca="false">"16.12.25"</f>
        <v>16.12.25</v>
      </c>
    </row>
    <row r="1169" customFormat="false" ht="7.5" hidden="false" customHeight="true" outlineLevel="2" collapsed="false">
      <c r="A1169" s="48"/>
      <c r="B1169" s="49" t="s">
        <v>3824</v>
      </c>
      <c r="C1169" s="50" t="s">
        <v>3825</v>
      </c>
      <c r="D1169" s="51" t="s">
        <v>3826</v>
      </c>
      <c r="E1169" s="52" t="n">
        <f aca="false">I1169*(1-J1169)*(100-E1)/100</f>
        <v>4000</v>
      </c>
      <c r="F1169" s="53"/>
      <c r="G1169" s="54"/>
      <c r="H1169" s="52" t="n">
        <f aca="false">E1169*F1169</f>
        <v>0</v>
      </c>
      <c r="I1169" s="55" t="n">
        <v>6250</v>
      </c>
      <c r="J1169" s="56"/>
      <c r="K1169" s="57" t="n">
        <v>0</v>
      </c>
      <c r="L1169" s="22" t="s">
        <v>53</v>
      </c>
      <c r="M1169" s="22"/>
      <c r="N1169" s="58" t="n">
        <f aca="false">F1169*P1169</f>
        <v>0</v>
      </c>
      <c r="O1169" s="58" t="n">
        <f aca="false">F1169*Q1169</f>
        <v>0</v>
      </c>
      <c r="P1169" s="58"/>
      <c r="Q1169" s="58"/>
      <c r="R1169" s="59"/>
      <c r="S1169" s="22"/>
      <c r="T1169" s="11" t="str">
        <f aca="false">"16.12.25"</f>
        <v>16.12.25</v>
      </c>
    </row>
    <row r="1170" customFormat="false" ht="7.5" hidden="false" customHeight="true" outlineLevel="2" collapsed="false">
      <c r="A1170" s="48"/>
      <c r="B1170" s="49" t="s">
        <v>3827</v>
      </c>
      <c r="C1170" s="50" t="s">
        <v>3828</v>
      </c>
      <c r="D1170" s="51" t="s">
        <v>3826</v>
      </c>
      <c r="E1170" s="52" t="n">
        <f aca="false">I1170*(1-J1170)*(100-E1)/100</f>
        <v>4211.2</v>
      </c>
      <c r="F1170" s="53"/>
      <c r="G1170" s="54"/>
      <c r="H1170" s="52" t="n">
        <f aca="false">E1170*F1170</f>
        <v>0</v>
      </c>
      <c r="I1170" s="55" t="n">
        <v>6580</v>
      </c>
      <c r="J1170" s="56"/>
      <c r="K1170" s="57" t="n">
        <v>0</v>
      </c>
      <c r="L1170" s="22" t="s">
        <v>53</v>
      </c>
      <c r="M1170" s="22"/>
      <c r="N1170" s="58" t="n">
        <f aca="false">F1170*P1170</f>
        <v>0</v>
      </c>
      <c r="O1170" s="58" t="n">
        <f aca="false">F1170*Q1170</f>
        <v>0</v>
      </c>
      <c r="P1170" s="58" t="n">
        <v>2.85</v>
      </c>
      <c r="Q1170" s="58" t="n">
        <v>0.011</v>
      </c>
      <c r="R1170" s="59"/>
      <c r="S1170" s="22"/>
      <c r="T1170" s="11" t="str">
        <f aca="false">"16.12.25"</f>
        <v>16.12.25</v>
      </c>
    </row>
    <row r="1171" customFormat="false" ht="7.5" hidden="false" customHeight="true" outlineLevel="2" collapsed="false">
      <c r="A1171" s="48"/>
      <c r="B1171" s="49" t="s">
        <v>3829</v>
      </c>
      <c r="C1171" s="50" t="s">
        <v>3830</v>
      </c>
      <c r="D1171" s="51" t="s">
        <v>3831</v>
      </c>
      <c r="E1171" s="52" t="n">
        <f aca="false">I1171*(1-J1171)*(100-E1)/100</f>
        <v>2080</v>
      </c>
      <c r="F1171" s="53"/>
      <c r="G1171" s="54" t="n">
        <v>10</v>
      </c>
      <c r="H1171" s="52" t="n">
        <f aca="false">E1171*F1171</f>
        <v>0</v>
      </c>
      <c r="I1171" s="55" t="n">
        <v>3250</v>
      </c>
      <c r="J1171" s="56"/>
      <c r="K1171" s="57" t="n">
        <v>266</v>
      </c>
      <c r="L1171" s="22" t="s">
        <v>53</v>
      </c>
      <c r="M1171" s="22"/>
      <c r="N1171" s="58" t="n">
        <f aca="false">F1171*P1171</f>
        <v>0</v>
      </c>
      <c r="O1171" s="58" t="n">
        <f aca="false">F1171*Q1171</f>
        <v>0</v>
      </c>
      <c r="P1171" s="58" t="n">
        <v>1.567</v>
      </c>
      <c r="Q1171" s="58" t="n">
        <v>0.009</v>
      </c>
      <c r="R1171" s="59" t="s">
        <v>3832</v>
      </c>
      <c r="S1171" s="22"/>
      <c r="T1171" s="11" t="str">
        <f aca="false">"16.12.25"</f>
        <v>16.12.25</v>
      </c>
    </row>
    <row r="1172" customFormat="false" ht="7.5" hidden="false" customHeight="true" outlineLevel="2" collapsed="false">
      <c r="A1172" s="48"/>
      <c r="B1172" s="49" t="s">
        <v>3833</v>
      </c>
      <c r="C1172" s="50" t="s">
        <v>3834</v>
      </c>
      <c r="D1172" s="51" t="s">
        <v>3831</v>
      </c>
      <c r="E1172" s="52" t="n">
        <f aca="false">I1172*(1-J1172)*(100-E1)/100</f>
        <v>2566.4</v>
      </c>
      <c r="F1172" s="53"/>
      <c r="G1172" s="54" t="n">
        <v>10</v>
      </c>
      <c r="H1172" s="52" t="n">
        <f aca="false">E1172*F1172</f>
        <v>0</v>
      </c>
      <c r="I1172" s="55" t="n">
        <v>4010</v>
      </c>
      <c r="J1172" s="56"/>
      <c r="K1172" s="57" t="n">
        <v>447</v>
      </c>
      <c r="L1172" s="22" t="s">
        <v>53</v>
      </c>
      <c r="M1172" s="22"/>
      <c r="N1172" s="58" t="n">
        <f aca="false">F1172*P1172</f>
        <v>0</v>
      </c>
      <c r="O1172" s="58" t="n">
        <f aca="false">F1172*Q1172</f>
        <v>0</v>
      </c>
      <c r="P1172" s="58"/>
      <c r="Q1172" s="58" t="n">
        <v>0.009</v>
      </c>
      <c r="R1172" s="59"/>
      <c r="S1172" s="22"/>
      <c r="T1172" s="11" t="str">
        <f aca="false">"16.12.25"</f>
        <v>16.12.25</v>
      </c>
    </row>
    <row r="1173" customFormat="false" ht="7.5" hidden="false" customHeight="true" outlineLevel="2" collapsed="false">
      <c r="A1173" s="48"/>
      <c r="B1173" s="49" t="s">
        <v>3835</v>
      </c>
      <c r="C1173" s="50" t="s">
        <v>3836</v>
      </c>
      <c r="D1173" s="51" t="s">
        <v>3837</v>
      </c>
      <c r="E1173" s="52" t="n">
        <f aca="false">I1173*(1-J1173)*(100-E1)/100</f>
        <v>2937.6</v>
      </c>
      <c r="F1173" s="53"/>
      <c r="G1173" s="54" t="n">
        <v>10</v>
      </c>
      <c r="H1173" s="52" t="n">
        <f aca="false">E1173*F1173</f>
        <v>0</v>
      </c>
      <c r="I1173" s="55" t="n">
        <v>4590</v>
      </c>
      <c r="J1173" s="56"/>
      <c r="K1173" s="57" t="n">
        <v>424</v>
      </c>
      <c r="L1173" s="22" t="s">
        <v>53</v>
      </c>
      <c r="M1173" s="22"/>
      <c r="N1173" s="58" t="n">
        <f aca="false">F1173*P1173</f>
        <v>0</v>
      </c>
      <c r="O1173" s="58" t="n">
        <f aca="false">F1173*Q1173</f>
        <v>0</v>
      </c>
      <c r="P1173" s="58"/>
      <c r="Q1173" s="58" t="n">
        <v>0.009</v>
      </c>
      <c r="R1173" s="59"/>
      <c r="S1173" s="22"/>
      <c r="T1173" s="11" t="str">
        <f aca="false">"16.12.25"</f>
        <v>16.12.25</v>
      </c>
    </row>
    <row r="1174" customFormat="false" ht="7.5" hidden="false" customHeight="true" outlineLevel="2" collapsed="false">
      <c r="A1174" s="48"/>
      <c r="B1174" s="49" t="s">
        <v>3838</v>
      </c>
      <c r="C1174" s="50" t="s">
        <v>3839</v>
      </c>
      <c r="D1174" s="51"/>
      <c r="E1174" s="52" t="n">
        <f aca="false">I1174*(1-J1174)*(100-E1)/100</f>
        <v>1184</v>
      </c>
      <c r="F1174" s="53"/>
      <c r="G1174" s="54" t="n">
        <v>10</v>
      </c>
      <c r="H1174" s="52" t="n">
        <f aca="false">E1174*F1174</f>
        <v>0</v>
      </c>
      <c r="I1174" s="55" t="n">
        <v>1850</v>
      </c>
      <c r="J1174" s="56"/>
      <c r="K1174" s="57" t="n">
        <v>30</v>
      </c>
      <c r="L1174" s="22" t="s">
        <v>53</v>
      </c>
      <c r="M1174" s="22"/>
      <c r="N1174" s="58" t="n">
        <f aca="false">F1174*P1174</f>
        <v>0</v>
      </c>
      <c r="O1174" s="58" t="n">
        <f aca="false">F1174*Q1174</f>
        <v>0</v>
      </c>
      <c r="P1174" s="58" t="n">
        <v>0.996</v>
      </c>
      <c r="Q1174" s="58" t="n">
        <v>0.007</v>
      </c>
      <c r="R1174" s="59" t="s">
        <v>3840</v>
      </c>
      <c r="S1174" s="22"/>
      <c r="T1174" s="11" t="str">
        <f aca="false">"16.12.25"</f>
        <v>16.12.25</v>
      </c>
    </row>
    <row r="1175" customFormat="false" ht="7.5" hidden="false" customHeight="true" outlineLevel="2" collapsed="false">
      <c r="A1175" s="48"/>
      <c r="B1175" s="49" t="s">
        <v>3841</v>
      </c>
      <c r="C1175" s="50" t="s">
        <v>3842</v>
      </c>
      <c r="D1175" s="51" t="s">
        <v>3843</v>
      </c>
      <c r="E1175" s="52" t="n">
        <f aca="false">I1175*(1-J1175)*(100-E1)/100</f>
        <v>4838.4</v>
      </c>
      <c r="F1175" s="53"/>
      <c r="G1175" s="54"/>
      <c r="H1175" s="52" t="n">
        <f aca="false">E1175*F1175</f>
        <v>0</v>
      </c>
      <c r="I1175" s="55" t="n">
        <v>7560</v>
      </c>
      <c r="J1175" s="56"/>
      <c r="K1175" s="57" t="n">
        <v>2</v>
      </c>
      <c r="L1175" s="22" t="s">
        <v>53</v>
      </c>
      <c r="M1175" s="22"/>
      <c r="N1175" s="58" t="n">
        <f aca="false">F1175*P1175</f>
        <v>0</v>
      </c>
      <c r="O1175" s="58" t="n">
        <f aca="false">F1175*Q1175</f>
        <v>0</v>
      </c>
      <c r="P1175" s="58"/>
      <c r="Q1175" s="58"/>
      <c r="R1175" s="59"/>
      <c r="S1175" s="22"/>
      <c r="T1175" s="11" t="str">
        <f aca="false">"16.12.25"</f>
        <v>16.12.25</v>
      </c>
    </row>
    <row r="1176" customFormat="false" ht="7.5" hidden="false" customHeight="true" outlineLevel="2" collapsed="false">
      <c r="A1176" s="48"/>
      <c r="B1176" s="49" t="s">
        <v>3844</v>
      </c>
      <c r="C1176" s="50" t="s">
        <v>3845</v>
      </c>
      <c r="D1176" s="51"/>
      <c r="E1176" s="52" t="n">
        <f aca="false">I1176*(1-J1176)*(100-E1)/100</f>
        <v>10745.6</v>
      </c>
      <c r="F1176" s="53"/>
      <c r="G1176" s="54"/>
      <c r="H1176" s="52" t="n">
        <f aca="false">E1176*F1176</f>
        <v>0</v>
      </c>
      <c r="I1176" s="55" t="n">
        <v>16790</v>
      </c>
      <c r="J1176" s="56"/>
      <c r="K1176" s="57" t="n">
        <v>3</v>
      </c>
      <c r="L1176" s="22" t="s">
        <v>53</v>
      </c>
      <c r="M1176" s="22"/>
      <c r="N1176" s="58" t="n">
        <f aca="false">F1176*P1176</f>
        <v>0</v>
      </c>
      <c r="O1176" s="58" t="n">
        <f aca="false">F1176*Q1176</f>
        <v>0</v>
      </c>
      <c r="P1176" s="58" t="n">
        <v>2.9</v>
      </c>
      <c r="Q1176" s="58" t="n">
        <v>0.014</v>
      </c>
      <c r="R1176" s="59"/>
      <c r="S1176" s="22"/>
      <c r="T1176" s="11" t="str">
        <f aca="false">"16.12.25"</f>
        <v>16.12.25</v>
      </c>
    </row>
    <row r="1177" customFormat="false" ht="7.5" hidden="false" customHeight="true" outlineLevel="2" collapsed="false">
      <c r="A1177" s="48"/>
      <c r="B1177" s="49" t="s">
        <v>3846</v>
      </c>
      <c r="C1177" s="50" t="s">
        <v>3847</v>
      </c>
      <c r="D1177" s="51" t="s">
        <v>3848</v>
      </c>
      <c r="E1177" s="52" t="n">
        <f aca="false">I1177*(1-J1177)*(100-E1)/100</f>
        <v>11475.2</v>
      </c>
      <c r="F1177" s="53"/>
      <c r="G1177" s="54" t="n">
        <v>5</v>
      </c>
      <c r="H1177" s="52" t="n">
        <f aca="false">E1177*F1177</f>
        <v>0</v>
      </c>
      <c r="I1177" s="55" t="n">
        <v>17930</v>
      </c>
      <c r="J1177" s="56"/>
      <c r="K1177" s="57" t="n">
        <v>0</v>
      </c>
      <c r="L1177" s="22" t="s">
        <v>53</v>
      </c>
      <c r="M1177" s="22"/>
      <c r="N1177" s="58" t="n">
        <f aca="false">F1177*P1177</f>
        <v>0</v>
      </c>
      <c r="O1177" s="58" t="n">
        <f aca="false">F1177*Q1177</f>
        <v>0</v>
      </c>
      <c r="P1177" s="58" t="n">
        <v>2.9</v>
      </c>
      <c r="Q1177" s="58" t="n">
        <v>0.011</v>
      </c>
      <c r="R1177" s="59"/>
      <c r="S1177" s="22"/>
      <c r="T1177" s="11" t="str">
        <f aca="false">"16.12.25"</f>
        <v>16.12.25</v>
      </c>
    </row>
    <row r="1178" customFormat="false" ht="7.5" hidden="false" customHeight="true" outlineLevel="2" collapsed="false">
      <c r="A1178" s="48"/>
      <c r="B1178" s="49" t="s">
        <v>3849</v>
      </c>
      <c r="C1178" s="50" t="s">
        <v>3850</v>
      </c>
      <c r="D1178" s="51"/>
      <c r="E1178" s="52" t="n">
        <f aca="false">I1178*(1-J1178)*(100-E1)/100</f>
        <v>15398.4</v>
      </c>
      <c r="F1178" s="53"/>
      <c r="G1178" s="54" t="n">
        <v>5</v>
      </c>
      <c r="H1178" s="52" t="n">
        <f aca="false">E1178*F1178</f>
        <v>0</v>
      </c>
      <c r="I1178" s="55" t="n">
        <v>24060</v>
      </c>
      <c r="J1178" s="56"/>
      <c r="K1178" s="57" t="n">
        <v>29</v>
      </c>
      <c r="L1178" s="22" t="s">
        <v>53</v>
      </c>
      <c r="M1178" s="22"/>
      <c r="N1178" s="58" t="n">
        <f aca="false">F1178*P1178</f>
        <v>0</v>
      </c>
      <c r="O1178" s="58" t="n">
        <f aca="false">F1178*Q1178</f>
        <v>0</v>
      </c>
      <c r="P1178" s="58" t="n">
        <v>4.54</v>
      </c>
      <c r="Q1178" s="58" t="n">
        <v>0.02</v>
      </c>
      <c r="R1178" s="59" t="s">
        <v>3851</v>
      </c>
      <c r="S1178" s="22"/>
      <c r="T1178" s="11" t="str">
        <f aca="false">"16.12.25"</f>
        <v>16.12.25</v>
      </c>
    </row>
    <row r="1179" customFormat="false" ht="7.5" hidden="false" customHeight="true" outlineLevel="2" collapsed="false">
      <c r="A1179" s="48"/>
      <c r="B1179" s="49" t="s">
        <v>3852</v>
      </c>
      <c r="C1179" s="50" t="s">
        <v>3853</v>
      </c>
      <c r="D1179" s="51" t="s">
        <v>3854</v>
      </c>
      <c r="E1179" s="52" t="n">
        <f aca="false">I1179*(1-J1179)*(100-E1)/100</f>
        <v>332.8</v>
      </c>
      <c r="F1179" s="53"/>
      <c r="G1179" s="54" t="n">
        <v>20</v>
      </c>
      <c r="H1179" s="52" t="n">
        <f aca="false">E1179*F1179</f>
        <v>0</v>
      </c>
      <c r="I1179" s="55" t="n">
        <v>520</v>
      </c>
      <c r="J1179" s="56"/>
      <c r="K1179" s="57" t="n">
        <v>9</v>
      </c>
      <c r="L1179" s="22" t="s">
        <v>44</v>
      </c>
      <c r="M1179" s="22" t="s">
        <v>721</v>
      </c>
      <c r="N1179" s="58" t="n">
        <f aca="false">F1179*P1179</f>
        <v>0</v>
      </c>
      <c r="O1179" s="58" t="n">
        <f aca="false">F1179*Q1179</f>
        <v>0</v>
      </c>
      <c r="P1179" s="58" t="n">
        <v>1.135</v>
      </c>
      <c r="Q1179" s="58" t="n">
        <v>0.001</v>
      </c>
      <c r="R1179" s="59" t="s">
        <v>3855</v>
      </c>
      <c r="S1179" s="22"/>
      <c r="T1179" s="11" t="str">
        <f aca="false">"16.12.25"</f>
        <v>16.12.25</v>
      </c>
    </row>
    <row r="1180" customFormat="false" ht="7.5" hidden="false" customHeight="true" outlineLevel="2" collapsed="false">
      <c r="A1180" s="48"/>
      <c r="B1180" s="49" t="s">
        <v>3856</v>
      </c>
      <c r="C1180" s="50" t="s">
        <v>3857</v>
      </c>
      <c r="D1180" s="51" t="s">
        <v>3858</v>
      </c>
      <c r="E1180" s="52" t="n">
        <f aca="false">I1180*(1-J1180)*(100-E1)/100</f>
        <v>371.2</v>
      </c>
      <c r="F1180" s="53"/>
      <c r="G1180" s="54" t="n">
        <v>20</v>
      </c>
      <c r="H1180" s="52" t="n">
        <f aca="false">E1180*F1180</f>
        <v>0</v>
      </c>
      <c r="I1180" s="55" t="n">
        <v>580</v>
      </c>
      <c r="J1180" s="56"/>
      <c r="K1180" s="57" t="n">
        <v>4</v>
      </c>
      <c r="L1180" s="22" t="s">
        <v>44</v>
      </c>
      <c r="M1180" s="22" t="s">
        <v>721</v>
      </c>
      <c r="N1180" s="58" t="n">
        <f aca="false">F1180*P1180</f>
        <v>0</v>
      </c>
      <c r="O1180" s="58" t="n">
        <f aca="false">F1180*Q1180</f>
        <v>0</v>
      </c>
      <c r="P1180" s="58" t="n">
        <v>1.13</v>
      </c>
      <c r="Q1180" s="58" t="n">
        <v>0.001</v>
      </c>
      <c r="R1180" s="59" t="s">
        <v>3859</v>
      </c>
      <c r="S1180" s="22"/>
      <c r="T1180" s="11" t="str">
        <f aca="false">"16.12.25"</f>
        <v>16.12.25</v>
      </c>
    </row>
    <row r="1181" customFormat="false" ht="7.5" hidden="false" customHeight="true" outlineLevel="2" collapsed="false">
      <c r="A1181" s="48"/>
      <c r="B1181" s="49" t="s">
        <v>3860</v>
      </c>
      <c r="C1181" s="50" t="s">
        <v>3861</v>
      </c>
      <c r="D1181" s="51" t="s">
        <v>3858</v>
      </c>
      <c r="E1181" s="52" t="n">
        <f aca="false">I1181*(1-J1181)*(100-E1)/100</f>
        <v>300.8</v>
      </c>
      <c r="F1181" s="53"/>
      <c r="G1181" s="54" t="n">
        <v>20</v>
      </c>
      <c r="H1181" s="52" t="n">
        <f aca="false">E1181*F1181</f>
        <v>0</v>
      </c>
      <c r="I1181" s="55" t="n">
        <v>470</v>
      </c>
      <c r="J1181" s="56"/>
      <c r="K1181" s="57" t="n">
        <v>0</v>
      </c>
      <c r="L1181" s="22" t="s">
        <v>44</v>
      </c>
      <c r="M1181" s="22"/>
      <c r="N1181" s="58" t="n">
        <f aca="false">F1181*P1181</f>
        <v>0</v>
      </c>
      <c r="O1181" s="58" t="n">
        <f aca="false">F1181*Q1181</f>
        <v>0</v>
      </c>
      <c r="P1181" s="58" t="n">
        <v>1.1</v>
      </c>
      <c r="Q1181" s="58" t="n">
        <v>0.001</v>
      </c>
      <c r="R1181" s="59" t="s">
        <v>3862</v>
      </c>
      <c r="S1181" s="22"/>
      <c r="T1181" s="11" t="str">
        <f aca="false">"16.12.25"</f>
        <v>16.12.25</v>
      </c>
    </row>
    <row r="1182" customFormat="false" ht="7.5" hidden="false" customHeight="true" outlineLevel="2" collapsed="false">
      <c r="A1182" s="48"/>
      <c r="B1182" s="49" t="s">
        <v>3863</v>
      </c>
      <c r="C1182" s="50" t="s">
        <v>3864</v>
      </c>
      <c r="D1182" s="51" t="s">
        <v>3865</v>
      </c>
      <c r="E1182" s="52" t="n">
        <f aca="false">I1182*(1-J1182)*(100-E1)/100</f>
        <v>992</v>
      </c>
      <c r="F1182" s="53"/>
      <c r="G1182" s="54" t="n">
        <v>1</v>
      </c>
      <c r="H1182" s="52" t="n">
        <f aca="false">E1182*F1182</f>
        <v>0</v>
      </c>
      <c r="I1182" s="55" t="n">
        <v>1550</v>
      </c>
      <c r="J1182" s="56"/>
      <c r="K1182" s="57" t="n">
        <v>1702</v>
      </c>
      <c r="L1182" s="22" t="s">
        <v>44</v>
      </c>
      <c r="M1182" s="22"/>
      <c r="N1182" s="58" t="n">
        <f aca="false">F1182*P1182</f>
        <v>0</v>
      </c>
      <c r="O1182" s="58" t="n">
        <f aca="false">F1182*Q1182</f>
        <v>0</v>
      </c>
      <c r="P1182" s="58" t="n">
        <v>5.1</v>
      </c>
      <c r="Q1182" s="58" t="n">
        <v>0.003</v>
      </c>
      <c r="R1182" s="59" t="s">
        <v>3866</v>
      </c>
      <c r="S1182" s="22"/>
      <c r="T1182" s="11" t="str">
        <f aca="false">"16.12.25"</f>
        <v>16.12.25</v>
      </c>
    </row>
    <row r="1183" customFormat="false" ht="7.5" hidden="false" customHeight="true" outlineLevel="2" collapsed="false">
      <c r="A1183" s="48"/>
      <c r="B1183" s="49" t="s">
        <v>3867</v>
      </c>
      <c r="C1183" s="50" t="s">
        <v>3868</v>
      </c>
      <c r="D1183" s="51" t="s">
        <v>3869</v>
      </c>
      <c r="E1183" s="52" t="n">
        <f aca="false">I1183*(1-J1183)*(100-E1)/100</f>
        <v>3219.2</v>
      </c>
      <c r="F1183" s="53"/>
      <c r="G1183" s="54" t="n">
        <v>1</v>
      </c>
      <c r="H1183" s="52" t="n">
        <f aca="false">E1183*F1183</f>
        <v>0</v>
      </c>
      <c r="I1183" s="55" t="n">
        <v>5030</v>
      </c>
      <c r="J1183" s="56"/>
      <c r="K1183" s="57" t="n">
        <v>4</v>
      </c>
      <c r="L1183" s="22" t="s">
        <v>44</v>
      </c>
      <c r="M1183" s="22"/>
      <c r="N1183" s="58" t="n">
        <f aca="false">F1183*P1183</f>
        <v>0</v>
      </c>
      <c r="O1183" s="58" t="n">
        <f aca="false">F1183*Q1183</f>
        <v>0</v>
      </c>
      <c r="P1183" s="58" t="n">
        <v>15.2</v>
      </c>
      <c r="Q1183" s="58" t="n">
        <v>0.009</v>
      </c>
      <c r="R1183" s="59" t="s">
        <v>3870</v>
      </c>
      <c r="S1183" s="22"/>
      <c r="T1183" s="11" t="str">
        <f aca="false">"16.12.25"</f>
        <v>16.12.25</v>
      </c>
    </row>
    <row r="1184" customFormat="false" ht="7.5" hidden="false" customHeight="true" outlineLevel="2" collapsed="false">
      <c r="A1184" s="48"/>
      <c r="B1184" s="49" t="s">
        <v>3871</v>
      </c>
      <c r="C1184" s="50" t="s">
        <v>3872</v>
      </c>
      <c r="D1184" s="51" t="s">
        <v>3873</v>
      </c>
      <c r="E1184" s="52" t="n">
        <f aca="false">I1184*(1-J1184)*(100-E1)/100</f>
        <v>972.8</v>
      </c>
      <c r="F1184" s="53"/>
      <c r="G1184" s="54" t="n">
        <v>1</v>
      </c>
      <c r="H1184" s="52" t="n">
        <f aca="false">E1184*F1184</f>
        <v>0</v>
      </c>
      <c r="I1184" s="55" t="n">
        <v>1520</v>
      </c>
      <c r="J1184" s="56"/>
      <c r="K1184" s="57" t="n">
        <v>772</v>
      </c>
      <c r="L1184" s="22" t="s">
        <v>44</v>
      </c>
      <c r="M1184" s="22"/>
      <c r="N1184" s="58" t="n">
        <f aca="false">F1184*P1184</f>
        <v>0</v>
      </c>
      <c r="O1184" s="58" t="n">
        <f aca="false">F1184*Q1184</f>
        <v>0</v>
      </c>
      <c r="P1184" s="58" t="n">
        <v>5.06</v>
      </c>
      <c r="Q1184" s="58" t="n">
        <v>0.003</v>
      </c>
      <c r="R1184" s="59" t="s">
        <v>3874</v>
      </c>
      <c r="S1184" s="22"/>
      <c r="T1184" s="11" t="str">
        <f aca="false">"16.12.25"</f>
        <v>16.12.25</v>
      </c>
    </row>
    <row r="1185" customFormat="false" ht="7.5" hidden="false" customHeight="true" outlineLevel="2" collapsed="false">
      <c r="A1185" s="48"/>
      <c r="B1185" s="49" t="s">
        <v>3875</v>
      </c>
      <c r="C1185" s="50" t="s">
        <v>3876</v>
      </c>
      <c r="D1185" s="51" t="s">
        <v>3877</v>
      </c>
      <c r="E1185" s="52" t="n">
        <f aca="false">I1185*(1-J1185)*(100-E1)/100</f>
        <v>2649.6</v>
      </c>
      <c r="F1185" s="53"/>
      <c r="G1185" s="54" t="n">
        <v>1</v>
      </c>
      <c r="H1185" s="52" t="n">
        <f aca="false">E1185*F1185</f>
        <v>0</v>
      </c>
      <c r="I1185" s="55" t="n">
        <v>4140</v>
      </c>
      <c r="J1185" s="56"/>
      <c r="K1185" s="57" t="n">
        <v>2789</v>
      </c>
      <c r="L1185" s="22" t="s">
        <v>44</v>
      </c>
      <c r="M1185" s="22"/>
      <c r="N1185" s="58" t="n">
        <f aca="false">F1185*P1185</f>
        <v>0</v>
      </c>
      <c r="O1185" s="58" t="n">
        <f aca="false">F1185*Q1185</f>
        <v>0</v>
      </c>
      <c r="P1185" s="58" t="n">
        <v>15</v>
      </c>
      <c r="Q1185" s="58" t="n">
        <v>0.009</v>
      </c>
      <c r="R1185" s="59" t="s">
        <v>3878</v>
      </c>
      <c r="S1185" s="22"/>
      <c r="T1185" s="11" t="str">
        <f aca="false">"16.12.25"</f>
        <v>16.12.25</v>
      </c>
    </row>
    <row r="1186" customFormat="false" ht="7.5" hidden="false" customHeight="true" outlineLevel="2" collapsed="false">
      <c r="A1186" s="48"/>
      <c r="B1186" s="49" t="s">
        <v>3879</v>
      </c>
      <c r="C1186" s="50" t="s">
        <v>3880</v>
      </c>
      <c r="D1186" s="51" t="s">
        <v>3854</v>
      </c>
      <c r="E1186" s="52" t="n">
        <f aca="false">I1186*(1-J1186)*(100-E1)/100</f>
        <v>1080</v>
      </c>
      <c r="F1186" s="53"/>
      <c r="G1186" s="54" t="n">
        <v>1</v>
      </c>
      <c r="H1186" s="52" t="n">
        <f aca="false">E1186*F1186</f>
        <v>0</v>
      </c>
      <c r="I1186" s="55" t="n">
        <v>2250</v>
      </c>
      <c r="J1186" s="56" t="n">
        <v>0.25</v>
      </c>
      <c r="K1186" s="57" t="n">
        <v>37</v>
      </c>
      <c r="L1186" s="22" t="s">
        <v>44</v>
      </c>
      <c r="M1186" s="22"/>
      <c r="N1186" s="58" t="n">
        <f aca="false">F1186*P1186</f>
        <v>0</v>
      </c>
      <c r="O1186" s="58" t="n">
        <f aca="false">F1186*Q1186</f>
        <v>0</v>
      </c>
      <c r="P1186" s="58" t="n">
        <v>1.115</v>
      </c>
      <c r="Q1186" s="58" t="n">
        <v>0.001</v>
      </c>
      <c r="R1186" s="59" t="s">
        <v>3881</v>
      </c>
      <c r="S1186" s="22"/>
      <c r="T1186" s="11" t="str">
        <f aca="false">"16.12.25"</f>
        <v>16.12.25</v>
      </c>
    </row>
    <row r="1187" customFormat="false" ht="7.5" hidden="false" customHeight="true" outlineLevel="2" collapsed="false">
      <c r="A1187" s="48"/>
      <c r="B1187" s="49" t="s">
        <v>3882</v>
      </c>
      <c r="C1187" s="50" t="s">
        <v>3883</v>
      </c>
      <c r="D1187" s="51" t="s">
        <v>3858</v>
      </c>
      <c r="E1187" s="52" t="n">
        <f aca="false">I1187*(1-J1187)*(100-E1)/100</f>
        <v>371.2</v>
      </c>
      <c r="F1187" s="53"/>
      <c r="G1187" s="54" t="n">
        <v>20</v>
      </c>
      <c r="H1187" s="52" t="n">
        <f aca="false">E1187*F1187</f>
        <v>0</v>
      </c>
      <c r="I1187" s="55" t="n">
        <v>580</v>
      </c>
      <c r="J1187" s="56"/>
      <c r="K1187" s="57" t="n">
        <v>1091</v>
      </c>
      <c r="L1187" s="22" t="s">
        <v>1291</v>
      </c>
      <c r="M1187" s="22" t="s">
        <v>721</v>
      </c>
      <c r="N1187" s="58" t="n">
        <f aca="false">F1187*P1187</f>
        <v>0</v>
      </c>
      <c r="O1187" s="58" t="n">
        <f aca="false">F1187*Q1187</f>
        <v>0</v>
      </c>
      <c r="P1187" s="58" t="n">
        <v>1.04</v>
      </c>
      <c r="Q1187" s="58" t="n">
        <v>0.001</v>
      </c>
      <c r="R1187" s="59" t="s">
        <v>3884</v>
      </c>
      <c r="S1187" s="22"/>
      <c r="T1187" s="11" t="str">
        <f aca="false">"16.12.25"</f>
        <v>16.12.25</v>
      </c>
    </row>
    <row r="1188" customFormat="false" ht="7.5" hidden="false" customHeight="true" outlineLevel="2" collapsed="false">
      <c r="A1188" s="48"/>
      <c r="B1188" s="49" t="s">
        <v>3885</v>
      </c>
      <c r="C1188" s="50" t="s">
        <v>3886</v>
      </c>
      <c r="D1188" s="51" t="s">
        <v>3858</v>
      </c>
      <c r="E1188" s="52" t="n">
        <f aca="false">I1188*(1-J1188)*(100-E1)/100</f>
        <v>1224</v>
      </c>
      <c r="F1188" s="53"/>
      <c r="G1188" s="54" t="n">
        <v>1</v>
      </c>
      <c r="H1188" s="52" t="n">
        <f aca="false">E1188*F1188</f>
        <v>0</v>
      </c>
      <c r="I1188" s="55" t="n">
        <v>2550</v>
      </c>
      <c r="J1188" s="56" t="n">
        <v>0.25</v>
      </c>
      <c r="K1188" s="57" t="n">
        <v>552</v>
      </c>
      <c r="L1188" s="22" t="s">
        <v>44</v>
      </c>
      <c r="M1188" s="22"/>
      <c r="N1188" s="58" t="n">
        <f aca="false">F1188*P1188</f>
        <v>0</v>
      </c>
      <c r="O1188" s="58" t="n">
        <f aca="false">F1188*Q1188</f>
        <v>0</v>
      </c>
      <c r="P1188" s="58" t="n">
        <v>1.115</v>
      </c>
      <c r="Q1188" s="58" t="n">
        <v>0.001</v>
      </c>
      <c r="R1188" s="59" t="s">
        <v>3887</v>
      </c>
      <c r="S1188" s="22"/>
      <c r="T1188" s="11" t="str">
        <f aca="false">"16.12.25"</f>
        <v>16.12.25</v>
      </c>
    </row>
    <row r="1189" customFormat="false" ht="7.5" hidden="false" customHeight="true" outlineLevel="2" collapsed="false">
      <c r="A1189" s="48"/>
      <c r="B1189" s="49" t="s">
        <v>3888</v>
      </c>
      <c r="C1189" s="50" t="s">
        <v>3889</v>
      </c>
      <c r="D1189" s="51" t="s">
        <v>3890</v>
      </c>
      <c r="E1189" s="52" t="n">
        <f aca="false">I1189*(1-J1189)*(100-E1)/100</f>
        <v>371.2</v>
      </c>
      <c r="F1189" s="53"/>
      <c r="G1189" s="54" t="n">
        <v>20</v>
      </c>
      <c r="H1189" s="52" t="n">
        <f aca="false">E1189*F1189</f>
        <v>0</v>
      </c>
      <c r="I1189" s="55" t="n">
        <v>580</v>
      </c>
      <c r="J1189" s="56"/>
      <c r="K1189" s="57" t="n">
        <v>0</v>
      </c>
      <c r="L1189" s="22" t="s">
        <v>44</v>
      </c>
      <c r="M1189" s="22"/>
      <c r="N1189" s="58" t="n">
        <f aca="false">F1189*P1189</f>
        <v>0</v>
      </c>
      <c r="O1189" s="58" t="n">
        <f aca="false">F1189*Q1189</f>
        <v>0</v>
      </c>
      <c r="P1189" s="58" t="n">
        <v>1</v>
      </c>
      <c r="Q1189" s="58" t="n">
        <v>0.001</v>
      </c>
      <c r="R1189" s="59" t="s">
        <v>3891</v>
      </c>
      <c r="S1189" s="22"/>
      <c r="T1189" s="11" t="str">
        <f aca="false">"16.12.25"</f>
        <v>16.12.25</v>
      </c>
    </row>
    <row r="1190" customFormat="false" ht="7.5" hidden="false" customHeight="true" outlineLevel="2" collapsed="false">
      <c r="A1190" s="48"/>
      <c r="B1190" s="49" t="s">
        <v>3892</v>
      </c>
      <c r="C1190" s="50" t="s">
        <v>3893</v>
      </c>
      <c r="D1190" s="51" t="s">
        <v>3894</v>
      </c>
      <c r="E1190" s="52" t="n">
        <f aca="false">I1190*(1-J1190)*(100-E1)/100</f>
        <v>1689.6</v>
      </c>
      <c r="F1190" s="53"/>
      <c r="G1190" s="54" t="n">
        <v>1</v>
      </c>
      <c r="H1190" s="52" t="n">
        <f aca="false">E1190*F1190</f>
        <v>0</v>
      </c>
      <c r="I1190" s="55" t="n">
        <v>2640</v>
      </c>
      <c r="J1190" s="56"/>
      <c r="K1190" s="57" t="n">
        <v>1830</v>
      </c>
      <c r="L1190" s="22" t="s">
        <v>44</v>
      </c>
      <c r="M1190" s="22"/>
      <c r="N1190" s="58" t="n">
        <f aca="false">F1190*P1190</f>
        <v>0</v>
      </c>
      <c r="O1190" s="58" t="n">
        <f aca="false">F1190*Q1190</f>
        <v>0</v>
      </c>
      <c r="P1190" s="58" t="n">
        <v>5</v>
      </c>
      <c r="Q1190" s="58" t="n">
        <v>0.003</v>
      </c>
      <c r="R1190" s="59" t="s">
        <v>3895</v>
      </c>
      <c r="S1190" s="22"/>
      <c r="T1190" s="11" t="str">
        <f aca="false">"16.12.25"</f>
        <v>16.12.25</v>
      </c>
    </row>
    <row r="1191" customFormat="false" ht="7.5" hidden="false" customHeight="true" outlineLevel="2" collapsed="false">
      <c r="A1191" s="48"/>
      <c r="B1191" s="49" t="s">
        <v>3896</v>
      </c>
      <c r="C1191" s="50" t="s">
        <v>3897</v>
      </c>
      <c r="D1191" s="51" t="s">
        <v>3898</v>
      </c>
      <c r="E1191" s="52" t="n">
        <f aca="false">I1191*(1-J1191)*(100-E1)/100</f>
        <v>332.8</v>
      </c>
      <c r="F1191" s="53"/>
      <c r="G1191" s="54" t="n">
        <v>20</v>
      </c>
      <c r="H1191" s="52" t="n">
        <f aca="false">E1191*F1191</f>
        <v>0</v>
      </c>
      <c r="I1191" s="55" t="n">
        <v>520</v>
      </c>
      <c r="J1191" s="56"/>
      <c r="K1191" s="57" t="n">
        <v>0</v>
      </c>
      <c r="L1191" s="22" t="s">
        <v>44</v>
      </c>
      <c r="M1191" s="22"/>
      <c r="N1191" s="58" t="n">
        <f aca="false">F1191*P1191</f>
        <v>0</v>
      </c>
      <c r="O1191" s="58" t="n">
        <f aca="false">F1191*Q1191</f>
        <v>0</v>
      </c>
      <c r="P1191" s="58" t="n">
        <v>1.115</v>
      </c>
      <c r="Q1191" s="58" t="n">
        <v>0.001</v>
      </c>
      <c r="R1191" s="59" t="s">
        <v>3899</v>
      </c>
      <c r="S1191" s="22"/>
      <c r="T1191" s="11" t="str">
        <f aca="false">"16.12.25"</f>
        <v>16.12.25</v>
      </c>
    </row>
    <row r="1192" customFormat="false" ht="7.5" hidden="false" customHeight="true" outlineLevel="2" collapsed="false">
      <c r="A1192" s="48"/>
      <c r="B1192" s="49" t="s">
        <v>3900</v>
      </c>
      <c r="C1192" s="50" t="s">
        <v>3901</v>
      </c>
      <c r="D1192" s="51" t="s">
        <v>3902</v>
      </c>
      <c r="E1192" s="52" t="n">
        <f aca="false">I1192*(1-J1192)*(100-E1)/100</f>
        <v>1619.2</v>
      </c>
      <c r="F1192" s="53"/>
      <c r="G1192" s="54" t="n">
        <v>1</v>
      </c>
      <c r="H1192" s="52" t="n">
        <f aca="false">E1192*F1192</f>
        <v>0</v>
      </c>
      <c r="I1192" s="55" t="n">
        <v>2530</v>
      </c>
      <c r="J1192" s="56"/>
      <c r="K1192" s="57" t="n">
        <v>0</v>
      </c>
      <c r="L1192" s="22" t="s">
        <v>44</v>
      </c>
      <c r="M1192" s="22"/>
      <c r="N1192" s="58" t="n">
        <f aca="false">F1192*P1192</f>
        <v>0</v>
      </c>
      <c r="O1192" s="58" t="n">
        <f aca="false">F1192*Q1192</f>
        <v>0</v>
      </c>
      <c r="P1192" s="58" t="n">
        <v>5</v>
      </c>
      <c r="Q1192" s="58" t="n">
        <v>0.003</v>
      </c>
      <c r="R1192" s="59" t="s">
        <v>3903</v>
      </c>
      <c r="S1192" s="22"/>
      <c r="T1192" s="11" t="str">
        <f aca="false">"16.12.25"</f>
        <v>16.12.25</v>
      </c>
    </row>
    <row r="1193" customFormat="false" ht="7.5" hidden="false" customHeight="true" outlineLevel="2" collapsed="false">
      <c r="A1193" s="48"/>
      <c r="B1193" s="49" t="s">
        <v>3904</v>
      </c>
      <c r="C1193" s="50" t="s">
        <v>3905</v>
      </c>
      <c r="D1193" s="51" t="s">
        <v>3854</v>
      </c>
      <c r="E1193" s="52" t="n">
        <f aca="false">I1193*(1-J1193)*(100-E1)/100</f>
        <v>371.2</v>
      </c>
      <c r="F1193" s="53"/>
      <c r="G1193" s="54" t="n">
        <v>20</v>
      </c>
      <c r="H1193" s="52" t="n">
        <f aca="false">E1193*F1193</f>
        <v>0</v>
      </c>
      <c r="I1193" s="55" t="n">
        <v>580</v>
      </c>
      <c r="J1193" s="56"/>
      <c r="K1193" s="57" t="n">
        <v>12054</v>
      </c>
      <c r="L1193" s="22" t="s">
        <v>44</v>
      </c>
      <c r="M1193" s="22" t="s">
        <v>721</v>
      </c>
      <c r="N1193" s="58" t="n">
        <f aca="false">F1193*P1193</f>
        <v>0</v>
      </c>
      <c r="O1193" s="58" t="n">
        <f aca="false">F1193*Q1193</f>
        <v>0</v>
      </c>
      <c r="P1193" s="58" t="n">
        <v>1.13</v>
      </c>
      <c r="Q1193" s="58" t="n">
        <v>0.001</v>
      </c>
      <c r="R1193" s="59" t="s">
        <v>3906</v>
      </c>
      <c r="S1193" s="22"/>
      <c r="T1193" s="11" t="str">
        <f aca="false">"16.12.25"</f>
        <v>16.12.25</v>
      </c>
    </row>
    <row r="1194" customFormat="false" ht="7.5" hidden="false" customHeight="true" outlineLevel="2" collapsed="false">
      <c r="A1194" s="48"/>
      <c r="B1194" s="49" t="s">
        <v>3907</v>
      </c>
      <c r="C1194" s="50" t="s">
        <v>3908</v>
      </c>
      <c r="D1194" s="51" t="s">
        <v>3890</v>
      </c>
      <c r="E1194" s="52" t="n">
        <f aca="false">I1194*(1-J1194)*(100-E1)/100</f>
        <v>1224</v>
      </c>
      <c r="F1194" s="53"/>
      <c r="G1194" s="54" t="n">
        <v>1</v>
      </c>
      <c r="H1194" s="52" t="n">
        <f aca="false">E1194*F1194</f>
        <v>0</v>
      </c>
      <c r="I1194" s="55" t="n">
        <v>2550</v>
      </c>
      <c r="J1194" s="56" t="n">
        <v>0.25</v>
      </c>
      <c r="K1194" s="57" t="n">
        <v>1</v>
      </c>
      <c r="L1194" s="22" t="s">
        <v>44</v>
      </c>
      <c r="M1194" s="22"/>
      <c r="N1194" s="58" t="n">
        <f aca="false">F1194*P1194</f>
        <v>0</v>
      </c>
      <c r="O1194" s="58" t="n">
        <f aca="false">F1194*Q1194</f>
        <v>0</v>
      </c>
      <c r="P1194" s="58" t="n">
        <v>1.115</v>
      </c>
      <c r="Q1194" s="58" t="n">
        <v>0.001</v>
      </c>
      <c r="R1194" s="59" t="s">
        <v>3909</v>
      </c>
      <c r="S1194" s="22"/>
      <c r="T1194" s="11" t="str">
        <f aca="false">"16.12.25"</f>
        <v>16.12.25</v>
      </c>
    </row>
    <row r="1195" customFormat="false" ht="7.5" hidden="false" customHeight="true" outlineLevel="2" collapsed="false">
      <c r="A1195" s="48"/>
      <c r="B1195" s="49" t="s">
        <v>3910</v>
      </c>
      <c r="C1195" s="50" t="s">
        <v>3911</v>
      </c>
      <c r="D1195" s="51" t="s">
        <v>3898</v>
      </c>
      <c r="E1195" s="52" t="n">
        <f aca="false">I1195*(1-J1195)*(100-E1)/100</f>
        <v>1080</v>
      </c>
      <c r="F1195" s="53"/>
      <c r="G1195" s="54" t="n">
        <v>1</v>
      </c>
      <c r="H1195" s="52" t="n">
        <f aca="false">E1195*F1195</f>
        <v>0</v>
      </c>
      <c r="I1195" s="55" t="n">
        <v>2250</v>
      </c>
      <c r="J1195" s="56" t="n">
        <v>0.25</v>
      </c>
      <c r="K1195" s="57" t="n">
        <v>9</v>
      </c>
      <c r="L1195" s="22" t="s">
        <v>44</v>
      </c>
      <c r="M1195" s="22"/>
      <c r="N1195" s="58" t="n">
        <f aca="false">F1195*P1195</f>
        <v>0</v>
      </c>
      <c r="O1195" s="58" t="n">
        <f aca="false">F1195*Q1195</f>
        <v>0</v>
      </c>
      <c r="P1195" s="58" t="n">
        <v>1.115</v>
      </c>
      <c r="Q1195" s="58" t="n">
        <v>0.001</v>
      </c>
      <c r="R1195" s="59" t="s">
        <v>3912</v>
      </c>
      <c r="S1195" s="22"/>
      <c r="T1195" s="11" t="str">
        <f aca="false">"16.12.25"</f>
        <v>16.12.25</v>
      </c>
    </row>
    <row r="1196" customFormat="false" ht="7.5" hidden="false" customHeight="true" outlineLevel="2" collapsed="false">
      <c r="A1196" s="48"/>
      <c r="B1196" s="49" t="s">
        <v>3913</v>
      </c>
      <c r="C1196" s="50" t="s">
        <v>3914</v>
      </c>
      <c r="D1196" s="51" t="s">
        <v>3854</v>
      </c>
      <c r="E1196" s="52" t="n">
        <f aca="false">I1196*(1-J1196)*(100-E1)/100</f>
        <v>332.8</v>
      </c>
      <c r="F1196" s="53"/>
      <c r="G1196" s="54" t="n">
        <v>20</v>
      </c>
      <c r="H1196" s="52" t="n">
        <f aca="false">E1196*F1196</f>
        <v>0</v>
      </c>
      <c r="I1196" s="55" t="n">
        <v>520</v>
      </c>
      <c r="J1196" s="56"/>
      <c r="K1196" s="57" t="n">
        <v>0</v>
      </c>
      <c r="L1196" s="22" t="s">
        <v>44</v>
      </c>
      <c r="M1196" s="22" t="s">
        <v>721</v>
      </c>
      <c r="N1196" s="58" t="n">
        <f aca="false">F1196*P1196</f>
        <v>0</v>
      </c>
      <c r="O1196" s="58" t="n">
        <f aca="false">F1196*Q1196</f>
        <v>0</v>
      </c>
      <c r="P1196" s="58" t="n">
        <v>1.13</v>
      </c>
      <c r="Q1196" s="58" t="n">
        <v>0.01</v>
      </c>
      <c r="R1196" s="59" t="s">
        <v>3915</v>
      </c>
      <c r="S1196" s="22"/>
      <c r="T1196" s="11" t="str">
        <f aca="false">"16.12.25"</f>
        <v>16.12.25</v>
      </c>
    </row>
    <row r="1197" customFormat="false" ht="7.5" hidden="false" customHeight="true" outlineLevel="2" collapsed="false">
      <c r="A1197" s="48"/>
      <c r="B1197" s="49" t="s">
        <v>3916</v>
      </c>
      <c r="C1197" s="50" t="s">
        <v>3917</v>
      </c>
      <c r="D1197" s="51" t="s">
        <v>3858</v>
      </c>
      <c r="E1197" s="52" t="n">
        <f aca="false">I1197*(1-J1197)*(100-E1)/100</f>
        <v>371.2</v>
      </c>
      <c r="F1197" s="53"/>
      <c r="G1197" s="54" t="n">
        <v>20</v>
      </c>
      <c r="H1197" s="52" t="n">
        <f aca="false">E1197*F1197</f>
        <v>0</v>
      </c>
      <c r="I1197" s="55" t="n">
        <v>580</v>
      </c>
      <c r="J1197" s="56"/>
      <c r="K1197" s="57" t="n">
        <v>590</v>
      </c>
      <c r="L1197" s="22" t="s">
        <v>44</v>
      </c>
      <c r="M1197" s="22"/>
      <c r="N1197" s="58" t="n">
        <f aca="false">F1197*P1197</f>
        <v>0</v>
      </c>
      <c r="O1197" s="58" t="n">
        <f aca="false">F1197*Q1197</f>
        <v>0</v>
      </c>
      <c r="P1197" s="58" t="n">
        <v>1.13</v>
      </c>
      <c r="Q1197" s="58" t="n">
        <v>0.001</v>
      </c>
      <c r="R1197" s="59" t="s">
        <v>3918</v>
      </c>
      <c r="S1197" s="22"/>
      <c r="T1197" s="11" t="str">
        <f aca="false">"16.12.25"</f>
        <v>16.12.25</v>
      </c>
    </row>
    <row r="1198" customFormat="false" ht="7.5" hidden="false" customHeight="true" outlineLevel="2" collapsed="false">
      <c r="A1198" s="48"/>
      <c r="B1198" s="49" t="s">
        <v>3919</v>
      </c>
      <c r="C1198" s="50" t="s">
        <v>3920</v>
      </c>
      <c r="D1198" s="51" t="s">
        <v>3854</v>
      </c>
      <c r="E1198" s="52" t="n">
        <f aca="false">I1198*(1-J1198)*(100-E1)/100</f>
        <v>332.8</v>
      </c>
      <c r="F1198" s="53"/>
      <c r="G1198" s="54" t="n">
        <v>20</v>
      </c>
      <c r="H1198" s="52" t="n">
        <f aca="false">E1198*F1198</f>
        <v>0</v>
      </c>
      <c r="I1198" s="55" t="n">
        <v>520</v>
      </c>
      <c r="J1198" s="56"/>
      <c r="K1198" s="57" t="n">
        <v>0</v>
      </c>
      <c r="L1198" s="22" t="s">
        <v>44</v>
      </c>
      <c r="M1198" s="22"/>
      <c r="N1198" s="58" t="n">
        <f aca="false">F1198*P1198</f>
        <v>0</v>
      </c>
      <c r="O1198" s="58" t="n">
        <f aca="false">F1198*Q1198</f>
        <v>0</v>
      </c>
      <c r="P1198" s="58" t="n">
        <v>1.135</v>
      </c>
      <c r="Q1198" s="58" t="n">
        <v>0.001</v>
      </c>
      <c r="R1198" s="59" t="s">
        <v>3921</v>
      </c>
      <c r="S1198" s="22"/>
      <c r="T1198" s="11" t="str">
        <f aca="false">"16.12.25"</f>
        <v>16.12.25</v>
      </c>
    </row>
    <row r="1199" customFormat="false" ht="7.5" hidden="false" customHeight="true" outlineLevel="2" collapsed="false">
      <c r="A1199" s="48"/>
      <c r="B1199" s="49" t="s">
        <v>3922</v>
      </c>
      <c r="C1199" s="50" t="s">
        <v>3923</v>
      </c>
      <c r="D1199" s="51"/>
      <c r="E1199" s="52" t="n">
        <f aca="false">I1199*(1-J1199)*(100-E1)/100</f>
        <v>76.8</v>
      </c>
      <c r="F1199" s="53"/>
      <c r="G1199" s="54" t="s">
        <v>3924</v>
      </c>
      <c r="H1199" s="52" t="n">
        <f aca="false">E1199*F1199</f>
        <v>0</v>
      </c>
      <c r="I1199" s="55" t="n">
        <v>120</v>
      </c>
      <c r="J1199" s="56"/>
      <c r="K1199" s="57" t="n">
        <v>0</v>
      </c>
      <c r="L1199" s="22" t="s">
        <v>53</v>
      </c>
      <c r="M1199" s="22"/>
      <c r="N1199" s="58" t="n">
        <f aca="false">F1199*P1199</f>
        <v>0</v>
      </c>
      <c r="O1199" s="58" t="n">
        <f aca="false">F1199*Q1199</f>
        <v>0</v>
      </c>
      <c r="P1199" s="58" t="n">
        <v>0.022</v>
      </c>
      <c r="Q1199" s="58" t="n">
        <v>0.001</v>
      </c>
      <c r="R1199" s="59" t="s">
        <v>3925</v>
      </c>
      <c r="S1199" s="22"/>
      <c r="T1199" s="11" t="str">
        <f aca="false">"16.12.25"</f>
        <v>16.12.25</v>
      </c>
    </row>
    <row r="1200" customFormat="false" ht="7.5" hidden="false" customHeight="true" outlineLevel="2" collapsed="false">
      <c r="A1200" s="48"/>
      <c r="B1200" s="49" t="s">
        <v>3926</v>
      </c>
      <c r="C1200" s="50" t="s">
        <v>3927</v>
      </c>
      <c r="D1200" s="51"/>
      <c r="E1200" s="52" t="n">
        <f aca="false">I1200*(1-J1200)*(100-E1)/100</f>
        <v>76.8</v>
      </c>
      <c r="F1200" s="53"/>
      <c r="G1200" s="54" t="s">
        <v>3924</v>
      </c>
      <c r="H1200" s="52" t="n">
        <f aca="false">E1200*F1200</f>
        <v>0</v>
      </c>
      <c r="I1200" s="55" t="n">
        <v>120</v>
      </c>
      <c r="J1200" s="56"/>
      <c r="K1200" s="57" t="n">
        <v>90</v>
      </c>
      <c r="L1200" s="22" t="s">
        <v>53</v>
      </c>
      <c r="M1200" s="22"/>
      <c r="N1200" s="58" t="n">
        <f aca="false">F1200*P1200</f>
        <v>0</v>
      </c>
      <c r="O1200" s="58" t="n">
        <f aca="false">F1200*Q1200</f>
        <v>0</v>
      </c>
      <c r="P1200" s="58" t="n">
        <v>0.02</v>
      </c>
      <c r="Q1200" s="58" t="n">
        <v>0.001</v>
      </c>
      <c r="R1200" s="59" t="s">
        <v>3928</v>
      </c>
      <c r="S1200" s="22"/>
      <c r="T1200" s="11" t="str">
        <f aca="false">"16.12.25"</f>
        <v>16.12.25</v>
      </c>
    </row>
    <row r="1201" customFormat="false" ht="7.5" hidden="false" customHeight="true" outlineLevel="2" collapsed="false">
      <c r="A1201" s="48"/>
      <c r="B1201" s="49" t="s">
        <v>3929</v>
      </c>
      <c r="C1201" s="50" t="s">
        <v>3930</v>
      </c>
      <c r="D1201" s="51"/>
      <c r="E1201" s="52" t="n">
        <f aca="false">I1201*(1-J1201)*(100-E1)/100</f>
        <v>76.8</v>
      </c>
      <c r="F1201" s="53"/>
      <c r="G1201" s="54" t="s">
        <v>3924</v>
      </c>
      <c r="H1201" s="52" t="n">
        <f aca="false">E1201*F1201</f>
        <v>0</v>
      </c>
      <c r="I1201" s="55" t="n">
        <v>120</v>
      </c>
      <c r="J1201" s="56"/>
      <c r="K1201" s="57" t="n">
        <v>0</v>
      </c>
      <c r="L1201" s="22" t="s">
        <v>53</v>
      </c>
      <c r="M1201" s="22"/>
      <c r="N1201" s="58" t="n">
        <f aca="false">F1201*P1201</f>
        <v>0</v>
      </c>
      <c r="O1201" s="58" t="n">
        <f aca="false">F1201*Q1201</f>
        <v>0</v>
      </c>
      <c r="P1201" s="58" t="n">
        <v>0.022</v>
      </c>
      <c r="Q1201" s="58" t="n">
        <v>0.001</v>
      </c>
      <c r="R1201" s="59" t="s">
        <v>3931</v>
      </c>
      <c r="S1201" s="22"/>
      <c r="T1201" s="11" t="str">
        <f aca="false">"16.12.25"</f>
        <v>16.12.25</v>
      </c>
    </row>
    <row r="1202" customFormat="false" ht="7.5" hidden="false" customHeight="true" outlineLevel="2" collapsed="false">
      <c r="A1202" s="48"/>
      <c r="B1202" s="49" t="s">
        <v>3932</v>
      </c>
      <c r="C1202" s="50" t="s">
        <v>3933</v>
      </c>
      <c r="D1202" s="51"/>
      <c r="E1202" s="52" t="n">
        <f aca="false">I1202*(1-J1202)*(100-E1)/100</f>
        <v>76.8</v>
      </c>
      <c r="F1202" s="53"/>
      <c r="G1202" s="54" t="s">
        <v>3924</v>
      </c>
      <c r="H1202" s="52" t="n">
        <f aca="false">E1202*F1202</f>
        <v>0</v>
      </c>
      <c r="I1202" s="55" t="n">
        <v>120</v>
      </c>
      <c r="J1202" s="56"/>
      <c r="K1202" s="57" t="n">
        <v>0</v>
      </c>
      <c r="L1202" s="22" t="s">
        <v>53</v>
      </c>
      <c r="M1202" s="22"/>
      <c r="N1202" s="58" t="n">
        <f aca="false">F1202*P1202</f>
        <v>0</v>
      </c>
      <c r="O1202" s="58" t="n">
        <f aca="false">F1202*Q1202</f>
        <v>0</v>
      </c>
      <c r="P1202" s="58" t="n">
        <v>0.022</v>
      </c>
      <c r="Q1202" s="58"/>
      <c r="R1202" s="59" t="s">
        <v>3934</v>
      </c>
      <c r="S1202" s="22"/>
      <c r="T1202" s="11" t="str">
        <f aca="false">"16.12.25"</f>
        <v>16.12.25</v>
      </c>
    </row>
    <row r="1203" customFormat="false" ht="7.5" hidden="false" customHeight="true" outlineLevel="2" collapsed="false">
      <c r="A1203" s="48"/>
      <c r="B1203" s="49" t="s">
        <v>3935</v>
      </c>
      <c r="C1203" s="50" t="s">
        <v>3936</v>
      </c>
      <c r="D1203" s="51"/>
      <c r="E1203" s="52" t="n">
        <f aca="false">I1203*(1-J1203)*(100-E1)/100</f>
        <v>32</v>
      </c>
      <c r="F1203" s="53"/>
      <c r="G1203" s="54" t="s">
        <v>3937</v>
      </c>
      <c r="H1203" s="52" t="n">
        <f aca="false">E1203*F1203</f>
        <v>0</v>
      </c>
      <c r="I1203" s="55" t="n">
        <v>50</v>
      </c>
      <c r="J1203" s="56"/>
      <c r="K1203" s="57" t="n">
        <v>0</v>
      </c>
      <c r="L1203" s="22" t="s">
        <v>53</v>
      </c>
      <c r="M1203" s="22"/>
      <c r="N1203" s="58" t="n">
        <f aca="false">F1203*P1203</f>
        <v>0</v>
      </c>
      <c r="O1203" s="58" t="n">
        <f aca="false">F1203*Q1203</f>
        <v>0</v>
      </c>
      <c r="P1203" s="58"/>
      <c r="Q1203" s="58" t="n">
        <v>0.001</v>
      </c>
      <c r="R1203" s="59" t="s">
        <v>3938</v>
      </c>
      <c r="S1203" s="22"/>
      <c r="T1203" s="11" t="str">
        <f aca="false">"16.12.25"</f>
        <v>16.12.25</v>
      </c>
    </row>
    <row r="1204" customFormat="false" ht="7.5" hidden="false" customHeight="true" outlineLevel="2" collapsed="false">
      <c r="A1204" s="48"/>
      <c r="B1204" s="49" t="s">
        <v>3939</v>
      </c>
      <c r="C1204" s="50" t="s">
        <v>3940</v>
      </c>
      <c r="D1204" s="51"/>
      <c r="E1204" s="52" t="n">
        <f aca="false">I1204*(1-J1204)*(100-E1)/100</f>
        <v>64</v>
      </c>
      <c r="F1204" s="53"/>
      <c r="G1204" s="54"/>
      <c r="H1204" s="52" t="n">
        <f aca="false">E1204*F1204</f>
        <v>0</v>
      </c>
      <c r="I1204" s="55" t="n">
        <v>100</v>
      </c>
      <c r="J1204" s="56"/>
      <c r="K1204" s="57" t="n">
        <v>0</v>
      </c>
      <c r="L1204" s="22" t="s">
        <v>53</v>
      </c>
      <c r="M1204" s="22"/>
      <c r="N1204" s="58" t="n">
        <f aca="false">F1204*P1204</f>
        <v>0</v>
      </c>
      <c r="O1204" s="58" t="n">
        <f aca="false">F1204*Q1204</f>
        <v>0</v>
      </c>
      <c r="P1204" s="58" t="n">
        <v>0.03</v>
      </c>
      <c r="Q1204" s="58" t="n">
        <v>0.001</v>
      </c>
      <c r="R1204" s="59"/>
      <c r="S1204" s="22"/>
      <c r="T1204" s="11" t="str">
        <f aca="false">"16.12.25"</f>
        <v>16.12.25</v>
      </c>
    </row>
    <row r="1205" customFormat="false" ht="7.5" hidden="false" customHeight="true" outlineLevel="2" collapsed="false">
      <c r="A1205" s="48"/>
      <c r="B1205" s="49" t="s">
        <v>3941</v>
      </c>
      <c r="C1205" s="50" t="s">
        <v>3942</v>
      </c>
      <c r="D1205" s="51"/>
      <c r="E1205" s="52" t="n">
        <f aca="false">I1205*(1-J1205)*(100-E1)/100</f>
        <v>64</v>
      </c>
      <c r="F1205" s="53"/>
      <c r="G1205" s="54"/>
      <c r="H1205" s="52" t="n">
        <f aca="false">E1205*F1205</f>
        <v>0</v>
      </c>
      <c r="I1205" s="55" t="n">
        <v>100</v>
      </c>
      <c r="J1205" s="56"/>
      <c r="K1205" s="57" t="n">
        <v>0</v>
      </c>
      <c r="L1205" s="22" t="s">
        <v>53</v>
      </c>
      <c r="M1205" s="22"/>
      <c r="N1205" s="58" t="n">
        <f aca="false">F1205*P1205</f>
        <v>0</v>
      </c>
      <c r="O1205" s="58" t="n">
        <f aca="false">F1205*Q1205</f>
        <v>0</v>
      </c>
      <c r="P1205" s="58" t="n">
        <v>0.03</v>
      </c>
      <c r="Q1205" s="58" t="n">
        <v>0.001</v>
      </c>
      <c r="R1205" s="59"/>
      <c r="S1205" s="22"/>
      <c r="T1205" s="11" t="str">
        <f aca="false">"16.12.25"</f>
        <v>16.12.25</v>
      </c>
    </row>
    <row r="1206" customFormat="false" ht="7.5" hidden="false" customHeight="true" outlineLevel="2" collapsed="false">
      <c r="A1206" s="48"/>
      <c r="B1206" s="49" t="s">
        <v>3943</v>
      </c>
      <c r="C1206" s="50" t="s">
        <v>3944</v>
      </c>
      <c r="D1206" s="51"/>
      <c r="E1206" s="52" t="n">
        <f aca="false">I1206*(1-J1206)*(100-E1)/100</f>
        <v>64</v>
      </c>
      <c r="F1206" s="53"/>
      <c r="G1206" s="54"/>
      <c r="H1206" s="52" t="n">
        <f aca="false">E1206*F1206</f>
        <v>0</v>
      </c>
      <c r="I1206" s="55" t="n">
        <v>100</v>
      </c>
      <c r="J1206" s="56"/>
      <c r="K1206" s="57" t="n">
        <v>0</v>
      </c>
      <c r="L1206" s="22" t="s">
        <v>53</v>
      </c>
      <c r="M1206" s="22"/>
      <c r="N1206" s="58" t="n">
        <f aca="false">F1206*P1206</f>
        <v>0</v>
      </c>
      <c r="O1206" s="58" t="n">
        <f aca="false">F1206*Q1206</f>
        <v>0</v>
      </c>
      <c r="P1206" s="58" t="n">
        <v>0.03</v>
      </c>
      <c r="Q1206" s="58" t="n">
        <v>0.001</v>
      </c>
      <c r="R1206" s="59"/>
      <c r="S1206" s="22"/>
      <c r="T1206" s="11" t="str">
        <f aca="false">"16.12.25"</f>
        <v>16.12.25</v>
      </c>
    </row>
    <row r="1207" customFormat="false" ht="7.5" hidden="false" customHeight="true" outlineLevel="2" collapsed="false">
      <c r="A1207" s="48"/>
      <c r="B1207" s="49" t="s">
        <v>3945</v>
      </c>
      <c r="C1207" s="50" t="s">
        <v>3946</v>
      </c>
      <c r="D1207" s="51"/>
      <c r="E1207" s="52" t="n">
        <f aca="false">I1207*(1-J1207)*(100-E1)/100</f>
        <v>12.8</v>
      </c>
      <c r="F1207" s="53"/>
      <c r="G1207" s="54" t="s">
        <v>3947</v>
      </c>
      <c r="H1207" s="52" t="n">
        <f aca="false">E1207*F1207</f>
        <v>0</v>
      </c>
      <c r="I1207" s="55" t="n">
        <v>20</v>
      </c>
      <c r="J1207" s="56"/>
      <c r="K1207" s="57" t="n">
        <v>40</v>
      </c>
      <c r="L1207" s="22" t="s">
        <v>53</v>
      </c>
      <c r="M1207" s="22"/>
      <c r="N1207" s="58" t="n">
        <f aca="false">F1207*P1207</f>
        <v>0</v>
      </c>
      <c r="O1207" s="58" t="n">
        <f aca="false">F1207*Q1207</f>
        <v>0</v>
      </c>
      <c r="P1207" s="58"/>
      <c r="Q1207" s="58"/>
      <c r="R1207" s="59" t="s">
        <v>3948</v>
      </c>
      <c r="S1207" s="22"/>
      <c r="T1207" s="11" t="str">
        <f aca="false">"16.12.25"</f>
        <v>16.12.25</v>
      </c>
    </row>
    <row r="1208" customFormat="false" ht="7.5" hidden="false" customHeight="true" outlineLevel="2" collapsed="false">
      <c r="A1208" s="48"/>
      <c r="B1208" s="49" t="s">
        <v>3949</v>
      </c>
      <c r="C1208" s="50" t="s">
        <v>3950</v>
      </c>
      <c r="D1208" s="51"/>
      <c r="E1208" s="52" t="n">
        <f aca="false">I1208*(1-J1208)*(100-E1)/100</f>
        <v>38.4</v>
      </c>
      <c r="F1208" s="53"/>
      <c r="G1208" s="54" t="n">
        <v>500</v>
      </c>
      <c r="H1208" s="52" t="n">
        <f aca="false">E1208*F1208</f>
        <v>0</v>
      </c>
      <c r="I1208" s="55" t="n">
        <v>60</v>
      </c>
      <c r="J1208" s="56"/>
      <c r="K1208" s="57" t="n">
        <v>30</v>
      </c>
      <c r="L1208" s="22" t="s">
        <v>53</v>
      </c>
      <c r="M1208" s="22"/>
      <c r="N1208" s="58" t="n">
        <f aca="false">F1208*P1208</f>
        <v>0</v>
      </c>
      <c r="O1208" s="58" t="n">
        <f aca="false">F1208*Q1208</f>
        <v>0</v>
      </c>
      <c r="P1208" s="58" t="n">
        <v>0.029</v>
      </c>
      <c r="Q1208" s="58" t="n">
        <v>0.001</v>
      </c>
      <c r="R1208" s="59" t="s">
        <v>3951</v>
      </c>
      <c r="S1208" s="22"/>
      <c r="T1208" s="11" t="str">
        <f aca="false">"16.12.25"</f>
        <v>16.12.25</v>
      </c>
    </row>
    <row r="1209" customFormat="false" ht="7.5" hidden="false" customHeight="true" outlineLevel="2" collapsed="false">
      <c r="A1209" s="48"/>
      <c r="B1209" s="49" t="s">
        <v>3952</v>
      </c>
      <c r="C1209" s="50" t="s">
        <v>3953</v>
      </c>
      <c r="D1209" s="51"/>
      <c r="E1209" s="52" t="n">
        <f aca="false">I1209*(1-J1209)*(100-E1)/100</f>
        <v>32</v>
      </c>
      <c r="F1209" s="53"/>
      <c r="G1209" s="54" t="s">
        <v>3924</v>
      </c>
      <c r="H1209" s="52" t="n">
        <f aca="false">E1209*F1209</f>
        <v>0</v>
      </c>
      <c r="I1209" s="55" t="n">
        <v>50</v>
      </c>
      <c r="J1209" s="56"/>
      <c r="K1209" s="57" t="n">
        <v>0</v>
      </c>
      <c r="L1209" s="22" t="s">
        <v>53</v>
      </c>
      <c r="M1209" s="22"/>
      <c r="N1209" s="58" t="n">
        <f aca="false">F1209*P1209</f>
        <v>0</v>
      </c>
      <c r="O1209" s="58" t="n">
        <f aca="false">F1209*Q1209</f>
        <v>0</v>
      </c>
      <c r="P1209" s="58"/>
      <c r="Q1209" s="58" t="n">
        <v>0.001</v>
      </c>
      <c r="R1209" s="59" t="s">
        <v>3954</v>
      </c>
      <c r="S1209" s="22"/>
      <c r="T1209" s="11" t="str">
        <f aca="false">"16.12.25"</f>
        <v>16.12.25</v>
      </c>
    </row>
    <row r="1210" customFormat="false" ht="7.5" hidden="false" customHeight="true" outlineLevel="2" collapsed="false">
      <c r="A1210" s="48"/>
      <c r="B1210" s="49" t="s">
        <v>3955</v>
      </c>
      <c r="C1210" s="50" t="s">
        <v>3956</v>
      </c>
      <c r="D1210" s="51"/>
      <c r="E1210" s="52" t="n">
        <f aca="false">I1210*(1-J1210)*(100-E1)/100</f>
        <v>19.2</v>
      </c>
      <c r="F1210" s="53"/>
      <c r="G1210" s="54"/>
      <c r="H1210" s="52" t="n">
        <f aca="false">E1210*F1210</f>
        <v>0</v>
      </c>
      <c r="I1210" s="55" t="n">
        <v>30</v>
      </c>
      <c r="J1210" s="56"/>
      <c r="K1210" s="57" t="n">
        <v>0</v>
      </c>
      <c r="L1210" s="22" t="s">
        <v>53</v>
      </c>
      <c r="M1210" s="22"/>
      <c r="N1210" s="58" t="n">
        <f aca="false">F1210*P1210</f>
        <v>0</v>
      </c>
      <c r="O1210" s="58" t="n">
        <f aca="false">F1210*Q1210</f>
        <v>0</v>
      </c>
      <c r="P1210" s="58" t="n">
        <v>0.02</v>
      </c>
      <c r="Q1210" s="58" t="n">
        <v>0.001</v>
      </c>
      <c r="R1210" s="59"/>
      <c r="S1210" s="22"/>
      <c r="T1210" s="11" t="str">
        <f aca="false">"16.12.25"</f>
        <v>16.12.25</v>
      </c>
    </row>
    <row r="1211" customFormat="false" ht="7.5" hidden="false" customHeight="true" outlineLevel="2" collapsed="false">
      <c r="A1211" s="48"/>
      <c r="B1211" s="49" t="s">
        <v>3957</v>
      </c>
      <c r="C1211" s="50" t="s">
        <v>3958</v>
      </c>
      <c r="D1211" s="51"/>
      <c r="E1211" s="52" t="n">
        <f aca="false">I1211*(1-J1211)*(100-E1)/100</f>
        <v>19.2</v>
      </c>
      <c r="F1211" s="53"/>
      <c r="G1211" s="54"/>
      <c r="H1211" s="52" t="n">
        <f aca="false">E1211*F1211</f>
        <v>0</v>
      </c>
      <c r="I1211" s="55" t="n">
        <v>30</v>
      </c>
      <c r="J1211" s="56"/>
      <c r="K1211" s="57" t="n">
        <v>58</v>
      </c>
      <c r="L1211" s="22" t="s">
        <v>53</v>
      </c>
      <c r="M1211" s="22"/>
      <c r="N1211" s="58" t="n">
        <f aca="false">F1211*P1211</f>
        <v>0</v>
      </c>
      <c r="O1211" s="58" t="n">
        <f aca="false">F1211*Q1211</f>
        <v>0</v>
      </c>
      <c r="P1211" s="58" t="n">
        <v>0.02</v>
      </c>
      <c r="Q1211" s="58" t="n">
        <v>0.001</v>
      </c>
      <c r="R1211" s="59"/>
      <c r="S1211" s="22"/>
      <c r="T1211" s="11" t="str">
        <f aca="false">"16.12.25"</f>
        <v>16.12.25</v>
      </c>
    </row>
    <row r="1212" customFormat="false" ht="7.5" hidden="false" customHeight="true" outlineLevel="2" collapsed="false">
      <c r="A1212" s="48"/>
      <c r="B1212" s="49" t="s">
        <v>3959</v>
      </c>
      <c r="C1212" s="50" t="s">
        <v>3960</v>
      </c>
      <c r="D1212" s="51"/>
      <c r="E1212" s="52" t="n">
        <f aca="false">I1212*(1-J1212)*(100-E1)/100</f>
        <v>19.2</v>
      </c>
      <c r="F1212" s="53"/>
      <c r="G1212" s="54"/>
      <c r="H1212" s="52" t="n">
        <f aca="false">E1212*F1212</f>
        <v>0</v>
      </c>
      <c r="I1212" s="55" t="n">
        <v>30</v>
      </c>
      <c r="J1212" s="56"/>
      <c r="K1212" s="57" t="n">
        <v>18</v>
      </c>
      <c r="L1212" s="22" t="s">
        <v>53</v>
      </c>
      <c r="M1212" s="22"/>
      <c r="N1212" s="58" t="n">
        <f aca="false">F1212*P1212</f>
        <v>0</v>
      </c>
      <c r="O1212" s="58" t="n">
        <f aca="false">F1212*Q1212</f>
        <v>0</v>
      </c>
      <c r="P1212" s="58" t="n">
        <v>0.02</v>
      </c>
      <c r="Q1212" s="58" t="n">
        <v>0.001</v>
      </c>
      <c r="R1212" s="59"/>
      <c r="S1212" s="22"/>
      <c r="T1212" s="11" t="str">
        <f aca="false">"16.12.25"</f>
        <v>16.12.25</v>
      </c>
    </row>
    <row r="1213" customFormat="false" ht="7.5" hidden="false" customHeight="true" outlineLevel="2" collapsed="false">
      <c r="A1213" s="48"/>
      <c r="B1213" s="49" t="s">
        <v>3961</v>
      </c>
      <c r="C1213" s="50" t="s">
        <v>3962</v>
      </c>
      <c r="D1213" s="51"/>
      <c r="E1213" s="52" t="n">
        <f aca="false">I1213*(1-J1213)*(100-E1)/100</f>
        <v>19.2</v>
      </c>
      <c r="F1213" s="53"/>
      <c r="G1213" s="54"/>
      <c r="H1213" s="52" t="n">
        <f aca="false">E1213*F1213</f>
        <v>0</v>
      </c>
      <c r="I1213" s="55" t="n">
        <v>30</v>
      </c>
      <c r="J1213" s="56"/>
      <c r="K1213" s="57" t="n">
        <v>42</v>
      </c>
      <c r="L1213" s="22" t="s">
        <v>53</v>
      </c>
      <c r="M1213" s="22"/>
      <c r="N1213" s="58" t="n">
        <f aca="false">F1213*P1213</f>
        <v>0</v>
      </c>
      <c r="O1213" s="58" t="n">
        <f aca="false">F1213*Q1213</f>
        <v>0</v>
      </c>
      <c r="P1213" s="58" t="n">
        <v>0.02</v>
      </c>
      <c r="Q1213" s="58" t="n">
        <v>0.001</v>
      </c>
      <c r="R1213" s="59"/>
      <c r="S1213" s="22"/>
      <c r="T1213" s="11" t="str">
        <f aca="false">"16.12.25"</f>
        <v>16.12.25</v>
      </c>
    </row>
    <row r="1214" customFormat="false" ht="7.5" hidden="false" customHeight="true" outlineLevel="2" collapsed="false">
      <c r="A1214" s="48"/>
      <c r="B1214" s="49" t="s">
        <v>3963</v>
      </c>
      <c r="C1214" s="50" t="s">
        <v>3964</v>
      </c>
      <c r="D1214" s="51"/>
      <c r="E1214" s="52" t="n">
        <f aca="false">I1214*(1-J1214)*(100-E1)/100</f>
        <v>19.2</v>
      </c>
      <c r="F1214" s="53"/>
      <c r="G1214" s="54"/>
      <c r="H1214" s="52" t="n">
        <f aca="false">E1214*F1214</f>
        <v>0</v>
      </c>
      <c r="I1214" s="55" t="n">
        <v>30</v>
      </c>
      <c r="J1214" s="56"/>
      <c r="K1214" s="57" t="n">
        <v>0</v>
      </c>
      <c r="L1214" s="22" t="s">
        <v>53</v>
      </c>
      <c r="M1214" s="22"/>
      <c r="N1214" s="58" t="n">
        <f aca="false">F1214*P1214</f>
        <v>0</v>
      </c>
      <c r="O1214" s="58" t="n">
        <f aca="false">F1214*Q1214</f>
        <v>0</v>
      </c>
      <c r="P1214" s="58" t="n">
        <v>0.02</v>
      </c>
      <c r="Q1214" s="58" t="n">
        <v>0.001</v>
      </c>
      <c r="R1214" s="59"/>
      <c r="S1214" s="22"/>
      <c r="T1214" s="11" t="str">
        <f aca="false">"16.12.25"</f>
        <v>16.12.25</v>
      </c>
    </row>
    <row r="1215" customFormat="false" ht="7.5" hidden="false" customHeight="true" outlineLevel="2" collapsed="false">
      <c r="A1215" s="48"/>
      <c r="B1215" s="49" t="s">
        <v>3965</v>
      </c>
      <c r="C1215" s="50" t="s">
        <v>3966</v>
      </c>
      <c r="D1215" s="51"/>
      <c r="E1215" s="52" t="n">
        <f aca="false">I1215*(1-J1215)*(100-E1)/100</f>
        <v>38.4</v>
      </c>
      <c r="F1215" s="53"/>
      <c r="G1215" s="54" t="s">
        <v>3967</v>
      </c>
      <c r="H1215" s="52" t="n">
        <f aca="false">E1215*F1215</f>
        <v>0</v>
      </c>
      <c r="I1215" s="55" t="n">
        <v>60</v>
      </c>
      <c r="J1215" s="56"/>
      <c r="K1215" s="57" t="n">
        <v>0</v>
      </c>
      <c r="L1215" s="22" t="s">
        <v>53</v>
      </c>
      <c r="M1215" s="22"/>
      <c r="N1215" s="58" t="n">
        <f aca="false">F1215*P1215</f>
        <v>0</v>
      </c>
      <c r="O1215" s="58" t="n">
        <f aca="false">F1215*Q1215</f>
        <v>0</v>
      </c>
      <c r="P1215" s="58" t="n">
        <v>0.01</v>
      </c>
      <c r="Q1215" s="58" t="n">
        <v>0.001</v>
      </c>
      <c r="R1215" s="59" t="s">
        <v>3968</v>
      </c>
      <c r="S1215" s="22"/>
      <c r="T1215" s="11" t="str">
        <f aca="false">"16.12.25"</f>
        <v>16.12.25</v>
      </c>
    </row>
    <row r="1216" customFormat="false" ht="7.5" hidden="false" customHeight="true" outlineLevel="2" collapsed="false">
      <c r="A1216" s="48"/>
      <c r="B1216" s="49" t="s">
        <v>3969</v>
      </c>
      <c r="C1216" s="50" t="s">
        <v>3970</v>
      </c>
      <c r="D1216" s="51"/>
      <c r="E1216" s="52" t="n">
        <f aca="false">I1216*(1-J1216)*(100-E1)/100</f>
        <v>38.4</v>
      </c>
      <c r="F1216" s="53"/>
      <c r="G1216" s="54" t="s">
        <v>3937</v>
      </c>
      <c r="H1216" s="52" t="n">
        <f aca="false">E1216*F1216</f>
        <v>0</v>
      </c>
      <c r="I1216" s="55" t="n">
        <v>60</v>
      </c>
      <c r="J1216" s="56"/>
      <c r="K1216" s="57" t="n">
        <v>30</v>
      </c>
      <c r="L1216" s="22" t="s">
        <v>53</v>
      </c>
      <c r="M1216" s="22"/>
      <c r="N1216" s="58" t="n">
        <f aca="false">F1216*P1216</f>
        <v>0</v>
      </c>
      <c r="O1216" s="58" t="n">
        <f aca="false">F1216*Q1216</f>
        <v>0</v>
      </c>
      <c r="P1216" s="58" t="n">
        <v>0.005</v>
      </c>
      <c r="Q1216" s="58" t="n">
        <v>0.001</v>
      </c>
      <c r="R1216" s="59" t="s">
        <v>3971</v>
      </c>
      <c r="S1216" s="22"/>
      <c r="T1216" s="11" t="str">
        <f aca="false">"16.12.25"</f>
        <v>16.12.25</v>
      </c>
    </row>
    <row r="1217" customFormat="false" ht="7.5" hidden="false" customHeight="true" outlineLevel="2" collapsed="false">
      <c r="A1217" s="48"/>
      <c r="B1217" s="49" t="s">
        <v>3972</v>
      </c>
      <c r="C1217" s="50" t="s">
        <v>3973</v>
      </c>
      <c r="D1217" s="51"/>
      <c r="E1217" s="52" t="n">
        <f aca="false">I1217*(1-J1217)*(100-E1)/100</f>
        <v>12.8</v>
      </c>
      <c r="F1217" s="53"/>
      <c r="G1217" s="54"/>
      <c r="H1217" s="52" t="n">
        <f aca="false">E1217*F1217</f>
        <v>0</v>
      </c>
      <c r="I1217" s="55" t="n">
        <v>20</v>
      </c>
      <c r="J1217" s="56"/>
      <c r="K1217" s="57" t="n">
        <v>0</v>
      </c>
      <c r="L1217" s="22" t="s">
        <v>53</v>
      </c>
      <c r="M1217" s="22"/>
      <c r="N1217" s="58" t="n">
        <f aca="false">F1217*P1217</f>
        <v>0</v>
      </c>
      <c r="O1217" s="58" t="n">
        <f aca="false">F1217*Q1217</f>
        <v>0</v>
      </c>
      <c r="P1217" s="58" t="n">
        <v>0.02</v>
      </c>
      <c r="Q1217" s="58" t="n">
        <v>0.001</v>
      </c>
      <c r="R1217" s="59"/>
      <c r="S1217" s="22"/>
      <c r="T1217" s="11" t="str">
        <f aca="false">"16.12.25"</f>
        <v>16.12.25</v>
      </c>
    </row>
    <row r="1218" customFormat="false" ht="7.5" hidden="false" customHeight="true" outlineLevel="2" collapsed="false">
      <c r="A1218" s="48"/>
      <c r="B1218" s="49" t="s">
        <v>3974</v>
      </c>
      <c r="C1218" s="50" t="s">
        <v>3975</v>
      </c>
      <c r="D1218" s="51"/>
      <c r="E1218" s="52" t="n">
        <f aca="false">I1218*(1-J1218)*(100-E1)/100</f>
        <v>12.8</v>
      </c>
      <c r="F1218" s="53"/>
      <c r="G1218" s="54"/>
      <c r="H1218" s="52" t="n">
        <f aca="false">E1218*F1218</f>
        <v>0</v>
      </c>
      <c r="I1218" s="55" t="n">
        <v>20</v>
      </c>
      <c r="J1218" s="56"/>
      <c r="K1218" s="57" t="n">
        <v>0</v>
      </c>
      <c r="L1218" s="22" t="s">
        <v>53</v>
      </c>
      <c r="M1218" s="22"/>
      <c r="N1218" s="58" t="n">
        <f aca="false">F1218*P1218</f>
        <v>0</v>
      </c>
      <c r="O1218" s="58" t="n">
        <f aca="false">F1218*Q1218</f>
        <v>0</v>
      </c>
      <c r="P1218" s="58" t="n">
        <v>0.02</v>
      </c>
      <c r="Q1218" s="58" t="n">
        <v>0.001</v>
      </c>
      <c r="R1218" s="59"/>
      <c r="S1218" s="22"/>
      <c r="T1218" s="11" t="str">
        <f aca="false">"16.12.25"</f>
        <v>16.12.25</v>
      </c>
    </row>
    <row r="1219" customFormat="false" ht="7.5" hidden="false" customHeight="true" outlineLevel="2" collapsed="false">
      <c r="A1219" s="48"/>
      <c r="B1219" s="49" t="s">
        <v>3976</v>
      </c>
      <c r="C1219" s="50" t="s">
        <v>3977</v>
      </c>
      <c r="D1219" s="51"/>
      <c r="E1219" s="52" t="n">
        <f aca="false">I1219*(1-J1219)*(100-E1)/100</f>
        <v>12.8</v>
      </c>
      <c r="F1219" s="53"/>
      <c r="G1219" s="54"/>
      <c r="H1219" s="52" t="n">
        <f aca="false">E1219*F1219</f>
        <v>0</v>
      </c>
      <c r="I1219" s="55" t="n">
        <v>20</v>
      </c>
      <c r="J1219" s="56"/>
      <c r="K1219" s="57" t="n">
        <v>0</v>
      </c>
      <c r="L1219" s="22" t="s">
        <v>53</v>
      </c>
      <c r="M1219" s="22"/>
      <c r="N1219" s="58" t="n">
        <f aca="false">F1219*P1219</f>
        <v>0</v>
      </c>
      <c r="O1219" s="58" t="n">
        <f aca="false">F1219*Q1219</f>
        <v>0</v>
      </c>
      <c r="P1219" s="58" t="n">
        <v>0.02</v>
      </c>
      <c r="Q1219" s="58" t="n">
        <v>0.001</v>
      </c>
      <c r="R1219" s="59"/>
      <c r="S1219" s="22"/>
      <c r="T1219" s="11" t="str">
        <f aca="false">"16.12.25"</f>
        <v>16.12.25</v>
      </c>
    </row>
    <row r="1220" customFormat="false" ht="7.5" hidden="false" customHeight="true" outlineLevel="2" collapsed="false">
      <c r="A1220" s="48"/>
      <c r="B1220" s="49" t="s">
        <v>3978</v>
      </c>
      <c r="C1220" s="50" t="s">
        <v>3979</v>
      </c>
      <c r="D1220" s="51"/>
      <c r="E1220" s="52" t="n">
        <f aca="false">I1220*(1-J1220)*(100-E1)/100</f>
        <v>12.8</v>
      </c>
      <c r="F1220" s="53"/>
      <c r="G1220" s="54"/>
      <c r="H1220" s="52" t="n">
        <f aca="false">E1220*F1220</f>
        <v>0</v>
      </c>
      <c r="I1220" s="55" t="n">
        <v>20</v>
      </c>
      <c r="J1220" s="56"/>
      <c r="K1220" s="57" t="n">
        <v>0</v>
      </c>
      <c r="L1220" s="22" t="s">
        <v>53</v>
      </c>
      <c r="M1220" s="22"/>
      <c r="N1220" s="58" t="n">
        <f aca="false">F1220*P1220</f>
        <v>0</v>
      </c>
      <c r="O1220" s="58" t="n">
        <f aca="false">F1220*Q1220</f>
        <v>0</v>
      </c>
      <c r="P1220" s="58" t="n">
        <v>0.02</v>
      </c>
      <c r="Q1220" s="58" t="n">
        <v>0.001</v>
      </c>
      <c r="R1220" s="59"/>
      <c r="S1220" s="22"/>
      <c r="T1220" s="11" t="str">
        <f aca="false">"16.12.25"</f>
        <v>16.12.25</v>
      </c>
    </row>
    <row r="1221" customFormat="false" ht="7.5" hidden="false" customHeight="true" outlineLevel="2" collapsed="false">
      <c r="A1221" s="48"/>
      <c r="B1221" s="49" t="s">
        <v>3980</v>
      </c>
      <c r="C1221" s="50" t="s">
        <v>3981</v>
      </c>
      <c r="D1221" s="51"/>
      <c r="E1221" s="52" t="n">
        <f aca="false">I1221*(1-J1221)*(100-E1)/100</f>
        <v>19.2</v>
      </c>
      <c r="F1221" s="53"/>
      <c r="G1221" s="54"/>
      <c r="H1221" s="52" t="n">
        <f aca="false">E1221*F1221</f>
        <v>0</v>
      </c>
      <c r="I1221" s="55" t="n">
        <v>30</v>
      </c>
      <c r="J1221" s="56"/>
      <c r="K1221" s="57" t="n">
        <v>4047</v>
      </c>
      <c r="L1221" s="22" t="s">
        <v>53</v>
      </c>
      <c r="M1221" s="22"/>
      <c r="N1221" s="58" t="n">
        <f aca="false">F1221*P1221</f>
        <v>0</v>
      </c>
      <c r="O1221" s="58" t="n">
        <f aca="false">F1221*Q1221</f>
        <v>0</v>
      </c>
      <c r="P1221" s="58" t="n">
        <v>0.02</v>
      </c>
      <c r="Q1221" s="58" t="n">
        <v>0.001</v>
      </c>
      <c r="R1221" s="59"/>
      <c r="S1221" s="22"/>
      <c r="T1221" s="11" t="str">
        <f aca="false">"16.12.25"</f>
        <v>16.12.25</v>
      </c>
    </row>
    <row r="1222" customFormat="false" ht="7.5" hidden="false" customHeight="true" outlineLevel="2" collapsed="false">
      <c r="A1222" s="48"/>
      <c r="B1222" s="49" t="s">
        <v>3982</v>
      </c>
      <c r="C1222" s="50" t="s">
        <v>3983</v>
      </c>
      <c r="D1222" s="51"/>
      <c r="E1222" s="52" t="n">
        <f aca="false">I1222*(1-J1222)*(100-E1)/100</f>
        <v>19.2</v>
      </c>
      <c r="F1222" s="53"/>
      <c r="G1222" s="54"/>
      <c r="H1222" s="52" t="n">
        <f aca="false">E1222*F1222</f>
        <v>0</v>
      </c>
      <c r="I1222" s="55" t="n">
        <v>30</v>
      </c>
      <c r="J1222" s="56"/>
      <c r="K1222" s="57" t="n">
        <v>0</v>
      </c>
      <c r="L1222" s="22" t="s">
        <v>53</v>
      </c>
      <c r="M1222" s="22"/>
      <c r="N1222" s="58" t="n">
        <f aca="false">F1222*P1222</f>
        <v>0</v>
      </c>
      <c r="O1222" s="58" t="n">
        <f aca="false">F1222*Q1222</f>
        <v>0</v>
      </c>
      <c r="P1222" s="58" t="n">
        <v>0.02</v>
      </c>
      <c r="Q1222" s="58" t="n">
        <v>0.001</v>
      </c>
      <c r="R1222" s="59"/>
      <c r="S1222" s="22"/>
      <c r="T1222" s="11" t="str">
        <f aca="false">"16.12.25"</f>
        <v>16.12.25</v>
      </c>
    </row>
    <row r="1223" customFormat="false" ht="7.5" hidden="false" customHeight="true" outlineLevel="2" collapsed="false">
      <c r="A1223" s="48"/>
      <c r="B1223" s="49" t="s">
        <v>3984</v>
      </c>
      <c r="C1223" s="50" t="s">
        <v>3985</v>
      </c>
      <c r="D1223" s="51"/>
      <c r="E1223" s="52" t="n">
        <f aca="false">I1223*(1-J1223)*(100-E1)/100</f>
        <v>19.2</v>
      </c>
      <c r="F1223" s="53"/>
      <c r="G1223" s="54"/>
      <c r="H1223" s="52" t="n">
        <f aca="false">E1223*F1223</f>
        <v>0</v>
      </c>
      <c r="I1223" s="55" t="n">
        <v>30</v>
      </c>
      <c r="J1223" s="56"/>
      <c r="K1223" s="57" t="n">
        <v>0</v>
      </c>
      <c r="L1223" s="22" t="s">
        <v>53</v>
      </c>
      <c r="M1223" s="22"/>
      <c r="N1223" s="58" t="n">
        <f aca="false">F1223*P1223</f>
        <v>0</v>
      </c>
      <c r="O1223" s="58" t="n">
        <f aca="false">F1223*Q1223</f>
        <v>0</v>
      </c>
      <c r="P1223" s="58" t="n">
        <v>0.02</v>
      </c>
      <c r="Q1223" s="58" t="n">
        <v>0.001</v>
      </c>
      <c r="R1223" s="59"/>
      <c r="S1223" s="22"/>
      <c r="T1223" s="11" t="str">
        <f aca="false">"16.12.25"</f>
        <v>16.12.25</v>
      </c>
    </row>
    <row r="1224" customFormat="false" ht="7.5" hidden="false" customHeight="true" outlineLevel="2" collapsed="false">
      <c r="A1224" s="48"/>
      <c r="B1224" s="49" t="s">
        <v>3986</v>
      </c>
      <c r="C1224" s="50" t="s">
        <v>3987</v>
      </c>
      <c r="D1224" s="51"/>
      <c r="E1224" s="52" t="n">
        <f aca="false">I1224*(1-J1224)*(100-E1)/100</f>
        <v>19.2</v>
      </c>
      <c r="F1224" s="53"/>
      <c r="G1224" s="54"/>
      <c r="H1224" s="52" t="n">
        <f aca="false">E1224*F1224</f>
        <v>0</v>
      </c>
      <c r="I1224" s="55" t="n">
        <v>30</v>
      </c>
      <c r="J1224" s="56"/>
      <c r="K1224" s="57" t="n">
        <v>0</v>
      </c>
      <c r="L1224" s="22" t="s">
        <v>53</v>
      </c>
      <c r="M1224" s="22"/>
      <c r="N1224" s="58" t="n">
        <f aca="false">F1224*P1224</f>
        <v>0</v>
      </c>
      <c r="O1224" s="58" t="n">
        <f aca="false">F1224*Q1224</f>
        <v>0</v>
      </c>
      <c r="P1224" s="58" t="n">
        <v>0.02</v>
      </c>
      <c r="Q1224" s="58" t="n">
        <v>0.001</v>
      </c>
      <c r="R1224" s="59"/>
      <c r="S1224" s="22"/>
      <c r="T1224" s="11" t="str">
        <f aca="false">"16.12.25"</f>
        <v>16.12.25</v>
      </c>
    </row>
    <row r="1225" customFormat="false" ht="7.5" hidden="false" customHeight="true" outlineLevel="2" collapsed="false">
      <c r="A1225" s="48"/>
      <c r="B1225" s="49" t="s">
        <v>3988</v>
      </c>
      <c r="C1225" s="50" t="s">
        <v>3989</v>
      </c>
      <c r="D1225" s="51"/>
      <c r="E1225" s="52" t="n">
        <f aca="false">I1225*(1-J1225)*(100-E1)/100</f>
        <v>19.2</v>
      </c>
      <c r="F1225" s="53"/>
      <c r="G1225" s="54"/>
      <c r="H1225" s="52" t="n">
        <f aca="false">E1225*F1225</f>
        <v>0</v>
      </c>
      <c r="I1225" s="55" t="n">
        <v>30</v>
      </c>
      <c r="J1225" s="56"/>
      <c r="K1225" s="57" t="n">
        <v>0</v>
      </c>
      <c r="L1225" s="22" t="s">
        <v>53</v>
      </c>
      <c r="M1225" s="22"/>
      <c r="N1225" s="58" t="n">
        <f aca="false">F1225*P1225</f>
        <v>0</v>
      </c>
      <c r="O1225" s="58" t="n">
        <f aca="false">F1225*Q1225</f>
        <v>0</v>
      </c>
      <c r="P1225" s="58" t="n">
        <v>0.03</v>
      </c>
      <c r="Q1225" s="58" t="n">
        <v>0.001</v>
      </c>
      <c r="R1225" s="59"/>
      <c r="S1225" s="22"/>
      <c r="T1225" s="11" t="str">
        <f aca="false">"16.12.25"</f>
        <v>16.12.25</v>
      </c>
    </row>
    <row r="1226" customFormat="false" ht="7.5" hidden="false" customHeight="true" outlineLevel="2" collapsed="false">
      <c r="A1226" s="48"/>
      <c r="B1226" s="49" t="s">
        <v>3990</v>
      </c>
      <c r="C1226" s="50" t="s">
        <v>3991</v>
      </c>
      <c r="D1226" s="51"/>
      <c r="E1226" s="52" t="n">
        <f aca="false">I1226*(1-J1226)*(100-E1)/100</f>
        <v>19.2</v>
      </c>
      <c r="F1226" s="53"/>
      <c r="G1226" s="54"/>
      <c r="H1226" s="52" t="n">
        <f aca="false">E1226*F1226</f>
        <v>0</v>
      </c>
      <c r="I1226" s="55" t="n">
        <v>30</v>
      </c>
      <c r="J1226" s="56"/>
      <c r="K1226" s="57" t="n">
        <v>0</v>
      </c>
      <c r="L1226" s="22" t="s">
        <v>53</v>
      </c>
      <c r="M1226" s="22"/>
      <c r="N1226" s="58" t="n">
        <f aca="false">F1226*P1226</f>
        <v>0</v>
      </c>
      <c r="O1226" s="58" t="n">
        <f aca="false">F1226*Q1226</f>
        <v>0</v>
      </c>
      <c r="P1226" s="58" t="n">
        <v>0.03</v>
      </c>
      <c r="Q1226" s="58" t="n">
        <v>0.001</v>
      </c>
      <c r="R1226" s="59"/>
      <c r="S1226" s="22"/>
      <c r="T1226" s="11" t="str">
        <f aca="false">"16.12.25"</f>
        <v>16.12.25</v>
      </c>
    </row>
    <row r="1227" customFormat="false" ht="7.5" hidden="false" customHeight="true" outlineLevel="2" collapsed="false">
      <c r="A1227" s="48"/>
      <c r="B1227" s="49" t="s">
        <v>3992</v>
      </c>
      <c r="C1227" s="50" t="s">
        <v>3993</v>
      </c>
      <c r="D1227" s="51"/>
      <c r="E1227" s="52" t="n">
        <f aca="false">I1227*(1-J1227)*(100-E1)/100</f>
        <v>19.2</v>
      </c>
      <c r="F1227" s="53"/>
      <c r="G1227" s="54"/>
      <c r="H1227" s="52" t="n">
        <f aca="false">E1227*F1227</f>
        <v>0</v>
      </c>
      <c r="I1227" s="55" t="n">
        <v>30</v>
      </c>
      <c r="J1227" s="56"/>
      <c r="K1227" s="57" t="n">
        <v>0</v>
      </c>
      <c r="L1227" s="22" t="s">
        <v>53</v>
      </c>
      <c r="M1227" s="22"/>
      <c r="N1227" s="58" t="n">
        <f aca="false">F1227*P1227</f>
        <v>0</v>
      </c>
      <c r="O1227" s="58" t="n">
        <f aca="false">F1227*Q1227</f>
        <v>0</v>
      </c>
      <c r="P1227" s="58" t="n">
        <v>0.03</v>
      </c>
      <c r="Q1227" s="58" t="n">
        <v>0.001</v>
      </c>
      <c r="R1227" s="59"/>
      <c r="S1227" s="22"/>
      <c r="T1227" s="11" t="str">
        <f aca="false">"16.12.25"</f>
        <v>16.12.25</v>
      </c>
    </row>
    <row r="1228" customFormat="false" ht="7.5" hidden="false" customHeight="true" outlineLevel="2" collapsed="false">
      <c r="A1228" s="48"/>
      <c r="B1228" s="49" t="s">
        <v>3994</v>
      </c>
      <c r="C1228" s="50" t="s">
        <v>3995</v>
      </c>
      <c r="D1228" s="51"/>
      <c r="E1228" s="52" t="n">
        <f aca="false">I1228*(1-J1228)*(100-E1)/100</f>
        <v>19.2</v>
      </c>
      <c r="F1228" s="53"/>
      <c r="G1228" s="54"/>
      <c r="H1228" s="52" t="n">
        <f aca="false">E1228*F1228</f>
        <v>0</v>
      </c>
      <c r="I1228" s="55" t="n">
        <v>30</v>
      </c>
      <c r="J1228" s="56"/>
      <c r="K1228" s="57" t="n">
        <v>0</v>
      </c>
      <c r="L1228" s="22" t="s">
        <v>53</v>
      </c>
      <c r="M1228" s="22"/>
      <c r="N1228" s="58" t="n">
        <f aca="false">F1228*P1228</f>
        <v>0</v>
      </c>
      <c r="O1228" s="58" t="n">
        <f aca="false">F1228*Q1228</f>
        <v>0</v>
      </c>
      <c r="P1228" s="58" t="n">
        <v>0.03</v>
      </c>
      <c r="Q1228" s="58" t="n">
        <v>0.001</v>
      </c>
      <c r="R1228" s="59"/>
      <c r="S1228" s="22"/>
      <c r="T1228" s="11" t="str">
        <f aca="false">"16.12.25"</f>
        <v>16.12.25</v>
      </c>
    </row>
    <row r="1229" customFormat="false" ht="7.5" hidden="false" customHeight="true" outlineLevel="2" collapsed="false">
      <c r="A1229" s="48"/>
      <c r="B1229" s="49" t="s">
        <v>3996</v>
      </c>
      <c r="C1229" s="50" t="s">
        <v>3997</v>
      </c>
      <c r="D1229" s="51"/>
      <c r="E1229" s="52" t="n">
        <f aca="false">I1229*(1-J1229)*(100-E1)/100</f>
        <v>19.2</v>
      </c>
      <c r="F1229" s="53"/>
      <c r="G1229" s="54"/>
      <c r="H1229" s="52" t="n">
        <f aca="false">E1229*F1229</f>
        <v>0</v>
      </c>
      <c r="I1229" s="55" t="n">
        <v>30</v>
      </c>
      <c r="J1229" s="56"/>
      <c r="K1229" s="57" t="n">
        <v>0</v>
      </c>
      <c r="L1229" s="22" t="s">
        <v>53</v>
      </c>
      <c r="M1229" s="22"/>
      <c r="N1229" s="58" t="n">
        <f aca="false">F1229*P1229</f>
        <v>0</v>
      </c>
      <c r="O1229" s="58" t="n">
        <f aca="false">F1229*Q1229</f>
        <v>0</v>
      </c>
      <c r="P1229" s="58" t="n">
        <v>0.03</v>
      </c>
      <c r="Q1229" s="58" t="n">
        <v>0.001</v>
      </c>
      <c r="R1229" s="59"/>
      <c r="S1229" s="22"/>
      <c r="T1229" s="11" t="str">
        <f aca="false">"16.12.25"</f>
        <v>16.12.25</v>
      </c>
    </row>
    <row r="1230" customFormat="false" ht="7.5" hidden="false" customHeight="true" outlineLevel="2" collapsed="false">
      <c r="A1230" s="48"/>
      <c r="B1230" s="49" t="s">
        <v>3998</v>
      </c>
      <c r="C1230" s="50" t="s">
        <v>3999</v>
      </c>
      <c r="D1230" s="51"/>
      <c r="E1230" s="52" t="n">
        <f aca="false">I1230*(1-J1230)*(100-E1)/100</f>
        <v>19.2</v>
      </c>
      <c r="F1230" s="53"/>
      <c r="G1230" s="54"/>
      <c r="H1230" s="52" t="n">
        <f aca="false">E1230*F1230</f>
        <v>0</v>
      </c>
      <c r="I1230" s="55" t="n">
        <v>30</v>
      </c>
      <c r="J1230" s="56"/>
      <c r="K1230" s="57" t="n">
        <v>0</v>
      </c>
      <c r="L1230" s="22" t="s">
        <v>53</v>
      </c>
      <c r="M1230" s="22"/>
      <c r="N1230" s="58" t="n">
        <f aca="false">F1230*P1230</f>
        <v>0</v>
      </c>
      <c r="O1230" s="58" t="n">
        <f aca="false">F1230*Q1230</f>
        <v>0</v>
      </c>
      <c r="P1230" s="58" t="n">
        <v>0.03</v>
      </c>
      <c r="Q1230" s="58" t="n">
        <v>0.001</v>
      </c>
      <c r="R1230" s="59"/>
      <c r="S1230" s="22"/>
      <c r="T1230" s="11" t="str">
        <f aca="false">"16.12.25"</f>
        <v>16.12.25</v>
      </c>
    </row>
    <row r="1231" customFormat="false" ht="7.5" hidden="false" customHeight="true" outlineLevel="2" collapsed="false">
      <c r="A1231" s="48"/>
      <c r="B1231" s="49" t="s">
        <v>4000</v>
      </c>
      <c r="C1231" s="50" t="s">
        <v>4001</v>
      </c>
      <c r="D1231" s="51"/>
      <c r="E1231" s="52" t="n">
        <f aca="false">I1231*(1-J1231)*(100-E1)/100</f>
        <v>19.2</v>
      </c>
      <c r="F1231" s="53"/>
      <c r="G1231" s="54"/>
      <c r="H1231" s="52" t="n">
        <f aca="false">E1231*F1231</f>
        <v>0</v>
      </c>
      <c r="I1231" s="55" t="n">
        <v>30</v>
      </c>
      <c r="J1231" s="56"/>
      <c r="K1231" s="57" t="n">
        <v>0</v>
      </c>
      <c r="L1231" s="22" t="s">
        <v>53</v>
      </c>
      <c r="M1231" s="22"/>
      <c r="N1231" s="58" t="n">
        <f aca="false">F1231*P1231</f>
        <v>0</v>
      </c>
      <c r="O1231" s="58" t="n">
        <f aca="false">F1231*Q1231</f>
        <v>0</v>
      </c>
      <c r="P1231" s="58" t="n">
        <v>0.03</v>
      </c>
      <c r="Q1231" s="58" t="n">
        <v>0.001</v>
      </c>
      <c r="R1231" s="59"/>
      <c r="S1231" s="22"/>
      <c r="T1231" s="11" t="str">
        <f aca="false">"16.12.25"</f>
        <v>16.12.25</v>
      </c>
    </row>
    <row r="1232" customFormat="false" ht="7.5" hidden="false" customHeight="true" outlineLevel="2" collapsed="false">
      <c r="A1232" s="48"/>
      <c r="B1232" s="49" t="s">
        <v>4002</v>
      </c>
      <c r="C1232" s="50" t="s">
        <v>4003</v>
      </c>
      <c r="D1232" s="51"/>
      <c r="E1232" s="52" t="n">
        <f aca="false">I1232*(1-J1232)*(100-E1)/100</f>
        <v>108.8</v>
      </c>
      <c r="F1232" s="53"/>
      <c r="G1232" s="54"/>
      <c r="H1232" s="52" t="n">
        <f aca="false">E1232*F1232</f>
        <v>0</v>
      </c>
      <c r="I1232" s="55" t="n">
        <v>170</v>
      </c>
      <c r="J1232" s="56"/>
      <c r="K1232" s="57" t="n">
        <v>39</v>
      </c>
      <c r="L1232" s="22" t="s">
        <v>53</v>
      </c>
      <c r="M1232" s="22"/>
      <c r="N1232" s="58" t="n">
        <f aca="false">F1232*P1232</f>
        <v>0</v>
      </c>
      <c r="O1232" s="58" t="n">
        <f aca="false">F1232*Q1232</f>
        <v>0</v>
      </c>
      <c r="P1232" s="58" t="n">
        <v>0.15</v>
      </c>
      <c r="Q1232" s="58" t="n">
        <v>0.001</v>
      </c>
      <c r="R1232" s="59"/>
      <c r="S1232" s="22"/>
      <c r="T1232" s="11" t="str">
        <f aca="false">"16.12.25"</f>
        <v>16.12.25</v>
      </c>
    </row>
    <row r="1233" customFormat="false" ht="7.5" hidden="false" customHeight="true" outlineLevel="2" collapsed="false">
      <c r="A1233" s="48"/>
      <c r="B1233" s="49" t="s">
        <v>4004</v>
      </c>
      <c r="C1233" s="50" t="s">
        <v>4005</v>
      </c>
      <c r="D1233" s="51"/>
      <c r="E1233" s="52" t="n">
        <f aca="false">I1233*(1-J1233)*(100-E1)/100</f>
        <v>160</v>
      </c>
      <c r="F1233" s="53"/>
      <c r="G1233" s="54"/>
      <c r="H1233" s="52" t="n">
        <f aca="false">E1233*F1233</f>
        <v>0</v>
      </c>
      <c r="I1233" s="55" t="n">
        <v>250</v>
      </c>
      <c r="J1233" s="56"/>
      <c r="K1233" s="57" t="n">
        <v>0</v>
      </c>
      <c r="L1233" s="22" t="s">
        <v>53</v>
      </c>
      <c r="M1233" s="22"/>
      <c r="N1233" s="58" t="n">
        <f aca="false">F1233*P1233</f>
        <v>0</v>
      </c>
      <c r="O1233" s="58" t="n">
        <f aca="false">F1233*Q1233</f>
        <v>0</v>
      </c>
      <c r="P1233" s="58" t="n">
        <v>0.15</v>
      </c>
      <c r="Q1233" s="58" t="n">
        <v>0.001</v>
      </c>
      <c r="R1233" s="59"/>
      <c r="S1233" s="22"/>
      <c r="T1233" s="11" t="str">
        <f aca="false">"16.12.25"</f>
        <v>16.12.25</v>
      </c>
    </row>
    <row r="1234" customFormat="false" ht="7.5" hidden="false" customHeight="true" outlineLevel="2" collapsed="false">
      <c r="A1234" s="48"/>
      <c r="B1234" s="49" t="s">
        <v>4006</v>
      </c>
      <c r="C1234" s="50" t="s">
        <v>4007</v>
      </c>
      <c r="D1234" s="51"/>
      <c r="E1234" s="52" t="n">
        <f aca="false">I1234*(1-J1234)*(100-E1)/100</f>
        <v>236.8</v>
      </c>
      <c r="F1234" s="53"/>
      <c r="G1234" s="54"/>
      <c r="H1234" s="52" t="n">
        <f aca="false">E1234*F1234</f>
        <v>0</v>
      </c>
      <c r="I1234" s="55" t="n">
        <v>370</v>
      </c>
      <c r="J1234" s="56"/>
      <c r="K1234" s="57" t="n">
        <v>0</v>
      </c>
      <c r="L1234" s="22" t="s">
        <v>53</v>
      </c>
      <c r="M1234" s="22"/>
      <c r="N1234" s="58" t="n">
        <f aca="false">F1234*P1234</f>
        <v>0</v>
      </c>
      <c r="O1234" s="58" t="n">
        <f aca="false">F1234*Q1234</f>
        <v>0</v>
      </c>
      <c r="P1234" s="58" t="n">
        <v>0.15</v>
      </c>
      <c r="Q1234" s="58" t="n">
        <v>0.15</v>
      </c>
      <c r="R1234" s="59"/>
      <c r="S1234" s="22"/>
      <c r="T1234" s="11" t="str">
        <f aca="false">"16.12.25"</f>
        <v>16.12.25</v>
      </c>
    </row>
    <row r="1235" customFormat="false" ht="7.5" hidden="false" customHeight="true" outlineLevel="2" collapsed="false">
      <c r="A1235" s="48"/>
      <c r="B1235" s="49" t="s">
        <v>4008</v>
      </c>
      <c r="C1235" s="50" t="s">
        <v>4009</v>
      </c>
      <c r="D1235" s="51"/>
      <c r="E1235" s="52" t="n">
        <f aca="false">I1235*(1-J1235)*(100-E1)/100</f>
        <v>275.2</v>
      </c>
      <c r="F1235" s="53"/>
      <c r="G1235" s="54"/>
      <c r="H1235" s="52" t="n">
        <f aca="false">E1235*F1235</f>
        <v>0</v>
      </c>
      <c r="I1235" s="55" t="n">
        <v>430</v>
      </c>
      <c r="J1235" s="56"/>
      <c r="K1235" s="57" t="n">
        <v>20</v>
      </c>
      <c r="L1235" s="22" t="s">
        <v>53</v>
      </c>
      <c r="M1235" s="22"/>
      <c r="N1235" s="58" t="n">
        <f aca="false">F1235*P1235</f>
        <v>0</v>
      </c>
      <c r="O1235" s="58" t="n">
        <f aca="false">F1235*Q1235</f>
        <v>0</v>
      </c>
      <c r="P1235" s="58" t="n">
        <v>0.15</v>
      </c>
      <c r="Q1235" s="58" t="n">
        <v>0.001</v>
      </c>
      <c r="R1235" s="59"/>
      <c r="S1235" s="22"/>
      <c r="T1235" s="11" t="str">
        <f aca="false">"16.12.25"</f>
        <v>16.12.25</v>
      </c>
    </row>
    <row r="1236" customFormat="false" ht="7.5" hidden="false" customHeight="true" outlineLevel="2" collapsed="false">
      <c r="A1236" s="48"/>
      <c r="B1236" s="49" t="s">
        <v>4010</v>
      </c>
      <c r="C1236" s="50" t="s">
        <v>4011</v>
      </c>
      <c r="D1236" s="51"/>
      <c r="E1236" s="52" t="n">
        <f aca="false">I1236*(1-J1236)*(100-E1)/100</f>
        <v>435.2</v>
      </c>
      <c r="F1236" s="53"/>
      <c r="G1236" s="54"/>
      <c r="H1236" s="52" t="n">
        <f aca="false">E1236*F1236</f>
        <v>0</v>
      </c>
      <c r="I1236" s="55" t="n">
        <v>680</v>
      </c>
      <c r="J1236" s="56"/>
      <c r="K1236" s="57" t="n">
        <v>0</v>
      </c>
      <c r="L1236" s="22" t="s">
        <v>53</v>
      </c>
      <c r="M1236" s="22"/>
      <c r="N1236" s="58" t="n">
        <f aca="false">F1236*P1236</f>
        <v>0</v>
      </c>
      <c r="O1236" s="58" t="n">
        <f aca="false">F1236*Q1236</f>
        <v>0</v>
      </c>
      <c r="P1236" s="58" t="n">
        <v>0.15</v>
      </c>
      <c r="Q1236" s="58" t="n">
        <v>0.001</v>
      </c>
      <c r="R1236" s="59"/>
      <c r="S1236" s="22"/>
      <c r="T1236" s="11" t="str">
        <f aca="false">"16.12.25"</f>
        <v>16.12.25</v>
      </c>
    </row>
    <row r="1237" customFormat="false" ht="7.5" hidden="false" customHeight="true" outlineLevel="2" collapsed="false">
      <c r="A1237" s="48"/>
      <c r="B1237" s="49" t="s">
        <v>4012</v>
      </c>
      <c r="C1237" s="50" t="s">
        <v>4013</v>
      </c>
      <c r="D1237" s="51"/>
      <c r="E1237" s="52" t="n">
        <f aca="false">I1237*(1-J1237)*(100-E1)/100</f>
        <v>32</v>
      </c>
      <c r="F1237" s="53"/>
      <c r="G1237" s="54"/>
      <c r="H1237" s="52" t="n">
        <f aca="false">E1237*F1237</f>
        <v>0</v>
      </c>
      <c r="I1237" s="55" t="n">
        <v>50</v>
      </c>
      <c r="J1237" s="56"/>
      <c r="K1237" s="57" t="n">
        <v>0</v>
      </c>
      <c r="L1237" s="22" t="s">
        <v>53</v>
      </c>
      <c r="M1237" s="22"/>
      <c r="N1237" s="58" t="n">
        <f aca="false">F1237*P1237</f>
        <v>0</v>
      </c>
      <c r="O1237" s="58" t="n">
        <f aca="false">F1237*Q1237</f>
        <v>0</v>
      </c>
      <c r="P1237" s="58" t="n">
        <v>0.15</v>
      </c>
      <c r="Q1237" s="58" t="n">
        <v>0.001</v>
      </c>
      <c r="R1237" s="59"/>
      <c r="S1237" s="22"/>
      <c r="T1237" s="11" t="str">
        <f aca="false">"16.12.25"</f>
        <v>16.12.25</v>
      </c>
    </row>
    <row r="1238" customFormat="false" ht="7.5" hidden="false" customHeight="true" outlineLevel="2" collapsed="false">
      <c r="A1238" s="48"/>
      <c r="B1238" s="49" t="s">
        <v>4014</v>
      </c>
      <c r="C1238" s="50" t="s">
        <v>4015</v>
      </c>
      <c r="D1238" s="51" t="s">
        <v>3637</v>
      </c>
      <c r="E1238" s="52" t="n">
        <f aca="false">I1238*(1-J1238)*(100-E1)/100</f>
        <v>211.2</v>
      </c>
      <c r="F1238" s="53"/>
      <c r="G1238" s="54" t="n">
        <v>40</v>
      </c>
      <c r="H1238" s="52" t="n">
        <f aca="false">E1238*F1238</f>
        <v>0</v>
      </c>
      <c r="I1238" s="55" t="n">
        <v>330</v>
      </c>
      <c r="J1238" s="56"/>
      <c r="K1238" s="57" t="n">
        <v>0</v>
      </c>
      <c r="L1238" s="22" t="s">
        <v>44</v>
      </c>
      <c r="M1238" s="22"/>
      <c r="N1238" s="58" t="n">
        <f aca="false">F1238*P1238</f>
        <v>0</v>
      </c>
      <c r="O1238" s="58" t="n">
        <f aca="false">F1238*Q1238</f>
        <v>0</v>
      </c>
      <c r="P1238" s="58" t="n">
        <v>0.47</v>
      </c>
      <c r="Q1238" s="58" t="n">
        <v>0.001</v>
      </c>
      <c r="R1238" s="59" t="s">
        <v>4016</v>
      </c>
      <c r="S1238" s="22"/>
      <c r="T1238" s="11" t="str">
        <f aca="false">"16.12.25"</f>
        <v>16.12.25</v>
      </c>
    </row>
    <row r="1239" customFormat="false" ht="7.5" hidden="false" customHeight="true" outlineLevel="2" collapsed="false">
      <c r="A1239" s="48"/>
      <c r="B1239" s="49" t="s">
        <v>4017</v>
      </c>
      <c r="C1239" s="50" t="s">
        <v>4018</v>
      </c>
      <c r="D1239" s="51" t="s">
        <v>3637</v>
      </c>
      <c r="E1239" s="52" t="n">
        <f aca="false">I1239*(1-J1239)*(100-E1)/100</f>
        <v>230.4</v>
      </c>
      <c r="F1239" s="53"/>
      <c r="G1239" s="54" t="n">
        <v>40</v>
      </c>
      <c r="H1239" s="52" t="n">
        <f aca="false">E1239*F1239</f>
        <v>0</v>
      </c>
      <c r="I1239" s="55" t="n">
        <v>360</v>
      </c>
      <c r="J1239" s="56"/>
      <c r="K1239" s="57" t="n">
        <v>0</v>
      </c>
      <c r="L1239" s="22" t="s">
        <v>44</v>
      </c>
      <c r="M1239" s="22"/>
      <c r="N1239" s="58" t="n">
        <f aca="false">F1239*P1239</f>
        <v>0</v>
      </c>
      <c r="O1239" s="58" t="n">
        <f aca="false">F1239*Q1239</f>
        <v>0</v>
      </c>
      <c r="P1239" s="58" t="n">
        <v>0.437</v>
      </c>
      <c r="Q1239" s="58" t="n">
        <v>0.001</v>
      </c>
      <c r="R1239" s="59" t="s">
        <v>4019</v>
      </c>
      <c r="S1239" s="22"/>
      <c r="T1239" s="11" t="str">
        <f aca="false">"16.12.25"</f>
        <v>16.12.25</v>
      </c>
    </row>
    <row r="1240" customFormat="false" ht="7.5" hidden="false" customHeight="true" outlineLevel="2" collapsed="false">
      <c r="A1240" s="48"/>
      <c r="B1240" s="49" t="s">
        <v>4020</v>
      </c>
      <c r="C1240" s="50" t="s">
        <v>4021</v>
      </c>
      <c r="D1240" s="51" t="s">
        <v>3637</v>
      </c>
      <c r="E1240" s="52" t="n">
        <f aca="false">I1240*(1-J1240)*(100-E1)/100</f>
        <v>480</v>
      </c>
      <c r="F1240" s="53"/>
      <c r="G1240" s="54" t="n">
        <v>40</v>
      </c>
      <c r="H1240" s="52" t="n">
        <f aca="false">E1240*F1240</f>
        <v>0</v>
      </c>
      <c r="I1240" s="55" t="n">
        <v>750</v>
      </c>
      <c r="J1240" s="56"/>
      <c r="K1240" s="57" t="n">
        <v>0</v>
      </c>
      <c r="L1240" s="22" t="s">
        <v>44</v>
      </c>
      <c r="M1240" s="22"/>
      <c r="N1240" s="58" t="n">
        <f aca="false">F1240*P1240</f>
        <v>0</v>
      </c>
      <c r="O1240" s="58" t="n">
        <f aca="false">F1240*Q1240</f>
        <v>0</v>
      </c>
      <c r="P1240" s="58" t="n">
        <v>0.043</v>
      </c>
      <c r="Q1240" s="58" t="n">
        <v>0.001</v>
      </c>
      <c r="R1240" s="59" t="s">
        <v>4022</v>
      </c>
      <c r="S1240" s="22"/>
      <c r="T1240" s="11" t="str">
        <f aca="false">"16.12.25"</f>
        <v>16.12.25</v>
      </c>
    </row>
    <row r="1241" customFormat="false" ht="7.5" hidden="false" customHeight="true" outlineLevel="2" collapsed="false">
      <c r="A1241" s="48"/>
      <c r="B1241" s="49" t="s">
        <v>4023</v>
      </c>
      <c r="C1241" s="50" t="s">
        <v>4024</v>
      </c>
      <c r="D1241" s="51" t="s">
        <v>3598</v>
      </c>
      <c r="E1241" s="52" t="n">
        <f aca="false">I1241*(1-J1241)*(100-E1)/100</f>
        <v>563.2</v>
      </c>
      <c r="F1241" s="53"/>
      <c r="G1241" s="54" t="n">
        <v>40</v>
      </c>
      <c r="H1241" s="52" t="n">
        <f aca="false">E1241*F1241</f>
        <v>0</v>
      </c>
      <c r="I1241" s="55" t="n">
        <v>880</v>
      </c>
      <c r="J1241" s="56"/>
      <c r="K1241" s="57" t="n">
        <v>674</v>
      </c>
      <c r="L1241" s="22" t="s">
        <v>44</v>
      </c>
      <c r="M1241" s="22"/>
      <c r="N1241" s="58" t="n">
        <f aca="false">F1241*P1241</f>
        <v>0</v>
      </c>
      <c r="O1241" s="58" t="n">
        <f aca="false">F1241*Q1241</f>
        <v>0</v>
      </c>
      <c r="P1241" s="58" t="n">
        <v>0.437</v>
      </c>
      <c r="Q1241" s="58" t="n">
        <v>0.001</v>
      </c>
      <c r="R1241" s="59" t="s">
        <v>4025</v>
      </c>
      <c r="S1241" s="22"/>
      <c r="T1241" s="11" t="str">
        <f aca="false">"16.12.25"</f>
        <v>16.12.25</v>
      </c>
    </row>
    <row r="1242" customFormat="false" ht="7.5" hidden="false" customHeight="true" outlineLevel="2" collapsed="false">
      <c r="A1242" s="48"/>
      <c r="B1242" s="49" t="s">
        <v>4026</v>
      </c>
      <c r="C1242" s="50" t="s">
        <v>4027</v>
      </c>
      <c r="D1242" s="51"/>
      <c r="E1242" s="52" t="n">
        <f aca="false">I1242*(1-J1242)*(100-E1)/100</f>
        <v>83.2</v>
      </c>
      <c r="F1242" s="53"/>
      <c r="G1242" s="54" t="n">
        <v>100</v>
      </c>
      <c r="H1242" s="52" t="n">
        <f aca="false">E1242*F1242</f>
        <v>0</v>
      </c>
      <c r="I1242" s="55" t="n">
        <v>130</v>
      </c>
      <c r="J1242" s="56"/>
      <c r="K1242" s="57" t="n">
        <v>0</v>
      </c>
      <c r="L1242" s="22" t="s">
        <v>44</v>
      </c>
      <c r="M1242" s="22"/>
      <c r="N1242" s="58" t="n">
        <f aca="false">F1242*P1242</f>
        <v>0</v>
      </c>
      <c r="O1242" s="58" t="n">
        <f aca="false">F1242*Q1242</f>
        <v>0</v>
      </c>
      <c r="P1242" s="58" t="n">
        <v>0.1</v>
      </c>
      <c r="Q1242" s="58" t="n">
        <v>0.001</v>
      </c>
      <c r="R1242" s="59" t="s">
        <v>4028</v>
      </c>
      <c r="S1242" s="22"/>
      <c r="T1242" s="11" t="str">
        <f aca="false">"16.12.25"</f>
        <v>16.12.25</v>
      </c>
    </row>
    <row r="1243" customFormat="false" ht="7.5" hidden="false" customHeight="true" outlineLevel="1" collapsed="false">
      <c r="A1243" s="38"/>
      <c r="B1243" s="39"/>
      <c r="C1243" s="40" t="s">
        <v>4029</v>
      </c>
      <c r="D1243" s="41"/>
      <c r="E1243" s="42"/>
      <c r="F1243" s="43"/>
      <c r="G1243" s="44"/>
      <c r="H1243" s="42"/>
      <c r="I1243" s="45"/>
      <c r="J1243" s="46"/>
      <c r="K1243" s="45"/>
      <c r="L1243" s="44"/>
      <c r="M1243" s="44"/>
      <c r="N1243" s="47"/>
      <c r="O1243" s="47"/>
      <c r="P1243" s="47"/>
      <c r="Q1243" s="47"/>
      <c r="R1243" s="39"/>
      <c r="S1243" s="44"/>
      <c r="T1243" s="11" t="str">
        <f aca="false">"16.12.25"</f>
        <v>16.12.25</v>
      </c>
    </row>
    <row r="1244" customFormat="false" ht="7.5" hidden="false" customHeight="true" outlineLevel="2" collapsed="false">
      <c r="A1244" s="60" t="str">
        <f aca="false">HYPERLINK("https://disk.360.yandex.ru/d/C19Rs_YI6Mi2BA","фото")</f>
        <v>фото</v>
      </c>
      <c r="B1244" s="49" t="s">
        <v>4030</v>
      </c>
      <c r="C1244" s="50" t="s">
        <v>4031</v>
      </c>
      <c r="D1244" s="51"/>
      <c r="E1244" s="52" t="n">
        <f aca="false">I1244*(1-J1244)*(100-E1)/100</f>
        <v>518.4</v>
      </c>
      <c r="F1244" s="53"/>
      <c r="G1244" s="54"/>
      <c r="H1244" s="52" t="n">
        <f aca="false">E1244*F1244</f>
        <v>0</v>
      </c>
      <c r="I1244" s="55" t="n">
        <v>810</v>
      </c>
      <c r="J1244" s="56"/>
      <c r="K1244" s="57" t="n">
        <v>6</v>
      </c>
      <c r="L1244" s="22" t="s">
        <v>44</v>
      </c>
      <c r="M1244" s="22"/>
      <c r="N1244" s="58" t="n">
        <f aca="false">F1244*P1244</f>
        <v>0</v>
      </c>
      <c r="O1244" s="58" t="n">
        <f aca="false">F1244*Q1244</f>
        <v>0</v>
      </c>
      <c r="P1244" s="58"/>
      <c r="Q1244" s="58"/>
      <c r="R1244" s="59" t="s">
        <v>4032</v>
      </c>
      <c r="S1244" s="22"/>
      <c r="T1244" s="11" t="str">
        <f aca="false">"16.12.25"</f>
        <v>16.12.25</v>
      </c>
    </row>
    <row r="1245" customFormat="false" ht="7.5" hidden="false" customHeight="true" outlineLevel="2" collapsed="false">
      <c r="A1245" s="60" t="str">
        <f aca="false">HYPERLINK("https://disk.360.yandex.ru/d/Q4kSjibvjmLl0g","фото")</f>
        <v>фото</v>
      </c>
      <c r="B1245" s="49" t="s">
        <v>4033</v>
      </c>
      <c r="C1245" s="50" t="s">
        <v>4034</v>
      </c>
      <c r="D1245" s="51" t="s">
        <v>4035</v>
      </c>
      <c r="E1245" s="52" t="n">
        <f aca="false">I1245*(1-J1245)*(100-E1)/100</f>
        <v>1057.28</v>
      </c>
      <c r="F1245" s="53"/>
      <c r="G1245" s="54" t="n">
        <v>10</v>
      </c>
      <c r="H1245" s="52" t="n">
        <f aca="false">E1245*F1245</f>
        <v>0</v>
      </c>
      <c r="I1245" s="55" t="n">
        <v>2360</v>
      </c>
      <c r="J1245" s="56" t="n">
        <v>0.3</v>
      </c>
      <c r="K1245" s="57" t="n">
        <v>2121</v>
      </c>
      <c r="L1245" s="22" t="s">
        <v>44</v>
      </c>
      <c r="M1245" s="22" t="s">
        <v>15</v>
      </c>
      <c r="N1245" s="58" t="n">
        <f aca="false">F1245*P1245</f>
        <v>0</v>
      </c>
      <c r="O1245" s="58" t="n">
        <f aca="false">F1245*Q1245</f>
        <v>0</v>
      </c>
      <c r="P1245" s="58" t="n">
        <v>1.6</v>
      </c>
      <c r="Q1245" s="58" t="n">
        <v>0.006</v>
      </c>
      <c r="R1245" s="59" t="s">
        <v>4036</v>
      </c>
      <c r="S1245" s="22"/>
      <c r="T1245" s="11" t="str">
        <f aca="false">"16.12.25"</f>
        <v>16.12.25</v>
      </c>
    </row>
    <row r="1246" customFormat="false" ht="7.5" hidden="false" customHeight="true" outlineLevel="2" collapsed="false">
      <c r="A1246" s="60" t="str">
        <f aca="false">HYPERLINK("https://disk.360.yandex.ru/d/yv2rCeaKEdWzag","фото")</f>
        <v>фото</v>
      </c>
      <c r="B1246" s="49" t="s">
        <v>4037</v>
      </c>
      <c r="C1246" s="50" t="s">
        <v>4038</v>
      </c>
      <c r="D1246" s="51" t="s">
        <v>4039</v>
      </c>
      <c r="E1246" s="52" t="n">
        <f aca="false">I1246*(1-J1246)*(100-E1)/100</f>
        <v>1281.28</v>
      </c>
      <c r="F1246" s="53"/>
      <c r="G1246" s="54" t="n">
        <v>8</v>
      </c>
      <c r="H1246" s="52" t="n">
        <f aca="false">E1246*F1246</f>
        <v>0</v>
      </c>
      <c r="I1246" s="55" t="n">
        <v>2860</v>
      </c>
      <c r="J1246" s="56" t="n">
        <v>0.3</v>
      </c>
      <c r="K1246" s="57" t="n">
        <v>2884</v>
      </c>
      <c r="L1246" s="22" t="s">
        <v>44</v>
      </c>
      <c r="M1246" s="22" t="s">
        <v>15</v>
      </c>
      <c r="N1246" s="58" t="n">
        <f aca="false">F1246*P1246</f>
        <v>0</v>
      </c>
      <c r="O1246" s="58" t="n">
        <f aca="false">F1246*Q1246</f>
        <v>0</v>
      </c>
      <c r="P1246" s="58" t="n">
        <v>2.16</v>
      </c>
      <c r="Q1246" s="58" t="n">
        <v>0.009</v>
      </c>
      <c r="R1246" s="59" t="s">
        <v>4040</v>
      </c>
      <c r="S1246" s="22"/>
      <c r="T1246" s="11" t="str">
        <f aca="false">"16.12.25"</f>
        <v>16.12.25</v>
      </c>
    </row>
    <row r="1247" customFormat="false" ht="7.5" hidden="false" customHeight="true" outlineLevel="2" collapsed="false">
      <c r="A1247" s="60" t="str">
        <f aca="false">HYPERLINK("https://disk.360.yandex.ru/d/ULtciQVb-q-q4w","фото")</f>
        <v>фото</v>
      </c>
      <c r="B1247" s="49" t="s">
        <v>4041</v>
      </c>
      <c r="C1247" s="50" t="s">
        <v>4042</v>
      </c>
      <c r="D1247" s="51" t="s">
        <v>4043</v>
      </c>
      <c r="E1247" s="52" t="n">
        <f aca="false">I1247*(1-J1247)*(100-E1)/100</f>
        <v>1778.56</v>
      </c>
      <c r="F1247" s="53"/>
      <c r="G1247" s="54" t="n">
        <v>6</v>
      </c>
      <c r="H1247" s="52" t="n">
        <f aca="false">E1247*F1247</f>
        <v>0</v>
      </c>
      <c r="I1247" s="55" t="n">
        <v>3970</v>
      </c>
      <c r="J1247" s="56" t="n">
        <v>0.3</v>
      </c>
      <c r="K1247" s="57" t="n">
        <v>81</v>
      </c>
      <c r="L1247" s="22" t="s">
        <v>44</v>
      </c>
      <c r="M1247" s="22" t="s">
        <v>15</v>
      </c>
      <c r="N1247" s="58" t="n">
        <f aca="false">F1247*P1247</f>
        <v>0</v>
      </c>
      <c r="O1247" s="58" t="n">
        <f aca="false">F1247*Q1247</f>
        <v>0</v>
      </c>
      <c r="P1247" s="58" t="n">
        <v>3.32</v>
      </c>
      <c r="Q1247" s="58" t="n">
        <v>0.014</v>
      </c>
      <c r="R1247" s="59" t="s">
        <v>4044</v>
      </c>
      <c r="S1247" s="22"/>
      <c r="T1247" s="11" t="str">
        <f aca="false">"16.12.25"</f>
        <v>16.12.25</v>
      </c>
    </row>
    <row r="1248" customFormat="false" ht="7.5" hidden="false" customHeight="true" outlineLevel="2" collapsed="false">
      <c r="A1248" s="60" t="str">
        <f aca="false">HYPERLINK("https://disk.360.yandex.ru/d/QMBt_Ey9Ik2ogQ","фото")</f>
        <v>фото</v>
      </c>
      <c r="B1248" s="49" t="s">
        <v>4045</v>
      </c>
      <c r="C1248" s="50" t="s">
        <v>4046</v>
      </c>
      <c r="D1248" s="51" t="s">
        <v>4047</v>
      </c>
      <c r="E1248" s="52" t="n">
        <f aca="false">I1248*(1-J1248)*(100-E1)/100</f>
        <v>486.4</v>
      </c>
      <c r="F1248" s="53"/>
      <c r="G1248" s="54" t="n">
        <v>20</v>
      </c>
      <c r="H1248" s="52" t="n">
        <f aca="false">E1248*F1248</f>
        <v>0</v>
      </c>
      <c r="I1248" s="55" t="n">
        <v>760</v>
      </c>
      <c r="J1248" s="56"/>
      <c r="K1248" s="57" t="n">
        <v>763</v>
      </c>
      <c r="L1248" s="22" t="s">
        <v>44</v>
      </c>
      <c r="M1248" s="22"/>
      <c r="N1248" s="58" t="n">
        <f aca="false">F1248*P1248</f>
        <v>0</v>
      </c>
      <c r="O1248" s="58" t="n">
        <f aca="false">F1248*Q1248</f>
        <v>0</v>
      </c>
      <c r="P1248" s="58" t="n">
        <v>0.5</v>
      </c>
      <c r="Q1248" s="58" t="n">
        <v>0.043</v>
      </c>
      <c r="R1248" s="59" t="s">
        <v>4048</v>
      </c>
      <c r="S1248" s="22"/>
      <c r="T1248" s="11" t="str">
        <f aca="false">"16.12.25"</f>
        <v>16.12.25</v>
      </c>
    </row>
    <row r="1249" customFormat="false" ht="7.5" hidden="false" customHeight="true" outlineLevel="2" collapsed="false">
      <c r="A1249" s="60" t="str">
        <f aca="false">HYPERLINK("https://disk.360.yandex.ru/d/AgSQp9ZTXfi0TA","фото")</f>
        <v>фото</v>
      </c>
      <c r="B1249" s="49" t="s">
        <v>4049</v>
      </c>
      <c r="C1249" s="50" t="s">
        <v>4050</v>
      </c>
      <c r="D1249" s="51"/>
      <c r="E1249" s="52" t="n">
        <f aca="false">I1249*(1-J1249)*(100-E1)/100</f>
        <v>416</v>
      </c>
      <c r="F1249" s="53"/>
      <c r="G1249" s="54"/>
      <c r="H1249" s="52" t="n">
        <f aca="false">E1249*F1249</f>
        <v>0</v>
      </c>
      <c r="I1249" s="55" t="n">
        <v>650</v>
      </c>
      <c r="J1249" s="56"/>
      <c r="K1249" s="57" t="n">
        <v>161</v>
      </c>
      <c r="L1249" s="22" t="s">
        <v>44</v>
      </c>
      <c r="M1249" s="22"/>
      <c r="N1249" s="58" t="n">
        <f aca="false">F1249*P1249</f>
        <v>0</v>
      </c>
      <c r="O1249" s="58" t="n">
        <f aca="false">F1249*Q1249</f>
        <v>0</v>
      </c>
      <c r="P1249" s="58"/>
      <c r="Q1249" s="58"/>
      <c r="R1249" s="59"/>
      <c r="S1249" s="22"/>
      <c r="T1249" s="11" t="str">
        <f aca="false">"16.12.25"</f>
        <v>16.12.25</v>
      </c>
    </row>
    <row r="1250" customFormat="false" ht="7.5" hidden="false" customHeight="true" outlineLevel="1" collapsed="false">
      <c r="A1250" s="38"/>
      <c r="B1250" s="39"/>
      <c r="C1250" s="40" t="s">
        <v>4051</v>
      </c>
      <c r="D1250" s="41"/>
      <c r="E1250" s="42"/>
      <c r="F1250" s="43"/>
      <c r="G1250" s="44"/>
      <c r="H1250" s="42"/>
      <c r="I1250" s="45"/>
      <c r="J1250" s="46"/>
      <c r="K1250" s="45"/>
      <c r="L1250" s="44"/>
      <c r="M1250" s="44"/>
      <c r="N1250" s="47"/>
      <c r="O1250" s="47"/>
      <c r="P1250" s="47"/>
      <c r="Q1250" s="47"/>
      <c r="R1250" s="39"/>
      <c r="S1250" s="44"/>
      <c r="T1250" s="11" t="str">
        <f aca="false">"16.12.25"</f>
        <v>16.12.25</v>
      </c>
    </row>
    <row r="1251" customFormat="false" ht="7.5" hidden="false" customHeight="true" outlineLevel="2" collapsed="false">
      <c r="A1251" s="60" t="str">
        <f aca="false">HYPERLINK("https://disk.360.yandex.ru/d/UJB8FGr4RMT16w","фото")</f>
        <v>фото</v>
      </c>
      <c r="B1251" s="49" t="s">
        <v>4052</v>
      </c>
      <c r="C1251" s="50" t="s">
        <v>4053</v>
      </c>
      <c r="D1251" s="51" t="s">
        <v>4054</v>
      </c>
      <c r="E1251" s="52" t="n">
        <f aca="false">I1251*(1-J1251)*(100-E1)/100</f>
        <v>307.2</v>
      </c>
      <c r="F1251" s="53"/>
      <c r="G1251" s="54" t="n">
        <v>60</v>
      </c>
      <c r="H1251" s="52" t="n">
        <f aca="false">E1251*F1251</f>
        <v>0</v>
      </c>
      <c r="I1251" s="55" t="n">
        <v>480</v>
      </c>
      <c r="J1251" s="56"/>
      <c r="K1251" s="57" t="n">
        <v>7764</v>
      </c>
      <c r="L1251" s="22" t="s">
        <v>44</v>
      </c>
      <c r="M1251" s="22"/>
      <c r="N1251" s="58" t="n">
        <f aca="false">F1251*P1251</f>
        <v>0</v>
      </c>
      <c r="O1251" s="58" t="n">
        <f aca="false">F1251*Q1251</f>
        <v>0</v>
      </c>
      <c r="P1251" s="58" t="n">
        <v>0.312</v>
      </c>
      <c r="Q1251" s="58" t="n">
        <v>0.001</v>
      </c>
      <c r="R1251" s="59" t="s">
        <v>4055</v>
      </c>
      <c r="S1251" s="22"/>
      <c r="T1251" s="11" t="str">
        <f aca="false">"16.12.25"</f>
        <v>16.12.25</v>
      </c>
    </row>
    <row r="1252" customFormat="false" ht="7.5" hidden="false" customHeight="true" outlineLevel="2" collapsed="false">
      <c r="A1252" s="60" t="str">
        <f aca="false">HYPERLINK("https://disk.360.yandex.ru/d/JkTVOVQ0zkD_dQ","фото")</f>
        <v>фото</v>
      </c>
      <c r="B1252" s="49" t="s">
        <v>4056</v>
      </c>
      <c r="C1252" s="50" t="s">
        <v>4057</v>
      </c>
      <c r="D1252" s="51" t="s">
        <v>4058</v>
      </c>
      <c r="E1252" s="52" t="n">
        <f aca="false">I1252*(1-J1252)*(100-E1)/100</f>
        <v>332.8</v>
      </c>
      <c r="F1252" s="53"/>
      <c r="G1252" s="54" t="n">
        <v>60</v>
      </c>
      <c r="H1252" s="52" t="n">
        <f aca="false">E1252*F1252</f>
        <v>0</v>
      </c>
      <c r="I1252" s="55" t="n">
        <v>520</v>
      </c>
      <c r="J1252" s="56"/>
      <c r="K1252" s="57" t="n">
        <v>1522</v>
      </c>
      <c r="L1252" s="22" t="s">
        <v>44</v>
      </c>
      <c r="M1252" s="22"/>
      <c r="N1252" s="58" t="n">
        <f aca="false">F1252*P1252</f>
        <v>0</v>
      </c>
      <c r="O1252" s="58" t="n">
        <f aca="false">F1252*Q1252</f>
        <v>0</v>
      </c>
      <c r="P1252" s="58" t="n">
        <v>3.2</v>
      </c>
      <c r="Q1252" s="58" t="n">
        <v>0.001</v>
      </c>
      <c r="R1252" s="59" t="s">
        <v>4059</v>
      </c>
      <c r="S1252" s="22"/>
      <c r="T1252" s="11" t="str">
        <f aca="false">"16.12.25"</f>
        <v>16.12.25</v>
      </c>
    </row>
    <row r="1253" customFormat="false" ht="7.5" hidden="false" customHeight="true" outlineLevel="2" collapsed="false">
      <c r="A1253" s="60" t="str">
        <f aca="false">HYPERLINK("https://disk.360.yandex.ru/d/gOA-iTW8ZCdkXw","фото")</f>
        <v>фото</v>
      </c>
      <c r="B1253" s="49" t="s">
        <v>4060</v>
      </c>
      <c r="C1253" s="50" t="s">
        <v>4061</v>
      </c>
      <c r="D1253" s="51"/>
      <c r="E1253" s="52" t="n">
        <f aca="false">I1253*(1-J1253)*(100-E1)/100</f>
        <v>115.2</v>
      </c>
      <c r="F1253" s="53"/>
      <c r="G1253" s="54" t="n">
        <v>500</v>
      </c>
      <c r="H1253" s="52" t="n">
        <f aca="false">E1253*F1253</f>
        <v>0</v>
      </c>
      <c r="I1253" s="55" t="n">
        <v>180</v>
      </c>
      <c r="J1253" s="56"/>
      <c r="K1253" s="57" t="n">
        <v>2966</v>
      </c>
      <c r="L1253" s="22" t="s">
        <v>44</v>
      </c>
      <c r="M1253" s="22" t="s">
        <v>152</v>
      </c>
      <c r="N1253" s="58" t="n">
        <f aca="false">F1253*P1253</f>
        <v>0</v>
      </c>
      <c r="O1253" s="58" t="n">
        <f aca="false">F1253*Q1253</f>
        <v>0</v>
      </c>
      <c r="P1253" s="58" t="n">
        <v>0.05</v>
      </c>
      <c r="Q1253" s="58" t="n">
        <v>0.001</v>
      </c>
      <c r="R1253" s="59"/>
      <c r="S1253" s="22"/>
      <c r="T1253" s="11" t="str">
        <f aca="false">"16.12.25"</f>
        <v>16.12.25</v>
      </c>
    </row>
    <row r="1254" customFormat="false" ht="7.5" hidden="false" customHeight="true" outlineLevel="2" collapsed="false">
      <c r="A1254" s="60" t="str">
        <f aca="false">HYPERLINK("https://disk.360.yandex.ru/d/awAxVrmG0YPIcQ","фото")</f>
        <v>фото</v>
      </c>
      <c r="B1254" s="49" t="s">
        <v>4062</v>
      </c>
      <c r="C1254" s="50" t="s">
        <v>4063</v>
      </c>
      <c r="D1254" s="51"/>
      <c r="E1254" s="52" t="n">
        <f aca="false">I1254*(1-J1254)*(100-E1)/100</f>
        <v>115.2</v>
      </c>
      <c r="F1254" s="53"/>
      <c r="G1254" s="54" t="n">
        <v>500</v>
      </c>
      <c r="H1254" s="52" t="n">
        <f aca="false">E1254*F1254</f>
        <v>0</v>
      </c>
      <c r="I1254" s="55" t="n">
        <v>180</v>
      </c>
      <c r="J1254" s="56"/>
      <c r="K1254" s="57" t="n">
        <v>2896</v>
      </c>
      <c r="L1254" s="22" t="s">
        <v>44</v>
      </c>
      <c r="M1254" s="22" t="s">
        <v>152</v>
      </c>
      <c r="N1254" s="58" t="n">
        <f aca="false">F1254*P1254</f>
        <v>0</v>
      </c>
      <c r="O1254" s="58" t="n">
        <f aca="false">F1254*Q1254</f>
        <v>0</v>
      </c>
      <c r="P1254" s="58" t="n">
        <v>0.05</v>
      </c>
      <c r="Q1254" s="58" t="n">
        <v>0.001</v>
      </c>
      <c r="R1254" s="59"/>
      <c r="S1254" s="22"/>
      <c r="T1254" s="11" t="str">
        <f aca="false">"16.12.25"</f>
        <v>16.12.25</v>
      </c>
    </row>
    <row r="1255" customFormat="false" ht="7.5" hidden="false" customHeight="true" outlineLevel="2" collapsed="false">
      <c r="A1255" s="48"/>
      <c r="B1255" s="49" t="s">
        <v>4064</v>
      </c>
      <c r="C1255" s="50" t="s">
        <v>4065</v>
      </c>
      <c r="D1255" s="51"/>
      <c r="E1255" s="52" t="n">
        <f aca="false">I1255*(1-J1255)*(100-E1)/100</f>
        <v>230.4</v>
      </c>
      <c r="F1255" s="53"/>
      <c r="G1255" s="54"/>
      <c r="H1255" s="52" t="n">
        <f aca="false">E1255*F1255</f>
        <v>0</v>
      </c>
      <c r="I1255" s="55" t="n">
        <v>360</v>
      </c>
      <c r="J1255" s="56"/>
      <c r="K1255" s="57" t="n">
        <v>0</v>
      </c>
      <c r="L1255" s="22" t="s">
        <v>44</v>
      </c>
      <c r="M1255" s="22"/>
      <c r="N1255" s="58" t="n">
        <f aca="false">F1255*P1255</f>
        <v>0</v>
      </c>
      <c r="O1255" s="58" t="n">
        <f aca="false">F1255*Q1255</f>
        <v>0</v>
      </c>
      <c r="P1255" s="58"/>
      <c r="Q1255" s="58"/>
      <c r="R1255" s="59"/>
      <c r="S1255" s="22"/>
      <c r="T1255" s="11" t="str">
        <f aca="false">"16.12.25"</f>
        <v>16.12.25</v>
      </c>
    </row>
    <row r="1256" customFormat="false" ht="7.5" hidden="false" customHeight="true" outlineLevel="2" collapsed="false">
      <c r="A1256" s="48"/>
      <c r="B1256" s="49" t="s">
        <v>4066</v>
      </c>
      <c r="C1256" s="50" t="s">
        <v>4067</v>
      </c>
      <c r="D1256" s="51"/>
      <c r="E1256" s="52" t="n">
        <f aca="false">I1256*(1-J1256)*(100-E1)/100</f>
        <v>326.4</v>
      </c>
      <c r="F1256" s="53"/>
      <c r="G1256" s="54"/>
      <c r="H1256" s="52" t="n">
        <f aca="false">E1256*F1256</f>
        <v>0</v>
      </c>
      <c r="I1256" s="55" t="n">
        <v>510</v>
      </c>
      <c r="J1256" s="56"/>
      <c r="K1256" s="57" t="n">
        <v>10</v>
      </c>
      <c r="L1256" s="22" t="s">
        <v>44</v>
      </c>
      <c r="M1256" s="22"/>
      <c r="N1256" s="58" t="n">
        <f aca="false">F1256*P1256</f>
        <v>0</v>
      </c>
      <c r="O1256" s="58" t="n">
        <f aca="false">F1256*Q1256</f>
        <v>0</v>
      </c>
      <c r="P1256" s="58"/>
      <c r="Q1256" s="58"/>
      <c r="R1256" s="59"/>
      <c r="S1256" s="22"/>
      <c r="T1256" s="11" t="str">
        <f aca="false">"16.12.25"</f>
        <v>16.12.25</v>
      </c>
    </row>
    <row r="1257" customFormat="false" ht="7.5" hidden="false" customHeight="true" outlineLevel="2" collapsed="false">
      <c r="A1257" s="48"/>
      <c r="B1257" s="49" t="s">
        <v>4068</v>
      </c>
      <c r="C1257" s="50" t="s">
        <v>4069</v>
      </c>
      <c r="D1257" s="51"/>
      <c r="E1257" s="52" t="n">
        <f aca="false">I1257*(1-J1257)*(100-E1)/100</f>
        <v>198.4</v>
      </c>
      <c r="F1257" s="53"/>
      <c r="G1257" s="54"/>
      <c r="H1257" s="52" t="n">
        <f aca="false">E1257*F1257</f>
        <v>0</v>
      </c>
      <c r="I1257" s="55" t="n">
        <v>310</v>
      </c>
      <c r="J1257" s="56"/>
      <c r="K1257" s="57" t="n">
        <v>180</v>
      </c>
      <c r="L1257" s="22" t="s">
        <v>44</v>
      </c>
      <c r="M1257" s="22"/>
      <c r="N1257" s="58" t="n">
        <f aca="false">F1257*P1257</f>
        <v>0</v>
      </c>
      <c r="O1257" s="58" t="n">
        <f aca="false">F1257*Q1257</f>
        <v>0</v>
      </c>
      <c r="P1257" s="58"/>
      <c r="Q1257" s="58"/>
      <c r="R1257" s="59"/>
      <c r="S1257" s="22"/>
      <c r="T1257" s="11" t="str">
        <f aca="false">"16.12.25"</f>
        <v>16.12.25</v>
      </c>
    </row>
    <row r="1258" customFormat="false" ht="7.5" hidden="false" customHeight="true" outlineLevel="2" collapsed="false">
      <c r="A1258" s="48"/>
      <c r="B1258" s="49" t="s">
        <v>4070</v>
      </c>
      <c r="C1258" s="50" t="s">
        <v>4071</v>
      </c>
      <c r="D1258" s="51"/>
      <c r="E1258" s="52" t="n">
        <f aca="false">I1258*(1-J1258)*(100-E1)/100</f>
        <v>192</v>
      </c>
      <c r="F1258" s="53"/>
      <c r="G1258" s="54"/>
      <c r="H1258" s="52" t="n">
        <f aca="false">E1258*F1258</f>
        <v>0</v>
      </c>
      <c r="I1258" s="55" t="n">
        <v>300</v>
      </c>
      <c r="J1258" s="56"/>
      <c r="K1258" s="57" t="n">
        <v>155</v>
      </c>
      <c r="L1258" s="22" t="s">
        <v>44</v>
      </c>
      <c r="M1258" s="22"/>
      <c r="N1258" s="58" t="n">
        <f aca="false">F1258*P1258</f>
        <v>0</v>
      </c>
      <c r="O1258" s="58" t="n">
        <f aca="false">F1258*Q1258</f>
        <v>0</v>
      </c>
      <c r="P1258" s="58"/>
      <c r="Q1258" s="58"/>
      <c r="R1258" s="59"/>
      <c r="S1258" s="22"/>
      <c r="T1258" s="11" t="str">
        <f aca="false">"16.12.25"</f>
        <v>16.12.25</v>
      </c>
    </row>
    <row r="1259" customFormat="false" ht="7.5" hidden="false" customHeight="true" outlineLevel="2" collapsed="false">
      <c r="A1259" s="48"/>
      <c r="B1259" s="49" t="s">
        <v>4072</v>
      </c>
      <c r="C1259" s="50" t="s">
        <v>4073</v>
      </c>
      <c r="D1259" s="51"/>
      <c r="E1259" s="52" t="n">
        <f aca="false">I1259*(1-J1259)*(100-E1)/100</f>
        <v>168.64</v>
      </c>
      <c r="F1259" s="53"/>
      <c r="G1259" s="54"/>
      <c r="H1259" s="52" t="n">
        <f aca="false">E1259*F1259</f>
        <v>0</v>
      </c>
      <c r="I1259" s="55" t="n">
        <v>310</v>
      </c>
      <c r="J1259" s="56" t="n">
        <v>0.15</v>
      </c>
      <c r="K1259" s="57" t="n">
        <v>202</v>
      </c>
      <c r="L1259" s="22" t="s">
        <v>364</v>
      </c>
      <c r="M1259" s="22"/>
      <c r="N1259" s="58" t="n">
        <f aca="false">F1259*P1259</f>
        <v>0</v>
      </c>
      <c r="O1259" s="58" t="n">
        <f aca="false">F1259*Q1259</f>
        <v>0</v>
      </c>
      <c r="P1259" s="58" t="n">
        <v>0.2</v>
      </c>
      <c r="Q1259" s="58" t="n">
        <v>0.002</v>
      </c>
      <c r="R1259" s="59"/>
      <c r="S1259" s="22"/>
      <c r="T1259" s="11" t="str">
        <f aca="false">"16.12.25"</f>
        <v>16.12.25</v>
      </c>
    </row>
    <row r="1260" customFormat="false" ht="7.5" hidden="false" customHeight="true" outlineLevel="2" collapsed="false">
      <c r="A1260" s="48"/>
      <c r="B1260" s="49" t="s">
        <v>4074</v>
      </c>
      <c r="C1260" s="50" t="s">
        <v>4075</v>
      </c>
      <c r="D1260" s="51" t="s">
        <v>4076</v>
      </c>
      <c r="E1260" s="52" t="n">
        <f aca="false">I1260*(1-J1260)*(100-E1)/100</f>
        <v>228.48</v>
      </c>
      <c r="F1260" s="53"/>
      <c r="G1260" s="54"/>
      <c r="H1260" s="52" t="n">
        <f aca="false">E1260*F1260</f>
        <v>0</v>
      </c>
      <c r="I1260" s="55" t="n">
        <v>420</v>
      </c>
      <c r="J1260" s="56" t="n">
        <v>0.15</v>
      </c>
      <c r="K1260" s="57" t="n">
        <v>777</v>
      </c>
      <c r="L1260" s="22" t="s">
        <v>364</v>
      </c>
      <c r="M1260" s="22"/>
      <c r="N1260" s="58" t="n">
        <f aca="false">F1260*P1260</f>
        <v>0</v>
      </c>
      <c r="O1260" s="58" t="n">
        <f aca="false">F1260*Q1260</f>
        <v>0</v>
      </c>
      <c r="P1260" s="58" t="n">
        <v>0.24</v>
      </c>
      <c r="Q1260" s="58" t="n">
        <v>0.002</v>
      </c>
      <c r="R1260" s="59"/>
      <c r="S1260" s="22"/>
      <c r="T1260" s="11" t="str">
        <f aca="false">"16.12.25"</f>
        <v>16.12.25</v>
      </c>
    </row>
    <row r="1261" customFormat="false" ht="7.5" hidden="false" customHeight="true" outlineLevel="2" collapsed="false">
      <c r="A1261" s="48"/>
      <c r="B1261" s="49" t="s">
        <v>4077</v>
      </c>
      <c r="C1261" s="50" t="s">
        <v>4078</v>
      </c>
      <c r="D1261" s="51"/>
      <c r="E1261" s="52" t="n">
        <f aca="false">I1261*(1-J1261)*(100-E1)/100</f>
        <v>190.4</v>
      </c>
      <c r="F1261" s="53"/>
      <c r="G1261" s="54"/>
      <c r="H1261" s="52" t="n">
        <f aca="false">E1261*F1261</f>
        <v>0</v>
      </c>
      <c r="I1261" s="55" t="n">
        <v>350</v>
      </c>
      <c r="J1261" s="56" t="n">
        <v>0.15</v>
      </c>
      <c r="K1261" s="57" t="n">
        <v>714</v>
      </c>
      <c r="L1261" s="22" t="s">
        <v>364</v>
      </c>
      <c r="M1261" s="22"/>
      <c r="N1261" s="58" t="n">
        <f aca="false">F1261*P1261</f>
        <v>0</v>
      </c>
      <c r="O1261" s="58" t="n">
        <f aca="false">F1261*Q1261</f>
        <v>0</v>
      </c>
      <c r="P1261" s="58" t="n">
        <v>0.24</v>
      </c>
      <c r="Q1261" s="58" t="n">
        <v>0.002</v>
      </c>
      <c r="R1261" s="59"/>
      <c r="S1261" s="22"/>
      <c r="T1261" s="11" t="str">
        <f aca="false">"16.12.25"</f>
        <v>16.12.25</v>
      </c>
    </row>
    <row r="1262" customFormat="false" ht="7.5" hidden="false" customHeight="true" outlineLevel="2" collapsed="false">
      <c r="A1262" s="48"/>
      <c r="B1262" s="49" t="s">
        <v>4079</v>
      </c>
      <c r="C1262" s="50" t="s">
        <v>4080</v>
      </c>
      <c r="D1262" s="51"/>
      <c r="E1262" s="52" t="n">
        <f aca="false">I1262*(1-J1262)*(100-E1)/100</f>
        <v>261.12</v>
      </c>
      <c r="F1262" s="53"/>
      <c r="G1262" s="54"/>
      <c r="H1262" s="52" t="n">
        <f aca="false">E1262*F1262</f>
        <v>0</v>
      </c>
      <c r="I1262" s="55" t="n">
        <v>480</v>
      </c>
      <c r="J1262" s="56" t="n">
        <v>0.15</v>
      </c>
      <c r="K1262" s="57" t="n">
        <v>794</v>
      </c>
      <c r="L1262" s="22" t="s">
        <v>364</v>
      </c>
      <c r="M1262" s="22"/>
      <c r="N1262" s="58" t="n">
        <f aca="false">F1262*P1262</f>
        <v>0</v>
      </c>
      <c r="O1262" s="58" t="n">
        <f aca="false">F1262*Q1262</f>
        <v>0</v>
      </c>
      <c r="P1262" s="58" t="n">
        <v>0.27</v>
      </c>
      <c r="Q1262" s="58" t="n">
        <v>0.002</v>
      </c>
      <c r="R1262" s="59"/>
      <c r="S1262" s="22"/>
      <c r="T1262" s="11" t="str">
        <f aca="false">"16.12.25"</f>
        <v>16.12.25</v>
      </c>
    </row>
    <row r="1263" customFormat="false" ht="7.5" hidden="false" customHeight="true" outlineLevel="2" collapsed="false">
      <c r="A1263" s="48"/>
      <c r="B1263" s="49" t="s">
        <v>4081</v>
      </c>
      <c r="C1263" s="50" t="s">
        <v>4082</v>
      </c>
      <c r="D1263" s="51"/>
      <c r="E1263" s="52" t="n">
        <f aca="false">I1263*(1-J1263)*(100-E1)/100</f>
        <v>190.4</v>
      </c>
      <c r="F1263" s="53"/>
      <c r="G1263" s="54"/>
      <c r="H1263" s="52" t="n">
        <f aca="false">E1263*F1263</f>
        <v>0</v>
      </c>
      <c r="I1263" s="55" t="n">
        <v>350</v>
      </c>
      <c r="J1263" s="56" t="n">
        <v>0.15</v>
      </c>
      <c r="K1263" s="57" t="n">
        <v>663</v>
      </c>
      <c r="L1263" s="22" t="s">
        <v>364</v>
      </c>
      <c r="M1263" s="22"/>
      <c r="N1263" s="58" t="n">
        <f aca="false">F1263*P1263</f>
        <v>0</v>
      </c>
      <c r="O1263" s="58" t="n">
        <f aca="false">F1263*Q1263</f>
        <v>0</v>
      </c>
      <c r="P1263" s="58" t="n">
        <v>0.25</v>
      </c>
      <c r="Q1263" s="58" t="n">
        <v>0.002</v>
      </c>
      <c r="R1263" s="59"/>
      <c r="S1263" s="22"/>
      <c r="T1263" s="11" t="str">
        <f aca="false">"16.12.25"</f>
        <v>16.12.25</v>
      </c>
    </row>
    <row r="1264" customFormat="false" ht="7.5" hidden="false" customHeight="true" outlineLevel="2" collapsed="false">
      <c r="A1264" s="48"/>
      <c r="B1264" s="49" t="s">
        <v>4083</v>
      </c>
      <c r="C1264" s="50" t="s">
        <v>4084</v>
      </c>
      <c r="D1264" s="51"/>
      <c r="E1264" s="52" t="n">
        <f aca="false">I1264*(1-J1264)*(100-E1)/100</f>
        <v>266.56</v>
      </c>
      <c r="F1264" s="53"/>
      <c r="G1264" s="54"/>
      <c r="H1264" s="52" t="n">
        <f aca="false">E1264*F1264</f>
        <v>0</v>
      </c>
      <c r="I1264" s="55" t="n">
        <v>490</v>
      </c>
      <c r="J1264" s="56" t="n">
        <v>0.15</v>
      </c>
      <c r="K1264" s="57" t="n">
        <v>719</v>
      </c>
      <c r="L1264" s="22" t="s">
        <v>364</v>
      </c>
      <c r="M1264" s="22"/>
      <c r="N1264" s="58" t="n">
        <f aca="false">F1264*P1264</f>
        <v>0</v>
      </c>
      <c r="O1264" s="58" t="n">
        <f aca="false">F1264*Q1264</f>
        <v>0</v>
      </c>
      <c r="P1264" s="58" t="n">
        <v>0.27</v>
      </c>
      <c r="Q1264" s="58" t="n">
        <v>0.002</v>
      </c>
      <c r="R1264" s="59"/>
      <c r="S1264" s="22"/>
      <c r="T1264" s="11" t="str">
        <f aca="false">"16.12.25"</f>
        <v>16.12.25</v>
      </c>
    </row>
    <row r="1265" customFormat="false" ht="7.5" hidden="false" customHeight="true" outlineLevel="2" collapsed="false">
      <c r="A1265" s="48"/>
      <c r="B1265" s="49" t="s">
        <v>4085</v>
      </c>
      <c r="C1265" s="50" t="s">
        <v>4086</v>
      </c>
      <c r="D1265" s="51"/>
      <c r="E1265" s="52" t="n">
        <f aca="false">I1265*(1-J1265)*(100-E1)/100</f>
        <v>228.48</v>
      </c>
      <c r="F1265" s="53"/>
      <c r="G1265" s="54"/>
      <c r="H1265" s="52" t="n">
        <f aca="false">E1265*F1265</f>
        <v>0</v>
      </c>
      <c r="I1265" s="55" t="n">
        <v>420</v>
      </c>
      <c r="J1265" s="56" t="n">
        <v>0.15</v>
      </c>
      <c r="K1265" s="57" t="n">
        <v>638</v>
      </c>
      <c r="L1265" s="22" t="s">
        <v>364</v>
      </c>
      <c r="M1265" s="22"/>
      <c r="N1265" s="58" t="n">
        <f aca="false">F1265*P1265</f>
        <v>0</v>
      </c>
      <c r="O1265" s="58" t="n">
        <f aca="false">F1265*Q1265</f>
        <v>0</v>
      </c>
      <c r="P1265" s="58" t="n">
        <v>0.29</v>
      </c>
      <c r="Q1265" s="58" t="n">
        <v>0.002</v>
      </c>
      <c r="R1265" s="59"/>
      <c r="S1265" s="22"/>
      <c r="T1265" s="11" t="str">
        <f aca="false">"16.12.25"</f>
        <v>16.12.25</v>
      </c>
    </row>
    <row r="1266" customFormat="false" ht="7.5" hidden="false" customHeight="true" outlineLevel="2" collapsed="false">
      <c r="A1266" s="48"/>
      <c r="B1266" s="49" t="s">
        <v>4087</v>
      </c>
      <c r="C1266" s="50" t="s">
        <v>4088</v>
      </c>
      <c r="D1266" s="51"/>
      <c r="E1266" s="52" t="n">
        <f aca="false">I1266*(1-J1266)*(100-E1)/100</f>
        <v>320.96</v>
      </c>
      <c r="F1266" s="53"/>
      <c r="G1266" s="54"/>
      <c r="H1266" s="52" t="n">
        <f aca="false">E1266*F1266</f>
        <v>0</v>
      </c>
      <c r="I1266" s="55" t="n">
        <v>590</v>
      </c>
      <c r="J1266" s="56" t="n">
        <v>0.15</v>
      </c>
      <c r="K1266" s="57" t="n">
        <v>638</v>
      </c>
      <c r="L1266" s="22" t="s">
        <v>364</v>
      </c>
      <c r="M1266" s="22"/>
      <c r="N1266" s="58" t="n">
        <f aca="false">F1266*P1266</f>
        <v>0</v>
      </c>
      <c r="O1266" s="58" t="n">
        <f aca="false">F1266*Q1266</f>
        <v>0</v>
      </c>
      <c r="P1266" s="58" t="n">
        <v>0.32</v>
      </c>
      <c r="Q1266" s="58" t="n">
        <v>0.002</v>
      </c>
      <c r="R1266" s="59"/>
      <c r="S1266" s="22"/>
      <c r="T1266" s="11" t="str">
        <f aca="false">"16.12.25"</f>
        <v>16.12.25</v>
      </c>
    </row>
    <row r="1267" customFormat="false" ht="7.5" hidden="false" customHeight="true" outlineLevel="2" collapsed="false">
      <c r="A1267" s="48"/>
      <c r="B1267" s="49" t="s">
        <v>4089</v>
      </c>
      <c r="C1267" s="50" t="s">
        <v>4090</v>
      </c>
      <c r="D1267" s="51"/>
      <c r="E1267" s="52" t="n">
        <f aca="false">I1267*(1-J1267)*(100-E1)/100</f>
        <v>261.12</v>
      </c>
      <c r="F1267" s="53"/>
      <c r="G1267" s="54"/>
      <c r="H1267" s="52" t="n">
        <f aca="false">E1267*F1267</f>
        <v>0</v>
      </c>
      <c r="I1267" s="55" t="n">
        <v>480</v>
      </c>
      <c r="J1267" s="56" t="n">
        <v>0.15</v>
      </c>
      <c r="K1267" s="57" t="n">
        <v>569</v>
      </c>
      <c r="L1267" s="22" t="s">
        <v>364</v>
      </c>
      <c r="M1267" s="22"/>
      <c r="N1267" s="58" t="n">
        <f aca="false">F1267*P1267</f>
        <v>0</v>
      </c>
      <c r="O1267" s="58" t="n">
        <f aca="false">F1267*Q1267</f>
        <v>0</v>
      </c>
      <c r="P1267" s="58" t="n">
        <v>0.33</v>
      </c>
      <c r="Q1267" s="58" t="n">
        <v>0.002</v>
      </c>
      <c r="R1267" s="59"/>
      <c r="S1267" s="22"/>
      <c r="T1267" s="11" t="str">
        <f aca="false">"16.12.25"</f>
        <v>16.12.25</v>
      </c>
    </row>
    <row r="1268" customFormat="false" ht="7.5" hidden="false" customHeight="true" outlineLevel="2" collapsed="false">
      <c r="A1268" s="48"/>
      <c r="B1268" s="49" t="s">
        <v>4091</v>
      </c>
      <c r="C1268" s="50" t="s">
        <v>4092</v>
      </c>
      <c r="D1268" s="51"/>
      <c r="E1268" s="52" t="n">
        <f aca="false">I1268*(1-J1268)*(100-E1)/100</f>
        <v>353.6</v>
      </c>
      <c r="F1268" s="53"/>
      <c r="G1268" s="54"/>
      <c r="H1268" s="52" t="n">
        <f aca="false">E1268*F1268</f>
        <v>0</v>
      </c>
      <c r="I1268" s="55" t="n">
        <v>650</v>
      </c>
      <c r="J1268" s="56" t="n">
        <v>0.15</v>
      </c>
      <c r="K1268" s="57" t="n">
        <v>303</v>
      </c>
      <c r="L1268" s="22" t="s">
        <v>364</v>
      </c>
      <c r="M1268" s="22"/>
      <c r="N1268" s="58" t="n">
        <f aca="false">F1268*P1268</f>
        <v>0</v>
      </c>
      <c r="O1268" s="58" t="n">
        <f aca="false">F1268*Q1268</f>
        <v>0</v>
      </c>
      <c r="P1268" s="58" t="n">
        <v>0.36</v>
      </c>
      <c r="Q1268" s="58" t="n">
        <v>0.002</v>
      </c>
      <c r="R1268" s="59"/>
      <c r="S1268" s="22"/>
      <c r="T1268" s="11" t="str">
        <f aca="false">"16.12.25"</f>
        <v>16.12.25</v>
      </c>
    </row>
    <row r="1269" customFormat="false" ht="7.5" hidden="false" customHeight="true" outlineLevel="2" collapsed="false">
      <c r="A1269" s="48"/>
      <c r="B1269" s="49" t="s">
        <v>4093</v>
      </c>
      <c r="C1269" s="50" t="s">
        <v>4094</v>
      </c>
      <c r="D1269" s="51"/>
      <c r="E1269" s="52" t="n">
        <f aca="false">I1269*(1-J1269)*(100-E1)/100</f>
        <v>268.8</v>
      </c>
      <c r="F1269" s="53"/>
      <c r="G1269" s="54"/>
      <c r="H1269" s="52" t="n">
        <f aca="false">E1269*F1269</f>
        <v>0</v>
      </c>
      <c r="I1269" s="55" t="n">
        <v>420</v>
      </c>
      <c r="J1269" s="56"/>
      <c r="K1269" s="57" t="n">
        <v>898</v>
      </c>
      <c r="L1269" s="22" t="s">
        <v>368</v>
      </c>
      <c r="M1269" s="22"/>
      <c r="N1269" s="58" t="n">
        <f aca="false">F1269*P1269</f>
        <v>0</v>
      </c>
      <c r="O1269" s="58" t="n">
        <f aca="false">F1269*Q1269</f>
        <v>0</v>
      </c>
      <c r="P1269" s="58"/>
      <c r="Q1269" s="58"/>
      <c r="R1269" s="59"/>
      <c r="S1269" s="22"/>
      <c r="T1269" s="11" t="str">
        <f aca="false">"16.12.25"</f>
        <v>16.12.25</v>
      </c>
    </row>
    <row r="1270" customFormat="false" ht="7.5" hidden="false" customHeight="true" outlineLevel="2" collapsed="false">
      <c r="A1270" s="48"/>
      <c r="B1270" s="49" t="s">
        <v>4095</v>
      </c>
      <c r="C1270" s="50" t="s">
        <v>4096</v>
      </c>
      <c r="D1270" s="51"/>
      <c r="E1270" s="52" t="n">
        <f aca="false">I1270*(1-J1270)*(100-E1)/100</f>
        <v>307.2</v>
      </c>
      <c r="F1270" s="53"/>
      <c r="G1270" s="54"/>
      <c r="H1270" s="52" t="n">
        <f aca="false">E1270*F1270</f>
        <v>0</v>
      </c>
      <c r="I1270" s="55" t="n">
        <v>480</v>
      </c>
      <c r="J1270" s="56"/>
      <c r="K1270" s="57" t="n">
        <v>442</v>
      </c>
      <c r="L1270" s="22" t="s">
        <v>368</v>
      </c>
      <c r="M1270" s="22"/>
      <c r="N1270" s="58" t="n">
        <f aca="false">F1270*P1270</f>
        <v>0</v>
      </c>
      <c r="O1270" s="58" t="n">
        <f aca="false">F1270*Q1270</f>
        <v>0</v>
      </c>
      <c r="P1270" s="58"/>
      <c r="Q1270" s="58"/>
      <c r="R1270" s="59"/>
      <c r="S1270" s="22"/>
      <c r="T1270" s="11" t="str">
        <f aca="false">"16.12.25"</f>
        <v>16.12.25</v>
      </c>
    </row>
    <row r="1271" customFormat="false" ht="7.5" hidden="false" customHeight="true" outlineLevel="2" collapsed="false">
      <c r="A1271" s="48"/>
      <c r="B1271" s="49" t="s">
        <v>4097</v>
      </c>
      <c r="C1271" s="50" t="s">
        <v>4098</v>
      </c>
      <c r="D1271" s="51"/>
      <c r="E1271" s="52" t="n">
        <f aca="false">I1271*(1-J1271)*(100-E1)/100</f>
        <v>204.8</v>
      </c>
      <c r="F1271" s="53"/>
      <c r="G1271" s="54"/>
      <c r="H1271" s="52" t="n">
        <f aca="false">E1271*F1271</f>
        <v>0</v>
      </c>
      <c r="I1271" s="55" t="n">
        <v>320</v>
      </c>
      <c r="J1271" s="56"/>
      <c r="K1271" s="57" t="n">
        <v>427</v>
      </c>
      <c r="L1271" s="22" t="s">
        <v>368</v>
      </c>
      <c r="M1271" s="22"/>
      <c r="N1271" s="58" t="n">
        <f aca="false">F1271*P1271</f>
        <v>0</v>
      </c>
      <c r="O1271" s="58" t="n">
        <f aca="false">F1271*Q1271</f>
        <v>0</v>
      </c>
      <c r="P1271" s="58"/>
      <c r="Q1271" s="58"/>
      <c r="R1271" s="59"/>
      <c r="S1271" s="22"/>
      <c r="T1271" s="11" t="str">
        <f aca="false">"16.12.25"</f>
        <v>16.12.25</v>
      </c>
    </row>
    <row r="1272" customFormat="false" ht="7.5" hidden="false" customHeight="true" outlineLevel="2" collapsed="false">
      <c r="A1272" s="48"/>
      <c r="B1272" s="49" t="s">
        <v>4099</v>
      </c>
      <c r="C1272" s="50" t="s">
        <v>4100</v>
      </c>
      <c r="D1272" s="51"/>
      <c r="E1272" s="52" t="n">
        <f aca="false">I1272*(1-J1272)*(100-E1)/100</f>
        <v>224</v>
      </c>
      <c r="F1272" s="53"/>
      <c r="G1272" s="54"/>
      <c r="H1272" s="52" t="n">
        <f aca="false">E1272*F1272</f>
        <v>0</v>
      </c>
      <c r="I1272" s="55" t="n">
        <v>350</v>
      </c>
      <c r="J1272" s="56"/>
      <c r="K1272" s="57" t="n">
        <v>922</v>
      </c>
      <c r="L1272" s="22" t="s">
        <v>368</v>
      </c>
      <c r="M1272" s="22"/>
      <c r="N1272" s="58" t="n">
        <f aca="false">F1272*P1272</f>
        <v>0</v>
      </c>
      <c r="O1272" s="58" t="n">
        <f aca="false">F1272*Q1272</f>
        <v>0</v>
      </c>
      <c r="P1272" s="58"/>
      <c r="Q1272" s="58"/>
      <c r="R1272" s="59"/>
      <c r="S1272" s="22"/>
      <c r="T1272" s="11" t="str">
        <f aca="false">"16.12.25"</f>
        <v>16.12.25</v>
      </c>
    </row>
    <row r="1273" customFormat="false" ht="7.5" hidden="false" customHeight="true" outlineLevel="2" collapsed="false">
      <c r="A1273" s="48"/>
      <c r="B1273" s="49" t="s">
        <v>4101</v>
      </c>
      <c r="C1273" s="50" t="s">
        <v>4102</v>
      </c>
      <c r="D1273" s="51"/>
      <c r="E1273" s="52" t="n">
        <f aca="false">I1273*(1-J1273)*(100-E1)/100</f>
        <v>168.64</v>
      </c>
      <c r="F1273" s="53"/>
      <c r="G1273" s="54"/>
      <c r="H1273" s="52" t="n">
        <f aca="false">E1273*F1273</f>
        <v>0</v>
      </c>
      <c r="I1273" s="55" t="n">
        <v>310</v>
      </c>
      <c r="J1273" s="56" t="n">
        <v>0.15</v>
      </c>
      <c r="K1273" s="57" t="n">
        <v>33</v>
      </c>
      <c r="L1273" s="22" t="s">
        <v>800</v>
      </c>
      <c r="M1273" s="22"/>
      <c r="N1273" s="58" t="n">
        <f aca="false">F1273*P1273</f>
        <v>0</v>
      </c>
      <c r="O1273" s="58" t="n">
        <f aca="false">F1273*Q1273</f>
        <v>0</v>
      </c>
      <c r="P1273" s="58" t="n">
        <v>0.22</v>
      </c>
      <c r="Q1273" s="58" t="n">
        <v>0.002</v>
      </c>
      <c r="R1273" s="59"/>
      <c r="S1273" s="22"/>
      <c r="T1273" s="11" t="str">
        <f aca="false">"16.12.25"</f>
        <v>16.12.25</v>
      </c>
    </row>
    <row r="1274" customFormat="false" ht="7.5" hidden="false" customHeight="true" outlineLevel="2" collapsed="false">
      <c r="A1274" s="48"/>
      <c r="B1274" s="49" t="s">
        <v>4103</v>
      </c>
      <c r="C1274" s="50" t="s">
        <v>4104</v>
      </c>
      <c r="D1274" s="51"/>
      <c r="E1274" s="52" t="n">
        <f aca="false">I1274*(1-J1274)*(100-E1)/100</f>
        <v>224</v>
      </c>
      <c r="F1274" s="53"/>
      <c r="G1274" s="54"/>
      <c r="H1274" s="52" t="n">
        <f aca="false">E1274*F1274</f>
        <v>0</v>
      </c>
      <c r="I1274" s="55" t="n">
        <v>350</v>
      </c>
      <c r="J1274" s="56"/>
      <c r="K1274" s="57" t="n">
        <v>28</v>
      </c>
      <c r="L1274" s="22" t="s">
        <v>800</v>
      </c>
      <c r="M1274" s="22"/>
      <c r="N1274" s="58" t="n">
        <f aca="false">F1274*P1274</f>
        <v>0</v>
      </c>
      <c r="O1274" s="58" t="n">
        <f aca="false">F1274*Q1274</f>
        <v>0</v>
      </c>
      <c r="P1274" s="58" t="n">
        <v>0.27</v>
      </c>
      <c r="Q1274" s="58" t="n">
        <v>0.002</v>
      </c>
      <c r="R1274" s="59"/>
      <c r="S1274" s="22"/>
      <c r="T1274" s="11" t="str">
        <f aca="false">"16.12.25"</f>
        <v>16.12.25</v>
      </c>
    </row>
    <row r="1275" customFormat="false" ht="7.5" hidden="false" customHeight="true" outlineLevel="2" collapsed="false">
      <c r="A1275" s="48"/>
      <c r="B1275" s="49" t="s">
        <v>4105</v>
      </c>
      <c r="C1275" s="50" t="s">
        <v>4106</v>
      </c>
      <c r="D1275" s="51"/>
      <c r="E1275" s="52" t="n">
        <f aca="false">I1275*(1-J1275)*(100-E1)/100</f>
        <v>190.4</v>
      </c>
      <c r="F1275" s="53"/>
      <c r="G1275" s="54"/>
      <c r="H1275" s="52" t="n">
        <f aca="false">E1275*F1275</f>
        <v>0</v>
      </c>
      <c r="I1275" s="55" t="n">
        <v>350</v>
      </c>
      <c r="J1275" s="56" t="n">
        <v>0.15</v>
      </c>
      <c r="K1275" s="57" t="n">
        <v>16</v>
      </c>
      <c r="L1275" s="22" t="s">
        <v>800</v>
      </c>
      <c r="M1275" s="22"/>
      <c r="N1275" s="58" t="n">
        <f aca="false">F1275*P1275</f>
        <v>0</v>
      </c>
      <c r="O1275" s="58" t="n">
        <f aca="false">F1275*Q1275</f>
        <v>0</v>
      </c>
      <c r="P1275" s="58" t="n">
        <v>0.27</v>
      </c>
      <c r="Q1275" s="58" t="n">
        <v>0.002</v>
      </c>
      <c r="R1275" s="59"/>
      <c r="S1275" s="22"/>
      <c r="T1275" s="11" t="str">
        <f aca="false">"16.12.25"</f>
        <v>16.12.25</v>
      </c>
    </row>
    <row r="1276" customFormat="false" ht="7.5" hidden="false" customHeight="true" outlineLevel="2" collapsed="false">
      <c r="A1276" s="48"/>
      <c r="B1276" s="49" t="s">
        <v>4107</v>
      </c>
      <c r="C1276" s="50" t="s">
        <v>4108</v>
      </c>
      <c r="D1276" s="51"/>
      <c r="E1276" s="52" t="n">
        <f aca="false">I1276*(1-J1276)*(100-E1)/100</f>
        <v>228.48</v>
      </c>
      <c r="F1276" s="53"/>
      <c r="G1276" s="54"/>
      <c r="H1276" s="52" t="n">
        <f aca="false">E1276*F1276</f>
        <v>0</v>
      </c>
      <c r="I1276" s="55" t="n">
        <v>420</v>
      </c>
      <c r="J1276" s="56" t="n">
        <v>0.15</v>
      </c>
      <c r="K1276" s="57" t="n">
        <v>10</v>
      </c>
      <c r="L1276" s="22" t="s">
        <v>800</v>
      </c>
      <c r="M1276" s="22"/>
      <c r="N1276" s="58" t="n">
        <f aca="false">F1276*P1276</f>
        <v>0</v>
      </c>
      <c r="O1276" s="58" t="n">
        <f aca="false">F1276*Q1276</f>
        <v>0</v>
      </c>
      <c r="P1276" s="58" t="n">
        <v>0.32</v>
      </c>
      <c r="Q1276" s="58" t="n">
        <v>0.002</v>
      </c>
      <c r="R1276" s="59"/>
      <c r="S1276" s="22"/>
      <c r="T1276" s="11" t="str">
        <f aca="false">"16.12.25"</f>
        <v>16.12.25</v>
      </c>
    </row>
    <row r="1277" customFormat="false" ht="7.5" hidden="false" customHeight="true" outlineLevel="2" collapsed="false">
      <c r="A1277" s="48"/>
      <c r="B1277" s="49" t="s">
        <v>4109</v>
      </c>
      <c r="C1277" s="50" t="s">
        <v>4110</v>
      </c>
      <c r="D1277" s="51"/>
      <c r="E1277" s="52" t="n">
        <f aca="false">I1277*(1-J1277)*(100-E1)/100</f>
        <v>261.12</v>
      </c>
      <c r="F1277" s="53"/>
      <c r="G1277" s="54"/>
      <c r="H1277" s="52" t="n">
        <f aca="false">E1277*F1277</f>
        <v>0</v>
      </c>
      <c r="I1277" s="55" t="n">
        <v>480</v>
      </c>
      <c r="J1277" s="56" t="n">
        <v>0.15</v>
      </c>
      <c r="K1277" s="57" t="n">
        <v>16</v>
      </c>
      <c r="L1277" s="22" t="s">
        <v>800</v>
      </c>
      <c r="M1277" s="22"/>
      <c r="N1277" s="58" t="n">
        <f aca="false">F1277*P1277</f>
        <v>0</v>
      </c>
      <c r="O1277" s="58" t="n">
        <f aca="false">F1277*Q1277</f>
        <v>0</v>
      </c>
      <c r="P1277" s="58" t="n">
        <v>0.36</v>
      </c>
      <c r="Q1277" s="58" t="n">
        <v>0.002</v>
      </c>
      <c r="R1277" s="59"/>
      <c r="S1277" s="22"/>
      <c r="T1277" s="11" t="str">
        <f aca="false">"16.12.25"</f>
        <v>16.12.25</v>
      </c>
    </row>
    <row r="1278" customFormat="false" ht="7.5" hidden="false" customHeight="true" outlineLevel="2" collapsed="false">
      <c r="A1278" s="48"/>
      <c r="B1278" s="49" t="s">
        <v>4111</v>
      </c>
      <c r="C1278" s="50" t="s">
        <v>4112</v>
      </c>
      <c r="D1278" s="51"/>
      <c r="E1278" s="52" t="n">
        <f aca="false">I1278*(1-J1278)*(100-E1)/100</f>
        <v>168.64</v>
      </c>
      <c r="F1278" s="53"/>
      <c r="G1278" s="54"/>
      <c r="H1278" s="52" t="n">
        <f aca="false">E1278*F1278</f>
        <v>0</v>
      </c>
      <c r="I1278" s="55" t="n">
        <v>310</v>
      </c>
      <c r="J1278" s="56" t="n">
        <v>0.15</v>
      </c>
      <c r="K1278" s="57" t="n">
        <v>669</v>
      </c>
      <c r="L1278" s="22" t="s">
        <v>372</v>
      </c>
      <c r="M1278" s="22"/>
      <c r="N1278" s="58" t="n">
        <f aca="false">F1278*P1278</f>
        <v>0</v>
      </c>
      <c r="O1278" s="58" t="n">
        <f aca="false">F1278*Q1278</f>
        <v>0</v>
      </c>
      <c r="P1278" s="58" t="n">
        <v>0.2</v>
      </c>
      <c r="Q1278" s="58" t="n">
        <v>0.002</v>
      </c>
      <c r="R1278" s="59"/>
      <c r="S1278" s="22"/>
      <c r="T1278" s="11" t="str">
        <f aca="false">"16.12.25"</f>
        <v>16.12.25</v>
      </c>
    </row>
    <row r="1279" customFormat="false" ht="7.5" hidden="false" customHeight="true" outlineLevel="2" collapsed="false">
      <c r="A1279" s="48"/>
      <c r="B1279" s="49" t="s">
        <v>4113</v>
      </c>
      <c r="C1279" s="50" t="s">
        <v>4114</v>
      </c>
      <c r="D1279" s="51"/>
      <c r="E1279" s="52" t="n">
        <f aca="false">I1279*(1-J1279)*(100-E1)/100</f>
        <v>228.48</v>
      </c>
      <c r="F1279" s="53"/>
      <c r="G1279" s="54"/>
      <c r="H1279" s="52" t="n">
        <f aca="false">E1279*F1279</f>
        <v>0</v>
      </c>
      <c r="I1279" s="55" t="n">
        <v>420</v>
      </c>
      <c r="J1279" s="56" t="n">
        <v>0.15</v>
      </c>
      <c r="K1279" s="57" t="n">
        <v>947</v>
      </c>
      <c r="L1279" s="22" t="s">
        <v>372</v>
      </c>
      <c r="M1279" s="22"/>
      <c r="N1279" s="58" t="n">
        <f aca="false">F1279*P1279</f>
        <v>0</v>
      </c>
      <c r="O1279" s="58" t="n">
        <f aca="false">F1279*Q1279</f>
        <v>0</v>
      </c>
      <c r="P1279" s="58" t="n">
        <v>0.22</v>
      </c>
      <c r="Q1279" s="58" t="n">
        <v>0.002</v>
      </c>
      <c r="R1279" s="59"/>
      <c r="S1279" s="22"/>
      <c r="T1279" s="11" t="str">
        <f aca="false">"16.12.25"</f>
        <v>16.12.25</v>
      </c>
    </row>
    <row r="1280" customFormat="false" ht="7.5" hidden="false" customHeight="true" outlineLevel="2" collapsed="false">
      <c r="A1280" s="48"/>
      <c r="B1280" s="49" t="s">
        <v>4115</v>
      </c>
      <c r="C1280" s="50" t="s">
        <v>4116</v>
      </c>
      <c r="D1280" s="51"/>
      <c r="E1280" s="52" t="n">
        <f aca="false">I1280*(1-J1280)*(100-E1)/100</f>
        <v>190.4</v>
      </c>
      <c r="F1280" s="53"/>
      <c r="G1280" s="54"/>
      <c r="H1280" s="52" t="n">
        <f aca="false">E1280*F1280</f>
        <v>0</v>
      </c>
      <c r="I1280" s="55" t="n">
        <v>350</v>
      </c>
      <c r="J1280" s="56" t="n">
        <v>0.15</v>
      </c>
      <c r="K1280" s="57" t="n">
        <v>84</v>
      </c>
      <c r="L1280" s="22" t="s">
        <v>372</v>
      </c>
      <c r="M1280" s="22"/>
      <c r="N1280" s="58" t="n">
        <f aca="false">F1280*P1280</f>
        <v>0</v>
      </c>
      <c r="O1280" s="58" t="n">
        <f aca="false">F1280*Q1280</f>
        <v>0</v>
      </c>
      <c r="P1280" s="58" t="n">
        <v>0.24</v>
      </c>
      <c r="Q1280" s="58" t="n">
        <v>0.002</v>
      </c>
      <c r="R1280" s="59"/>
      <c r="S1280" s="22"/>
      <c r="T1280" s="11" t="str">
        <f aca="false">"16.12.25"</f>
        <v>16.12.25</v>
      </c>
    </row>
    <row r="1281" customFormat="false" ht="7.5" hidden="false" customHeight="true" outlineLevel="2" collapsed="false">
      <c r="A1281" s="48"/>
      <c r="B1281" s="49" t="s">
        <v>4117</v>
      </c>
      <c r="C1281" s="50" t="s">
        <v>4118</v>
      </c>
      <c r="D1281" s="51"/>
      <c r="E1281" s="52" t="n">
        <f aca="false">I1281*(1-J1281)*(100-E1)/100</f>
        <v>261.12</v>
      </c>
      <c r="F1281" s="53"/>
      <c r="G1281" s="54"/>
      <c r="H1281" s="52" t="n">
        <f aca="false">E1281*F1281</f>
        <v>0</v>
      </c>
      <c r="I1281" s="55" t="n">
        <v>480</v>
      </c>
      <c r="J1281" s="56" t="n">
        <v>0.15</v>
      </c>
      <c r="K1281" s="57" t="n">
        <v>935</v>
      </c>
      <c r="L1281" s="22" t="s">
        <v>372</v>
      </c>
      <c r="M1281" s="22"/>
      <c r="N1281" s="58" t="n">
        <f aca="false">F1281*P1281</f>
        <v>0</v>
      </c>
      <c r="O1281" s="58" t="n">
        <f aca="false">F1281*Q1281</f>
        <v>0</v>
      </c>
      <c r="P1281" s="58" t="n">
        <v>0.27</v>
      </c>
      <c r="Q1281" s="58" t="n">
        <v>0.002</v>
      </c>
      <c r="R1281" s="59"/>
      <c r="S1281" s="22"/>
      <c r="T1281" s="11" t="str">
        <f aca="false">"16.12.25"</f>
        <v>16.12.25</v>
      </c>
    </row>
    <row r="1282" customFormat="false" ht="7.5" hidden="false" customHeight="true" outlineLevel="2" collapsed="false">
      <c r="A1282" s="48"/>
      <c r="B1282" s="49" t="s">
        <v>4119</v>
      </c>
      <c r="C1282" s="50" t="s">
        <v>4120</v>
      </c>
      <c r="D1282" s="51"/>
      <c r="E1282" s="52" t="n">
        <f aca="false">I1282*(1-J1282)*(100-E1)/100</f>
        <v>190.4</v>
      </c>
      <c r="F1282" s="53"/>
      <c r="G1282" s="54"/>
      <c r="H1282" s="52" t="n">
        <f aca="false">E1282*F1282</f>
        <v>0</v>
      </c>
      <c r="I1282" s="55" t="n">
        <v>350</v>
      </c>
      <c r="J1282" s="56" t="n">
        <v>0.15</v>
      </c>
      <c r="K1282" s="57" t="n">
        <v>771</v>
      </c>
      <c r="L1282" s="22" t="s">
        <v>372</v>
      </c>
      <c r="M1282" s="22"/>
      <c r="N1282" s="58" t="n">
        <f aca="false">F1282*P1282</f>
        <v>0</v>
      </c>
      <c r="O1282" s="58" t="n">
        <f aca="false">F1282*Q1282</f>
        <v>0</v>
      </c>
      <c r="P1282" s="58" t="n">
        <v>0.24</v>
      </c>
      <c r="Q1282" s="58" t="n">
        <v>0.002</v>
      </c>
      <c r="R1282" s="59"/>
      <c r="S1282" s="22"/>
      <c r="T1282" s="11" t="str">
        <f aca="false">"16.12.25"</f>
        <v>16.12.25</v>
      </c>
    </row>
    <row r="1283" customFormat="false" ht="7.5" hidden="false" customHeight="true" outlineLevel="2" collapsed="false">
      <c r="A1283" s="48"/>
      <c r="B1283" s="49" t="s">
        <v>4121</v>
      </c>
      <c r="C1283" s="50" t="s">
        <v>4122</v>
      </c>
      <c r="D1283" s="51"/>
      <c r="E1283" s="52" t="n">
        <f aca="false">I1283*(1-J1283)*(100-E1)/100</f>
        <v>266.56</v>
      </c>
      <c r="F1283" s="53"/>
      <c r="G1283" s="54"/>
      <c r="H1283" s="52" t="n">
        <f aca="false">E1283*F1283</f>
        <v>0</v>
      </c>
      <c r="I1283" s="55" t="n">
        <v>490</v>
      </c>
      <c r="J1283" s="56" t="n">
        <v>0.15</v>
      </c>
      <c r="K1283" s="57" t="n">
        <v>947</v>
      </c>
      <c r="L1283" s="22" t="s">
        <v>372</v>
      </c>
      <c r="M1283" s="22"/>
      <c r="N1283" s="58" t="n">
        <f aca="false">F1283*P1283</f>
        <v>0</v>
      </c>
      <c r="O1283" s="58" t="n">
        <f aca="false">F1283*Q1283</f>
        <v>0</v>
      </c>
      <c r="P1283" s="58" t="n">
        <v>0.27</v>
      </c>
      <c r="Q1283" s="58" t="n">
        <v>0.002</v>
      </c>
      <c r="R1283" s="59"/>
      <c r="S1283" s="22"/>
      <c r="T1283" s="11" t="str">
        <f aca="false">"16.12.25"</f>
        <v>16.12.25</v>
      </c>
    </row>
    <row r="1284" customFormat="false" ht="7.5" hidden="false" customHeight="true" outlineLevel="2" collapsed="false">
      <c r="A1284" s="48"/>
      <c r="B1284" s="49" t="s">
        <v>4123</v>
      </c>
      <c r="C1284" s="50" t="s">
        <v>4124</v>
      </c>
      <c r="D1284" s="51"/>
      <c r="E1284" s="52" t="n">
        <f aca="false">I1284*(1-J1284)*(100-E1)/100</f>
        <v>228.48</v>
      </c>
      <c r="F1284" s="53"/>
      <c r="G1284" s="54"/>
      <c r="H1284" s="52" t="n">
        <f aca="false">E1284*F1284</f>
        <v>0</v>
      </c>
      <c r="I1284" s="55" t="n">
        <v>420</v>
      </c>
      <c r="J1284" s="56" t="n">
        <v>0.15</v>
      </c>
      <c r="K1284" s="57" t="n">
        <v>213</v>
      </c>
      <c r="L1284" s="22" t="s">
        <v>372</v>
      </c>
      <c r="M1284" s="22"/>
      <c r="N1284" s="58" t="n">
        <f aca="false">F1284*P1284</f>
        <v>0</v>
      </c>
      <c r="O1284" s="58" t="n">
        <f aca="false">F1284*Q1284</f>
        <v>0</v>
      </c>
      <c r="P1284" s="58" t="n">
        <v>0.29</v>
      </c>
      <c r="Q1284" s="58" t="n">
        <v>0.002</v>
      </c>
      <c r="R1284" s="59"/>
      <c r="S1284" s="22"/>
      <c r="T1284" s="11" t="str">
        <f aca="false">"16.12.25"</f>
        <v>16.12.25</v>
      </c>
    </row>
    <row r="1285" customFormat="false" ht="7.5" hidden="false" customHeight="true" outlineLevel="2" collapsed="false">
      <c r="A1285" s="48"/>
      <c r="B1285" s="49" t="s">
        <v>4125</v>
      </c>
      <c r="C1285" s="50" t="s">
        <v>4126</v>
      </c>
      <c r="D1285" s="51"/>
      <c r="E1285" s="52" t="n">
        <f aca="false">I1285*(1-J1285)*(100-E1)/100</f>
        <v>320.96</v>
      </c>
      <c r="F1285" s="53"/>
      <c r="G1285" s="54"/>
      <c r="H1285" s="52" t="n">
        <f aca="false">E1285*F1285</f>
        <v>0</v>
      </c>
      <c r="I1285" s="55" t="n">
        <v>590</v>
      </c>
      <c r="J1285" s="56" t="n">
        <v>0.15</v>
      </c>
      <c r="K1285" s="57" t="n">
        <v>74</v>
      </c>
      <c r="L1285" s="22" t="s">
        <v>372</v>
      </c>
      <c r="M1285" s="22"/>
      <c r="N1285" s="58" t="n">
        <f aca="false">F1285*P1285</f>
        <v>0</v>
      </c>
      <c r="O1285" s="58" t="n">
        <f aca="false">F1285*Q1285</f>
        <v>0</v>
      </c>
      <c r="P1285" s="58" t="n">
        <v>0.32</v>
      </c>
      <c r="Q1285" s="58" t="n">
        <v>0.002</v>
      </c>
      <c r="R1285" s="59"/>
      <c r="S1285" s="22"/>
      <c r="T1285" s="11" t="str">
        <f aca="false">"16.12.25"</f>
        <v>16.12.25</v>
      </c>
    </row>
    <row r="1286" customFormat="false" ht="7.5" hidden="false" customHeight="true" outlineLevel="2" collapsed="false">
      <c r="A1286" s="48"/>
      <c r="B1286" s="49" t="s">
        <v>4127</v>
      </c>
      <c r="C1286" s="50" t="s">
        <v>4128</v>
      </c>
      <c r="D1286" s="51"/>
      <c r="E1286" s="52" t="n">
        <f aca="false">I1286*(1-J1286)*(100-E1)/100</f>
        <v>261.12</v>
      </c>
      <c r="F1286" s="53"/>
      <c r="G1286" s="54"/>
      <c r="H1286" s="52" t="n">
        <f aca="false">E1286*F1286</f>
        <v>0</v>
      </c>
      <c r="I1286" s="55" t="n">
        <v>480</v>
      </c>
      <c r="J1286" s="56" t="n">
        <v>0.15</v>
      </c>
      <c r="K1286" s="57" t="n">
        <v>5</v>
      </c>
      <c r="L1286" s="22" t="s">
        <v>372</v>
      </c>
      <c r="M1286" s="22"/>
      <c r="N1286" s="58" t="n">
        <f aca="false">F1286*P1286</f>
        <v>0</v>
      </c>
      <c r="O1286" s="58" t="n">
        <f aca="false">F1286*Q1286</f>
        <v>0</v>
      </c>
      <c r="P1286" s="58" t="n">
        <v>0.32</v>
      </c>
      <c r="Q1286" s="58" t="n">
        <v>0.002</v>
      </c>
      <c r="R1286" s="59"/>
      <c r="S1286" s="22"/>
      <c r="T1286" s="11" t="str">
        <f aca="false">"16.12.25"</f>
        <v>16.12.25</v>
      </c>
    </row>
    <row r="1287" customFormat="false" ht="7.5" hidden="false" customHeight="true" outlineLevel="2" collapsed="false">
      <c r="A1287" s="48"/>
      <c r="B1287" s="49" t="s">
        <v>4129</v>
      </c>
      <c r="C1287" s="50" t="s">
        <v>4130</v>
      </c>
      <c r="D1287" s="51"/>
      <c r="E1287" s="52" t="n">
        <f aca="false">I1287*(1-J1287)*(100-E1)/100</f>
        <v>353.6</v>
      </c>
      <c r="F1287" s="53"/>
      <c r="G1287" s="54"/>
      <c r="H1287" s="52" t="n">
        <f aca="false">E1287*F1287</f>
        <v>0</v>
      </c>
      <c r="I1287" s="55" t="n">
        <v>650</v>
      </c>
      <c r="J1287" s="56" t="n">
        <v>0.15</v>
      </c>
      <c r="K1287" s="57" t="n">
        <v>29</v>
      </c>
      <c r="L1287" s="22" t="s">
        <v>372</v>
      </c>
      <c r="M1287" s="22"/>
      <c r="N1287" s="58" t="n">
        <f aca="false">F1287*P1287</f>
        <v>0</v>
      </c>
      <c r="O1287" s="58" t="n">
        <f aca="false">F1287*Q1287</f>
        <v>0</v>
      </c>
      <c r="P1287" s="58" t="n">
        <v>0.36</v>
      </c>
      <c r="Q1287" s="58" t="n">
        <v>0.002</v>
      </c>
      <c r="R1287" s="59"/>
      <c r="S1287" s="22"/>
      <c r="T1287" s="11" t="str">
        <f aca="false">"16.12.25"</f>
        <v>16.12.25</v>
      </c>
    </row>
    <row r="1288" customFormat="false" ht="7.5" hidden="false" customHeight="true" outlineLevel="2" collapsed="false">
      <c r="A1288" s="60" t="str">
        <f aca="false">HYPERLINK("https://disk.360.yandex.ru/d/Jr62g-OpjqM7Jw","фото")</f>
        <v>фото</v>
      </c>
      <c r="B1288" s="49" t="s">
        <v>4131</v>
      </c>
      <c r="C1288" s="50" t="s">
        <v>4132</v>
      </c>
      <c r="D1288" s="51" t="s">
        <v>4133</v>
      </c>
      <c r="E1288" s="52" t="n">
        <f aca="false">I1288*(1-J1288)*(100-E1)/100</f>
        <v>441.6</v>
      </c>
      <c r="F1288" s="53"/>
      <c r="G1288" s="54"/>
      <c r="H1288" s="52" t="n">
        <f aca="false">E1288*F1288</f>
        <v>0</v>
      </c>
      <c r="I1288" s="55" t="n">
        <v>690</v>
      </c>
      <c r="J1288" s="56"/>
      <c r="K1288" s="57" t="n">
        <v>864</v>
      </c>
      <c r="L1288" s="22" t="s">
        <v>53</v>
      </c>
      <c r="M1288" s="22"/>
      <c r="N1288" s="58" t="n">
        <f aca="false">F1288*P1288</f>
        <v>0</v>
      </c>
      <c r="O1288" s="58" t="n">
        <f aca="false">F1288*Q1288</f>
        <v>0</v>
      </c>
      <c r="P1288" s="58" t="n">
        <v>0.343</v>
      </c>
      <c r="Q1288" s="58" t="n">
        <v>0.001</v>
      </c>
      <c r="R1288" s="59"/>
      <c r="S1288" s="22"/>
      <c r="T1288" s="11" t="str">
        <f aca="false">"16.12.25"</f>
        <v>16.12.25</v>
      </c>
    </row>
    <row r="1289" customFormat="false" ht="7.5" hidden="false" customHeight="true" outlineLevel="2" collapsed="false">
      <c r="A1289" s="48"/>
      <c r="B1289" s="49" t="s">
        <v>4134</v>
      </c>
      <c r="C1289" s="50" t="s">
        <v>4135</v>
      </c>
      <c r="D1289" s="51"/>
      <c r="E1289" s="52" t="n">
        <f aca="false">I1289*(1-J1289)*(100-E1)/100</f>
        <v>243.2</v>
      </c>
      <c r="F1289" s="53"/>
      <c r="G1289" s="54"/>
      <c r="H1289" s="52" t="n">
        <f aca="false">E1289*F1289</f>
        <v>0</v>
      </c>
      <c r="I1289" s="55" t="n">
        <v>380</v>
      </c>
      <c r="J1289" s="56"/>
      <c r="K1289" s="57" t="n">
        <v>450</v>
      </c>
      <c r="L1289" s="22" t="s">
        <v>1815</v>
      </c>
      <c r="M1289" s="22"/>
      <c r="N1289" s="58" t="n">
        <f aca="false">F1289*P1289</f>
        <v>0</v>
      </c>
      <c r="O1289" s="58" t="n">
        <f aca="false">F1289*Q1289</f>
        <v>0</v>
      </c>
      <c r="P1289" s="58" t="n">
        <v>0.24</v>
      </c>
      <c r="Q1289" s="58" t="n">
        <v>0.002</v>
      </c>
      <c r="R1289" s="59"/>
      <c r="S1289" s="22"/>
      <c r="T1289" s="11" t="str">
        <f aca="false">"16.12.25"</f>
        <v>16.12.25</v>
      </c>
    </row>
    <row r="1290" customFormat="false" ht="7.5" hidden="false" customHeight="true" outlineLevel="2" collapsed="false">
      <c r="A1290" s="48"/>
      <c r="B1290" s="49" t="s">
        <v>4136</v>
      </c>
      <c r="C1290" s="50" t="s">
        <v>4137</v>
      </c>
      <c r="D1290" s="51"/>
      <c r="E1290" s="52" t="n">
        <f aca="false">I1290*(1-J1290)*(100-E1)/100</f>
        <v>224</v>
      </c>
      <c r="F1290" s="53"/>
      <c r="G1290" s="54"/>
      <c r="H1290" s="52" t="n">
        <f aca="false">E1290*F1290</f>
        <v>0</v>
      </c>
      <c r="I1290" s="55" t="n">
        <v>350</v>
      </c>
      <c r="J1290" s="56"/>
      <c r="K1290" s="57" t="n">
        <v>165</v>
      </c>
      <c r="L1290" s="22" t="s">
        <v>1815</v>
      </c>
      <c r="M1290" s="22"/>
      <c r="N1290" s="58" t="n">
        <f aca="false">F1290*P1290</f>
        <v>0</v>
      </c>
      <c r="O1290" s="58" t="n">
        <f aca="false">F1290*Q1290</f>
        <v>0</v>
      </c>
      <c r="P1290" s="58" t="n">
        <v>0.24</v>
      </c>
      <c r="Q1290" s="58" t="n">
        <v>0.002</v>
      </c>
      <c r="R1290" s="59"/>
      <c r="S1290" s="22"/>
      <c r="T1290" s="11" t="str">
        <f aca="false">"16.12.25"</f>
        <v>16.12.25</v>
      </c>
    </row>
    <row r="1291" customFormat="false" ht="7.5" hidden="false" customHeight="true" outlineLevel="2" collapsed="false">
      <c r="A1291" s="48"/>
      <c r="B1291" s="49" t="s">
        <v>4138</v>
      </c>
      <c r="C1291" s="50" t="s">
        <v>4139</v>
      </c>
      <c r="D1291" s="51"/>
      <c r="E1291" s="52" t="n">
        <f aca="false">I1291*(1-J1291)*(100-E1)/100</f>
        <v>307.2</v>
      </c>
      <c r="F1291" s="53"/>
      <c r="G1291" s="54"/>
      <c r="H1291" s="52" t="n">
        <f aca="false">E1291*F1291</f>
        <v>0</v>
      </c>
      <c r="I1291" s="55" t="n">
        <v>480</v>
      </c>
      <c r="J1291" s="56"/>
      <c r="K1291" s="57" t="n">
        <v>1005</v>
      </c>
      <c r="L1291" s="22" t="s">
        <v>1815</v>
      </c>
      <c r="M1291" s="22"/>
      <c r="N1291" s="58" t="n">
        <f aca="false">F1291*P1291</f>
        <v>0</v>
      </c>
      <c r="O1291" s="58" t="n">
        <f aca="false">F1291*Q1291</f>
        <v>0</v>
      </c>
      <c r="P1291" s="58" t="n">
        <v>0.27</v>
      </c>
      <c r="Q1291" s="58" t="n">
        <v>0.002</v>
      </c>
      <c r="R1291" s="59"/>
      <c r="S1291" s="22"/>
      <c r="T1291" s="11" t="str">
        <f aca="false">"16.12.25"</f>
        <v>16.12.25</v>
      </c>
    </row>
    <row r="1292" customFormat="false" ht="7.5" hidden="false" customHeight="true" outlineLevel="2" collapsed="false">
      <c r="A1292" s="48"/>
      <c r="B1292" s="49" t="s">
        <v>4140</v>
      </c>
      <c r="C1292" s="50" t="s">
        <v>4141</v>
      </c>
      <c r="D1292" s="51"/>
      <c r="E1292" s="52" t="n">
        <f aca="false">I1292*(1-J1292)*(100-E1)/100</f>
        <v>224</v>
      </c>
      <c r="F1292" s="53"/>
      <c r="G1292" s="54"/>
      <c r="H1292" s="52" t="n">
        <f aca="false">E1292*F1292</f>
        <v>0</v>
      </c>
      <c r="I1292" s="55" t="n">
        <v>350</v>
      </c>
      <c r="J1292" s="56"/>
      <c r="K1292" s="57" t="n">
        <v>375</v>
      </c>
      <c r="L1292" s="22" t="s">
        <v>1815</v>
      </c>
      <c r="M1292" s="22"/>
      <c r="N1292" s="58" t="n">
        <f aca="false">F1292*P1292</f>
        <v>0</v>
      </c>
      <c r="O1292" s="58" t="n">
        <f aca="false">F1292*Q1292</f>
        <v>0</v>
      </c>
      <c r="P1292" s="58" t="n">
        <v>0.24</v>
      </c>
      <c r="Q1292" s="58" t="n">
        <v>0.002</v>
      </c>
      <c r="R1292" s="59"/>
      <c r="S1292" s="22"/>
      <c r="T1292" s="11" t="str">
        <f aca="false">"16.12.25"</f>
        <v>16.12.25</v>
      </c>
    </row>
    <row r="1293" customFormat="false" ht="7.5" hidden="false" customHeight="true" outlineLevel="2" collapsed="false">
      <c r="A1293" s="48"/>
      <c r="B1293" s="49" t="s">
        <v>4142</v>
      </c>
      <c r="C1293" s="50" t="s">
        <v>4143</v>
      </c>
      <c r="D1293" s="51"/>
      <c r="E1293" s="52" t="n">
        <f aca="false">I1293*(1-J1293)*(100-E1)/100</f>
        <v>320</v>
      </c>
      <c r="F1293" s="53"/>
      <c r="G1293" s="54"/>
      <c r="H1293" s="52" t="n">
        <f aca="false">E1293*F1293</f>
        <v>0</v>
      </c>
      <c r="I1293" s="55" t="n">
        <v>500</v>
      </c>
      <c r="J1293" s="56"/>
      <c r="K1293" s="57" t="n">
        <v>1390</v>
      </c>
      <c r="L1293" s="22" t="s">
        <v>1815</v>
      </c>
      <c r="M1293" s="22"/>
      <c r="N1293" s="58" t="n">
        <f aca="false">F1293*P1293</f>
        <v>0</v>
      </c>
      <c r="O1293" s="58" t="n">
        <f aca="false">F1293*Q1293</f>
        <v>0</v>
      </c>
      <c r="P1293" s="58" t="n">
        <v>0.27</v>
      </c>
      <c r="Q1293" s="58" t="n">
        <v>0.002</v>
      </c>
      <c r="R1293" s="59"/>
      <c r="S1293" s="22"/>
      <c r="T1293" s="11" t="str">
        <f aca="false">"16.12.25"</f>
        <v>16.12.25</v>
      </c>
    </row>
    <row r="1294" customFormat="false" ht="7.5" hidden="false" customHeight="true" outlineLevel="2" collapsed="false">
      <c r="A1294" s="48"/>
      <c r="B1294" s="49" t="s">
        <v>4144</v>
      </c>
      <c r="C1294" s="50" t="s">
        <v>4145</v>
      </c>
      <c r="D1294" s="51"/>
      <c r="E1294" s="52" t="n">
        <f aca="false">I1294*(1-J1294)*(100-E1)/100</f>
        <v>268.8</v>
      </c>
      <c r="F1294" s="53"/>
      <c r="G1294" s="54"/>
      <c r="H1294" s="52" t="n">
        <f aca="false">E1294*F1294</f>
        <v>0</v>
      </c>
      <c r="I1294" s="55" t="n">
        <v>420</v>
      </c>
      <c r="J1294" s="56"/>
      <c r="K1294" s="57" t="n">
        <v>55</v>
      </c>
      <c r="L1294" s="22" t="s">
        <v>1815</v>
      </c>
      <c r="M1294" s="22"/>
      <c r="N1294" s="58" t="n">
        <f aca="false">F1294*P1294</f>
        <v>0</v>
      </c>
      <c r="O1294" s="58" t="n">
        <f aca="false">F1294*Q1294</f>
        <v>0</v>
      </c>
      <c r="P1294" s="58" t="n">
        <v>0.29</v>
      </c>
      <c r="Q1294" s="58" t="n">
        <v>0.002</v>
      </c>
      <c r="R1294" s="59"/>
      <c r="S1294" s="22"/>
      <c r="T1294" s="11" t="str">
        <f aca="false">"16.12.25"</f>
        <v>16.12.25</v>
      </c>
    </row>
    <row r="1295" customFormat="false" ht="7.5" hidden="false" customHeight="true" outlineLevel="2" collapsed="false">
      <c r="A1295" s="48"/>
      <c r="B1295" s="49" t="s">
        <v>4146</v>
      </c>
      <c r="C1295" s="50" t="s">
        <v>4147</v>
      </c>
      <c r="D1295" s="51"/>
      <c r="E1295" s="52" t="n">
        <f aca="false">I1295*(1-J1295)*(100-E1)/100</f>
        <v>384</v>
      </c>
      <c r="F1295" s="53"/>
      <c r="G1295" s="54"/>
      <c r="H1295" s="52" t="n">
        <f aca="false">E1295*F1295</f>
        <v>0</v>
      </c>
      <c r="I1295" s="55" t="n">
        <v>600</v>
      </c>
      <c r="J1295" s="56"/>
      <c r="K1295" s="57" t="n">
        <v>710</v>
      </c>
      <c r="L1295" s="22" t="s">
        <v>1815</v>
      </c>
      <c r="M1295" s="22"/>
      <c r="N1295" s="58" t="n">
        <f aca="false">F1295*P1295</f>
        <v>0</v>
      </c>
      <c r="O1295" s="58" t="n">
        <f aca="false">F1295*Q1295</f>
        <v>0</v>
      </c>
      <c r="P1295" s="58" t="n">
        <v>0.32</v>
      </c>
      <c r="Q1295" s="58" t="n">
        <v>0.002</v>
      </c>
      <c r="R1295" s="59"/>
      <c r="S1295" s="22"/>
      <c r="T1295" s="11" t="str">
        <f aca="false">"16.12.25"</f>
        <v>16.12.25</v>
      </c>
    </row>
    <row r="1296" customFormat="false" ht="7.5" hidden="false" customHeight="true" outlineLevel="2" collapsed="false">
      <c r="A1296" s="48"/>
      <c r="B1296" s="49" t="s">
        <v>4148</v>
      </c>
      <c r="C1296" s="50" t="s">
        <v>4149</v>
      </c>
      <c r="D1296" s="51"/>
      <c r="E1296" s="52" t="n">
        <f aca="false">I1296*(1-J1296)*(100-E1)/100</f>
        <v>422.4</v>
      </c>
      <c r="F1296" s="53"/>
      <c r="G1296" s="54"/>
      <c r="H1296" s="52" t="n">
        <f aca="false">E1296*F1296</f>
        <v>0</v>
      </c>
      <c r="I1296" s="55" t="n">
        <v>660</v>
      </c>
      <c r="J1296" s="56"/>
      <c r="K1296" s="57" t="n">
        <v>140</v>
      </c>
      <c r="L1296" s="22" t="s">
        <v>1815</v>
      </c>
      <c r="M1296" s="22"/>
      <c r="N1296" s="58" t="n">
        <f aca="false">F1296*P1296</f>
        <v>0</v>
      </c>
      <c r="O1296" s="58" t="n">
        <f aca="false">F1296*Q1296</f>
        <v>0</v>
      </c>
      <c r="P1296" s="58" t="n">
        <v>0.36</v>
      </c>
      <c r="Q1296" s="58" t="n">
        <v>0.002</v>
      </c>
      <c r="R1296" s="59"/>
      <c r="S1296" s="22"/>
      <c r="T1296" s="11" t="str">
        <f aca="false">"16.12.25"</f>
        <v>16.12.25</v>
      </c>
    </row>
    <row r="1297" customFormat="false" ht="7.5" hidden="false" customHeight="true" outlineLevel="2" collapsed="false">
      <c r="A1297" s="60" t="str">
        <f aca="false">HYPERLINK("https://disk.360.yandex.ru/d/A0-S2k1YGlM9UQ","фото")</f>
        <v>фото</v>
      </c>
      <c r="B1297" s="49" t="s">
        <v>4150</v>
      </c>
      <c r="C1297" s="50" t="s">
        <v>4151</v>
      </c>
      <c r="D1297" s="51" t="s">
        <v>4152</v>
      </c>
      <c r="E1297" s="52" t="n">
        <f aca="false">I1297*(1-J1297)*(100-E1)/100</f>
        <v>198.4</v>
      </c>
      <c r="F1297" s="53"/>
      <c r="G1297" s="54" t="n">
        <v>60</v>
      </c>
      <c r="H1297" s="52" t="n">
        <f aca="false">E1297*F1297</f>
        <v>0</v>
      </c>
      <c r="I1297" s="55" t="n">
        <v>310</v>
      </c>
      <c r="J1297" s="56"/>
      <c r="K1297" s="57" t="n">
        <v>9245</v>
      </c>
      <c r="L1297" s="22" t="s">
        <v>44</v>
      </c>
      <c r="M1297" s="22"/>
      <c r="N1297" s="58" t="n">
        <f aca="false">F1297*P1297</f>
        <v>0</v>
      </c>
      <c r="O1297" s="58" t="n">
        <f aca="false">F1297*Q1297</f>
        <v>0</v>
      </c>
      <c r="P1297" s="58" t="n">
        <v>0.202</v>
      </c>
      <c r="Q1297" s="58" t="n">
        <v>0.001</v>
      </c>
      <c r="R1297" s="59" t="s">
        <v>4153</v>
      </c>
      <c r="S1297" s="22"/>
      <c r="T1297" s="11" t="str">
        <f aca="false">"16.12.25"</f>
        <v>16.12.25</v>
      </c>
    </row>
    <row r="1298" customFormat="false" ht="7.5" hidden="false" customHeight="true" outlineLevel="2" collapsed="false">
      <c r="A1298" s="60" t="str">
        <f aca="false">HYPERLINK("https://disk.360.yandex.ru/d/Y1t5suqXi3O8Dw","фото")</f>
        <v>фото</v>
      </c>
      <c r="B1298" s="49" t="s">
        <v>4154</v>
      </c>
      <c r="C1298" s="50" t="s">
        <v>4155</v>
      </c>
      <c r="D1298" s="51" t="s">
        <v>4156</v>
      </c>
      <c r="E1298" s="52" t="n">
        <f aca="false">I1298*(1-J1298)*(100-E1)/100</f>
        <v>204.8</v>
      </c>
      <c r="F1298" s="53"/>
      <c r="G1298" s="54" t="n">
        <v>60</v>
      </c>
      <c r="H1298" s="52" t="n">
        <f aca="false">E1298*F1298</f>
        <v>0</v>
      </c>
      <c r="I1298" s="55" t="n">
        <v>320</v>
      </c>
      <c r="J1298" s="56"/>
      <c r="K1298" s="57" t="n">
        <v>4705</v>
      </c>
      <c r="L1298" s="22" t="s">
        <v>44</v>
      </c>
      <c r="M1298" s="22"/>
      <c r="N1298" s="58" t="n">
        <f aca="false">F1298*P1298</f>
        <v>0</v>
      </c>
      <c r="O1298" s="58" t="n">
        <f aca="false">F1298*Q1298</f>
        <v>0</v>
      </c>
      <c r="P1298" s="58" t="n">
        <v>0.208</v>
      </c>
      <c r="Q1298" s="58" t="n">
        <v>0.001</v>
      </c>
      <c r="R1298" s="59" t="s">
        <v>4157</v>
      </c>
      <c r="S1298" s="22"/>
      <c r="T1298" s="11" t="str">
        <f aca="false">"16.12.25"</f>
        <v>16.12.25</v>
      </c>
    </row>
    <row r="1299" customFormat="false" ht="7.5" hidden="false" customHeight="true" outlineLevel="2" collapsed="false">
      <c r="A1299" s="60" t="str">
        <f aca="false">HYPERLINK("https://disk.360.yandex.ru/d/CzuRjkjh3Ttnug","фото")</f>
        <v>фото</v>
      </c>
      <c r="B1299" s="49" t="s">
        <v>4158</v>
      </c>
      <c r="C1299" s="50" t="s">
        <v>4159</v>
      </c>
      <c r="D1299" s="51" t="s">
        <v>4160</v>
      </c>
      <c r="E1299" s="52" t="n">
        <f aca="false">I1299*(1-J1299)*(100-E1)/100</f>
        <v>217.6</v>
      </c>
      <c r="F1299" s="53"/>
      <c r="G1299" s="54" t="n">
        <v>60</v>
      </c>
      <c r="H1299" s="52" t="n">
        <f aca="false">E1299*F1299</f>
        <v>0</v>
      </c>
      <c r="I1299" s="55" t="n">
        <v>340</v>
      </c>
      <c r="J1299" s="56"/>
      <c r="K1299" s="57" t="n">
        <v>640</v>
      </c>
      <c r="L1299" s="22" t="s">
        <v>44</v>
      </c>
      <c r="M1299" s="22"/>
      <c r="N1299" s="58" t="n">
        <f aca="false">F1299*P1299</f>
        <v>0</v>
      </c>
      <c r="O1299" s="58" t="n">
        <f aca="false">F1299*Q1299</f>
        <v>0</v>
      </c>
      <c r="P1299" s="58" t="n">
        <v>0.218</v>
      </c>
      <c r="Q1299" s="58" t="n">
        <v>0.001</v>
      </c>
      <c r="R1299" s="59" t="s">
        <v>4161</v>
      </c>
      <c r="S1299" s="22"/>
      <c r="T1299" s="11" t="str">
        <f aca="false">"16.12.25"</f>
        <v>16.12.25</v>
      </c>
    </row>
    <row r="1300" customFormat="false" ht="7.5" hidden="false" customHeight="true" outlineLevel="2" collapsed="false">
      <c r="A1300" s="60" t="str">
        <f aca="false">HYPERLINK("https://disk.360.yandex.ru/d/d74g-vSOpm5Bbg","фото")</f>
        <v>фото</v>
      </c>
      <c r="B1300" s="49" t="s">
        <v>4162</v>
      </c>
      <c r="C1300" s="50" t="s">
        <v>4163</v>
      </c>
      <c r="D1300" s="51" t="s">
        <v>4164</v>
      </c>
      <c r="E1300" s="52" t="n">
        <f aca="false">I1300*(1-J1300)*(100-E1)/100</f>
        <v>224</v>
      </c>
      <c r="F1300" s="53"/>
      <c r="G1300" s="54" t="n">
        <v>60</v>
      </c>
      <c r="H1300" s="52" t="n">
        <f aca="false">E1300*F1300</f>
        <v>0</v>
      </c>
      <c r="I1300" s="55" t="n">
        <v>350</v>
      </c>
      <c r="J1300" s="56"/>
      <c r="K1300" s="57" t="n">
        <v>3234</v>
      </c>
      <c r="L1300" s="22" t="s">
        <v>44</v>
      </c>
      <c r="M1300" s="22"/>
      <c r="N1300" s="58" t="n">
        <f aca="false">F1300*P1300</f>
        <v>0</v>
      </c>
      <c r="O1300" s="58" t="n">
        <f aca="false">F1300*Q1300</f>
        <v>0</v>
      </c>
      <c r="P1300" s="58" t="n">
        <v>2.15</v>
      </c>
      <c r="Q1300" s="58" t="n">
        <v>0.001</v>
      </c>
      <c r="R1300" s="59" t="s">
        <v>4165</v>
      </c>
      <c r="S1300" s="22"/>
      <c r="T1300" s="11" t="str">
        <f aca="false">"16.12.25"</f>
        <v>16.12.25</v>
      </c>
    </row>
    <row r="1301" customFormat="false" ht="7.5" hidden="false" customHeight="true" outlineLevel="2" collapsed="false">
      <c r="A1301" s="60" t="str">
        <f aca="false">HYPERLINK("https://disk.360.yandex.ru/d/S__BpCBQnkidPQ","фото")</f>
        <v>фото</v>
      </c>
      <c r="B1301" s="49" t="s">
        <v>4166</v>
      </c>
      <c r="C1301" s="50" t="s">
        <v>4167</v>
      </c>
      <c r="D1301" s="51" t="s">
        <v>4168</v>
      </c>
      <c r="E1301" s="52" t="n">
        <f aca="false">I1301*(1-J1301)*(100-E1)/100</f>
        <v>224</v>
      </c>
      <c r="F1301" s="53"/>
      <c r="G1301" s="54" t="n">
        <v>60</v>
      </c>
      <c r="H1301" s="52" t="n">
        <f aca="false">E1301*F1301</f>
        <v>0</v>
      </c>
      <c r="I1301" s="55" t="n">
        <v>350</v>
      </c>
      <c r="J1301" s="56"/>
      <c r="K1301" s="57" t="n">
        <v>1171</v>
      </c>
      <c r="L1301" s="22" t="s">
        <v>44</v>
      </c>
      <c r="M1301" s="22"/>
      <c r="N1301" s="58" t="n">
        <f aca="false">F1301*P1301</f>
        <v>0</v>
      </c>
      <c r="O1301" s="58" t="n">
        <f aca="false">F1301*Q1301</f>
        <v>0</v>
      </c>
      <c r="P1301" s="58" t="n">
        <v>0.224</v>
      </c>
      <c r="Q1301" s="58" t="n">
        <v>0.001</v>
      </c>
      <c r="R1301" s="59" t="s">
        <v>4169</v>
      </c>
      <c r="S1301" s="22"/>
      <c r="T1301" s="11" t="str">
        <f aca="false">"16.12.25"</f>
        <v>16.12.25</v>
      </c>
    </row>
    <row r="1302" customFormat="false" ht="7.5" hidden="false" customHeight="true" outlineLevel="2" collapsed="false">
      <c r="A1302" s="60" t="str">
        <f aca="false">HYPERLINK("https://disk.360.yandex.ru/d/O6XW4ZvG8pKNPg","фото")</f>
        <v>фото</v>
      </c>
      <c r="B1302" s="49" t="s">
        <v>4170</v>
      </c>
      <c r="C1302" s="50" t="s">
        <v>4171</v>
      </c>
      <c r="D1302" s="51" t="s">
        <v>4172</v>
      </c>
      <c r="E1302" s="52" t="n">
        <f aca="false">I1302*(1-J1302)*(100-E1)/100</f>
        <v>230.4</v>
      </c>
      <c r="F1302" s="53"/>
      <c r="G1302" s="54" t="n">
        <v>60</v>
      </c>
      <c r="H1302" s="52" t="n">
        <f aca="false">E1302*F1302</f>
        <v>0</v>
      </c>
      <c r="I1302" s="55" t="n">
        <v>360</v>
      </c>
      <c r="J1302" s="56"/>
      <c r="K1302" s="57" t="n">
        <v>963</v>
      </c>
      <c r="L1302" s="22" t="s">
        <v>44</v>
      </c>
      <c r="M1302" s="22"/>
      <c r="N1302" s="58" t="n">
        <f aca="false">F1302*P1302</f>
        <v>0</v>
      </c>
      <c r="O1302" s="58" t="n">
        <f aca="false">F1302*Q1302</f>
        <v>0</v>
      </c>
      <c r="P1302" s="58" t="n">
        <v>0.248</v>
      </c>
      <c r="Q1302" s="58" t="n">
        <v>0.001</v>
      </c>
      <c r="R1302" s="59" t="s">
        <v>4173</v>
      </c>
      <c r="S1302" s="22"/>
      <c r="T1302" s="11" t="str">
        <f aca="false">"16.12.25"</f>
        <v>16.12.25</v>
      </c>
    </row>
    <row r="1303" customFormat="false" ht="7.5" hidden="false" customHeight="true" outlineLevel="2" collapsed="false">
      <c r="A1303" s="60" t="str">
        <f aca="false">HYPERLINK("https://disk.360.yandex.ru/d/G1qnLXfD1JwAsg","фото")</f>
        <v>фото</v>
      </c>
      <c r="B1303" s="49" t="s">
        <v>4174</v>
      </c>
      <c r="C1303" s="50" t="s">
        <v>4175</v>
      </c>
      <c r="D1303" s="51" t="s">
        <v>4176</v>
      </c>
      <c r="E1303" s="52" t="n">
        <f aca="false">I1303*(1-J1303)*(100-E1)/100</f>
        <v>268.8</v>
      </c>
      <c r="F1303" s="53"/>
      <c r="G1303" s="54" t="n">
        <v>60</v>
      </c>
      <c r="H1303" s="52" t="n">
        <f aca="false">E1303*F1303</f>
        <v>0</v>
      </c>
      <c r="I1303" s="55" t="n">
        <v>420</v>
      </c>
      <c r="J1303" s="56"/>
      <c r="K1303" s="57" t="n">
        <v>1518</v>
      </c>
      <c r="L1303" s="22" t="s">
        <v>44</v>
      </c>
      <c r="M1303" s="22"/>
      <c r="N1303" s="58" t="n">
        <f aca="false">F1303*P1303</f>
        <v>0</v>
      </c>
      <c r="O1303" s="58" t="n">
        <f aca="false">F1303*Q1303</f>
        <v>0</v>
      </c>
      <c r="P1303" s="58" t="n">
        <v>0.2</v>
      </c>
      <c r="Q1303" s="58" t="n">
        <v>0.001</v>
      </c>
      <c r="R1303" s="59" t="s">
        <v>4177</v>
      </c>
      <c r="S1303" s="22"/>
      <c r="T1303" s="11" t="str">
        <f aca="false">"16.12.25"</f>
        <v>16.12.25</v>
      </c>
    </row>
    <row r="1304" customFormat="false" ht="7.5" hidden="false" customHeight="true" outlineLevel="2" collapsed="false">
      <c r="A1304" s="60" t="str">
        <f aca="false">HYPERLINK("https://disk.360.yandex.ru/d/WtNBdvX324Q1AA","фото")</f>
        <v>фото</v>
      </c>
      <c r="B1304" s="49" t="s">
        <v>4178</v>
      </c>
      <c r="C1304" s="50" t="s">
        <v>4179</v>
      </c>
      <c r="D1304" s="51" t="s">
        <v>4180</v>
      </c>
      <c r="E1304" s="52" t="n">
        <f aca="false">I1304*(1-J1304)*(100-E1)/100</f>
        <v>256</v>
      </c>
      <c r="F1304" s="53"/>
      <c r="G1304" s="54"/>
      <c r="H1304" s="52" t="n">
        <f aca="false">E1304*F1304</f>
        <v>0</v>
      </c>
      <c r="I1304" s="55" t="n">
        <v>400</v>
      </c>
      <c r="J1304" s="56"/>
      <c r="K1304" s="57" t="n">
        <v>7969</v>
      </c>
      <c r="L1304" s="22" t="s">
        <v>44</v>
      </c>
      <c r="M1304" s="22"/>
      <c r="N1304" s="58" t="n">
        <f aca="false">F1304*P1304</f>
        <v>0</v>
      </c>
      <c r="O1304" s="58" t="n">
        <f aca="false">F1304*Q1304</f>
        <v>0</v>
      </c>
      <c r="P1304" s="58" t="n">
        <v>0.29</v>
      </c>
      <c r="Q1304" s="58" t="n">
        <v>0.001</v>
      </c>
      <c r="R1304" s="59"/>
      <c r="S1304" s="22"/>
      <c r="T1304" s="11" t="str">
        <f aca="false">"16.12.25"</f>
        <v>16.12.25</v>
      </c>
    </row>
    <row r="1305" customFormat="false" ht="7.5" hidden="false" customHeight="true" outlineLevel="2" collapsed="false">
      <c r="A1305" s="48"/>
      <c r="B1305" s="49" t="s">
        <v>4181</v>
      </c>
      <c r="C1305" s="50" t="s">
        <v>4182</v>
      </c>
      <c r="D1305" s="51" t="s">
        <v>4183</v>
      </c>
      <c r="E1305" s="52" t="n">
        <f aca="false">I1305*(1-J1305)*(100-E1)/100</f>
        <v>153.6</v>
      </c>
      <c r="F1305" s="53"/>
      <c r="G1305" s="54"/>
      <c r="H1305" s="52" t="n">
        <f aca="false">E1305*F1305</f>
        <v>0</v>
      </c>
      <c r="I1305" s="55" t="n">
        <v>240</v>
      </c>
      <c r="J1305" s="56"/>
      <c r="K1305" s="57" t="n">
        <v>2142</v>
      </c>
      <c r="L1305" s="22" t="s">
        <v>44</v>
      </c>
      <c r="M1305" s="22"/>
      <c r="N1305" s="58" t="n">
        <f aca="false">F1305*P1305</f>
        <v>0</v>
      </c>
      <c r="O1305" s="58" t="n">
        <f aca="false">F1305*Q1305</f>
        <v>0</v>
      </c>
      <c r="P1305" s="58" t="n">
        <v>0.1</v>
      </c>
      <c r="Q1305" s="58"/>
      <c r="R1305" s="59"/>
      <c r="S1305" s="22"/>
      <c r="T1305" s="11" t="str">
        <f aca="false">"16.12.25"</f>
        <v>16.12.25</v>
      </c>
    </row>
    <row r="1306" customFormat="false" ht="7.5" hidden="false" customHeight="true" outlineLevel="2" collapsed="false">
      <c r="A1306" s="60" t="str">
        <f aca="false">HYPERLINK("https://disk.360.yandex.ru/d/7K7rSv2PlaI8Jg","фото")</f>
        <v>фото</v>
      </c>
      <c r="B1306" s="49" t="s">
        <v>4184</v>
      </c>
      <c r="C1306" s="50" t="s">
        <v>4185</v>
      </c>
      <c r="D1306" s="51" t="s">
        <v>4186</v>
      </c>
      <c r="E1306" s="52" t="n">
        <f aca="false">I1306*(1-J1306)*(100-E1)/100</f>
        <v>160</v>
      </c>
      <c r="F1306" s="53"/>
      <c r="G1306" s="54"/>
      <c r="H1306" s="52" t="n">
        <f aca="false">E1306*F1306</f>
        <v>0</v>
      </c>
      <c r="I1306" s="55" t="n">
        <v>250</v>
      </c>
      <c r="J1306" s="56"/>
      <c r="K1306" s="57" t="n">
        <v>1000</v>
      </c>
      <c r="L1306" s="22" t="s">
        <v>44</v>
      </c>
      <c r="M1306" s="22"/>
      <c r="N1306" s="58" t="n">
        <f aca="false">F1306*P1306</f>
        <v>0</v>
      </c>
      <c r="O1306" s="58" t="n">
        <f aca="false">F1306*Q1306</f>
        <v>0</v>
      </c>
      <c r="P1306" s="58" t="n">
        <v>0.3</v>
      </c>
      <c r="Q1306" s="58" t="n">
        <v>0.001</v>
      </c>
      <c r="R1306" s="59"/>
      <c r="S1306" s="22"/>
      <c r="T1306" s="11" t="str">
        <f aca="false">"16.12.25"</f>
        <v>16.12.25</v>
      </c>
    </row>
    <row r="1307" customFormat="false" ht="7.5" hidden="false" customHeight="true" outlineLevel="2" collapsed="false">
      <c r="A1307" s="60" t="str">
        <f aca="false">HYPERLINK("https://disk.360.yandex.ru/d/4m91zuBtYsLuyw","фото")</f>
        <v>фото</v>
      </c>
      <c r="B1307" s="49" t="s">
        <v>4187</v>
      </c>
      <c r="C1307" s="50" t="s">
        <v>4188</v>
      </c>
      <c r="D1307" s="51" t="s">
        <v>4189</v>
      </c>
      <c r="E1307" s="52" t="n">
        <f aca="false">I1307*(1-J1307)*(100-E1)/100</f>
        <v>128</v>
      </c>
      <c r="F1307" s="53"/>
      <c r="G1307" s="54"/>
      <c r="H1307" s="52" t="n">
        <f aca="false">E1307*F1307</f>
        <v>0</v>
      </c>
      <c r="I1307" s="55" t="n">
        <v>200</v>
      </c>
      <c r="J1307" s="56"/>
      <c r="K1307" s="57" t="n">
        <v>2000</v>
      </c>
      <c r="L1307" s="22" t="s">
        <v>44</v>
      </c>
      <c r="M1307" s="22"/>
      <c r="N1307" s="58" t="n">
        <f aca="false">F1307*P1307</f>
        <v>0</v>
      </c>
      <c r="O1307" s="58" t="n">
        <f aca="false">F1307*Q1307</f>
        <v>0</v>
      </c>
      <c r="P1307" s="58" t="n">
        <v>0.29</v>
      </c>
      <c r="Q1307" s="58" t="n">
        <v>0.001</v>
      </c>
      <c r="R1307" s="59"/>
      <c r="S1307" s="22"/>
      <c r="T1307" s="11" t="str">
        <f aca="false">"16.12.25"</f>
        <v>16.12.25</v>
      </c>
    </row>
    <row r="1308" customFormat="false" ht="7.5" hidden="false" customHeight="true" outlineLevel="2" collapsed="false">
      <c r="A1308" s="60" t="str">
        <f aca="false">HYPERLINK("https://disk.360.yandex.ru/d/q_9pGbpsWJ1XUg","фото")</f>
        <v>фото</v>
      </c>
      <c r="B1308" s="49" t="s">
        <v>4190</v>
      </c>
      <c r="C1308" s="50" t="s">
        <v>4191</v>
      </c>
      <c r="D1308" s="51" t="s">
        <v>4192</v>
      </c>
      <c r="E1308" s="52" t="n">
        <f aca="false">I1308*(1-J1308)*(100-E1)/100</f>
        <v>294.4</v>
      </c>
      <c r="F1308" s="53"/>
      <c r="G1308" s="54" t="n">
        <v>50</v>
      </c>
      <c r="H1308" s="52" t="n">
        <f aca="false">E1308*F1308</f>
        <v>0</v>
      </c>
      <c r="I1308" s="55" t="n">
        <v>460</v>
      </c>
      <c r="J1308" s="56"/>
      <c r="K1308" s="57" t="n">
        <v>420</v>
      </c>
      <c r="L1308" s="22" t="s">
        <v>53</v>
      </c>
      <c r="M1308" s="22" t="s">
        <v>31</v>
      </c>
      <c r="N1308" s="58" t="n">
        <f aca="false">F1308*P1308</f>
        <v>0</v>
      </c>
      <c r="O1308" s="58" t="n">
        <f aca="false">F1308*Q1308</f>
        <v>0</v>
      </c>
      <c r="P1308" s="58"/>
      <c r="Q1308" s="58"/>
      <c r="R1308" s="59" t="s">
        <v>4193</v>
      </c>
      <c r="S1308" s="22"/>
      <c r="T1308" s="11" t="str">
        <f aca="false">"16.12.25"</f>
        <v>16.12.25</v>
      </c>
    </row>
    <row r="1309" customFormat="false" ht="7.5" hidden="false" customHeight="true" outlineLevel="2" collapsed="false">
      <c r="A1309" s="60" t="str">
        <f aca="false">HYPERLINK("https://disk.360.yandex.ru/d/8brEgNyzynfXAA","фото")</f>
        <v>фото</v>
      </c>
      <c r="B1309" s="49" t="s">
        <v>4194</v>
      </c>
      <c r="C1309" s="50" t="s">
        <v>4195</v>
      </c>
      <c r="D1309" s="51" t="s">
        <v>4196</v>
      </c>
      <c r="E1309" s="52" t="n">
        <f aca="false">I1309*(1-J1309)*(100-E1)/100</f>
        <v>307.2</v>
      </c>
      <c r="F1309" s="53"/>
      <c r="G1309" s="54" t="n">
        <v>50</v>
      </c>
      <c r="H1309" s="52" t="n">
        <f aca="false">E1309*F1309</f>
        <v>0</v>
      </c>
      <c r="I1309" s="55" t="n">
        <v>480</v>
      </c>
      <c r="J1309" s="56"/>
      <c r="K1309" s="57" t="n">
        <v>2253</v>
      </c>
      <c r="L1309" s="22" t="s">
        <v>53</v>
      </c>
      <c r="M1309" s="22" t="s">
        <v>31</v>
      </c>
      <c r="N1309" s="58" t="n">
        <f aca="false">F1309*P1309</f>
        <v>0</v>
      </c>
      <c r="O1309" s="58" t="n">
        <f aca="false">F1309*Q1309</f>
        <v>0</v>
      </c>
      <c r="P1309" s="58"/>
      <c r="Q1309" s="58"/>
      <c r="R1309" s="59" t="s">
        <v>4197</v>
      </c>
      <c r="S1309" s="22"/>
      <c r="T1309" s="11" t="str">
        <f aca="false">"16.12.25"</f>
        <v>16.12.25</v>
      </c>
    </row>
    <row r="1310" customFormat="false" ht="7.5" hidden="false" customHeight="true" outlineLevel="2" collapsed="false">
      <c r="A1310" s="60" t="str">
        <f aca="false">HYPERLINK("https://disk.360.yandex.ru/d/YyzT75fdyrt-hQ","фото")</f>
        <v>фото</v>
      </c>
      <c r="B1310" s="49" t="s">
        <v>4198</v>
      </c>
      <c r="C1310" s="50" t="s">
        <v>4199</v>
      </c>
      <c r="D1310" s="51" t="s">
        <v>4200</v>
      </c>
      <c r="E1310" s="52" t="n">
        <f aca="false">I1310*(1-J1310)*(100-E1)/100</f>
        <v>377.6</v>
      </c>
      <c r="F1310" s="53"/>
      <c r="G1310" s="54" t="n">
        <v>50</v>
      </c>
      <c r="H1310" s="52" t="n">
        <f aca="false">E1310*F1310</f>
        <v>0</v>
      </c>
      <c r="I1310" s="55" t="n">
        <v>590</v>
      </c>
      <c r="J1310" s="56"/>
      <c r="K1310" s="57" t="n">
        <v>5002</v>
      </c>
      <c r="L1310" s="22" t="s">
        <v>53</v>
      </c>
      <c r="M1310" s="22" t="s">
        <v>31</v>
      </c>
      <c r="N1310" s="58" t="n">
        <f aca="false">F1310*P1310</f>
        <v>0</v>
      </c>
      <c r="O1310" s="58" t="n">
        <f aca="false">F1310*Q1310</f>
        <v>0</v>
      </c>
      <c r="P1310" s="58"/>
      <c r="Q1310" s="58"/>
      <c r="R1310" s="59" t="s">
        <v>4201</v>
      </c>
      <c r="S1310" s="22"/>
      <c r="T1310" s="11" t="str">
        <f aca="false">"16.12.25"</f>
        <v>16.12.25</v>
      </c>
    </row>
    <row r="1311" customFormat="false" ht="7.5" hidden="false" customHeight="true" outlineLevel="2" collapsed="false">
      <c r="A1311" s="48"/>
      <c r="B1311" s="49" t="s">
        <v>4202</v>
      </c>
      <c r="C1311" s="50" t="s">
        <v>4203</v>
      </c>
      <c r="D1311" s="51" t="s">
        <v>4204</v>
      </c>
      <c r="E1311" s="52" t="n">
        <f aca="false">I1311*(1-J1311)*(100-E1)/100</f>
        <v>416</v>
      </c>
      <c r="F1311" s="53"/>
      <c r="G1311" s="54" t="n">
        <v>50</v>
      </c>
      <c r="H1311" s="52" t="n">
        <f aca="false">E1311*F1311</f>
        <v>0</v>
      </c>
      <c r="I1311" s="55" t="n">
        <v>650</v>
      </c>
      <c r="J1311" s="56"/>
      <c r="K1311" s="57" t="n">
        <v>0</v>
      </c>
      <c r="L1311" s="22" t="s">
        <v>53</v>
      </c>
      <c r="M1311" s="22" t="s">
        <v>31</v>
      </c>
      <c r="N1311" s="58" t="n">
        <f aca="false">F1311*P1311</f>
        <v>0</v>
      </c>
      <c r="O1311" s="58" t="n">
        <f aca="false">F1311*Q1311</f>
        <v>0</v>
      </c>
      <c r="P1311" s="58"/>
      <c r="Q1311" s="58"/>
      <c r="R1311" s="59" t="s">
        <v>4205</v>
      </c>
      <c r="S1311" s="22"/>
      <c r="T1311" s="11" t="str">
        <f aca="false">"16.12.25"</f>
        <v>16.12.25</v>
      </c>
    </row>
    <row r="1312" customFormat="false" ht="7.5" hidden="false" customHeight="true" outlineLevel="2" collapsed="false">
      <c r="A1312" s="60" t="str">
        <f aca="false">HYPERLINK("https://disk.360.yandex.ru/d/8m4AHHbkNjqucA","фото")</f>
        <v>фото</v>
      </c>
      <c r="B1312" s="49" t="s">
        <v>4206</v>
      </c>
      <c r="C1312" s="50" t="s">
        <v>4207</v>
      </c>
      <c r="D1312" s="51" t="s">
        <v>4208</v>
      </c>
      <c r="E1312" s="52" t="n">
        <f aca="false">I1312*(1-J1312)*(100-E1)/100</f>
        <v>384</v>
      </c>
      <c r="F1312" s="53"/>
      <c r="G1312" s="54" t="n">
        <v>50</v>
      </c>
      <c r="H1312" s="52" t="n">
        <f aca="false">E1312*F1312</f>
        <v>0</v>
      </c>
      <c r="I1312" s="55" t="n">
        <v>600</v>
      </c>
      <c r="J1312" s="56"/>
      <c r="K1312" s="57" t="n">
        <v>0</v>
      </c>
      <c r="L1312" s="22" t="s">
        <v>53</v>
      </c>
      <c r="M1312" s="22" t="s">
        <v>31</v>
      </c>
      <c r="N1312" s="58" t="n">
        <f aca="false">F1312*P1312</f>
        <v>0</v>
      </c>
      <c r="O1312" s="58" t="n">
        <f aca="false">F1312*Q1312</f>
        <v>0</v>
      </c>
      <c r="P1312" s="58"/>
      <c r="Q1312" s="58"/>
      <c r="R1312" s="59"/>
      <c r="S1312" s="22"/>
      <c r="T1312" s="11" t="str">
        <f aca="false">"16.12.25"</f>
        <v>16.12.25</v>
      </c>
    </row>
    <row r="1313" customFormat="false" ht="7.5" hidden="false" customHeight="true" outlineLevel="2" collapsed="false">
      <c r="A1313" s="48"/>
      <c r="B1313" s="49" t="s">
        <v>4209</v>
      </c>
      <c r="C1313" s="50" t="s">
        <v>4210</v>
      </c>
      <c r="D1313" s="51" t="s">
        <v>4211</v>
      </c>
      <c r="E1313" s="52" t="n">
        <f aca="false">I1313*(1-J1313)*(100-E1)/100</f>
        <v>422.4</v>
      </c>
      <c r="F1313" s="53"/>
      <c r="G1313" s="54" t="n">
        <v>50</v>
      </c>
      <c r="H1313" s="52" t="n">
        <f aca="false">E1313*F1313</f>
        <v>0</v>
      </c>
      <c r="I1313" s="55" t="n">
        <v>660</v>
      </c>
      <c r="J1313" s="56"/>
      <c r="K1313" s="57" t="n">
        <v>0</v>
      </c>
      <c r="L1313" s="22" t="s">
        <v>53</v>
      </c>
      <c r="M1313" s="22" t="s">
        <v>31</v>
      </c>
      <c r="N1313" s="58" t="n">
        <f aca="false">F1313*P1313</f>
        <v>0</v>
      </c>
      <c r="O1313" s="58" t="n">
        <f aca="false">F1313*Q1313</f>
        <v>0</v>
      </c>
      <c r="P1313" s="58"/>
      <c r="Q1313" s="58"/>
      <c r="R1313" s="59"/>
      <c r="S1313" s="22"/>
      <c r="T1313" s="11" t="str">
        <f aca="false">"16.12.25"</f>
        <v>16.12.25</v>
      </c>
    </row>
    <row r="1314" customFormat="false" ht="7.5" hidden="false" customHeight="true" outlineLevel="2" collapsed="false">
      <c r="A1314" s="60" t="str">
        <f aca="false">HYPERLINK("https://disk.360.yandex.ru/d/wxUnoJK8vfLCfw","фото")</f>
        <v>фото</v>
      </c>
      <c r="B1314" s="49" t="s">
        <v>4212</v>
      </c>
      <c r="C1314" s="50" t="s">
        <v>4213</v>
      </c>
      <c r="D1314" s="51" t="s">
        <v>4214</v>
      </c>
      <c r="E1314" s="52" t="n">
        <f aca="false">I1314*(1-J1314)*(100-E1)/100</f>
        <v>435.2</v>
      </c>
      <c r="F1314" s="53"/>
      <c r="G1314" s="54"/>
      <c r="H1314" s="52" t="n">
        <f aca="false">E1314*F1314</f>
        <v>0</v>
      </c>
      <c r="I1314" s="55" t="n">
        <v>680</v>
      </c>
      <c r="J1314" s="56"/>
      <c r="K1314" s="57" t="n">
        <v>791</v>
      </c>
      <c r="L1314" s="22" t="s">
        <v>53</v>
      </c>
      <c r="M1314" s="22" t="s">
        <v>31</v>
      </c>
      <c r="N1314" s="58" t="n">
        <f aca="false">F1314*P1314</f>
        <v>0</v>
      </c>
      <c r="O1314" s="58" t="n">
        <f aca="false">F1314*Q1314</f>
        <v>0</v>
      </c>
      <c r="P1314" s="58"/>
      <c r="Q1314" s="58"/>
      <c r="R1314" s="59" t="s">
        <v>4215</v>
      </c>
      <c r="S1314" s="22"/>
      <c r="T1314" s="11" t="str">
        <f aca="false">"16.12.25"</f>
        <v>16.12.25</v>
      </c>
    </row>
    <row r="1315" customFormat="false" ht="7.5" hidden="false" customHeight="true" outlineLevel="2" collapsed="false">
      <c r="A1315" s="60" t="str">
        <f aca="false">HYPERLINK("https://disk.360.yandex.ru/d/lGXLyz8VJpLbkQ","фото")</f>
        <v>фото</v>
      </c>
      <c r="B1315" s="49" t="s">
        <v>4216</v>
      </c>
      <c r="C1315" s="50" t="s">
        <v>4217</v>
      </c>
      <c r="D1315" s="51" t="s">
        <v>4218</v>
      </c>
      <c r="E1315" s="52" t="n">
        <f aca="false">I1315*(1-J1315)*(100-E1)/100</f>
        <v>441.6</v>
      </c>
      <c r="F1315" s="53"/>
      <c r="G1315" s="54" t="n">
        <v>50</v>
      </c>
      <c r="H1315" s="52" t="n">
        <f aca="false">E1315*F1315</f>
        <v>0</v>
      </c>
      <c r="I1315" s="55" t="n">
        <v>690</v>
      </c>
      <c r="J1315" s="56"/>
      <c r="K1315" s="57" t="n">
        <v>1562</v>
      </c>
      <c r="L1315" s="22" t="s">
        <v>53</v>
      </c>
      <c r="M1315" s="22" t="s">
        <v>31</v>
      </c>
      <c r="N1315" s="58" t="n">
        <f aca="false">F1315*P1315</f>
        <v>0</v>
      </c>
      <c r="O1315" s="58" t="n">
        <f aca="false">F1315*Q1315</f>
        <v>0</v>
      </c>
      <c r="P1315" s="58"/>
      <c r="Q1315" s="58"/>
      <c r="R1315" s="59" t="s">
        <v>4219</v>
      </c>
      <c r="S1315" s="22"/>
      <c r="T1315" s="11" t="str">
        <f aca="false">"16.12.25"</f>
        <v>16.12.25</v>
      </c>
    </row>
    <row r="1316" customFormat="false" ht="7.5" hidden="false" customHeight="true" outlineLevel="0" collapsed="false">
      <c r="A1316" s="28"/>
      <c r="B1316" s="29"/>
      <c r="C1316" s="30" t="s">
        <v>4220</v>
      </c>
      <c r="D1316" s="31"/>
      <c r="E1316" s="32"/>
      <c r="F1316" s="33"/>
      <c r="G1316" s="34"/>
      <c r="H1316" s="32"/>
      <c r="I1316" s="35"/>
      <c r="J1316" s="36"/>
      <c r="K1316" s="35"/>
      <c r="L1316" s="34"/>
      <c r="M1316" s="34"/>
      <c r="N1316" s="37"/>
      <c r="O1316" s="37"/>
      <c r="P1316" s="37"/>
      <c r="Q1316" s="37"/>
      <c r="R1316" s="29"/>
      <c r="S1316" s="34"/>
      <c r="T1316" s="11" t="str">
        <f aca="false">"16.12.25"</f>
        <v>16.12.25</v>
      </c>
    </row>
    <row r="1317" customFormat="false" ht="7.5" hidden="false" customHeight="true" outlineLevel="1" collapsed="false">
      <c r="A1317" s="38"/>
      <c r="B1317" s="39"/>
      <c r="C1317" s="40" t="s">
        <v>4221</v>
      </c>
      <c r="D1317" s="41"/>
      <c r="E1317" s="42"/>
      <c r="F1317" s="43"/>
      <c r="G1317" s="44"/>
      <c r="H1317" s="42"/>
      <c r="I1317" s="45"/>
      <c r="J1317" s="46"/>
      <c r="K1317" s="45"/>
      <c r="L1317" s="44"/>
      <c r="M1317" s="44"/>
      <c r="N1317" s="47"/>
      <c r="O1317" s="47"/>
      <c r="P1317" s="47"/>
      <c r="Q1317" s="47"/>
      <c r="R1317" s="39"/>
      <c r="S1317" s="44"/>
      <c r="T1317" s="11" t="str">
        <f aca="false">"16.12.25"</f>
        <v>16.12.25</v>
      </c>
    </row>
    <row r="1318" customFormat="false" ht="7.5" hidden="false" customHeight="true" outlineLevel="2" collapsed="false">
      <c r="A1318" s="48"/>
      <c r="B1318" s="49" t="s">
        <v>4222</v>
      </c>
      <c r="C1318" s="50" t="s">
        <v>4223</v>
      </c>
      <c r="D1318" s="51"/>
      <c r="E1318" s="52" t="n">
        <f aca="false">I1318*(1-J1318)*(100-E1)/100</f>
        <v>7385.6</v>
      </c>
      <c r="F1318" s="53"/>
      <c r="G1318" s="54" t="n">
        <v>1</v>
      </c>
      <c r="H1318" s="52" t="n">
        <f aca="false">E1318*F1318</f>
        <v>0</v>
      </c>
      <c r="I1318" s="55" t="n">
        <v>11540</v>
      </c>
      <c r="J1318" s="56"/>
      <c r="K1318" s="57" t="n">
        <v>1</v>
      </c>
      <c r="L1318" s="22" t="s">
        <v>44</v>
      </c>
      <c r="M1318" s="22"/>
      <c r="N1318" s="58" t="n">
        <f aca="false">F1318*P1318</f>
        <v>0</v>
      </c>
      <c r="O1318" s="58" t="n">
        <f aca="false">F1318*Q1318</f>
        <v>0</v>
      </c>
      <c r="P1318" s="58" t="n">
        <v>33.5</v>
      </c>
      <c r="Q1318" s="58" t="n">
        <v>0.14</v>
      </c>
      <c r="R1318" s="59"/>
      <c r="S1318" s="22"/>
      <c r="T1318" s="11" t="str">
        <f aca="false">"16.12.25"</f>
        <v>16.12.25</v>
      </c>
    </row>
    <row r="1319" customFormat="false" ht="7.5" hidden="false" customHeight="true" outlineLevel="2" collapsed="false">
      <c r="A1319" s="48"/>
      <c r="B1319" s="49" t="s">
        <v>4224</v>
      </c>
      <c r="C1319" s="50" t="s">
        <v>4225</v>
      </c>
      <c r="D1319" s="51"/>
      <c r="E1319" s="52" t="n">
        <f aca="false">I1319*(1-J1319)*(100-E1)/100</f>
        <v>4025.6</v>
      </c>
      <c r="F1319" s="53"/>
      <c r="G1319" s="54"/>
      <c r="H1319" s="52" t="n">
        <f aca="false">E1319*F1319</f>
        <v>0</v>
      </c>
      <c r="I1319" s="55" t="n">
        <v>6290</v>
      </c>
      <c r="J1319" s="56"/>
      <c r="K1319" s="57" t="n">
        <v>0</v>
      </c>
      <c r="L1319" s="22" t="s">
        <v>44</v>
      </c>
      <c r="M1319" s="22"/>
      <c r="N1319" s="58" t="n">
        <f aca="false">F1319*P1319</f>
        <v>0</v>
      </c>
      <c r="O1319" s="58" t="n">
        <f aca="false">F1319*Q1319</f>
        <v>0</v>
      </c>
      <c r="P1319" s="58"/>
      <c r="Q1319" s="58"/>
      <c r="R1319" s="59"/>
      <c r="S1319" s="22"/>
      <c r="T1319" s="11" t="str">
        <f aca="false">"16.12.25"</f>
        <v>16.12.25</v>
      </c>
    </row>
    <row r="1320" customFormat="false" ht="7.5" hidden="false" customHeight="true" outlineLevel="2" collapsed="false">
      <c r="A1320" s="48"/>
      <c r="B1320" s="49" t="s">
        <v>4226</v>
      </c>
      <c r="C1320" s="50" t="s">
        <v>4227</v>
      </c>
      <c r="D1320" s="51"/>
      <c r="E1320" s="52" t="n">
        <f aca="false">I1320*(1-J1320)*(100-E1)/100</f>
        <v>4025.6</v>
      </c>
      <c r="F1320" s="53"/>
      <c r="G1320" s="54"/>
      <c r="H1320" s="52" t="n">
        <f aca="false">E1320*F1320</f>
        <v>0</v>
      </c>
      <c r="I1320" s="55" t="n">
        <v>6290</v>
      </c>
      <c r="J1320" s="56"/>
      <c r="K1320" s="57" t="n">
        <v>0</v>
      </c>
      <c r="L1320" s="22" t="s">
        <v>53</v>
      </c>
      <c r="M1320" s="22"/>
      <c r="N1320" s="58" t="n">
        <f aca="false">F1320*P1320</f>
        <v>0</v>
      </c>
      <c r="O1320" s="58" t="n">
        <f aca="false">F1320*Q1320</f>
        <v>0</v>
      </c>
      <c r="P1320" s="58"/>
      <c r="Q1320" s="58"/>
      <c r="R1320" s="59"/>
      <c r="S1320" s="22"/>
      <c r="T1320" s="11" t="str">
        <f aca="false">"16.12.25"</f>
        <v>16.12.25</v>
      </c>
    </row>
    <row r="1321" customFormat="false" ht="7.5" hidden="false" customHeight="true" outlineLevel="2" collapsed="false">
      <c r="A1321" s="48"/>
      <c r="B1321" s="49" t="s">
        <v>4228</v>
      </c>
      <c r="C1321" s="50" t="s">
        <v>4229</v>
      </c>
      <c r="D1321" s="51"/>
      <c r="E1321" s="52" t="n">
        <f aca="false">I1321*(1-J1321)*(100-E1)/100</f>
        <v>6457.6</v>
      </c>
      <c r="F1321" s="53"/>
      <c r="G1321" s="54"/>
      <c r="H1321" s="52" t="n">
        <f aca="false">E1321*F1321</f>
        <v>0</v>
      </c>
      <c r="I1321" s="55" t="n">
        <v>10090</v>
      </c>
      <c r="J1321" s="56"/>
      <c r="K1321" s="57" t="n">
        <v>0</v>
      </c>
      <c r="L1321" s="22" t="s">
        <v>44</v>
      </c>
      <c r="M1321" s="22"/>
      <c r="N1321" s="58" t="n">
        <f aca="false">F1321*P1321</f>
        <v>0</v>
      </c>
      <c r="O1321" s="58" t="n">
        <f aca="false">F1321*Q1321</f>
        <v>0</v>
      </c>
      <c r="P1321" s="58"/>
      <c r="Q1321" s="58"/>
      <c r="R1321" s="59"/>
      <c r="S1321" s="22"/>
      <c r="T1321" s="11" t="str">
        <f aca="false">"16.12.25"</f>
        <v>16.12.25</v>
      </c>
    </row>
    <row r="1322" customFormat="false" ht="7.5" hidden="false" customHeight="true" outlineLevel="2" collapsed="false">
      <c r="A1322" s="48"/>
      <c r="B1322" s="49" t="s">
        <v>4230</v>
      </c>
      <c r="C1322" s="50" t="s">
        <v>4231</v>
      </c>
      <c r="D1322" s="51"/>
      <c r="E1322" s="52" t="n">
        <f aca="false">I1322*(1-J1322)*(100-E1)/100</f>
        <v>6457.6</v>
      </c>
      <c r="F1322" s="53"/>
      <c r="G1322" s="54"/>
      <c r="H1322" s="52" t="n">
        <f aca="false">E1322*F1322</f>
        <v>0</v>
      </c>
      <c r="I1322" s="55" t="n">
        <v>10090</v>
      </c>
      <c r="J1322" s="56"/>
      <c r="K1322" s="57" t="n">
        <v>0</v>
      </c>
      <c r="L1322" s="22" t="s">
        <v>53</v>
      </c>
      <c r="M1322" s="22"/>
      <c r="N1322" s="58" t="n">
        <f aca="false">F1322*P1322</f>
        <v>0</v>
      </c>
      <c r="O1322" s="58" t="n">
        <f aca="false">F1322*Q1322</f>
        <v>0</v>
      </c>
      <c r="P1322" s="58"/>
      <c r="Q1322" s="58"/>
      <c r="R1322" s="59"/>
      <c r="S1322" s="22"/>
      <c r="T1322" s="11" t="str">
        <f aca="false">"16.12.25"</f>
        <v>16.12.25</v>
      </c>
    </row>
    <row r="1323" customFormat="false" ht="7.5" hidden="false" customHeight="true" outlineLevel="0" collapsed="false">
      <c r="A1323" s="28"/>
      <c r="B1323" s="29"/>
      <c r="C1323" s="30" t="s">
        <v>4232</v>
      </c>
      <c r="D1323" s="31"/>
      <c r="E1323" s="32"/>
      <c r="F1323" s="33"/>
      <c r="G1323" s="34"/>
      <c r="H1323" s="32"/>
      <c r="I1323" s="35"/>
      <c r="J1323" s="36"/>
      <c r="K1323" s="35"/>
      <c r="L1323" s="34"/>
      <c r="M1323" s="34"/>
      <c r="N1323" s="37"/>
      <c r="O1323" s="37"/>
      <c r="P1323" s="37"/>
      <c r="Q1323" s="37"/>
      <c r="R1323" s="29"/>
      <c r="S1323" s="34"/>
      <c r="T1323" s="11" t="str">
        <f aca="false">"16.12.25"</f>
        <v>16.12.25</v>
      </c>
    </row>
    <row r="1324" customFormat="false" ht="7.5" hidden="false" customHeight="true" outlineLevel="1" collapsed="false">
      <c r="A1324" s="48"/>
      <c r="B1324" s="49" t="s">
        <v>4233</v>
      </c>
      <c r="C1324" s="50" t="s">
        <v>4234</v>
      </c>
      <c r="D1324" s="51"/>
      <c r="E1324" s="52" t="n">
        <f aca="false">I1324*(1-J1324)*(100-E1)/100</f>
        <v>256</v>
      </c>
      <c r="F1324" s="53"/>
      <c r="G1324" s="54"/>
      <c r="H1324" s="52" t="n">
        <f aca="false">E1324*F1324</f>
        <v>0</v>
      </c>
      <c r="I1324" s="55" t="n">
        <v>400</v>
      </c>
      <c r="J1324" s="56"/>
      <c r="K1324" s="57" t="n">
        <v>0</v>
      </c>
      <c r="L1324" s="22"/>
      <c r="M1324" s="22"/>
      <c r="N1324" s="58" t="n">
        <f aca="false">F1324*P1324</f>
        <v>0</v>
      </c>
      <c r="O1324" s="58" t="n">
        <f aca="false">F1324*Q1324</f>
        <v>0</v>
      </c>
      <c r="P1324" s="58"/>
      <c r="Q1324" s="58"/>
      <c r="R1324" s="59"/>
      <c r="S1324" s="22"/>
      <c r="T1324" s="11" t="str">
        <f aca="false">"16.12.25"</f>
        <v>16.12.25</v>
      </c>
    </row>
    <row r="1336" customFormat="false" ht="7.5" hidden="false" customHeight="true" outlineLevel="0" collapsed="false">
      <c r="H1336" s="49" t="s">
        <v>32</v>
      </c>
      <c r="I1336" s="50" t="s">
        <v>33</v>
      </c>
    </row>
    <row r="1337" customFormat="false" ht="7.5" hidden="false" customHeight="true" outlineLevel="0" collapsed="false">
      <c r="H1337" s="49" t="s">
        <v>35</v>
      </c>
      <c r="I1337" s="50" t="s">
        <v>36</v>
      </c>
    </row>
    <row r="1338" customFormat="false" ht="7.5" hidden="false" customHeight="true" outlineLevel="0" collapsed="false">
      <c r="H1338" s="49" t="s">
        <v>38</v>
      </c>
      <c r="I1338" s="50" t="s">
        <v>39</v>
      </c>
    </row>
    <row r="1339" customFormat="false" ht="7.5" hidden="false" customHeight="true" outlineLevel="0" collapsed="false">
      <c r="H1339" s="49" t="s">
        <v>41</v>
      </c>
      <c r="I1339" s="50" t="s">
        <v>42</v>
      </c>
    </row>
    <row r="1340" customFormat="false" ht="7.5" hidden="false" customHeight="true" outlineLevel="0" collapsed="false">
      <c r="H1340" s="49" t="s">
        <v>46</v>
      </c>
      <c r="I1340" s="50" t="s">
        <v>47</v>
      </c>
    </row>
    <row r="1341" customFormat="false" ht="7.5" hidden="false" customHeight="true" outlineLevel="0" collapsed="false">
      <c r="H1341" s="49" t="s">
        <v>50</v>
      </c>
      <c r="I1341" s="50" t="s">
        <v>51</v>
      </c>
    </row>
    <row r="1342" customFormat="false" ht="7.5" hidden="false" customHeight="true" outlineLevel="0" collapsed="false">
      <c r="H1342" s="39"/>
      <c r="I1342" s="40" t="s">
        <v>55</v>
      </c>
    </row>
    <row r="1343" customFormat="false" ht="7.5" hidden="false" customHeight="true" outlineLevel="0" collapsed="false">
      <c r="H1343" s="49" t="s">
        <v>56</v>
      </c>
      <c r="I1343" s="50" t="s">
        <v>57</v>
      </c>
    </row>
    <row r="1344" customFormat="false" ht="7.5" hidden="false" customHeight="true" outlineLevel="0" collapsed="false">
      <c r="H1344" s="49" t="s">
        <v>60</v>
      </c>
      <c r="I1344" s="50" t="s">
        <v>61</v>
      </c>
    </row>
    <row r="1345" customFormat="false" ht="7.5" hidden="false" customHeight="true" outlineLevel="0" collapsed="false">
      <c r="H1345" s="49" t="s">
        <v>64</v>
      </c>
      <c r="I1345" s="50" t="s">
        <v>65</v>
      </c>
    </row>
    <row r="1346" customFormat="false" ht="7.5" hidden="false" customHeight="true" outlineLevel="0" collapsed="false">
      <c r="H1346" s="49" t="s">
        <v>68</v>
      </c>
      <c r="I1346" s="50" t="s">
        <v>69</v>
      </c>
    </row>
    <row r="1347" customFormat="false" ht="7.5" hidden="false" customHeight="true" outlineLevel="0" collapsed="false">
      <c r="H1347" s="49" t="s">
        <v>72</v>
      </c>
      <c r="I1347" s="50" t="s">
        <v>73</v>
      </c>
    </row>
    <row r="1348" customFormat="false" ht="7.5" hidden="false" customHeight="true" outlineLevel="0" collapsed="false">
      <c r="H1348" s="49" t="s">
        <v>76</v>
      </c>
      <c r="I1348" s="50" t="s">
        <v>77</v>
      </c>
    </row>
    <row r="1349" customFormat="false" ht="7.5" hidden="false" customHeight="true" outlineLevel="0" collapsed="false">
      <c r="H1349" s="39"/>
      <c r="I1349" s="40" t="s">
        <v>80</v>
      </c>
    </row>
    <row r="1350" customFormat="false" ht="7.5" hidden="false" customHeight="true" outlineLevel="0" collapsed="false">
      <c r="H1350" s="49" t="s">
        <v>81</v>
      </c>
      <c r="I1350" s="50" t="s">
        <v>82</v>
      </c>
    </row>
    <row r="1351" customFormat="false" ht="7.5" hidden="false" customHeight="true" outlineLevel="0" collapsed="false">
      <c r="H1351" s="49" t="s">
        <v>85</v>
      </c>
      <c r="I1351" s="50" t="s">
        <v>86</v>
      </c>
    </row>
    <row r="1352" customFormat="false" ht="7.5" hidden="false" customHeight="true" outlineLevel="0" collapsed="false">
      <c r="H1352" s="49" t="s">
        <v>89</v>
      </c>
      <c r="I1352" s="50" t="s">
        <v>90</v>
      </c>
    </row>
    <row r="1353" customFormat="false" ht="7.5" hidden="false" customHeight="true" outlineLevel="0" collapsed="false">
      <c r="H1353" s="39"/>
      <c r="I1353" s="40" t="s">
        <v>93</v>
      </c>
    </row>
    <row r="1354" customFormat="false" ht="7.5" hidden="false" customHeight="true" outlineLevel="0" collapsed="false">
      <c r="H1354" s="49" t="s">
        <v>94</v>
      </c>
      <c r="I1354" s="50" t="s">
        <v>95</v>
      </c>
    </row>
    <row r="1355" customFormat="false" ht="7.5" hidden="false" customHeight="true" outlineLevel="0" collapsed="false">
      <c r="H1355" s="49" t="s">
        <v>98</v>
      </c>
      <c r="I1355" s="50" t="s">
        <v>99</v>
      </c>
    </row>
    <row r="1356" customFormat="false" ht="7.5" hidden="false" customHeight="true" outlineLevel="0" collapsed="false">
      <c r="H1356" s="49" t="s">
        <v>102</v>
      </c>
      <c r="I1356" s="50" t="s">
        <v>103</v>
      </c>
    </row>
    <row r="1357" customFormat="false" ht="7.5" hidden="false" customHeight="true" outlineLevel="0" collapsed="false">
      <c r="H1357" s="49" t="s">
        <v>106</v>
      </c>
      <c r="I1357" s="50" t="s">
        <v>107</v>
      </c>
    </row>
    <row r="1358" customFormat="false" ht="7.5" hidden="false" customHeight="true" outlineLevel="0" collapsed="false">
      <c r="H1358" s="49" t="s">
        <v>110</v>
      </c>
      <c r="I1358" s="50" t="s">
        <v>111</v>
      </c>
    </row>
    <row r="1359" customFormat="false" ht="7.5" hidden="false" customHeight="true" outlineLevel="0" collapsed="false">
      <c r="H1359" s="49" t="s">
        <v>114</v>
      </c>
      <c r="I1359" s="50" t="s">
        <v>115</v>
      </c>
    </row>
    <row r="1360" customFormat="false" ht="7.5" hidden="false" customHeight="true" outlineLevel="0" collapsed="false">
      <c r="H1360" s="49" t="s">
        <v>117</v>
      </c>
      <c r="I1360" s="50" t="s">
        <v>118</v>
      </c>
    </row>
    <row r="1361" customFormat="false" ht="7.5" hidden="false" customHeight="true" outlineLevel="0" collapsed="false">
      <c r="H1361" s="49" t="s">
        <v>121</v>
      </c>
      <c r="I1361" s="50" t="s">
        <v>122</v>
      </c>
    </row>
    <row r="1362" customFormat="false" ht="7.5" hidden="false" customHeight="true" outlineLevel="0" collapsed="false">
      <c r="H1362" s="49" t="s">
        <v>125</v>
      </c>
      <c r="I1362" s="50" t="s">
        <v>126</v>
      </c>
    </row>
    <row r="1363" customFormat="false" ht="7.5" hidden="false" customHeight="true" outlineLevel="0" collapsed="false">
      <c r="H1363" s="49" t="s">
        <v>129</v>
      </c>
      <c r="I1363" s="50" t="s">
        <v>130</v>
      </c>
    </row>
    <row r="1364" customFormat="false" ht="7.5" hidden="false" customHeight="true" outlineLevel="0" collapsed="false">
      <c r="H1364" s="49" t="s">
        <v>133</v>
      </c>
      <c r="I1364" s="50" t="s">
        <v>134</v>
      </c>
    </row>
    <row r="1365" customFormat="false" ht="7.5" hidden="false" customHeight="true" outlineLevel="0" collapsed="false">
      <c r="H1365" s="49" t="s">
        <v>137</v>
      </c>
      <c r="I1365" s="50" t="s">
        <v>138</v>
      </c>
    </row>
    <row r="1366" customFormat="false" ht="7.5" hidden="false" customHeight="true" outlineLevel="0" collapsed="false">
      <c r="H1366" s="49" t="s">
        <v>141</v>
      </c>
      <c r="I1366" s="50" t="s">
        <v>142</v>
      </c>
    </row>
    <row r="1367" customFormat="false" ht="7.5" hidden="false" customHeight="true" outlineLevel="0" collapsed="false">
      <c r="H1367" s="49" t="s">
        <v>145</v>
      </c>
      <c r="I1367" s="50" t="s">
        <v>146</v>
      </c>
    </row>
    <row r="1368" customFormat="false" ht="7.5" hidden="false" customHeight="true" outlineLevel="0" collapsed="false">
      <c r="H1368" s="49" t="s">
        <v>149</v>
      </c>
      <c r="I1368" s="50" t="s">
        <v>150</v>
      </c>
    </row>
    <row r="1369" customFormat="false" ht="7.5" hidden="false" customHeight="true" outlineLevel="0" collapsed="false">
      <c r="H1369" s="49" t="s">
        <v>154</v>
      </c>
      <c r="I1369" s="50" t="s">
        <v>155</v>
      </c>
    </row>
    <row r="1370" customFormat="false" ht="7.5" hidden="false" customHeight="true" outlineLevel="0" collapsed="false">
      <c r="H1370" s="49" t="s">
        <v>159</v>
      </c>
      <c r="I1370" s="50" t="s">
        <v>160</v>
      </c>
    </row>
    <row r="1371" customFormat="false" ht="7.5" hidden="false" customHeight="true" outlineLevel="0" collapsed="false">
      <c r="H1371" s="49" t="s">
        <v>163</v>
      </c>
      <c r="I1371" s="50" t="s">
        <v>164</v>
      </c>
    </row>
    <row r="1372" customFormat="false" ht="7.5" hidden="false" customHeight="true" outlineLevel="0" collapsed="false">
      <c r="H1372" s="49" t="s">
        <v>167</v>
      </c>
      <c r="I1372" s="50" t="s">
        <v>168</v>
      </c>
    </row>
    <row r="1373" customFormat="false" ht="7.5" hidden="false" customHeight="true" outlineLevel="0" collapsed="false">
      <c r="H1373" s="49" t="s">
        <v>171</v>
      </c>
      <c r="I1373" s="50" t="s">
        <v>172</v>
      </c>
    </row>
    <row r="1374" customFormat="false" ht="7.5" hidden="false" customHeight="true" outlineLevel="0" collapsed="false">
      <c r="H1374" s="49" t="s">
        <v>175</v>
      </c>
      <c r="I1374" s="50" t="s">
        <v>176</v>
      </c>
    </row>
    <row r="1375" customFormat="false" ht="7.5" hidden="false" customHeight="true" outlineLevel="0" collapsed="false">
      <c r="H1375" s="49" t="s">
        <v>179</v>
      </c>
      <c r="I1375" s="50" t="s">
        <v>180</v>
      </c>
    </row>
    <row r="1376" customFormat="false" ht="7.5" hidden="false" customHeight="true" outlineLevel="0" collapsed="false">
      <c r="H1376" s="49" t="s">
        <v>183</v>
      </c>
      <c r="I1376" s="50" t="s">
        <v>184</v>
      </c>
    </row>
    <row r="1377" customFormat="false" ht="7.5" hidden="false" customHeight="true" outlineLevel="0" collapsed="false">
      <c r="H1377" s="49" t="s">
        <v>187</v>
      </c>
      <c r="I1377" s="50" t="s">
        <v>188</v>
      </c>
    </row>
    <row r="1378" customFormat="false" ht="7.5" hidden="false" customHeight="true" outlineLevel="0" collapsed="false">
      <c r="H1378" s="49" t="s">
        <v>190</v>
      </c>
      <c r="I1378" s="50" t="s">
        <v>191</v>
      </c>
    </row>
    <row r="1379" customFormat="false" ht="7.5" hidden="false" customHeight="true" outlineLevel="0" collapsed="false">
      <c r="H1379" s="49" t="s">
        <v>194</v>
      </c>
      <c r="I1379" s="50" t="s">
        <v>195</v>
      </c>
    </row>
    <row r="1380" customFormat="false" ht="7.5" hidden="false" customHeight="true" outlineLevel="0" collapsed="false">
      <c r="H1380" s="49" t="s">
        <v>198</v>
      </c>
      <c r="I1380" s="50" t="s">
        <v>199</v>
      </c>
    </row>
    <row r="1381" customFormat="false" ht="7.5" hidden="false" customHeight="true" outlineLevel="0" collapsed="false">
      <c r="H1381" s="49" t="s">
        <v>202</v>
      </c>
      <c r="I1381" s="50" t="s">
        <v>203</v>
      </c>
    </row>
    <row r="1382" customFormat="false" ht="7.5" hidden="false" customHeight="true" outlineLevel="0" collapsed="false">
      <c r="H1382" s="39"/>
      <c r="I1382" s="40" t="s">
        <v>206</v>
      </c>
    </row>
    <row r="1383" customFormat="false" ht="7.5" hidden="false" customHeight="true" outlineLevel="0" collapsed="false">
      <c r="H1383" s="49" t="s">
        <v>207</v>
      </c>
      <c r="I1383" s="50" t="s">
        <v>208</v>
      </c>
    </row>
    <row r="1384" customFormat="false" ht="7.5" hidden="false" customHeight="true" outlineLevel="0" collapsed="false">
      <c r="H1384" s="39"/>
      <c r="I1384" s="40" t="s">
        <v>211</v>
      </c>
    </row>
    <row r="1385" customFormat="false" ht="7.5" hidden="false" customHeight="true" outlineLevel="0" collapsed="false">
      <c r="H1385" s="49" t="s">
        <v>212</v>
      </c>
      <c r="I1385" s="50" t="s">
        <v>213</v>
      </c>
    </row>
    <row r="1386" customFormat="false" ht="7.5" hidden="false" customHeight="true" outlineLevel="0" collapsed="false">
      <c r="H1386" s="49" t="s">
        <v>215</v>
      </c>
      <c r="I1386" s="50" t="s">
        <v>216</v>
      </c>
    </row>
    <row r="1387" customFormat="false" ht="7.5" hidden="false" customHeight="true" outlineLevel="0" collapsed="false">
      <c r="H1387" s="49" t="s">
        <v>219</v>
      </c>
      <c r="I1387" s="50" t="s">
        <v>220</v>
      </c>
    </row>
    <row r="1388" customFormat="false" ht="7.5" hidden="false" customHeight="true" outlineLevel="0" collapsed="false">
      <c r="H1388" s="49" t="s">
        <v>223</v>
      </c>
      <c r="I1388" s="50" t="s">
        <v>224</v>
      </c>
    </row>
    <row r="1389" customFormat="false" ht="7.5" hidden="false" customHeight="true" outlineLevel="0" collapsed="false">
      <c r="H1389" s="39"/>
      <c r="I1389" s="40" t="s">
        <v>227</v>
      </c>
    </row>
    <row r="1390" customFormat="false" ht="7.5" hidden="false" customHeight="true" outlineLevel="0" collapsed="false">
      <c r="H1390" s="49" t="s">
        <v>228</v>
      </c>
      <c r="I1390" s="50" t="s">
        <v>229</v>
      </c>
    </row>
    <row r="1391" customFormat="false" ht="7.5" hidden="false" customHeight="true" outlineLevel="0" collapsed="false">
      <c r="H1391" s="49" t="s">
        <v>232</v>
      </c>
      <c r="I1391" s="50" t="s">
        <v>233</v>
      </c>
    </row>
    <row r="1392" customFormat="false" ht="7.5" hidden="false" customHeight="true" outlineLevel="0" collapsed="false">
      <c r="H1392" s="49" t="s">
        <v>236</v>
      </c>
      <c r="I1392" s="50" t="s">
        <v>237</v>
      </c>
    </row>
    <row r="1393" customFormat="false" ht="7.5" hidden="false" customHeight="true" outlineLevel="0" collapsed="false">
      <c r="H1393" s="49" t="s">
        <v>240</v>
      </c>
      <c r="I1393" s="50" t="s">
        <v>241</v>
      </c>
    </row>
    <row r="1394" customFormat="false" ht="7.5" hidden="false" customHeight="true" outlineLevel="0" collapsed="false">
      <c r="H1394" s="49" t="s">
        <v>243</v>
      </c>
      <c r="I1394" s="50" t="s">
        <v>244</v>
      </c>
    </row>
    <row r="1395" customFormat="false" ht="7.5" hidden="false" customHeight="true" outlineLevel="0" collapsed="false">
      <c r="H1395" s="39"/>
      <c r="I1395" s="40" t="s">
        <v>246</v>
      </c>
    </row>
    <row r="1396" customFormat="false" ht="7.5" hidden="false" customHeight="true" outlineLevel="0" collapsed="false">
      <c r="H1396" s="49" t="s">
        <v>247</v>
      </c>
      <c r="I1396" s="50" t="s">
        <v>248</v>
      </c>
    </row>
    <row r="1397" customFormat="false" ht="7.5" hidden="false" customHeight="true" outlineLevel="0" collapsed="false">
      <c r="H1397" s="39"/>
      <c r="I1397" s="40" t="s">
        <v>251</v>
      </c>
    </row>
    <row r="1398" customFormat="false" ht="7.5" hidden="false" customHeight="true" outlineLevel="0" collapsed="false">
      <c r="H1398" s="49" t="s">
        <v>252</v>
      </c>
      <c r="I1398" s="50" t="s">
        <v>253</v>
      </c>
    </row>
    <row r="1399" customFormat="false" ht="7.5" hidden="false" customHeight="true" outlineLevel="0" collapsed="false">
      <c r="H1399" s="49" t="s">
        <v>256</v>
      </c>
      <c r="I1399" s="50" t="s">
        <v>257</v>
      </c>
    </row>
    <row r="1400" customFormat="false" ht="7.5" hidden="false" customHeight="true" outlineLevel="0" collapsed="false">
      <c r="H1400" s="39"/>
      <c r="I1400" s="40" t="s">
        <v>260</v>
      </c>
    </row>
    <row r="1401" customFormat="false" ht="7.5" hidden="false" customHeight="true" outlineLevel="0" collapsed="false">
      <c r="H1401" s="49" t="s">
        <v>261</v>
      </c>
      <c r="I1401" s="50" t="s">
        <v>262</v>
      </c>
    </row>
    <row r="1402" customFormat="false" ht="7.5" hidden="false" customHeight="true" outlineLevel="0" collapsed="false">
      <c r="H1402" s="49" t="s">
        <v>265</v>
      </c>
      <c r="I1402" s="50" t="s">
        <v>266</v>
      </c>
    </row>
    <row r="1403" customFormat="false" ht="7.5" hidden="false" customHeight="true" outlineLevel="0" collapsed="false">
      <c r="H1403" s="49" t="s">
        <v>269</v>
      </c>
      <c r="I1403" s="50" t="s">
        <v>270</v>
      </c>
    </row>
    <row r="1404" customFormat="false" ht="7.5" hidden="false" customHeight="true" outlineLevel="0" collapsed="false">
      <c r="H1404" s="49" t="s">
        <v>272</v>
      </c>
      <c r="I1404" s="50" t="s">
        <v>273</v>
      </c>
    </row>
    <row r="1405" customFormat="false" ht="7.5" hidden="false" customHeight="true" outlineLevel="0" collapsed="false">
      <c r="H1405" s="49" t="s">
        <v>275</v>
      </c>
      <c r="I1405" s="50" t="s">
        <v>276</v>
      </c>
    </row>
    <row r="1406" customFormat="false" ht="7.5" hidden="false" customHeight="true" outlineLevel="0" collapsed="false">
      <c r="H1406" s="49" t="s">
        <v>278</v>
      </c>
      <c r="I1406" s="50" t="s">
        <v>279</v>
      </c>
    </row>
    <row r="1407" customFormat="false" ht="7.5" hidden="false" customHeight="true" outlineLevel="0" collapsed="false">
      <c r="H1407" s="39"/>
      <c r="I1407" s="40" t="s">
        <v>281</v>
      </c>
    </row>
    <row r="1408" customFormat="false" ht="7.5" hidden="false" customHeight="true" outlineLevel="0" collapsed="false">
      <c r="H1408" s="49" t="s">
        <v>282</v>
      </c>
      <c r="I1408" s="50" t="s">
        <v>283</v>
      </c>
    </row>
    <row r="1409" customFormat="false" ht="7.5" hidden="false" customHeight="true" outlineLevel="0" collapsed="false">
      <c r="H1409" s="49" t="s">
        <v>286</v>
      </c>
      <c r="I1409" s="50" t="s">
        <v>287</v>
      </c>
    </row>
    <row r="1410" customFormat="false" ht="7.5" hidden="false" customHeight="true" outlineLevel="0" collapsed="false">
      <c r="H1410" s="49" t="s">
        <v>290</v>
      </c>
      <c r="I1410" s="50" t="s">
        <v>291</v>
      </c>
    </row>
    <row r="1411" customFormat="false" ht="7.5" hidden="false" customHeight="true" outlineLevel="0" collapsed="false">
      <c r="H1411" s="49" t="s">
        <v>294</v>
      </c>
      <c r="I1411" s="50" t="s">
        <v>295</v>
      </c>
    </row>
    <row r="1412" customFormat="false" ht="7.5" hidden="false" customHeight="true" outlineLevel="0" collapsed="false">
      <c r="H1412" s="39"/>
      <c r="I1412" s="40" t="s">
        <v>298</v>
      </c>
    </row>
    <row r="1413" customFormat="false" ht="7.5" hidden="false" customHeight="true" outlineLevel="0" collapsed="false">
      <c r="H1413" s="49" t="s">
        <v>299</v>
      </c>
      <c r="I1413" s="50" t="s">
        <v>300</v>
      </c>
    </row>
    <row r="1414" customFormat="false" ht="7.5" hidden="false" customHeight="true" outlineLevel="0" collapsed="false">
      <c r="H1414" s="49" t="s">
        <v>303</v>
      </c>
      <c r="I1414" s="50" t="s">
        <v>304</v>
      </c>
    </row>
    <row r="1415" customFormat="false" ht="7.5" hidden="false" customHeight="true" outlineLevel="0" collapsed="false">
      <c r="H1415" s="39"/>
      <c r="I1415" s="40" t="s">
        <v>307</v>
      </c>
    </row>
    <row r="1416" customFormat="false" ht="7.5" hidden="false" customHeight="true" outlineLevel="0" collapsed="false">
      <c r="H1416" s="49" t="s">
        <v>308</v>
      </c>
      <c r="I1416" s="50" t="s">
        <v>309</v>
      </c>
    </row>
    <row r="1417" customFormat="false" ht="7.5" hidden="false" customHeight="true" outlineLevel="0" collapsed="false">
      <c r="H1417" s="49" t="s">
        <v>312</v>
      </c>
      <c r="I1417" s="50" t="s">
        <v>313</v>
      </c>
    </row>
    <row r="1418" customFormat="false" ht="7.5" hidden="false" customHeight="true" outlineLevel="0" collapsed="false">
      <c r="H1418" s="49" t="s">
        <v>316</v>
      </c>
      <c r="I1418" s="50" t="s">
        <v>317</v>
      </c>
    </row>
    <row r="1419" customFormat="false" ht="7.5" hidden="false" customHeight="true" outlineLevel="0" collapsed="false">
      <c r="H1419" s="39"/>
      <c r="I1419" s="40" t="s">
        <v>320</v>
      </c>
    </row>
    <row r="1420" customFormat="false" ht="7.5" hidden="false" customHeight="true" outlineLevel="0" collapsed="false">
      <c r="H1420" s="49" t="s">
        <v>321</v>
      </c>
      <c r="I1420" s="50" t="s">
        <v>322</v>
      </c>
    </row>
    <row r="1421" customFormat="false" ht="7.5" hidden="false" customHeight="true" outlineLevel="0" collapsed="false">
      <c r="H1421" s="49" t="s">
        <v>324</v>
      </c>
      <c r="I1421" s="50" t="s">
        <v>325</v>
      </c>
    </row>
    <row r="1422" customFormat="false" ht="7.5" hidden="false" customHeight="true" outlineLevel="0" collapsed="false">
      <c r="H1422" s="49" t="s">
        <v>327</v>
      </c>
      <c r="I1422" s="50" t="s">
        <v>328</v>
      </c>
    </row>
    <row r="1423" customFormat="false" ht="7.5" hidden="false" customHeight="true" outlineLevel="0" collapsed="false">
      <c r="H1423" s="49" t="s">
        <v>330</v>
      </c>
      <c r="I1423" s="50" t="s">
        <v>331</v>
      </c>
    </row>
    <row r="1424" customFormat="false" ht="7.5" hidden="false" customHeight="true" outlineLevel="0" collapsed="false">
      <c r="H1424" s="49" t="s">
        <v>334</v>
      </c>
      <c r="I1424" s="50" t="s">
        <v>335</v>
      </c>
    </row>
    <row r="1425" customFormat="false" ht="7.5" hidden="false" customHeight="true" outlineLevel="0" collapsed="false">
      <c r="H1425" s="49" t="s">
        <v>338</v>
      </c>
      <c r="I1425" s="50" t="s">
        <v>339</v>
      </c>
    </row>
    <row r="1426" customFormat="false" ht="7.5" hidden="false" customHeight="true" outlineLevel="0" collapsed="false">
      <c r="H1426" s="49" t="s">
        <v>342</v>
      </c>
      <c r="I1426" s="50" t="s">
        <v>343</v>
      </c>
    </row>
    <row r="1427" customFormat="false" ht="7.5" hidden="false" customHeight="true" outlineLevel="0" collapsed="false">
      <c r="H1427" s="49" t="s">
        <v>346</v>
      </c>
      <c r="I1427" s="50" t="s">
        <v>347</v>
      </c>
    </row>
    <row r="1428" customFormat="false" ht="7.5" hidden="false" customHeight="true" outlineLevel="0" collapsed="false">
      <c r="H1428" s="49" t="s">
        <v>350</v>
      </c>
      <c r="I1428" s="50" t="s">
        <v>351</v>
      </c>
    </row>
    <row r="1429" customFormat="false" ht="7.5" hidden="false" customHeight="true" outlineLevel="0" collapsed="false">
      <c r="H1429" s="49" t="s">
        <v>354</v>
      </c>
      <c r="I1429" s="50" t="s">
        <v>355</v>
      </c>
    </row>
    <row r="1430" customFormat="false" ht="7.5" hidden="false" customHeight="true" outlineLevel="0" collapsed="false">
      <c r="H1430" s="49" t="s">
        <v>358</v>
      </c>
      <c r="I1430" s="50" t="s">
        <v>359</v>
      </c>
    </row>
    <row r="1431" customFormat="false" ht="7.5" hidden="false" customHeight="true" outlineLevel="0" collapsed="false">
      <c r="H1431" s="49" t="s">
        <v>362</v>
      </c>
      <c r="I1431" s="50" t="s">
        <v>363</v>
      </c>
    </row>
    <row r="1432" customFormat="false" ht="7.5" hidden="false" customHeight="true" outlineLevel="0" collapsed="false">
      <c r="H1432" s="49" t="s">
        <v>366</v>
      </c>
      <c r="I1432" s="50" t="s">
        <v>367</v>
      </c>
    </row>
    <row r="1433" customFormat="false" ht="7.5" hidden="false" customHeight="true" outlineLevel="0" collapsed="false">
      <c r="H1433" s="49" t="s">
        <v>370</v>
      </c>
      <c r="I1433" s="50" t="s">
        <v>371</v>
      </c>
    </row>
    <row r="1434" customFormat="false" ht="7.5" hidden="false" customHeight="true" outlineLevel="0" collapsed="false">
      <c r="H1434" s="49" t="s">
        <v>374</v>
      </c>
      <c r="I1434" s="50" t="s">
        <v>375</v>
      </c>
    </row>
    <row r="1435" customFormat="false" ht="7.5" hidden="false" customHeight="true" outlineLevel="0" collapsed="false">
      <c r="H1435" s="49" t="s">
        <v>377</v>
      </c>
      <c r="I1435" s="50" t="s">
        <v>378</v>
      </c>
    </row>
    <row r="1436" customFormat="false" ht="7.5" hidden="false" customHeight="true" outlineLevel="0" collapsed="false">
      <c r="H1436" s="49" t="s">
        <v>381</v>
      </c>
      <c r="I1436" s="50" t="s">
        <v>382</v>
      </c>
    </row>
    <row r="1437" customFormat="false" ht="7.5" hidden="false" customHeight="true" outlineLevel="0" collapsed="false">
      <c r="H1437" s="49" t="s">
        <v>384</v>
      </c>
      <c r="I1437" s="50" t="s">
        <v>385</v>
      </c>
    </row>
    <row r="1438" customFormat="false" ht="7.5" hidden="false" customHeight="true" outlineLevel="0" collapsed="false">
      <c r="H1438" s="49" t="s">
        <v>387</v>
      </c>
      <c r="I1438" s="50" t="s">
        <v>388</v>
      </c>
    </row>
    <row r="1439" customFormat="false" ht="7.5" hidden="false" customHeight="true" outlineLevel="0" collapsed="false">
      <c r="H1439" s="49" t="s">
        <v>390</v>
      </c>
      <c r="I1439" s="50" t="s">
        <v>391</v>
      </c>
    </row>
    <row r="1440" customFormat="false" ht="7.5" hidden="false" customHeight="true" outlineLevel="0" collapsed="false">
      <c r="H1440" s="49" t="s">
        <v>394</v>
      </c>
      <c r="I1440" s="50" t="s">
        <v>395</v>
      </c>
    </row>
    <row r="1441" customFormat="false" ht="7.5" hidden="false" customHeight="true" outlineLevel="0" collapsed="false">
      <c r="H1441" s="49" t="s">
        <v>398</v>
      </c>
      <c r="I1441" s="50" t="s">
        <v>399</v>
      </c>
    </row>
    <row r="1442" customFormat="false" ht="7.5" hidden="false" customHeight="true" outlineLevel="0" collapsed="false">
      <c r="H1442" s="49" t="s">
        <v>402</v>
      </c>
      <c r="I1442" s="50" t="s">
        <v>403</v>
      </c>
    </row>
    <row r="1443" customFormat="false" ht="7.5" hidden="false" customHeight="true" outlineLevel="0" collapsed="false">
      <c r="H1443" s="49" t="s">
        <v>406</v>
      </c>
      <c r="I1443" s="50" t="s">
        <v>407</v>
      </c>
    </row>
    <row r="1444" customFormat="false" ht="7.5" hidden="false" customHeight="true" outlineLevel="0" collapsed="false">
      <c r="H1444" s="39"/>
      <c r="I1444" s="40" t="s">
        <v>410</v>
      </c>
    </row>
    <row r="1445" customFormat="false" ht="7.5" hidden="false" customHeight="true" outlineLevel="0" collapsed="false">
      <c r="H1445" s="49" t="s">
        <v>411</v>
      </c>
      <c r="I1445" s="50" t="s">
        <v>412</v>
      </c>
    </row>
    <row r="1446" customFormat="false" ht="7.5" hidden="false" customHeight="true" outlineLevel="0" collapsed="false">
      <c r="H1446" s="49" t="s">
        <v>415</v>
      </c>
      <c r="I1446" s="50" t="s">
        <v>416</v>
      </c>
    </row>
    <row r="1447" customFormat="false" ht="7.5" hidden="false" customHeight="true" outlineLevel="0" collapsed="false">
      <c r="H1447" s="49" t="s">
        <v>419</v>
      </c>
      <c r="I1447" s="50" t="s">
        <v>420</v>
      </c>
    </row>
    <row r="1448" customFormat="false" ht="7.5" hidden="false" customHeight="true" outlineLevel="0" collapsed="false">
      <c r="H1448" s="49" t="s">
        <v>423</v>
      </c>
      <c r="I1448" s="50" t="s">
        <v>424</v>
      </c>
    </row>
    <row r="1449" customFormat="false" ht="7.5" hidden="false" customHeight="true" outlineLevel="0" collapsed="false">
      <c r="H1449" s="49" t="s">
        <v>427</v>
      </c>
      <c r="I1449" s="50" t="s">
        <v>428</v>
      </c>
    </row>
    <row r="1450" customFormat="false" ht="7.5" hidden="false" customHeight="true" outlineLevel="0" collapsed="false">
      <c r="H1450" s="49" t="s">
        <v>431</v>
      </c>
      <c r="I1450" s="50" t="s">
        <v>432</v>
      </c>
    </row>
    <row r="1451" customFormat="false" ht="7.5" hidden="false" customHeight="true" outlineLevel="0" collapsed="false">
      <c r="H1451" s="39"/>
      <c r="I1451" s="40" t="s">
        <v>435</v>
      </c>
    </row>
    <row r="1452" customFormat="false" ht="7.5" hidden="false" customHeight="true" outlineLevel="0" collapsed="false">
      <c r="H1452" s="49" t="s">
        <v>436</v>
      </c>
      <c r="I1452" s="50" t="s">
        <v>437</v>
      </c>
    </row>
    <row r="1453" customFormat="false" ht="7.5" hidden="false" customHeight="true" outlineLevel="0" collapsed="false">
      <c r="H1453" s="49" t="s">
        <v>440</v>
      </c>
      <c r="I1453" s="50" t="s">
        <v>441</v>
      </c>
    </row>
    <row r="1454" customFormat="false" ht="7.5" hidden="false" customHeight="true" outlineLevel="0" collapsed="false">
      <c r="H1454" s="49" t="s">
        <v>444</v>
      </c>
      <c r="I1454" s="50" t="s">
        <v>445</v>
      </c>
    </row>
    <row r="1455" customFormat="false" ht="7.5" hidden="false" customHeight="true" outlineLevel="0" collapsed="false">
      <c r="H1455" s="49" t="s">
        <v>448</v>
      </c>
      <c r="I1455" s="50" t="s">
        <v>449</v>
      </c>
    </row>
    <row r="1456" customFormat="false" ht="7.5" hidden="false" customHeight="true" outlineLevel="0" collapsed="false">
      <c r="H1456" s="49" t="s">
        <v>452</v>
      </c>
      <c r="I1456" s="50" t="s">
        <v>453</v>
      </c>
    </row>
    <row r="1457" customFormat="false" ht="7.5" hidden="false" customHeight="true" outlineLevel="0" collapsed="false">
      <c r="H1457" s="49" t="s">
        <v>455</v>
      </c>
      <c r="I1457" s="50" t="s">
        <v>456</v>
      </c>
    </row>
    <row r="1458" customFormat="false" ht="7.5" hidden="false" customHeight="true" outlineLevel="0" collapsed="false">
      <c r="H1458" s="49" t="s">
        <v>459</v>
      </c>
      <c r="I1458" s="50" t="s">
        <v>460</v>
      </c>
    </row>
    <row r="1459" customFormat="false" ht="7.5" hidden="false" customHeight="true" outlineLevel="0" collapsed="false">
      <c r="H1459" s="39"/>
      <c r="I1459" s="40" t="s">
        <v>463</v>
      </c>
    </row>
    <row r="1460" customFormat="false" ht="7.5" hidden="false" customHeight="true" outlineLevel="0" collapsed="false">
      <c r="H1460" s="49" t="s">
        <v>464</v>
      </c>
      <c r="I1460" s="50" t="s">
        <v>465</v>
      </c>
    </row>
    <row r="1461" customFormat="false" ht="7.5" hidden="false" customHeight="true" outlineLevel="0" collapsed="false">
      <c r="H1461" s="49" t="s">
        <v>468</v>
      </c>
      <c r="I1461" s="50" t="s">
        <v>469</v>
      </c>
    </row>
    <row r="1462" customFormat="false" ht="7.5" hidden="false" customHeight="true" outlineLevel="0" collapsed="false">
      <c r="H1462" s="49" t="s">
        <v>472</v>
      </c>
      <c r="I1462" s="50" t="s">
        <v>473</v>
      </c>
    </row>
    <row r="1463" customFormat="false" ht="7.5" hidden="false" customHeight="true" outlineLevel="0" collapsed="false">
      <c r="H1463" s="49" t="s">
        <v>476</v>
      </c>
      <c r="I1463" s="50" t="s">
        <v>477</v>
      </c>
    </row>
    <row r="1464" customFormat="false" ht="7.5" hidden="false" customHeight="true" outlineLevel="0" collapsed="false">
      <c r="H1464" s="49" t="s">
        <v>480</v>
      </c>
      <c r="I1464" s="50" t="s">
        <v>481</v>
      </c>
    </row>
    <row r="1465" customFormat="false" ht="7.5" hidden="false" customHeight="true" outlineLevel="0" collapsed="false">
      <c r="H1465" s="39"/>
      <c r="I1465" s="40" t="s">
        <v>484</v>
      </c>
    </row>
    <row r="1466" customFormat="false" ht="7.5" hidden="false" customHeight="true" outlineLevel="0" collapsed="false">
      <c r="H1466" s="49" t="s">
        <v>485</v>
      </c>
      <c r="I1466" s="50" t="s">
        <v>486</v>
      </c>
    </row>
    <row r="1467" customFormat="false" ht="7.5" hidden="false" customHeight="true" outlineLevel="0" collapsed="false">
      <c r="H1467" s="39"/>
      <c r="I1467" s="40" t="s">
        <v>489</v>
      </c>
    </row>
    <row r="1468" customFormat="false" ht="7.5" hidden="false" customHeight="true" outlineLevel="0" collapsed="false">
      <c r="H1468" s="49" t="s">
        <v>490</v>
      </c>
      <c r="I1468" s="50" t="s">
        <v>491</v>
      </c>
    </row>
    <row r="1469" customFormat="false" ht="7.5" hidden="false" customHeight="true" outlineLevel="0" collapsed="false">
      <c r="H1469" s="49" t="s">
        <v>494</v>
      </c>
      <c r="I1469" s="50" t="s">
        <v>495</v>
      </c>
    </row>
    <row r="1470" customFormat="false" ht="7.5" hidden="false" customHeight="true" outlineLevel="0" collapsed="false">
      <c r="H1470" s="49" t="s">
        <v>498</v>
      </c>
      <c r="I1470" s="50" t="s">
        <v>499</v>
      </c>
    </row>
    <row r="1471" customFormat="false" ht="7.5" hidden="false" customHeight="true" outlineLevel="0" collapsed="false">
      <c r="H1471" s="39"/>
      <c r="I1471" s="40" t="s">
        <v>502</v>
      </c>
    </row>
    <row r="1472" customFormat="false" ht="7.5" hidden="false" customHeight="true" outlineLevel="0" collapsed="false">
      <c r="H1472" s="49" t="s">
        <v>503</v>
      </c>
      <c r="I1472" s="50" t="s">
        <v>504</v>
      </c>
    </row>
    <row r="1473" customFormat="false" ht="7.5" hidden="false" customHeight="true" outlineLevel="0" collapsed="false">
      <c r="H1473" s="39"/>
      <c r="I1473" s="40" t="s">
        <v>507</v>
      </c>
    </row>
    <row r="1474" customFormat="false" ht="7.5" hidden="false" customHeight="true" outlineLevel="0" collapsed="false">
      <c r="H1474" s="49" t="s">
        <v>508</v>
      </c>
      <c r="I1474" s="50" t="s">
        <v>509</v>
      </c>
    </row>
    <row r="1475" customFormat="false" ht="7.5" hidden="false" customHeight="true" outlineLevel="0" collapsed="false">
      <c r="H1475" s="39"/>
      <c r="I1475" s="40" t="s">
        <v>512</v>
      </c>
    </row>
    <row r="1476" customFormat="false" ht="7.5" hidden="false" customHeight="true" outlineLevel="0" collapsed="false">
      <c r="H1476" s="49" t="s">
        <v>513</v>
      </c>
      <c r="I1476" s="50" t="s">
        <v>514</v>
      </c>
    </row>
    <row r="1477" customFormat="false" ht="7.5" hidden="false" customHeight="true" outlineLevel="0" collapsed="false">
      <c r="H1477" s="49" t="s">
        <v>517</v>
      </c>
      <c r="I1477" s="50" t="s">
        <v>518</v>
      </c>
    </row>
    <row r="1478" customFormat="false" ht="7.5" hidden="false" customHeight="true" outlineLevel="0" collapsed="false">
      <c r="H1478" s="49" t="s">
        <v>521</v>
      </c>
      <c r="I1478" s="50" t="s">
        <v>522</v>
      </c>
    </row>
    <row r="1479" customFormat="false" ht="7.5" hidden="false" customHeight="true" outlineLevel="0" collapsed="false">
      <c r="H1479" s="49" t="s">
        <v>525</v>
      </c>
      <c r="I1479" s="50" t="s">
        <v>526</v>
      </c>
    </row>
    <row r="1480" customFormat="false" ht="7.5" hidden="false" customHeight="true" outlineLevel="0" collapsed="false">
      <c r="H1480" s="49" t="s">
        <v>529</v>
      </c>
      <c r="I1480" s="50" t="s">
        <v>530</v>
      </c>
    </row>
    <row r="1481" customFormat="false" ht="7.5" hidden="false" customHeight="true" outlineLevel="0" collapsed="false">
      <c r="H1481" s="49" t="s">
        <v>533</v>
      </c>
      <c r="I1481" s="50" t="s">
        <v>534</v>
      </c>
    </row>
    <row r="1482" customFormat="false" ht="7.5" hidden="false" customHeight="true" outlineLevel="0" collapsed="false">
      <c r="H1482" s="49" t="s">
        <v>537</v>
      </c>
      <c r="I1482" s="50" t="s">
        <v>538</v>
      </c>
    </row>
    <row r="1483" customFormat="false" ht="7.5" hidden="false" customHeight="true" outlineLevel="0" collapsed="false">
      <c r="H1483" s="49" t="s">
        <v>541</v>
      </c>
      <c r="I1483" s="50" t="s">
        <v>542</v>
      </c>
    </row>
    <row r="1484" customFormat="false" ht="7.5" hidden="false" customHeight="true" outlineLevel="0" collapsed="false">
      <c r="H1484" s="49" t="s">
        <v>545</v>
      </c>
      <c r="I1484" s="50" t="s">
        <v>546</v>
      </c>
    </row>
    <row r="1485" customFormat="false" ht="7.5" hidden="false" customHeight="true" outlineLevel="0" collapsed="false">
      <c r="H1485" s="39"/>
      <c r="I1485" s="40" t="s">
        <v>549</v>
      </c>
    </row>
    <row r="1486" customFormat="false" ht="7.5" hidden="false" customHeight="true" outlineLevel="0" collapsed="false">
      <c r="H1486" s="49" t="s">
        <v>550</v>
      </c>
      <c r="I1486" s="50" t="s">
        <v>551</v>
      </c>
    </row>
    <row r="1487" customFormat="false" ht="7.5" hidden="false" customHeight="true" outlineLevel="0" collapsed="false">
      <c r="H1487" s="49" t="s">
        <v>553</v>
      </c>
      <c r="I1487" s="50" t="s">
        <v>554</v>
      </c>
    </row>
    <row r="1488" customFormat="false" ht="7.5" hidden="false" customHeight="true" outlineLevel="0" collapsed="false">
      <c r="H1488" s="49" t="s">
        <v>557</v>
      </c>
      <c r="I1488" s="50" t="s">
        <v>558</v>
      </c>
    </row>
    <row r="1489" customFormat="false" ht="7.5" hidden="false" customHeight="true" outlineLevel="0" collapsed="false">
      <c r="H1489" s="39"/>
      <c r="I1489" s="40" t="s">
        <v>561</v>
      </c>
    </row>
    <row r="1490" customFormat="false" ht="7.5" hidden="false" customHeight="true" outlineLevel="0" collapsed="false">
      <c r="H1490" s="49" t="s">
        <v>562</v>
      </c>
      <c r="I1490" s="50" t="s">
        <v>563</v>
      </c>
    </row>
    <row r="1491" customFormat="false" ht="7.5" hidden="false" customHeight="true" outlineLevel="0" collapsed="false">
      <c r="H1491" s="39"/>
      <c r="I1491" s="40" t="s">
        <v>566</v>
      </c>
    </row>
    <row r="1492" customFormat="false" ht="7.5" hidden="false" customHeight="true" outlineLevel="0" collapsed="false">
      <c r="H1492" s="49" t="s">
        <v>567</v>
      </c>
      <c r="I1492" s="50" t="s">
        <v>568</v>
      </c>
    </row>
    <row r="1493" customFormat="false" ht="7.5" hidden="false" customHeight="true" outlineLevel="0" collapsed="false">
      <c r="H1493" s="39"/>
      <c r="I1493" s="40" t="s">
        <v>571</v>
      </c>
    </row>
    <row r="1494" customFormat="false" ht="7.5" hidden="false" customHeight="true" outlineLevel="0" collapsed="false">
      <c r="H1494" s="49" t="s">
        <v>572</v>
      </c>
      <c r="I1494" s="50" t="s">
        <v>573</v>
      </c>
    </row>
    <row r="1495" customFormat="false" ht="7.5" hidden="false" customHeight="true" outlineLevel="0" collapsed="false">
      <c r="H1495" s="49" t="s">
        <v>576</v>
      </c>
      <c r="I1495" s="50" t="s">
        <v>577</v>
      </c>
    </row>
    <row r="1496" customFormat="false" ht="7.5" hidden="false" customHeight="true" outlineLevel="0" collapsed="false">
      <c r="H1496" s="39"/>
      <c r="I1496" s="40" t="s">
        <v>580</v>
      </c>
    </row>
    <row r="1497" customFormat="false" ht="7.5" hidden="false" customHeight="true" outlineLevel="0" collapsed="false">
      <c r="H1497" s="49" t="s">
        <v>581</v>
      </c>
      <c r="I1497" s="50" t="s">
        <v>582</v>
      </c>
    </row>
    <row r="1498" customFormat="false" ht="7.5" hidden="false" customHeight="true" outlineLevel="0" collapsed="false">
      <c r="H1498" s="49" t="s">
        <v>585</v>
      </c>
      <c r="I1498" s="50" t="s">
        <v>586</v>
      </c>
    </row>
    <row r="1499" customFormat="false" ht="7.5" hidden="false" customHeight="true" outlineLevel="0" collapsed="false">
      <c r="H1499" s="49" t="s">
        <v>589</v>
      </c>
      <c r="I1499" s="50" t="s">
        <v>590</v>
      </c>
    </row>
    <row r="1500" customFormat="false" ht="7.5" hidden="false" customHeight="true" outlineLevel="0" collapsed="false">
      <c r="H1500" s="49" t="s">
        <v>593</v>
      </c>
      <c r="I1500" s="50" t="s">
        <v>594</v>
      </c>
    </row>
    <row r="1501" customFormat="false" ht="7.5" hidden="false" customHeight="true" outlineLevel="0" collapsed="false">
      <c r="H1501" s="29"/>
      <c r="I1501" s="30" t="s">
        <v>596</v>
      </c>
    </row>
    <row r="1502" customFormat="false" ht="7.5" hidden="false" customHeight="true" outlineLevel="0" collapsed="false">
      <c r="H1502" s="39"/>
      <c r="I1502" s="40" t="s">
        <v>597</v>
      </c>
    </row>
    <row r="1503" customFormat="false" ht="7.5" hidden="false" customHeight="true" outlineLevel="0" collapsed="false">
      <c r="H1503" s="49" t="s">
        <v>598</v>
      </c>
      <c r="I1503" s="50" t="s">
        <v>599</v>
      </c>
    </row>
    <row r="1504" customFormat="false" ht="7.5" hidden="false" customHeight="true" outlineLevel="0" collapsed="false">
      <c r="H1504" s="39"/>
      <c r="I1504" s="40" t="s">
        <v>602</v>
      </c>
    </row>
    <row r="1505" customFormat="false" ht="7.5" hidden="false" customHeight="true" outlineLevel="0" collapsed="false">
      <c r="H1505" s="49" t="s">
        <v>603</v>
      </c>
      <c r="I1505" s="50" t="s">
        <v>604</v>
      </c>
    </row>
    <row r="1506" customFormat="false" ht="7.5" hidden="false" customHeight="true" outlineLevel="0" collapsed="false">
      <c r="H1506" s="49" t="s">
        <v>607</v>
      </c>
      <c r="I1506" s="50" t="s">
        <v>608</v>
      </c>
    </row>
    <row r="1507" customFormat="false" ht="7.5" hidden="false" customHeight="true" outlineLevel="0" collapsed="false">
      <c r="H1507" s="49" t="s">
        <v>611</v>
      </c>
      <c r="I1507" s="50" t="s">
        <v>612</v>
      </c>
    </row>
    <row r="1508" customFormat="false" ht="7.5" hidden="false" customHeight="true" outlineLevel="0" collapsed="false">
      <c r="H1508" s="49" t="s">
        <v>615</v>
      </c>
      <c r="I1508" s="50" t="s">
        <v>616</v>
      </c>
    </row>
    <row r="1509" customFormat="false" ht="7.5" hidden="false" customHeight="true" outlineLevel="0" collapsed="false">
      <c r="H1509" s="49" t="s">
        <v>619</v>
      </c>
      <c r="I1509" s="50" t="s">
        <v>620</v>
      </c>
    </row>
    <row r="1510" customFormat="false" ht="7.5" hidden="false" customHeight="true" outlineLevel="0" collapsed="false">
      <c r="H1510" s="49" t="s">
        <v>623</v>
      </c>
      <c r="I1510" s="50" t="s">
        <v>624</v>
      </c>
    </row>
    <row r="1511" customFormat="false" ht="7.5" hidden="false" customHeight="true" outlineLevel="0" collapsed="false">
      <c r="H1511" s="49" t="s">
        <v>627</v>
      </c>
      <c r="I1511" s="50" t="s">
        <v>628</v>
      </c>
    </row>
    <row r="1512" customFormat="false" ht="7.5" hidden="false" customHeight="true" outlineLevel="0" collapsed="false">
      <c r="H1512" s="49" t="s">
        <v>631</v>
      </c>
      <c r="I1512" s="50" t="s">
        <v>632</v>
      </c>
    </row>
    <row r="1513" customFormat="false" ht="7.5" hidden="false" customHeight="true" outlineLevel="0" collapsed="false">
      <c r="H1513" s="49" t="s">
        <v>635</v>
      </c>
      <c r="I1513" s="50" t="s">
        <v>636</v>
      </c>
    </row>
    <row r="1514" customFormat="false" ht="7.5" hidden="false" customHeight="true" outlineLevel="0" collapsed="false">
      <c r="H1514" s="49" t="s">
        <v>639</v>
      </c>
      <c r="I1514" s="50" t="s">
        <v>640</v>
      </c>
    </row>
    <row r="1515" customFormat="false" ht="7.5" hidden="false" customHeight="true" outlineLevel="0" collapsed="false">
      <c r="H1515" s="49" t="s">
        <v>643</v>
      </c>
      <c r="I1515" s="50" t="s">
        <v>644</v>
      </c>
    </row>
    <row r="1516" customFormat="false" ht="7.5" hidden="false" customHeight="true" outlineLevel="0" collapsed="false">
      <c r="H1516" s="49" t="s">
        <v>647</v>
      </c>
      <c r="I1516" s="50" t="s">
        <v>648</v>
      </c>
    </row>
    <row r="1517" customFormat="false" ht="7.5" hidden="false" customHeight="true" outlineLevel="0" collapsed="false">
      <c r="H1517" s="49" t="s">
        <v>651</v>
      </c>
      <c r="I1517" s="50" t="s">
        <v>652</v>
      </c>
    </row>
    <row r="1518" customFormat="false" ht="7.5" hidden="false" customHeight="true" outlineLevel="0" collapsed="false">
      <c r="H1518" s="49" t="s">
        <v>655</v>
      </c>
      <c r="I1518" s="50" t="s">
        <v>656</v>
      </c>
    </row>
    <row r="1519" customFormat="false" ht="7.5" hidden="false" customHeight="true" outlineLevel="0" collapsed="false">
      <c r="H1519" s="49" t="s">
        <v>659</v>
      </c>
      <c r="I1519" s="50" t="s">
        <v>660</v>
      </c>
    </row>
    <row r="1520" customFormat="false" ht="7.5" hidden="false" customHeight="true" outlineLevel="0" collapsed="false">
      <c r="H1520" s="49" t="s">
        <v>663</v>
      </c>
      <c r="I1520" s="50" t="s">
        <v>664</v>
      </c>
    </row>
    <row r="1521" customFormat="false" ht="7.5" hidden="false" customHeight="true" outlineLevel="0" collapsed="false">
      <c r="H1521" s="49" t="s">
        <v>667</v>
      </c>
      <c r="I1521" s="50" t="s">
        <v>668</v>
      </c>
    </row>
    <row r="1522" customFormat="false" ht="7.5" hidden="false" customHeight="true" outlineLevel="0" collapsed="false">
      <c r="H1522" s="49" t="s">
        <v>671</v>
      </c>
      <c r="I1522" s="50" t="s">
        <v>672</v>
      </c>
    </row>
    <row r="1523" customFormat="false" ht="7.5" hidden="false" customHeight="true" outlineLevel="0" collapsed="false">
      <c r="H1523" s="49" t="s">
        <v>675</v>
      </c>
      <c r="I1523" s="50" t="s">
        <v>676</v>
      </c>
    </row>
    <row r="1524" customFormat="false" ht="7.5" hidden="false" customHeight="true" outlineLevel="0" collapsed="false">
      <c r="H1524" s="49" t="s">
        <v>679</v>
      </c>
      <c r="I1524" s="50" t="s">
        <v>680</v>
      </c>
    </row>
    <row r="1525" customFormat="false" ht="7.5" hidden="false" customHeight="true" outlineLevel="0" collapsed="false">
      <c r="H1525" s="49" t="s">
        <v>683</v>
      </c>
      <c r="I1525" s="50" t="s">
        <v>684</v>
      </c>
    </row>
    <row r="1526" customFormat="false" ht="7.5" hidden="false" customHeight="true" outlineLevel="0" collapsed="false">
      <c r="H1526" s="49" t="s">
        <v>687</v>
      </c>
      <c r="I1526" s="50" t="s">
        <v>688</v>
      </c>
    </row>
    <row r="1527" customFormat="false" ht="7.5" hidden="false" customHeight="true" outlineLevel="0" collapsed="false">
      <c r="H1527" s="49" t="s">
        <v>691</v>
      </c>
      <c r="I1527" s="50" t="s">
        <v>692</v>
      </c>
    </row>
    <row r="1528" customFormat="false" ht="7.5" hidden="false" customHeight="true" outlineLevel="0" collapsed="false">
      <c r="H1528" s="49" t="s">
        <v>695</v>
      </c>
      <c r="I1528" s="50" t="s">
        <v>696</v>
      </c>
    </row>
    <row r="1529" customFormat="false" ht="7.5" hidden="false" customHeight="true" outlineLevel="0" collapsed="false">
      <c r="H1529" s="49" t="s">
        <v>699</v>
      </c>
      <c r="I1529" s="50" t="s">
        <v>700</v>
      </c>
    </row>
    <row r="1530" customFormat="false" ht="7.5" hidden="false" customHeight="true" outlineLevel="0" collapsed="false">
      <c r="H1530" s="49" t="s">
        <v>703</v>
      </c>
      <c r="I1530" s="50" t="s">
        <v>704</v>
      </c>
    </row>
    <row r="1531" customFormat="false" ht="7.5" hidden="false" customHeight="true" outlineLevel="0" collapsed="false">
      <c r="H1531" s="49" t="s">
        <v>707</v>
      </c>
      <c r="I1531" s="50" t="s">
        <v>708</v>
      </c>
    </row>
    <row r="1532" customFormat="false" ht="7.5" hidden="false" customHeight="true" outlineLevel="0" collapsed="false">
      <c r="H1532" s="49" t="s">
        <v>711</v>
      </c>
      <c r="I1532" s="50" t="s">
        <v>712</v>
      </c>
    </row>
    <row r="1533" customFormat="false" ht="7.5" hidden="false" customHeight="true" outlineLevel="0" collapsed="false">
      <c r="H1533" s="49" t="s">
        <v>715</v>
      </c>
      <c r="I1533" s="50" t="s">
        <v>716</v>
      </c>
    </row>
    <row r="1534" customFormat="false" ht="7.5" hidden="false" customHeight="true" outlineLevel="0" collapsed="false">
      <c r="H1534" s="49" t="s">
        <v>719</v>
      </c>
      <c r="I1534" s="50" t="s">
        <v>720</v>
      </c>
    </row>
    <row r="1535" customFormat="false" ht="7.5" hidden="false" customHeight="true" outlineLevel="0" collapsed="false">
      <c r="H1535" s="49" t="s">
        <v>723</v>
      </c>
      <c r="I1535" s="50" t="s">
        <v>724</v>
      </c>
    </row>
    <row r="1536" customFormat="false" ht="7.5" hidden="false" customHeight="true" outlineLevel="0" collapsed="false">
      <c r="H1536" s="49" t="s">
        <v>725</v>
      </c>
      <c r="I1536" s="50" t="s">
        <v>726</v>
      </c>
    </row>
    <row r="1537" customFormat="false" ht="7.5" hidden="false" customHeight="true" outlineLevel="0" collapsed="false">
      <c r="H1537" s="49" t="s">
        <v>727</v>
      </c>
      <c r="I1537" s="50" t="s">
        <v>728</v>
      </c>
    </row>
    <row r="1538" customFormat="false" ht="7.5" hidden="false" customHeight="true" outlineLevel="0" collapsed="false">
      <c r="H1538" s="49" t="s">
        <v>729</v>
      </c>
      <c r="I1538" s="50" t="s">
        <v>730</v>
      </c>
    </row>
    <row r="1539" customFormat="false" ht="7.5" hidden="false" customHeight="true" outlineLevel="0" collapsed="false">
      <c r="H1539" s="49" t="s">
        <v>731</v>
      </c>
      <c r="I1539" s="50" t="s">
        <v>732</v>
      </c>
    </row>
    <row r="1540" customFormat="false" ht="7.5" hidden="false" customHeight="true" outlineLevel="0" collapsed="false">
      <c r="H1540" s="49" t="s">
        <v>733</v>
      </c>
      <c r="I1540" s="50" t="s">
        <v>734</v>
      </c>
    </row>
    <row r="1541" customFormat="false" ht="7.5" hidden="false" customHeight="true" outlineLevel="0" collapsed="false">
      <c r="H1541" s="49" t="s">
        <v>735</v>
      </c>
      <c r="I1541" s="50" t="s">
        <v>736</v>
      </c>
    </row>
    <row r="1542" customFormat="false" ht="7.5" hidden="false" customHeight="true" outlineLevel="0" collapsed="false">
      <c r="H1542" s="49" t="s">
        <v>737</v>
      </c>
      <c r="I1542" s="50" t="s">
        <v>738</v>
      </c>
    </row>
    <row r="1543" customFormat="false" ht="7.5" hidden="false" customHeight="true" outlineLevel="0" collapsed="false">
      <c r="H1543" s="49" t="s">
        <v>741</v>
      </c>
      <c r="I1543" s="50" t="s">
        <v>742</v>
      </c>
    </row>
    <row r="1544" customFormat="false" ht="7.5" hidden="false" customHeight="true" outlineLevel="0" collapsed="false">
      <c r="H1544" s="49" t="s">
        <v>744</v>
      </c>
      <c r="I1544" s="50" t="s">
        <v>745</v>
      </c>
    </row>
    <row r="1545" customFormat="false" ht="7.5" hidden="false" customHeight="true" outlineLevel="0" collapsed="false">
      <c r="H1545" s="49" t="s">
        <v>748</v>
      </c>
      <c r="I1545" s="50" t="s">
        <v>749</v>
      </c>
    </row>
    <row r="1546" customFormat="false" ht="7.5" hidden="false" customHeight="true" outlineLevel="0" collapsed="false">
      <c r="H1546" s="49" t="s">
        <v>751</v>
      </c>
      <c r="I1546" s="50" t="s">
        <v>752</v>
      </c>
    </row>
    <row r="1547" customFormat="false" ht="7.5" hidden="false" customHeight="true" outlineLevel="0" collapsed="false">
      <c r="H1547" s="49" t="s">
        <v>755</v>
      </c>
      <c r="I1547" s="50" t="s">
        <v>756</v>
      </c>
    </row>
    <row r="1548" customFormat="false" ht="7.5" hidden="false" customHeight="true" outlineLevel="0" collapsed="false">
      <c r="H1548" s="49" t="s">
        <v>759</v>
      </c>
      <c r="I1548" s="50" t="s">
        <v>760</v>
      </c>
    </row>
    <row r="1549" customFormat="false" ht="7.5" hidden="false" customHeight="true" outlineLevel="0" collapsed="false">
      <c r="H1549" s="49" t="s">
        <v>763</v>
      </c>
      <c r="I1549" s="50" t="s">
        <v>764</v>
      </c>
    </row>
    <row r="1550" customFormat="false" ht="7.5" hidden="false" customHeight="true" outlineLevel="0" collapsed="false">
      <c r="H1550" s="49" t="s">
        <v>767</v>
      </c>
      <c r="I1550" s="50" t="s">
        <v>768</v>
      </c>
    </row>
    <row r="1551" customFormat="false" ht="7.5" hidden="false" customHeight="true" outlineLevel="0" collapsed="false">
      <c r="H1551" s="49" t="s">
        <v>771</v>
      </c>
      <c r="I1551" s="50" t="s">
        <v>772</v>
      </c>
    </row>
    <row r="1552" customFormat="false" ht="7.5" hidden="false" customHeight="true" outlineLevel="0" collapsed="false">
      <c r="H1552" s="49" t="s">
        <v>775</v>
      </c>
      <c r="I1552" s="50" t="s">
        <v>776</v>
      </c>
    </row>
    <row r="1553" customFormat="false" ht="7.5" hidden="false" customHeight="true" outlineLevel="0" collapsed="false">
      <c r="H1553" s="49" t="s">
        <v>779</v>
      </c>
      <c r="I1553" s="50" t="s">
        <v>780</v>
      </c>
    </row>
    <row r="1554" customFormat="false" ht="7.5" hidden="false" customHeight="true" outlineLevel="0" collapsed="false">
      <c r="H1554" s="49" t="s">
        <v>782</v>
      </c>
      <c r="I1554" s="50" t="s">
        <v>783</v>
      </c>
    </row>
    <row r="1555" customFormat="false" ht="7.5" hidden="false" customHeight="true" outlineLevel="0" collapsed="false">
      <c r="H1555" s="49" t="s">
        <v>785</v>
      </c>
      <c r="I1555" s="50" t="s">
        <v>786</v>
      </c>
    </row>
    <row r="1556" customFormat="false" ht="7.5" hidden="false" customHeight="true" outlineLevel="0" collapsed="false">
      <c r="H1556" s="49" t="s">
        <v>788</v>
      </c>
      <c r="I1556" s="50" t="s">
        <v>789</v>
      </c>
    </row>
    <row r="1557" customFormat="false" ht="7.5" hidden="false" customHeight="true" outlineLevel="0" collapsed="false">
      <c r="H1557" s="49" t="s">
        <v>791</v>
      </c>
      <c r="I1557" s="50" t="s">
        <v>792</v>
      </c>
    </row>
    <row r="1558" customFormat="false" ht="7.5" hidden="false" customHeight="true" outlineLevel="0" collapsed="false">
      <c r="H1558" s="49" t="s">
        <v>795</v>
      </c>
      <c r="I1558" s="50" t="s">
        <v>796</v>
      </c>
    </row>
    <row r="1559" customFormat="false" ht="7.5" hidden="false" customHeight="true" outlineLevel="0" collapsed="false">
      <c r="H1559" s="49" t="s">
        <v>798</v>
      </c>
      <c r="I1559" s="50" t="s">
        <v>799</v>
      </c>
    </row>
    <row r="1560" customFormat="false" ht="7.5" hidden="false" customHeight="true" outlineLevel="0" collapsed="false">
      <c r="H1560" s="49" t="s">
        <v>802</v>
      </c>
      <c r="I1560" s="50" t="s">
        <v>803</v>
      </c>
    </row>
    <row r="1561" customFormat="false" ht="7.5" hidden="false" customHeight="true" outlineLevel="0" collapsed="false">
      <c r="H1561" s="49" t="s">
        <v>805</v>
      </c>
      <c r="I1561" s="50" t="s">
        <v>806</v>
      </c>
    </row>
    <row r="1562" customFormat="false" ht="7.5" hidden="false" customHeight="true" outlineLevel="0" collapsed="false">
      <c r="H1562" s="49" t="s">
        <v>808</v>
      </c>
      <c r="I1562" s="50" t="s">
        <v>809</v>
      </c>
    </row>
    <row r="1563" customFormat="false" ht="7.5" hidden="false" customHeight="true" outlineLevel="0" collapsed="false">
      <c r="H1563" s="49" t="s">
        <v>811</v>
      </c>
      <c r="I1563" s="50" t="s">
        <v>812</v>
      </c>
    </row>
    <row r="1564" customFormat="false" ht="7.5" hidden="false" customHeight="true" outlineLevel="0" collapsed="false">
      <c r="H1564" s="49" t="s">
        <v>814</v>
      </c>
      <c r="I1564" s="50" t="s">
        <v>815</v>
      </c>
    </row>
    <row r="1565" customFormat="false" ht="7.5" hidden="false" customHeight="true" outlineLevel="0" collapsed="false">
      <c r="H1565" s="49" t="s">
        <v>818</v>
      </c>
      <c r="I1565" s="50" t="s">
        <v>819</v>
      </c>
    </row>
    <row r="1566" customFormat="false" ht="7.5" hidden="false" customHeight="true" outlineLevel="0" collapsed="false">
      <c r="H1566" s="49" t="s">
        <v>821</v>
      </c>
      <c r="I1566" s="50" t="s">
        <v>822</v>
      </c>
    </row>
    <row r="1567" customFormat="false" ht="7.5" hidden="false" customHeight="true" outlineLevel="0" collapsed="false">
      <c r="H1567" s="49" t="s">
        <v>825</v>
      </c>
      <c r="I1567" s="50" t="s">
        <v>826</v>
      </c>
    </row>
    <row r="1568" customFormat="false" ht="7.5" hidden="false" customHeight="true" outlineLevel="0" collapsed="false">
      <c r="H1568" s="49" t="s">
        <v>829</v>
      </c>
      <c r="I1568" s="50" t="s">
        <v>830</v>
      </c>
    </row>
    <row r="1569" customFormat="false" ht="7.5" hidden="false" customHeight="true" outlineLevel="0" collapsed="false">
      <c r="H1569" s="49" t="s">
        <v>833</v>
      </c>
      <c r="I1569" s="50" t="s">
        <v>834</v>
      </c>
    </row>
    <row r="1570" customFormat="false" ht="7.5" hidden="false" customHeight="true" outlineLevel="0" collapsed="false">
      <c r="H1570" s="49" t="s">
        <v>837</v>
      </c>
      <c r="I1570" s="50" t="s">
        <v>838</v>
      </c>
    </row>
    <row r="1571" customFormat="false" ht="7.5" hidden="false" customHeight="true" outlineLevel="0" collapsed="false">
      <c r="H1571" s="49" t="s">
        <v>840</v>
      </c>
      <c r="I1571" s="50" t="s">
        <v>841</v>
      </c>
    </row>
    <row r="1572" customFormat="false" ht="7.5" hidden="false" customHeight="true" outlineLevel="0" collapsed="false">
      <c r="H1572" s="39"/>
      <c r="I1572" s="40" t="s">
        <v>843</v>
      </c>
    </row>
    <row r="1573" customFormat="false" ht="7.5" hidden="false" customHeight="true" outlineLevel="0" collapsed="false">
      <c r="H1573" s="49" t="s">
        <v>844</v>
      </c>
      <c r="I1573" s="50" t="s">
        <v>845</v>
      </c>
    </row>
    <row r="1574" customFormat="false" ht="7.5" hidden="false" customHeight="true" outlineLevel="0" collapsed="false">
      <c r="H1574" s="49" t="s">
        <v>848</v>
      </c>
      <c r="I1574" s="50" t="s">
        <v>849</v>
      </c>
    </row>
    <row r="1575" customFormat="false" ht="7.5" hidden="false" customHeight="true" outlineLevel="0" collapsed="false">
      <c r="H1575" s="49" t="s">
        <v>851</v>
      </c>
      <c r="I1575" s="50" t="s">
        <v>852</v>
      </c>
    </row>
    <row r="1576" customFormat="false" ht="7.5" hidden="false" customHeight="true" outlineLevel="0" collapsed="false">
      <c r="H1576" s="49" t="s">
        <v>855</v>
      </c>
      <c r="I1576" s="50" t="s">
        <v>856</v>
      </c>
    </row>
    <row r="1577" customFormat="false" ht="7.5" hidden="false" customHeight="true" outlineLevel="0" collapsed="false">
      <c r="H1577" s="49" t="s">
        <v>859</v>
      </c>
      <c r="I1577" s="50" t="s">
        <v>860</v>
      </c>
    </row>
    <row r="1578" customFormat="false" ht="7.5" hidden="false" customHeight="true" outlineLevel="0" collapsed="false">
      <c r="H1578" s="49" t="s">
        <v>863</v>
      </c>
      <c r="I1578" s="50" t="s">
        <v>864</v>
      </c>
    </row>
    <row r="1579" customFormat="false" ht="7.5" hidden="false" customHeight="true" outlineLevel="0" collapsed="false">
      <c r="H1579" s="49" t="s">
        <v>867</v>
      </c>
      <c r="I1579" s="50" t="s">
        <v>868</v>
      </c>
    </row>
    <row r="1580" customFormat="false" ht="7.5" hidden="false" customHeight="true" outlineLevel="0" collapsed="false">
      <c r="H1580" s="49" t="s">
        <v>871</v>
      </c>
      <c r="I1580" s="50" t="s">
        <v>872</v>
      </c>
    </row>
    <row r="1581" customFormat="false" ht="7.5" hidden="false" customHeight="true" outlineLevel="0" collapsed="false">
      <c r="H1581" s="49" t="s">
        <v>875</v>
      </c>
      <c r="I1581" s="50" t="s">
        <v>876</v>
      </c>
    </row>
    <row r="1582" customFormat="false" ht="7.5" hidden="false" customHeight="true" outlineLevel="0" collapsed="false">
      <c r="H1582" s="49" t="s">
        <v>879</v>
      </c>
      <c r="I1582" s="50" t="s">
        <v>880</v>
      </c>
    </row>
    <row r="1583" customFormat="false" ht="7.5" hidden="false" customHeight="true" outlineLevel="0" collapsed="false">
      <c r="H1583" s="49" t="s">
        <v>883</v>
      </c>
      <c r="I1583" s="50" t="s">
        <v>884</v>
      </c>
    </row>
    <row r="1584" customFormat="false" ht="7.5" hidden="false" customHeight="true" outlineLevel="0" collapsed="false">
      <c r="H1584" s="49" t="s">
        <v>887</v>
      </c>
      <c r="I1584" s="50" t="s">
        <v>888</v>
      </c>
    </row>
    <row r="1585" customFormat="false" ht="7.5" hidden="false" customHeight="true" outlineLevel="0" collapsed="false">
      <c r="H1585" s="49" t="s">
        <v>891</v>
      </c>
      <c r="I1585" s="50" t="s">
        <v>892</v>
      </c>
    </row>
    <row r="1586" customFormat="false" ht="7.5" hidden="false" customHeight="true" outlineLevel="0" collapsed="false">
      <c r="H1586" s="49" t="s">
        <v>895</v>
      </c>
      <c r="I1586" s="50" t="s">
        <v>896</v>
      </c>
    </row>
    <row r="1587" customFormat="false" ht="7.5" hidden="false" customHeight="true" outlineLevel="0" collapsed="false">
      <c r="H1587" s="49" t="s">
        <v>899</v>
      </c>
      <c r="I1587" s="50" t="s">
        <v>900</v>
      </c>
    </row>
    <row r="1588" customFormat="false" ht="7.5" hidden="false" customHeight="true" outlineLevel="0" collapsed="false">
      <c r="H1588" s="49" t="s">
        <v>903</v>
      </c>
      <c r="I1588" s="50" t="s">
        <v>904</v>
      </c>
    </row>
    <row r="1589" customFormat="false" ht="7.5" hidden="false" customHeight="true" outlineLevel="0" collapsed="false">
      <c r="H1589" s="49" t="s">
        <v>907</v>
      </c>
      <c r="I1589" s="50" t="s">
        <v>908</v>
      </c>
    </row>
    <row r="1590" customFormat="false" ht="7.5" hidden="false" customHeight="true" outlineLevel="0" collapsed="false">
      <c r="H1590" s="49" t="s">
        <v>911</v>
      </c>
      <c r="I1590" s="50" t="s">
        <v>912</v>
      </c>
    </row>
    <row r="1591" customFormat="false" ht="7.5" hidden="false" customHeight="true" outlineLevel="0" collapsed="false">
      <c r="H1591" s="49" t="s">
        <v>915</v>
      </c>
      <c r="I1591" s="50" t="s">
        <v>916</v>
      </c>
    </row>
    <row r="1592" customFormat="false" ht="7.5" hidden="false" customHeight="true" outlineLevel="0" collapsed="false">
      <c r="H1592" s="49" t="s">
        <v>919</v>
      </c>
      <c r="I1592" s="50" t="s">
        <v>920</v>
      </c>
    </row>
    <row r="1593" customFormat="false" ht="7.5" hidden="false" customHeight="true" outlineLevel="0" collapsed="false">
      <c r="H1593" s="49" t="s">
        <v>922</v>
      </c>
      <c r="I1593" s="50" t="s">
        <v>923</v>
      </c>
    </row>
    <row r="1594" customFormat="false" ht="7.5" hidden="false" customHeight="true" outlineLevel="0" collapsed="false">
      <c r="H1594" s="49" t="s">
        <v>926</v>
      </c>
      <c r="I1594" s="50" t="s">
        <v>927</v>
      </c>
    </row>
    <row r="1595" customFormat="false" ht="7.5" hidden="false" customHeight="true" outlineLevel="0" collapsed="false">
      <c r="H1595" s="49" t="s">
        <v>930</v>
      </c>
      <c r="I1595" s="50" t="s">
        <v>931</v>
      </c>
    </row>
    <row r="1596" customFormat="false" ht="7.5" hidden="false" customHeight="true" outlineLevel="0" collapsed="false">
      <c r="H1596" s="39"/>
      <c r="I1596" s="40" t="s">
        <v>934</v>
      </c>
    </row>
    <row r="1597" customFormat="false" ht="7.5" hidden="false" customHeight="true" outlineLevel="0" collapsed="false">
      <c r="H1597" s="49" t="s">
        <v>935</v>
      </c>
      <c r="I1597" s="50" t="s">
        <v>936</v>
      </c>
    </row>
    <row r="1598" customFormat="false" ht="7.5" hidden="false" customHeight="true" outlineLevel="0" collapsed="false">
      <c r="H1598" s="49" t="s">
        <v>939</v>
      </c>
      <c r="I1598" s="50" t="s">
        <v>940</v>
      </c>
    </row>
    <row r="1599" customFormat="false" ht="7.5" hidden="false" customHeight="true" outlineLevel="0" collapsed="false">
      <c r="H1599" s="49" t="s">
        <v>943</v>
      </c>
      <c r="I1599" s="50" t="s">
        <v>944</v>
      </c>
    </row>
    <row r="1600" customFormat="false" ht="7.5" hidden="false" customHeight="true" outlineLevel="0" collapsed="false">
      <c r="H1600" s="49" t="s">
        <v>947</v>
      </c>
      <c r="I1600" s="50" t="s">
        <v>948</v>
      </c>
    </row>
    <row r="1601" customFormat="false" ht="7.5" hidden="false" customHeight="true" outlineLevel="0" collapsed="false">
      <c r="H1601" s="49" t="s">
        <v>951</v>
      </c>
      <c r="I1601" s="50" t="s">
        <v>952</v>
      </c>
    </row>
    <row r="1602" customFormat="false" ht="7.5" hidden="false" customHeight="true" outlineLevel="0" collapsed="false">
      <c r="H1602" s="49" t="s">
        <v>955</v>
      </c>
      <c r="I1602" s="50" t="s">
        <v>956</v>
      </c>
    </row>
    <row r="1603" customFormat="false" ht="7.5" hidden="false" customHeight="true" outlineLevel="0" collapsed="false">
      <c r="H1603" s="49" t="s">
        <v>959</v>
      </c>
      <c r="I1603" s="50" t="s">
        <v>960</v>
      </c>
    </row>
    <row r="1604" customFormat="false" ht="7.5" hidden="false" customHeight="true" outlineLevel="0" collapsed="false">
      <c r="H1604" s="49" t="s">
        <v>963</v>
      </c>
      <c r="I1604" s="50" t="s">
        <v>964</v>
      </c>
    </row>
    <row r="1605" customFormat="false" ht="7.5" hidden="false" customHeight="true" outlineLevel="0" collapsed="false">
      <c r="H1605" s="49" t="s">
        <v>967</v>
      </c>
      <c r="I1605" s="50" t="s">
        <v>968</v>
      </c>
    </row>
    <row r="1606" customFormat="false" ht="7.5" hidden="false" customHeight="true" outlineLevel="0" collapsed="false">
      <c r="H1606" s="49" t="s">
        <v>971</v>
      </c>
      <c r="I1606" s="50" t="s">
        <v>972</v>
      </c>
    </row>
    <row r="1607" customFormat="false" ht="7.5" hidden="false" customHeight="true" outlineLevel="0" collapsed="false">
      <c r="H1607" s="49" t="s">
        <v>975</v>
      </c>
      <c r="I1607" s="50" t="s">
        <v>976</v>
      </c>
    </row>
    <row r="1608" customFormat="false" ht="7.5" hidden="false" customHeight="true" outlineLevel="0" collapsed="false">
      <c r="H1608" s="49" t="s">
        <v>979</v>
      </c>
      <c r="I1608" s="50" t="s">
        <v>980</v>
      </c>
    </row>
    <row r="1609" customFormat="false" ht="7.5" hidden="false" customHeight="true" outlineLevel="0" collapsed="false">
      <c r="H1609" s="49" t="s">
        <v>983</v>
      </c>
      <c r="I1609" s="50" t="s">
        <v>984</v>
      </c>
    </row>
    <row r="1610" customFormat="false" ht="7.5" hidden="false" customHeight="true" outlineLevel="0" collapsed="false">
      <c r="H1610" s="49" t="s">
        <v>986</v>
      </c>
      <c r="I1610" s="50" t="s">
        <v>987</v>
      </c>
    </row>
    <row r="1611" customFormat="false" ht="7.5" hidden="false" customHeight="true" outlineLevel="0" collapsed="false">
      <c r="H1611" s="39"/>
      <c r="I1611" s="40" t="s">
        <v>989</v>
      </c>
    </row>
    <row r="1612" customFormat="false" ht="7.5" hidden="false" customHeight="true" outlineLevel="0" collapsed="false">
      <c r="H1612" s="49" t="s">
        <v>990</v>
      </c>
      <c r="I1612" s="50" t="s">
        <v>991</v>
      </c>
    </row>
    <row r="1613" customFormat="false" ht="7.5" hidden="false" customHeight="true" outlineLevel="0" collapsed="false">
      <c r="H1613" s="39"/>
      <c r="I1613" s="40" t="s">
        <v>994</v>
      </c>
    </row>
    <row r="1614" customFormat="false" ht="7.5" hidden="false" customHeight="true" outlineLevel="0" collapsed="false">
      <c r="H1614" s="49" t="s">
        <v>995</v>
      </c>
      <c r="I1614" s="50" t="s">
        <v>996</v>
      </c>
    </row>
    <row r="1615" customFormat="false" ht="7.5" hidden="false" customHeight="true" outlineLevel="0" collapsed="false">
      <c r="H1615" s="49" t="s">
        <v>999</v>
      </c>
      <c r="I1615" s="50" t="s">
        <v>1000</v>
      </c>
    </row>
    <row r="1616" customFormat="false" ht="7.5" hidden="false" customHeight="true" outlineLevel="0" collapsed="false">
      <c r="H1616" s="49" t="s">
        <v>1003</v>
      </c>
      <c r="I1616" s="50" t="s">
        <v>1004</v>
      </c>
    </row>
    <row r="1617" customFormat="false" ht="7.5" hidden="false" customHeight="true" outlineLevel="0" collapsed="false">
      <c r="H1617" s="49" t="s">
        <v>1007</v>
      </c>
      <c r="I1617" s="50" t="s">
        <v>1008</v>
      </c>
    </row>
    <row r="1618" customFormat="false" ht="7.5" hidden="false" customHeight="true" outlineLevel="0" collapsed="false">
      <c r="H1618" s="49" t="s">
        <v>1011</v>
      </c>
      <c r="I1618" s="50" t="s">
        <v>1012</v>
      </c>
    </row>
    <row r="1619" customFormat="false" ht="7.5" hidden="false" customHeight="true" outlineLevel="0" collapsed="false">
      <c r="H1619" s="49" t="s">
        <v>1015</v>
      </c>
      <c r="I1619" s="50" t="s">
        <v>1016</v>
      </c>
    </row>
    <row r="1620" customFormat="false" ht="7.5" hidden="false" customHeight="true" outlineLevel="0" collapsed="false">
      <c r="H1620" s="49" t="s">
        <v>1019</v>
      </c>
      <c r="I1620" s="50" t="s">
        <v>1020</v>
      </c>
    </row>
    <row r="1621" customFormat="false" ht="7.5" hidden="false" customHeight="true" outlineLevel="0" collapsed="false">
      <c r="H1621" s="49" t="s">
        <v>1023</v>
      </c>
      <c r="I1621" s="50" t="s">
        <v>1024</v>
      </c>
    </row>
    <row r="1622" customFormat="false" ht="7.5" hidden="false" customHeight="true" outlineLevel="0" collapsed="false">
      <c r="H1622" s="49" t="s">
        <v>1027</v>
      </c>
      <c r="I1622" s="50" t="s">
        <v>1028</v>
      </c>
    </row>
    <row r="1623" customFormat="false" ht="7.5" hidden="false" customHeight="true" outlineLevel="0" collapsed="false">
      <c r="H1623" s="39"/>
      <c r="I1623" s="40" t="s">
        <v>1030</v>
      </c>
    </row>
    <row r="1624" customFormat="false" ht="7.5" hidden="false" customHeight="true" outlineLevel="0" collapsed="false">
      <c r="H1624" s="49" t="s">
        <v>1031</v>
      </c>
      <c r="I1624" s="50" t="s">
        <v>1032</v>
      </c>
    </row>
    <row r="1625" customFormat="false" ht="7.5" hidden="false" customHeight="true" outlineLevel="0" collapsed="false">
      <c r="H1625" s="39"/>
      <c r="I1625" s="40" t="s">
        <v>1035</v>
      </c>
    </row>
    <row r="1626" customFormat="false" ht="7.5" hidden="false" customHeight="true" outlineLevel="0" collapsed="false">
      <c r="H1626" s="49" t="s">
        <v>1036</v>
      </c>
      <c r="I1626" s="50" t="s">
        <v>1037</v>
      </c>
    </row>
    <row r="1627" customFormat="false" ht="7.5" hidden="false" customHeight="true" outlineLevel="0" collapsed="false">
      <c r="H1627" s="49" t="s">
        <v>1040</v>
      </c>
      <c r="I1627" s="50" t="s">
        <v>1041</v>
      </c>
    </row>
    <row r="1628" customFormat="false" ht="7.5" hidden="false" customHeight="true" outlineLevel="0" collapsed="false">
      <c r="H1628" s="39"/>
      <c r="I1628" s="40" t="s">
        <v>1044</v>
      </c>
    </row>
    <row r="1629" customFormat="false" ht="7.5" hidden="false" customHeight="true" outlineLevel="0" collapsed="false">
      <c r="H1629" s="49" t="s">
        <v>1045</v>
      </c>
      <c r="I1629" s="50" t="s">
        <v>1046</v>
      </c>
    </row>
    <row r="1630" customFormat="false" ht="7.5" hidden="false" customHeight="true" outlineLevel="0" collapsed="false">
      <c r="H1630" s="49" t="s">
        <v>1049</v>
      </c>
      <c r="I1630" s="50" t="s">
        <v>1050</v>
      </c>
    </row>
    <row r="1631" customFormat="false" ht="7.5" hidden="false" customHeight="true" outlineLevel="0" collapsed="false">
      <c r="H1631" s="39"/>
      <c r="I1631" s="40" t="s">
        <v>1053</v>
      </c>
    </row>
    <row r="1632" customFormat="false" ht="7.5" hidden="false" customHeight="true" outlineLevel="0" collapsed="false">
      <c r="H1632" s="49" t="s">
        <v>1054</v>
      </c>
      <c r="I1632" s="50" t="s">
        <v>1055</v>
      </c>
    </row>
    <row r="1633" customFormat="false" ht="7.5" hidden="false" customHeight="true" outlineLevel="0" collapsed="false">
      <c r="H1633" s="49" t="s">
        <v>1058</v>
      </c>
      <c r="I1633" s="50" t="s">
        <v>1059</v>
      </c>
    </row>
    <row r="1634" customFormat="false" ht="7.5" hidden="false" customHeight="true" outlineLevel="0" collapsed="false">
      <c r="H1634" s="49" t="s">
        <v>1062</v>
      </c>
      <c r="I1634" s="50" t="s">
        <v>1063</v>
      </c>
    </row>
    <row r="1635" customFormat="false" ht="7.5" hidden="false" customHeight="true" outlineLevel="0" collapsed="false">
      <c r="H1635" s="39"/>
      <c r="I1635" s="40" t="s">
        <v>1066</v>
      </c>
    </row>
    <row r="1636" customFormat="false" ht="7.5" hidden="false" customHeight="true" outlineLevel="0" collapsed="false">
      <c r="H1636" s="49" t="s">
        <v>1067</v>
      </c>
      <c r="I1636" s="50" t="s">
        <v>1068</v>
      </c>
    </row>
    <row r="1637" customFormat="false" ht="7.5" hidden="false" customHeight="true" outlineLevel="0" collapsed="false">
      <c r="H1637" s="49" t="s">
        <v>1071</v>
      </c>
      <c r="I1637" s="50" t="s">
        <v>1072</v>
      </c>
    </row>
    <row r="1638" customFormat="false" ht="7.5" hidden="false" customHeight="true" outlineLevel="0" collapsed="false">
      <c r="H1638" s="49" t="s">
        <v>1075</v>
      </c>
      <c r="I1638" s="50" t="s">
        <v>1076</v>
      </c>
    </row>
    <row r="1639" customFormat="false" ht="7.5" hidden="false" customHeight="true" outlineLevel="0" collapsed="false">
      <c r="H1639" s="39"/>
      <c r="I1639" s="40" t="s">
        <v>1079</v>
      </c>
    </row>
    <row r="1640" customFormat="false" ht="7.5" hidden="false" customHeight="true" outlineLevel="0" collapsed="false">
      <c r="H1640" s="49" t="s">
        <v>1080</v>
      </c>
      <c r="I1640" s="50" t="s">
        <v>1081</v>
      </c>
    </row>
    <row r="1641" customFormat="false" ht="7.5" hidden="false" customHeight="true" outlineLevel="0" collapsed="false">
      <c r="H1641" s="39"/>
      <c r="I1641" s="40" t="s">
        <v>1084</v>
      </c>
    </row>
    <row r="1642" customFormat="false" ht="7.5" hidden="false" customHeight="true" outlineLevel="0" collapsed="false">
      <c r="H1642" s="49" t="s">
        <v>1085</v>
      </c>
      <c r="I1642" s="50" t="s">
        <v>1086</v>
      </c>
    </row>
    <row r="1643" customFormat="false" ht="7.5" hidden="false" customHeight="true" outlineLevel="0" collapsed="false">
      <c r="H1643" s="49" t="s">
        <v>1089</v>
      </c>
      <c r="I1643" s="50" t="s">
        <v>1090</v>
      </c>
    </row>
    <row r="1644" customFormat="false" ht="7.5" hidden="false" customHeight="true" outlineLevel="0" collapsed="false">
      <c r="H1644" s="49" t="s">
        <v>1093</v>
      </c>
      <c r="I1644" s="50" t="s">
        <v>1094</v>
      </c>
    </row>
    <row r="1645" customFormat="false" ht="7.5" hidden="false" customHeight="true" outlineLevel="0" collapsed="false">
      <c r="H1645" s="49" t="s">
        <v>1097</v>
      </c>
      <c r="I1645" s="50" t="s">
        <v>1098</v>
      </c>
    </row>
    <row r="1646" customFormat="false" ht="7.5" hidden="false" customHeight="true" outlineLevel="0" collapsed="false">
      <c r="H1646" s="49" t="s">
        <v>1101</v>
      </c>
      <c r="I1646" s="50" t="s">
        <v>1102</v>
      </c>
    </row>
    <row r="1647" customFormat="false" ht="7.5" hidden="false" customHeight="true" outlineLevel="0" collapsed="false">
      <c r="H1647" s="49" t="s">
        <v>1105</v>
      </c>
      <c r="I1647" s="50" t="s">
        <v>1106</v>
      </c>
    </row>
    <row r="1648" customFormat="false" ht="7.5" hidden="false" customHeight="true" outlineLevel="0" collapsed="false">
      <c r="H1648" s="49" t="s">
        <v>1109</v>
      </c>
      <c r="I1648" s="50" t="s">
        <v>1110</v>
      </c>
    </row>
    <row r="1649" customFormat="false" ht="7.5" hidden="false" customHeight="true" outlineLevel="0" collapsed="false">
      <c r="H1649" s="49" t="s">
        <v>1113</v>
      </c>
      <c r="I1649" s="50" t="s">
        <v>1114</v>
      </c>
    </row>
    <row r="1650" customFormat="false" ht="7.5" hidden="false" customHeight="true" outlineLevel="0" collapsed="false">
      <c r="H1650" s="39"/>
      <c r="I1650" s="40" t="s">
        <v>1117</v>
      </c>
    </row>
    <row r="1651" customFormat="false" ht="7.5" hidden="false" customHeight="true" outlineLevel="0" collapsed="false">
      <c r="H1651" s="49" t="s">
        <v>1118</v>
      </c>
      <c r="I1651" s="50" t="s">
        <v>1119</v>
      </c>
    </row>
    <row r="1652" customFormat="false" ht="7.5" hidden="false" customHeight="true" outlineLevel="0" collapsed="false">
      <c r="H1652" s="49" t="s">
        <v>1122</v>
      </c>
      <c r="I1652" s="50" t="s">
        <v>1123</v>
      </c>
    </row>
    <row r="1653" customFormat="false" ht="7.5" hidden="false" customHeight="true" outlineLevel="0" collapsed="false">
      <c r="H1653" s="39"/>
      <c r="I1653" s="40" t="s">
        <v>1126</v>
      </c>
    </row>
    <row r="1654" customFormat="false" ht="7.5" hidden="false" customHeight="true" outlineLevel="0" collapsed="false">
      <c r="H1654" s="49" t="s">
        <v>1127</v>
      </c>
      <c r="I1654" s="50" t="s">
        <v>1128</v>
      </c>
    </row>
    <row r="1655" customFormat="false" ht="7.5" hidden="false" customHeight="true" outlineLevel="0" collapsed="false">
      <c r="H1655" s="49" t="s">
        <v>1131</v>
      </c>
      <c r="I1655" s="50" t="s">
        <v>1132</v>
      </c>
    </row>
    <row r="1656" customFormat="false" ht="7.5" hidden="false" customHeight="true" outlineLevel="0" collapsed="false">
      <c r="H1656" s="49" t="s">
        <v>1135</v>
      </c>
      <c r="I1656" s="50" t="s">
        <v>1136</v>
      </c>
    </row>
    <row r="1657" customFormat="false" ht="7.5" hidden="false" customHeight="true" outlineLevel="0" collapsed="false">
      <c r="H1657" s="39"/>
      <c r="I1657" s="40" t="s">
        <v>1139</v>
      </c>
    </row>
    <row r="1658" customFormat="false" ht="7.5" hidden="false" customHeight="true" outlineLevel="0" collapsed="false">
      <c r="H1658" s="49" t="s">
        <v>1140</v>
      </c>
      <c r="I1658" s="50" t="s">
        <v>1141</v>
      </c>
    </row>
    <row r="1659" customFormat="false" ht="7.5" hidden="false" customHeight="true" outlineLevel="0" collapsed="false">
      <c r="H1659" s="39"/>
      <c r="I1659" s="40" t="s">
        <v>1144</v>
      </c>
    </row>
    <row r="1660" customFormat="false" ht="7.5" hidden="false" customHeight="true" outlineLevel="0" collapsed="false">
      <c r="H1660" s="49" t="s">
        <v>1145</v>
      </c>
      <c r="I1660" s="50" t="s">
        <v>1146</v>
      </c>
    </row>
    <row r="1661" customFormat="false" ht="7.5" hidden="false" customHeight="true" outlineLevel="0" collapsed="false">
      <c r="H1661" s="49" t="s">
        <v>1149</v>
      </c>
      <c r="I1661" s="50" t="s">
        <v>1150</v>
      </c>
    </row>
    <row r="1662" customFormat="false" ht="7.5" hidden="false" customHeight="true" outlineLevel="0" collapsed="false">
      <c r="H1662" s="49" t="s">
        <v>1153</v>
      </c>
      <c r="I1662" s="50" t="s">
        <v>1154</v>
      </c>
    </row>
    <row r="1663" customFormat="false" ht="7.5" hidden="false" customHeight="true" outlineLevel="0" collapsed="false">
      <c r="H1663" s="49" t="s">
        <v>1157</v>
      </c>
      <c r="I1663" s="50" t="s">
        <v>1158</v>
      </c>
    </row>
    <row r="1664" customFormat="false" ht="7.5" hidden="false" customHeight="true" outlineLevel="0" collapsed="false">
      <c r="H1664" s="49" t="s">
        <v>1160</v>
      </c>
      <c r="I1664" s="50" t="s">
        <v>1161</v>
      </c>
    </row>
    <row r="1665" customFormat="false" ht="7.5" hidden="false" customHeight="true" outlineLevel="0" collapsed="false">
      <c r="H1665" s="49" t="s">
        <v>1162</v>
      </c>
      <c r="I1665" s="50" t="s">
        <v>1163</v>
      </c>
    </row>
    <row r="1666" customFormat="false" ht="7.5" hidden="false" customHeight="true" outlineLevel="0" collapsed="false">
      <c r="H1666" s="49" t="s">
        <v>1165</v>
      </c>
      <c r="I1666" s="50" t="s">
        <v>1166</v>
      </c>
    </row>
    <row r="1667" customFormat="false" ht="7.5" hidden="false" customHeight="true" outlineLevel="0" collapsed="false">
      <c r="H1667" s="39"/>
      <c r="I1667" s="40" t="s">
        <v>1168</v>
      </c>
    </row>
    <row r="1668" customFormat="false" ht="7.5" hidden="false" customHeight="true" outlineLevel="0" collapsed="false">
      <c r="H1668" s="49" t="s">
        <v>1169</v>
      </c>
      <c r="I1668" s="50" t="s">
        <v>1170</v>
      </c>
    </row>
    <row r="1669" customFormat="false" ht="7.5" hidden="false" customHeight="true" outlineLevel="0" collapsed="false">
      <c r="H1669" s="49" t="s">
        <v>1173</v>
      </c>
      <c r="I1669" s="50" t="s">
        <v>1174</v>
      </c>
    </row>
    <row r="1670" customFormat="false" ht="7.5" hidden="false" customHeight="true" outlineLevel="0" collapsed="false">
      <c r="H1670" s="49" t="s">
        <v>1177</v>
      </c>
      <c r="I1670" s="50" t="s">
        <v>1178</v>
      </c>
    </row>
    <row r="1671" customFormat="false" ht="7.5" hidden="false" customHeight="true" outlineLevel="0" collapsed="false">
      <c r="H1671" s="49" t="s">
        <v>1181</v>
      </c>
      <c r="I1671" s="50" t="s">
        <v>1182</v>
      </c>
    </row>
    <row r="1672" customFormat="false" ht="7.5" hidden="false" customHeight="true" outlineLevel="0" collapsed="false">
      <c r="H1672" s="39"/>
      <c r="I1672" s="40" t="s">
        <v>1185</v>
      </c>
    </row>
    <row r="1673" customFormat="false" ht="7.5" hidden="false" customHeight="true" outlineLevel="0" collapsed="false">
      <c r="H1673" s="49" t="s">
        <v>1186</v>
      </c>
      <c r="I1673" s="50" t="s">
        <v>1187</v>
      </c>
    </row>
    <row r="1674" customFormat="false" ht="7.5" hidden="false" customHeight="true" outlineLevel="0" collapsed="false">
      <c r="H1674" s="49" t="s">
        <v>1190</v>
      </c>
      <c r="I1674" s="50" t="s">
        <v>1191</v>
      </c>
    </row>
    <row r="1675" customFormat="false" ht="7.5" hidden="false" customHeight="true" outlineLevel="0" collapsed="false">
      <c r="H1675" s="49" t="s">
        <v>1194</v>
      </c>
      <c r="I1675" s="50" t="s">
        <v>1195</v>
      </c>
    </row>
    <row r="1676" customFormat="false" ht="7.5" hidden="false" customHeight="true" outlineLevel="0" collapsed="false">
      <c r="H1676" s="49" t="s">
        <v>1198</v>
      </c>
      <c r="I1676" s="50" t="s">
        <v>1199</v>
      </c>
    </row>
    <row r="1677" customFormat="false" ht="7.5" hidden="false" customHeight="true" outlineLevel="0" collapsed="false">
      <c r="H1677" s="49" t="s">
        <v>1201</v>
      </c>
      <c r="I1677" s="50" t="s">
        <v>1202</v>
      </c>
    </row>
    <row r="1678" customFormat="false" ht="7.5" hidden="false" customHeight="true" outlineLevel="0" collapsed="false">
      <c r="H1678" s="49" t="s">
        <v>1205</v>
      </c>
      <c r="I1678" s="50" t="s">
        <v>1206</v>
      </c>
    </row>
    <row r="1679" customFormat="false" ht="7.5" hidden="false" customHeight="true" outlineLevel="0" collapsed="false">
      <c r="H1679" s="49" t="s">
        <v>1208</v>
      </c>
      <c r="I1679" s="50" t="s">
        <v>1209</v>
      </c>
    </row>
    <row r="1680" customFormat="false" ht="7.5" hidden="false" customHeight="true" outlineLevel="0" collapsed="false">
      <c r="H1680" s="39"/>
      <c r="I1680" s="40" t="s">
        <v>1211</v>
      </c>
    </row>
    <row r="1681" customFormat="false" ht="7.5" hidden="false" customHeight="true" outlineLevel="0" collapsed="false">
      <c r="H1681" s="49" t="s">
        <v>1212</v>
      </c>
      <c r="I1681" s="50" t="s">
        <v>1213</v>
      </c>
    </row>
    <row r="1682" customFormat="false" ht="7.5" hidden="false" customHeight="true" outlineLevel="0" collapsed="false">
      <c r="H1682" s="39"/>
      <c r="I1682" s="40" t="s">
        <v>1216</v>
      </c>
    </row>
    <row r="1683" customFormat="false" ht="7.5" hidden="false" customHeight="true" outlineLevel="0" collapsed="false">
      <c r="H1683" s="49" t="s">
        <v>1217</v>
      </c>
      <c r="I1683" s="50" t="s">
        <v>1218</v>
      </c>
    </row>
    <row r="1684" customFormat="false" ht="7.5" hidden="false" customHeight="true" outlineLevel="0" collapsed="false">
      <c r="H1684" s="39"/>
      <c r="I1684" s="40" t="s">
        <v>1221</v>
      </c>
    </row>
    <row r="1685" customFormat="false" ht="7.5" hidden="false" customHeight="true" outlineLevel="0" collapsed="false">
      <c r="H1685" s="49" t="s">
        <v>1222</v>
      </c>
      <c r="I1685" s="50" t="s">
        <v>1223</v>
      </c>
    </row>
    <row r="1686" customFormat="false" ht="7.5" hidden="false" customHeight="true" outlineLevel="0" collapsed="false">
      <c r="H1686" s="49" t="s">
        <v>1226</v>
      </c>
      <c r="I1686" s="50" t="s">
        <v>1227</v>
      </c>
    </row>
    <row r="1687" customFormat="false" ht="7.5" hidden="false" customHeight="true" outlineLevel="0" collapsed="false">
      <c r="H1687" s="49" t="s">
        <v>1230</v>
      </c>
      <c r="I1687" s="50" t="s">
        <v>1231</v>
      </c>
    </row>
    <row r="1688" customFormat="false" ht="7.5" hidden="false" customHeight="true" outlineLevel="0" collapsed="false">
      <c r="H1688" s="39"/>
      <c r="I1688" s="40" t="s">
        <v>1234</v>
      </c>
    </row>
    <row r="1689" customFormat="false" ht="7.5" hidden="false" customHeight="true" outlineLevel="0" collapsed="false">
      <c r="H1689" s="49" t="s">
        <v>1235</v>
      </c>
      <c r="I1689" s="50" t="s">
        <v>1236</v>
      </c>
    </row>
    <row r="1690" customFormat="false" ht="7.5" hidden="false" customHeight="true" outlineLevel="0" collapsed="false">
      <c r="H1690" s="49" t="s">
        <v>1239</v>
      </c>
      <c r="I1690" s="50" t="s">
        <v>1240</v>
      </c>
    </row>
    <row r="1691" customFormat="false" ht="7.5" hidden="false" customHeight="true" outlineLevel="0" collapsed="false">
      <c r="H1691" s="39"/>
      <c r="I1691" s="40" t="s">
        <v>1243</v>
      </c>
    </row>
    <row r="1692" customFormat="false" ht="7.5" hidden="false" customHeight="true" outlineLevel="0" collapsed="false">
      <c r="H1692" s="49" t="s">
        <v>1244</v>
      </c>
      <c r="I1692" s="50" t="s">
        <v>1245</v>
      </c>
    </row>
    <row r="1693" customFormat="false" ht="7.5" hidden="false" customHeight="true" outlineLevel="0" collapsed="false">
      <c r="H1693" s="49" t="s">
        <v>1248</v>
      </c>
      <c r="I1693" s="50" t="s">
        <v>1249</v>
      </c>
    </row>
    <row r="1694" customFormat="false" ht="7.5" hidden="false" customHeight="true" outlineLevel="0" collapsed="false">
      <c r="H1694" s="39"/>
      <c r="I1694" s="40" t="s">
        <v>1252</v>
      </c>
    </row>
    <row r="1695" customFormat="false" ht="7.5" hidden="false" customHeight="true" outlineLevel="0" collapsed="false">
      <c r="H1695" s="49" t="s">
        <v>1253</v>
      </c>
      <c r="I1695" s="50" t="s">
        <v>1254</v>
      </c>
    </row>
    <row r="1696" customFormat="false" ht="7.5" hidden="false" customHeight="true" outlineLevel="0" collapsed="false">
      <c r="H1696" s="49" t="s">
        <v>1257</v>
      </c>
      <c r="I1696" s="50" t="s">
        <v>1258</v>
      </c>
    </row>
    <row r="1697" customFormat="false" ht="7.5" hidden="false" customHeight="true" outlineLevel="0" collapsed="false">
      <c r="H1697" s="49" t="s">
        <v>1261</v>
      </c>
      <c r="I1697" s="50" t="s">
        <v>1262</v>
      </c>
    </row>
    <row r="1698" customFormat="false" ht="7.5" hidden="false" customHeight="true" outlineLevel="0" collapsed="false">
      <c r="H1698" s="49" t="s">
        <v>1265</v>
      </c>
      <c r="I1698" s="50" t="s">
        <v>1266</v>
      </c>
    </row>
    <row r="1699" customFormat="false" ht="7.5" hidden="false" customHeight="true" outlineLevel="0" collapsed="false">
      <c r="H1699" s="39"/>
      <c r="I1699" s="40" t="s">
        <v>1269</v>
      </c>
    </row>
    <row r="1700" customFormat="false" ht="7.5" hidden="false" customHeight="true" outlineLevel="0" collapsed="false">
      <c r="H1700" s="49" t="s">
        <v>1270</v>
      </c>
      <c r="I1700" s="50" t="s">
        <v>1271</v>
      </c>
    </row>
    <row r="1701" customFormat="false" ht="7.5" hidden="false" customHeight="true" outlineLevel="0" collapsed="false">
      <c r="H1701" s="49" t="s">
        <v>1274</v>
      </c>
      <c r="I1701" s="50" t="s">
        <v>1275</v>
      </c>
    </row>
    <row r="1702" customFormat="false" ht="7.5" hidden="false" customHeight="true" outlineLevel="0" collapsed="false">
      <c r="H1702" s="49" t="s">
        <v>1278</v>
      </c>
      <c r="I1702" s="50" t="s">
        <v>1279</v>
      </c>
    </row>
    <row r="1703" customFormat="false" ht="7.5" hidden="false" customHeight="true" outlineLevel="0" collapsed="false">
      <c r="H1703" s="49" t="s">
        <v>1282</v>
      </c>
      <c r="I1703" s="50" t="s">
        <v>1283</v>
      </c>
    </row>
    <row r="1704" customFormat="false" ht="7.5" hidden="false" customHeight="true" outlineLevel="0" collapsed="false">
      <c r="H1704" s="29"/>
      <c r="I1704" s="30" t="s">
        <v>1286</v>
      </c>
    </row>
    <row r="1705" customFormat="false" ht="7.5" hidden="false" customHeight="true" outlineLevel="0" collapsed="false">
      <c r="H1705" s="39"/>
      <c r="I1705" s="40" t="s">
        <v>1287</v>
      </c>
    </row>
    <row r="1706" customFormat="false" ht="7.5" hidden="false" customHeight="true" outlineLevel="0" collapsed="false">
      <c r="H1706" s="49" t="s">
        <v>1288</v>
      </c>
      <c r="I1706" s="50" t="s">
        <v>1289</v>
      </c>
    </row>
    <row r="1707" customFormat="false" ht="7.5" hidden="false" customHeight="true" outlineLevel="0" collapsed="false">
      <c r="H1707" s="49" t="s">
        <v>1293</v>
      </c>
      <c r="I1707" s="50" t="s">
        <v>1294</v>
      </c>
    </row>
    <row r="1708" customFormat="false" ht="7.5" hidden="false" customHeight="true" outlineLevel="0" collapsed="false">
      <c r="H1708" s="49" t="s">
        <v>1297</v>
      </c>
      <c r="I1708" s="50" t="s">
        <v>1298</v>
      </c>
    </row>
    <row r="1709" customFormat="false" ht="7.5" hidden="false" customHeight="true" outlineLevel="0" collapsed="false">
      <c r="H1709" s="49" t="s">
        <v>1300</v>
      </c>
      <c r="I1709" s="50" t="s">
        <v>1301</v>
      </c>
    </row>
    <row r="1710" customFormat="false" ht="7.5" hidden="false" customHeight="true" outlineLevel="0" collapsed="false">
      <c r="H1710" s="49" t="s">
        <v>1304</v>
      </c>
      <c r="I1710" s="50" t="s">
        <v>1305</v>
      </c>
    </row>
    <row r="1711" customFormat="false" ht="7.5" hidden="false" customHeight="true" outlineLevel="0" collapsed="false">
      <c r="H1711" s="49" t="s">
        <v>1308</v>
      </c>
      <c r="I1711" s="50" t="s">
        <v>1309</v>
      </c>
    </row>
    <row r="1712" customFormat="false" ht="7.5" hidden="false" customHeight="true" outlineLevel="0" collapsed="false">
      <c r="H1712" s="49" t="s">
        <v>1312</v>
      </c>
      <c r="I1712" s="50" t="s">
        <v>1313</v>
      </c>
    </row>
    <row r="1713" customFormat="false" ht="7.5" hidden="false" customHeight="true" outlineLevel="0" collapsed="false">
      <c r="H1713" s="49" t="s">
        <v>1315</v>
      </c>
      <c r="I1713" s="50" t="s">
        <v>1316</v>
      </c>
    </row>
    <row r="1714" customFormat="false" ht="7.5" hidden="false" customHeight="true" outlineLevel="0" collapsed="false">
      <c r="H1714" s="49" t="s">
        <v>1318</v>
      </c>
      <c r="I1714" s="50" t="s">
        <v>1319</v>
      </c>
    </row>
    <row r="1715" customFormat="false" ht="7.5" hidden="false" customHeight="true" outlineLevel="0" collapsed="false">
      <c r="H1715" s="49" t="s">
        <v>1322</v>
      </c>
      <c r="I1715" s="50" t="s">
        <v>1323</v>
      </c>
    </row>
    <row r="1716" customFormat="false" ht="7.5" hidden="false" customHeight="true" outlineLevel="0" collapsed="false">
      <c r="H1716" s="49" t="s">
        <v>1326</v>
      </c>
      <c r="I1716" s="50" t="s">
        <v>1327</v>
      </c>
    </row>
    <row r="1717" customFormat="false" ht="7.5" hidden="false" customHeight="true" outlineLevel="0" collapsed="false">
      <c r="H1717" s="49" t="s">
        <v>1330</v>
      </c>
      <c r="I1717" s="50" t="s">
        <v>1331</v>
      </c>
    </row>
    <row r="1718" customFormat="false" ht="7.5" hidden="false" customHeight="true" outlineLevel="0" collapsed="false">
      <c r="H1718" s="49" t="s">
        <v>1334</v>
      </c>
      <c r="I1718" s="50" t="s">
        <v>1335</v>
      </c>
    </row>
    <row r="1719" customFormat="false" ht="7.5" hidden="false" customHeight="true" outlineLevel="0" collapsed="false">
      <c r="H1719" s="49" t="s">
        <v>1337</v>
      </c>
      <c r="I1719" s="50" t="s">
        <v>1338</v>
      </c>
    </row>
    <row r="1720" customFormat="false" ht="7.5" hidden="false" customHeight="true" outlineLevel="0" collapsed="false">
      <c r="H1720" s="49" t="s">
        <v>1341</v>
      </c>
      <c r="I1720" s="50" t="s">
        <v>1342</v>
      </c>
    </row>
    <row r="1721" customFormat="false" ht="7.5" hidden="false" customHeight="true" outlineLevel="0" collapsed="false">
      <c r="H1721" s="49" t="s">
        <v>1344</v>
      </c>
      <c r="I1721" s="50" t="s">
        <v>1345</v>
      </c>
    </row>
    <row r="1722" customFormat="false" ht="7.5" hidden="false" customHeight="true" outlineLevel="0" collapsed="false">
      <c r="H1722" s="49" t="s">
        <v>1347</v>
      </c>
      <c r="I1722" s="50" t="s">
        <v>1348</v>
      </c>
    </row>
    <row r="1723" customFormat="false" ht="7.5" hidden="false" customHeight="true" outlineLevel="0" collapsed="false">
      <c r="H1723" s="49" t="s">
        <v>1350</v>
      </c>
      <c r="I1723" s="50" t="s">
        <v>1351</v>
      </c>
    </row>
    <row r="1724" customFormat="false" ht="7.5" hidden="false" customHeight="true" outlineLevel="0" collapsed="false">
      <c r="H1724" s="49" t="s">
        <v>1353</v>
      </c>
      <c r="I1724" s="50" t="s">
        <v>1354</v>
      </c>
    </row>
    <row r="1725" customFormat="false" ht="7.5" hidden="false" customHeight="true" outlineLevel="0" collapsed="false">
      <c r="H1725" s="49" t="s">
        <v>1355</v>
      </c>
      <c r="I1725" s="50" t="s">
        <v>1356</v>
      </c>
    </row>
    <row r="1726" customFormat="false" ht="7.5" hidden="false" customHeight="true" outlineLevel="0" collapsed="false">
      <c r="H1726" s="49" t="s">
        <v>1358</v>
      </c>
      <c r="I1726" s="50" t="s">
        <v>1359</v>
      </c>
    </row>
    <row r="1727" customFormat="false" ht="7.5" hidden="false" customHeight="true" outlineLevel="0" collapsed="false">
      <c r="H1727" s="49" t="s">
        <v>1362</v>
      </c>
      <c r="I1727" s="50" t="s">
        <v>1363</v>
      </c>
    </row>
    <row r="1728" customFormat="false" ht="7.5" hidden="false" customHeight="true" outlineLevel="0" collapsed="false">
      <c r="H1728" s="49" t="s">
        <v>1366</v>
      </c>
      <c r="I1728" s="50" t="s">
        <v>1367</v>
      </c>
    </row>
    <row r="1729" customFormat="false" ht="7.5" hidden="false" customHeight="true" outlineLevel="0" collapsed="false">
      <c r="H1729" s="49" t="s">
        <v>1371</v>
      </c>
      <c r="I1729" s="50" t="s">
        <v>1372</v>
      </c>
    </row>
    <row r="1730" customFormat="false" ht="7.5" hidden="false" customHeight="true" outlineLevel="0" collapsed="false">
      <c r="H1730" s="49" t="s">
        <v>1375</v>
      </c>
      <c r="I1730" s="50" t="s">
        <v>1376</v>
      </c>
    </row>
    <row r="1731" customFormat="false" ht="7.5" hidden="false" customHeight="true" outlineLevel="0" collapsed="false">
      <c r="H1731" s="49" t="s">
        <v>1379</v>
      </c>
      <c r="I1731" s="50" t="s">
        <v>1380</v>
      </c>
    </row>
    <row r="1732" customFormat="false" ht="7.5" hidden="false" customHeight="true" outlineLevel="0" collapsed="false">
      <c r="H1732" s="49" t="s">
        <v>1383</v>
      </c>
      <c r="I1732" s="50" t="s">
        <v>1384</v>
      </c>
    </row>
    <row r="1733" customFormat="false" ht="7.5" hidden="false" customHeight="true" outlineLevel="0" collapsed="false">
      <c r="H1733" s="49" t="s">
        <v>1387</v>
      </c>
      <c r="I1733" s="50" t="s">
        <v>1388</v>
      </c>
    </row>
    <row r="1734" customFormat="false" ht="7.5" hidden="false" customHeight="true" outlineLevel="0" collapsed="false">
      <c r="H1734" s="39"/>
      <c r="I1734" s="40" t="s">
        <v>1391</v>
      </c>
    </row>
    <row r="1735" customFormat="false" ht="7.5" hidden="false" customHeight="true" outlineLevel="0" collapsed="false">
      <c r="H1735" s="49" t="s">
        <v>1392</v>
      </c>
      <c r="I1735" s="50" t="s">
        <v>1393</v>
      </c>
    </row>
    <row r="1736" customFormat="false" ht="7.5" hidden="false" customHeight="true" outlineLevel="0" collapsed="false">
      <c r="H1736" s="49" t="s">
        <v>1396</v>
      </c>
      <c r="I1736" s="50" t="s">
        <v>1397</v>
      </c>
    </row>
    <row r="1737" customFormat="false" ht="7.5" hidden="false" customHeight="true" outlineLevel="0" collapsed="false">
      <c r="H1737" s="49" t="s">
        <v>1400</v>
      </c>
      <c r="I1737" s="50" t="s">
        <v>1401</v>
      </c>
    </row>
    <row r="1738" customFormat="false" ht="7.5" hidden="false" customHeight="true" outlineLevel="0" collapsed="false">
      <c r="H1738" s="49" t="s">
        <v>1403</v>
      </c>
      <c r="I1738" s="50" t="s">
        <v>1404</v>
      </c>
    </row>
    <row r="1739" customFormat="false" ht="7.5" hidden="false" customHeight="true" outlineLevel="0" collapsed="false">
      <c r="H1739" s="49" t="s">
        <v>1406</v>
      </c>
      <c r="I1739" s="50" t="s">
        <v>1407</v>
      </c>
    </row>
    <row r="1740" customFormat="false" ht="7.5" hidden="false" customHeight="true" outlineLevel="0" collapsed="false">
      <c r="H1740" s="49" t="s">
        <v>1410</v>
      </c>
      <c r="I1740" s="50" t="s">
        <v>1411</v>
      </c>
    </row>
    <row r="1741" customFormat="false" ht="7.5" hidden="false" customHeight="true" outlineLevel="0" collapsed="false">
      <c r="H1741" s="49" t="s">
        <v>1413</v>
      </c>
      <c r="I1741" s="50" t="s">
        <v>1414</v>
      </c>
    </row>
    <row r="1742" customFormat="false" ht="7.5" hidden="false" customHeight="true" outlineLevel="0" collapsed="false">
      <c r="H1742" s="49" t="s">
        <v>1417</v>
      </c>
      <c r="I1742" s="50" t="s">
        <v>1418</v>
      </c>
    </row>
    <row r="1743" customFormat="false" ht="7.5" hidden="false" customHeight="true" outlineLevel="0" collapsed="false">
      <c r="H1743" s="49" t="s">
        <v>1421</v>
      </c>
      <c r="I1743" s="50" t="s">
        <v>1422</v>
      </c>
    </row>
    <row r="1744" customFormat="false" ht="7.5" hidden="false" customHeight="true" outlineLevel="0" collapsed="false">
      <c r="H1744" s="49" t="s">
        <v>1424</v>
      </c>
      <c r="I1744" s="50" t="s">
        <v>1425</v>
      </c>
    </row>
    <row r="1745" customFormat="false" ht="7.5" hidden="false" customHeight="true" outlineLevel="0" collapsed="false">
      <c r="H1745" s="49" t="s">
        <v>1427</v>
      </c>
      <c r="I1745" s="50" t="s">
        <v>1428</v>
      </c>
    </row>
    <row r="1746" customFormat="false" ht="7.5" hidden="false" customHeight="true" outlineLevel="0" collapsed="false">
      <c r="H1746" s="49" t="s">
        <v>1430</v>
      </c>
      <c r="I1746" s="50" t="s">
        <v>1431</v>
      </c>
    </row>
    <row r="1747" customFormat="false" ht="7.5" hidden="false" customHeight="true" outlineLevel="0" collapsed="false">
      <c r="H1747" s="49" t="s">
        <v>1434</v>
      </c>
      <c r="I1747" s="50" t="s">
        <v>1435</v>
      </c>
    </row>
    <row r="1748" customFormat="false" ht="7.5" hidden="false" customHeight="true" outlineLevel="0" collapsed="false">
      <c r="H1748" s="49" t="s">
        <v>1438</v>
      </c>
      <c r="I1748" s="50" t="s">
        <v>1439</v>
      </c>
    </row>
    <row r="1749" customFormat="false" ht="7.5" hidden="false" customHeight="true" outlineLevel="0" collapsed="false">
      <c r="H1749" s="49" t="s">
        <v>1442</v>
      </c>
      <c r="I1749" s="50" t="s">
        <v>1443</v>
      </c>
    </row>
    <row r="1750" customFormat="false" ht="7.5" hidden="false" customHeight="true" outlineLevel="0" collapsed="false">
      <c r="H1750" s="49" t="s">
        <v>1445</v>
      </c>
      <c r="I1750" s="50" t="s">
        <v>1446</v>
      </c>
    </row>
    <row r="1751" customFormat="false" ht="7.5" hidden="false" customHeight="true" outlineLevel="0" collapsed="false">
      <c r="H1751" s="49" t="s">
        <v>1449</v>
      </c>
      <c r="I1751" s="50" t="s">
        <v>1450</v>
      </c>
    </row>
    <row r="1752" customFormat="false" ht="7.5" hidden="false" customHeight="true" outlineLevel="0" collapsed="false">
      <c r="H1752" s="49" t="s">
        <v>1453</v>
      </c>
      <c r="I1752" s="50" t="s">
        <v>1454</v>
      </c>
    </row>
    <row r="1753" customFormat="false" ht="7.5" hidden="false" customHeight="true" outlineLevel="0" collapsed="false">
      <c r="H1753" s="49" t="s">
        <v>1457</v>
      </c>
      <c r="I1753" s="50" t="s">
        <v>1458</v>
      </c>
    </row>
    <row r="1754" customFormat="false" ht="7.5" hidden="false" customHeight="true" outlineLevel="0" collapsed="false">
      <c r="H1754" s="49" t="s">
        <v>1460</v>
      </c>
      <c r="I1754" s="50" t="s">
        <v>1461</v>
      </c>
    </row>
    <row r="1755" customFormat="false" ht="7.5" hidden="false" customHeight="true" outlineLevel="0" collapsed="false">
      <c r="H1755" s="49" t="s">
        <v>1464</v>
      </c>
      <c r="I1755" s="50" t="s">
        <v>1465</v>
      </c>
    </row>
    <row r="1756" customFormat="false" ht="7.5" hidden="false" customHeight="true" outlineLevel="0" collapsed="false">
      <c r="H1756" s="49" t="s">
        <v>1468</v>
      </c>
      <c r="I1756" s="50" t="s">
        <v>1469</v>
      </c>
    </row>
    <row r="1757" customFormat="false" ht="7.5" hidden="false" customHeight="true" outlineLevel="0" collapsed="false">
      <c r="H1757" s="49" t="s">
        <v>1472</v>
      </c>
      <c r="I1757" s="50" t="s">
        <v>1473</v>
      </c>
    </row>
    <row r="1758" customFormat="false" ht="7.5" hidden="false" customHeight="true" outlineLevel="0" collapsed="false">
      <c r="H1758" s="49" t="s">
        <v>1476</v>
      </c>
      <c r="I1758" s="50" t="s">
        <v>1477</v>
      </c>
    </row>
    <row r="1759" customFormat="false" ht="7.5" hidden="false" customHeight="true" outlineLevel="0" collapsed="false">
      <c r="H1759" s="49" t="s">
        <v>1480</v>
      </c>
      <c r="I1759" s="50" t="s">
        <v>1481</v>
      </c>
    </row>
    <row r="1760" customFormat="false" ht="7.5" hidden="false" customHeight="true" outlineLevel="0" collapsed="false">
      <c r="H1760" s="49" t="s">
        <v>1484</v>
      </c>
      <c r="I1760" s="50" t="s">
        <v>1485</v>
      </c>
    </row>
    <row r="1761" customFormat="false" ht="7.5" hidden="false" customHeight="true" outlineLevel="0" collapsed="false">
      <c r="H1761" s="49" t="s">
        <v>1488</v>
      </c>
      <c r="I1761" s="50" t="s">
        <v>1489</v>
      </c>
    </row>
    <row r="1762" customFormat="false" ht="7.5" hidden="false" customHeight="true" outlineLevel="0" collapsed="false">
      <c r="H1762" s="49" t="s">
        <v>1492</v>
      </c>
      <c r="I1762" s="50" t="s">
        <v>1493</v>
      </c>
    </row>
    <row r="1763" customFormat="false" ht="7.5" hidden="false" customHeight="true" outlineLevel="0" collapsed="false">
      <c r="H1763" s="49" t="s">
        <v>1495</v>
      </c>
      <c r="I1763" s="50" t="s">
        <v>1496</v>
      </c>
    </row>
    <row r="1764" customFormat="false" ht="7.5" hidden="false" customHeight="true" outlineLevel="0" collapsed="false">
      <c r="H1764" s="49" t="s">
        <v>1499</v>
      </c>
      <c r="I1764" s="50" t="s">
        <v>1500</v>
      </c>
    </row>
    <row r="1765" customFormat="false" ht="7.5" hidden="false" customHeight="true" outlineLevel="0" collapsed="false">
      <c r="H1765" s="49" t="s">
        <v>1503</v>
      </c>
      <c r="I1765" s="50" t="s">
        <v>1504</v>
      </c>
    </row>
    <row r="1766" customFormat="false" ht="7.5" hidden="false" customHeight="true" outlineLevel="0" collapsed="false">
      <c r="H1766" s="49" t="s">
        <v>1507</v>
      </c>
      <c r="I1766" s="50" t="s">
        <v>1508</v>
      </c>
    </row>
    <row r="1767" customFormat="false" ht="7.5" hidden="false" customHeight="true" outlineLevel="0" collapsed="false">
      <c r="H1767" s="49" t="s">
        <v>1511</v>
      </c>
      <c r="I1767" s="50" t="s">
        <v>1512</v>
      </c>
    </row>
    <row r="1768" customFormat="false" ht="7.5" hidden="false" customHeight="true" outlineLevel="0" collapsed="false">
      <c r="H1768" s="49" t="s">
        <v>1514</v>
      </c>
      <c r="I1768" s="50" t="s">
        <v>1515</v>
      </c>
    </row>
    <row r="1769" customFormat="false" ht="7.5" hidden="false" customHeight="true" outlineLevel="0" collapsed="false">
      <c r="H1769" s="49" t="s">
        <v>1518</v>
      </c>
      <c r="I1769" s="50" t="s">
        <v>1519</v>
      </c>
    </row>
    <row r="1770" customFormat="false" ht="7.5" hidden="false" customHeight="true" outlineLevel="0" collapsed="false">
      <c r="H1770" s="49" t="s">
        <v>1522</v>
      </c>
      <c r="I1770" s="50" t="s">
        <v>1523</v>
      </c>
    </row>
    <row r="1771" customFormat="false" ht="7.5" hidden="false" customHeight="true" outlineLevel="0" collapsed="false">
      <c r="H1771" s="49" t="s">
        <v>1526</v>
      </c>
      <c r="I1771" s="50" t="s">
        <v>1527</v>
      </c>
    </row>
    <row r="1772" customFormat="false" ht="7.5" hidden="false" customHeight="true" outlineLevel="0" collapsed="false">
      <c r="H1772" s="49" t="s">
        <v>1530</v>
      </c>
      <c r="I1772" s="50" t="s">
        <v>1531</v>
      </c>
    </row>
    <row r="1773" customFormat="false" ht="7.5" hidden="false" customHeight="true" outlineLevel="0" collapsed="false">
      <c r="H1773" s="49" t="s">
        <v>1533</v>
      </c>
      <c r="I1773" s="50" t="s">
        <v>1534</v>
      </c>
    </row>
    <row r="1774" customFormat="false" ht="7.5" hidden="false" customHeight="true" outlineLevel="0" collapsed="false">
      <c r="H1774" s="49" t="s">
        <v>1537</v>
      </c>
      <c r="I1774" s="50" t="s">
        <v>1538</v>
      </c>
    </row>
    <row r="1775" customFormat="false" ht="7.5" hidden="false" customHeight="true" outlineLevel="0" collapsed="false">
      <c r="H1775" s="49" t="s">
        <v>1541</v>
      </c>
      <c r="I1775" s="50" t="s">
        <v>1542</v>
      </c>
    </row>
    <row r="1776" customFormat="false" ht="7.5" hidden="false" customHeight="true" outlineLevel="0" collapsed="false">
      <c r="H1776" s="49" t="s">
        <v>1545</v>
      </c>
      <c r="I1776" s="50" t="s">
        <v>1546</v>
      </c>
    </row>
    <row r="1777" customFormat="false" ht="7.5" hidden="false" customHeight="true" outlineLevel="0" collapsed="false">
      <c r="H1777" s="49" t="s">
        <v>1549</v>
      </c>
      <c r="I1777" s="50" t="s">
        <v>1550</v>
      </c>
    </row>
    <row r="1778" customFormat="false" ht="7.5" hidden="false" customHeight="true" outlineLevel="0" collapsed="false">
      <c r="H1778" s="49" t="s">
        <v>1553</v>
      </c>
      <c r="I1778" s="50" t="s">
        <v>1554</v>
      </c>
    </row>
    <row r="1779" customFormat="false" ht="7.5" hidden="false" customHeight="true" outlineLevel="0" collapsed="false">
      <c r="H1779" s="49" t="s">
        <v>1557</v>
      </c>
      <c r="I1779" s="50" t="s">
        <v>1558</v>
      </c>
    </row>
    <row r="1780" customFormat="false" ht="7.5" hidden="false" customHeight="true" outlineLevel="0" collapsed="false">
      <c r="H1780" s="49" t="s">
        <v>1561</v>
      </c>
      <c r="I1780" s="50" t="s">
        <v>1562</v>
      </c>
    </row>
    <row r="1781" customFormat="false" ht="7.5" hidden="false" customHeight="true" outlineLevel="0" collapsed="false">
      <c r="H1781" s="49" t="s">
        <v>1565</v>
      </c>
      <c r="I1781" s="50" t="s">
        <v>1566</v>
      </c>
    </row>
    <row r="1782" customFormat="false" ht="7.5" hidden="false" customHeight="true" outlineLevel="0" collapsed="false">
      <c r="H1782" s="49" t="s">
        <v>1568</v>
      </c>
      <c r="I1782" s="50" t="s">
        <v>1569</v>
      </c>
    </row>
    <row r="1783" customFormat="false" ht="7.5" hidden="false" customHeight="true" outlineLevel="0" collapsed="false">
      <c r="H1783" s="49" t="s">
        <v>1571</v>
      </c>
      <c r="I1783" s="50" t="s">
        <v>1572</v>
      </c>
    </row>
    <row r="1784" customFormat="false" ht="7.5" hidden="false" customHeight="true" outlineLevel="0" collapsed="false">
      <c r="H1784" s="49" t="s">
        <v>1574</v>
      </c>
      <c r="I1784" s="50" t="s">
        <v>1575</v>
      </c>
    </row>
    <row r="1785" customFormat="false" ht="7.5" hidden="false" customHeight="true" outlineLevel="0" collapsed="false">
      <c r="H1785" s="49" t="s">
        <v>1578</v>
      </c>
      <c r="I1785" s="50" t="s">
        <v>1579</v>
      </c>
    </row>
    <row r="1786" customFormat="false" ht="7.5" hidden="false" customHeight="true" outlineLevel="0" collapsed="false">
      <c r="H1786" s="49" t="s">
        <v>1581</v>
      </c>
      <c r="I1786" s="50" t="s">
        <v>1582</v>
      </c>
    </row>
    <row r="1787" customFormat="false" ht="7.5" hidden="false" customHeight="true" outlineLevel="0" collapsed="false">
      <c r="H1787" s="49" t="s">
        <v>1584</v>
      </c>
      <c r="I1787" s="50" t="s">
        <v>1585</v>
      </c>
    </row>
    <row r="1788" customFormat="false" ht="7.5" hidden="false" customHeight="true" outlineLevel="0" collapsed="false">
      <c r="H1788" s="49" t="s">
        <v>1587</v>
      </c>
      <c r="I1788" s="50" t="s">
        <v>1588</v>
      </c>
    </row>
    <row r="1789" customFormat="false" ht="7.5" hidden="false" customHeight="true" outlineLevel="0" collapsed="false">
      <c r="H1789" s="49" t="s">
        <v>1590</v>
      </c>
      <c r="I1789" s="50" t="s">
        <v>1591</v>
      </c>
    </row>
    <row r="1790" customFormat="false" ht="7.5" hidden="false" customHeight="true" outlineLevel="0" collapsed="false">
      <c r="H1790" s="49" t="s">
        <v>1593</v>
      </c>
      <c r="I1790" s="50" t="s">
        <v>1594</v>
      </c>
    </row>
    <row r="1791" customFormat="false" ht="7.5" hidden="false" customHeight="true" outlineLevel="0" collapsed="false">
      <c r="H1791" s="49" t="s">
        <v>1596</v>
      </c>
      <c r="I1791" s="50" t="s">
        <v>1597</v>
      </c>
    </row>
    <row r="1792" customFormat="false" ht="7.5" hidden="false" customHeight="true" outlineLevel="0" collapsed="false">
      <c r="H1792" s="49" t="s">
        <v>1599</v>
      </c>
      <c r="I1792" s="50" t="s">
        <v>1600</v>
      </c>
    </row>
    <row r="1793" customFormat="false" ht="7.5" hidden="false" customHeight="true" outlineLevel="0" collapsed="false">
      <c r="H1793" s="49" t="s">
        <v>1601</v>
      </c>
      <c r="I1793" s="50" t="s">
        <v>1602</v>
      </c>
    </row>
    <row r="1794" customFormat="false" ht="7.5" hidden="false" customHeight="true" outlineLevel="0" collapsed="false">
      <c r="H1794" s="49" t="s">
        <v>1604</v>
      </c>
      <c r="I1794" s="50" t="s">
        <v>1605</v>
      </c>
    </row>
    <row r="1795" customFormat="false" ht="7.5" hidden="false" customHeight="true" outlineLevel="0" collapsed="false">
      <c r="H1795" s="49" t="s">
        <v>1607</v>
      </c>
      <c r="I1795" s="50" t="s">
        <v>1608</v>
      </c>
    </row>
    <row r="1796" customFormat="false" ht="7.5" hidden="false" customHeight="true" outlineLevel="0" collapsed="false">
      <c r="H1796" s="49" t="s">
        <v>1610</v>
      </c>
      <c r="I1796" s="50" t="s">
        <v>1611</v>
      </c>
    </row>
    <row r="1797" customFormat="false" ht="7.5" hidden="false" customHeight="true" outlineLevel="0" collapsed="false">
      <c r="H1797" s="49" t="s">
        <v>1613</v>
      </c>
      <c r="I1797" s="50" t="s">
        <v>1614</v>
      </c>
    </row>
    <row r="1798" customFormat="false" ht="7.5" hidden="false" customHeight="true" outlineLevel="0" collapsed="false">
      <c r="H1798" s="49" t="s">
        <v>1616</v>
      </c>
      <c r="I1798" s="50" t="s">
        <v>1617</v>
      </c>
    </row>
    <row r="1799" customFormat="false" ht="7.5" hidden="false" customHeight="true" outlineLevel="0" collapsed="false">
      <c r="H1799" s="49" t="s">
        <v>1619</v>
      </c>
      <c r="I1799" s="50" t="s">
        <v>1620</v>
      </c>
    </row>
    <row r="1800" customFormat="false" ht="7.5" hidden="false" customHeight="true" outlineLevel="0" collapsed="false">
      <c r="H1800" s="49" t="s">
        <v>1622</v>
      </c>
      <c r="I1800" s="50" t="s">
        <v>1623</v>
      </c>
    </row>
    <row r="1801" customFormat="false" ht="7.5" hidden="false" customHeight="true" outlineLevel="0" collapsed="false">
      <c r="H1801" s="49" t="s">
        <v>1625</v>
      </c>
      <c r="I1801" s="50" t="s">
        <v>1626</v>
      </c>
    </row>
    <row r="1802" customFormat="false" ht="7.5" hidden="false" customHeight="true" outlineLevel="0" collapsed="false">
      <c r="H1802" s="49" t="s">
        <v>1628</v>
      </c>
      <c r="I1802" s="50" t="s">
        <v>1629</v>
      </c>
    </row>
    <row r="1803" customFormat="false" ht="7.5" hidden="false" customHeight="true" outlineLevel="0" collapsed="false">
      <c r="H1803" s="49" t="s">
        <v>1631</v>
      </c>
      <c r="I1803" s="50" t="s">
        <v>1632</v>
      </c>
    </row>
    <row r="1804" customFormat="false" ht="7.5" hidden="false" customHeight="true" outlineLevel="0" collapsed="false">
      <c r="H1804" s="49" t="s">
        <v>1634</v>
      </c>
      <c r="I1804" s="50" t="s">
        <v>1635</v>
      </c>
    </row>
    <row r="1805" customFormat="false" ht="7.5" hidden="false" customHeight="true" outlineLevel="0" collapsed="false">
      <c r="H1805" s="49" t="s">
        <v>1637</v>
      </c>
      <c r="I1805" s="50" t="s">
        <v>1638</v>
      </c>
    </row>
    <row r="1806" customFormat="false" ht="7.5" hidden="false" customHeight="true" outlineLevel="0" collapsed="false">
      <c r="H1806" s="49" t="s">
        <v>1640</v>
      </c>
      <c r="I1806" s="50" t="s">
        <v>1641</v>
      </c>
    </row>
    <row r="1807" customFormat="false" ht="7.5" hidden="false" customHeight="true" outlineLevel="0" collapsed="false">
      <c r="H1807" s="49" t="s">
        <v>1642</v>
      </c>
      <c r="I1807" s="50" t="s">
        <v>1643</v>
      </c>
    </row>
    <row r="1808" customFormat="false" ht="7.5" hidden="false" customHeight="true" outlineLevel="0" collapsed="false">
      <c r="H1808" s="49" t="s">
        <v>1645</v>
      </c>
      <c r="I1808" s="50" t="s">
        <v>1646</v>
      </c>
    </row>
    <row r="1809" customFormat="false" ht="7.5" hidden="false" customHeight="true" outlineLevel="0" collapsed="false">
      <c r="H1809" s="49" t="s">
        <v>1648</v>
      </c>
      <c r="I1809" s="50" t="s">
        <v>1649</v>
      </c>
    </row>
    <row r="1810" customFormat="false" ht="7.5" hidden="false" customHeight="true" outlineLevel="0" collapsed="false">
      <c r="H1810" s="49" t="s">
        <v>1651</v>
      </c>
      <c r="I1810" s="50" t="s">
        <v>1652</v>
      </c>
    </row>
    <row r="1811" customFormat="false" ht="7.5" hidden="false" customHeight="true" outlineLevel="0" collapsed="false">
      <c r="H1811" s="49" t="s">
        <v>1655</v>
      </c>
      <c r="I1811" s="50" t="s">
        <v>1656</v>
      </c>
    </row>
    <row r="1812" customFormat="false" ht="7.5" hidden="false" customHeight="true" outlineLevel="0" collapsed="false">
      <c r="H1812" s="49" t="s">
        <v>1658</v>
      </c>
      <c r="I1812" s="50" t="s">
        <v>1659</v>
      </c>
    </row>
    <row r="1813" customFormat="false" ht="7.5" hidden="false" customHeight="true" outlineLevel="0" collapsed="false">
      <c r="H1813" s="49" t="s">
        <v>1661</v>
      </c>
      <c r="I1813" s="50" t="s">
        <v>1662</v>
      </c>
    </row>
    <row r="1814" customFormat="false" ht="7.5" hidden="false" customHeight="true" outlineLevel="0" collapsed="false">
      <c r="H1814" s="49" t="s">
        <v>1664</v>
      </c>
      <c r="I1814" s="50" t="s">
        <v>1665</v>
      </c>
    </row>
    <row r="1815" customFormat="false" ht="7.5" hidden="false" customHeight="true" outlineLevel="0" collapsed="false">
      <c r="H1815" s="49" t="s">
        <v>1667</v>
      </c>
      <c r="I1815" s="50" t="s">
        <v>1668</v>
      </c>
    </row>
    <row r="1816" customFormat="false" ht="7.5" hidden="false" customHeight="true" outlineLevel="0" collapsed="false">
      <c r="H1816" s="49" t="s">
        <v>1670</v>
      </c>
      <c r="I1816" s="50" t="s">
        <v>1671</v>
      </c>
    </row>
    <row r="1817" customFormat="false" ht="7.5" hidden="false" customHeight="true" outlineLevel="0" collapsed="false">
      <c r="H1817" s="49" t="s">
        <v>1673</v>
      </c>
      <c r="I1817" s="50" t="s">
        <v>1674</v>
      </c>
    </row>
    <row r="1818" customFormat="false" ht="7.5" hidden="false" customHeight="true" outlineLevel="0" collapsed="false">
      <c r="H1818" s="49" t="s">
        <v>1676</v>
      </c>
      <c r="I1818" s="50" t="s">
        <v>1677</v>
      </c>
    </row>
    <row r="1819" customFormat="false" ht="7.5" hidden="false" customHeight="true" outlineLevel="0" collapsed="false">
      <c r="H1819" s="49" t="s">
        <v>1679</v>
      </c>
      <c r="I1819" s="50" t="s">
        <v>1680</v>
      </c>
    </row>
    <row r="1820" customFormat="false" ht="7.5" hidden="false" customHeight="true" outlineLevel="0" collapsed="false">
      <c r="H1820" s="49" t="s">
        <v>1682</v>
      </c>
      <c r="I1820" s="50" t="s">
        <v>1683</v>
      </c>
    </row>
    <row r="1821" customFormat="false" ht="7.5" hidden="false" customHeight="true" outlineLevel="0" collapsed="false">
      <c r="H1821" s="49" t="s">
        <v>1685</v>
      </c>
      <c r="I1821" s="50" t="s">
        <v>1686</v>
      </c>
    </row>
    <row r="1822" customFormat="false" ht="7.5" hidden="false" customHeight="true" outlineLevel="0" collapsed="false">
      <c r="H1822" s="49" t="s">
        <v>1688</v>
      </c>
      <c r="I1822" s="50" t="s">
        <v>1689</v>
      </c>
    </row>
    <row r="1823" customFormat="false" ht="7.5" hidden="false" customHeight="true" outlineLevel="0" collapsed="false">
      <c r="H1823" s="49" t="s">
        <v>1691</v>
      </c>
      <c r="I1823" s="50" t="s">
        <v>1692</v>
      </c>
    </row>
    <row r="1824" customFormat="false" ht="7.5" hidden="false" customHeight="true" outlineLevel="0" collapsed="false">
      <c r="H1824" s="49" t="s">
        <v>1694</v>
      </c>
      <c r="I1824" s="50" t="s">
        <v>1695</v>
      </c>
    </row>
    <row r="1825" customFormat="false" ht="7.5" hidden="false" customHeight="true" outlineLevel="0" collapsed="false">
      <c r="H1825" s="49" t="s">
        <v>1697</v>
      </c>
      <c r="I1825" s="50" t="s">
        <v>1698</v>
      </c>
    </row>
    <row r="1826" customFormat="false" ht="7.5" hidden="false" customHeight="true" outlineLevel="0" collapsed="false">
      <c r="H1826" s="49" t="s">
        <v>1701</v>
      </c>
      <c r="I1826" s="50" t="s">
        <v>1702</v>
      </c>
    </row>
    <row r="1827" customFormat="false" ht="7.5" hidden="false" customHeight="true" outlineLevel="0" collapsed="false">
      <c r="H1827" s="49" t="s">
        <v>1704</v>
      </c>
      <c r="I1827" s="50" t="s">
        <v>1705</v>
      </c>
    </row>
    <row r="1828" customFormat="false" ht="7.5" hidden="false" customHeight="true" outlineLevel="0" collapsed="false">
      <c r="H1828" s="49" t="s">
        <v>1706</v>
      </c>
      <c r="I1828" s="50" t="s">
        <v>1707</v>
      </c>
    </row>
    <row r="1829" customFormat="false" ht="7.5" hidden="false" customHeight="true" outlineLevel="0" collapsed="false">
      <c r="H1829" s="49" t="s">
        <v>1709</v>
      </c>
      <c r="I1829" s="50" t="s">
        <v>1710</v>
      </c>
    </row>
    <row r="1830" customFormat="false" ht="7.5" hidden="false" customHeight="true" outlineLevel="0" collapsed="false">
      <c r="H1830" s="49" t="s">
        <v>1712</v>
      </c>
      <c r="I1830" s="50" t="s">
        <v>1713</v>
      </c>
    </row>
    <row r="1831" customFormat="false" ht="7.5" hidden="false" customHeight="true" outlineLevel="0" collapsed="false">
      <c r="H1831" s="49" t="s">
        <v>1714</v>
      </c>
      <c r="I1831" s="50" t="s">
        <v>1715</v>
      </c>
    </row>
    <row r="1832" customFormat="false" ht="7.5" hidden="false" customHeight="true" outlineLevel="0" collapsed="false">
      <c r="H1832" s="49" t="s">
        <v>1718</v>
      </c>
      <c r="I1832" s="50" t="s">
        <v>1719</v>
      </c>
    </row>
    <row r="1833" customFormat="false" ht="7.5" hidden="false" customHeight="true" outlineLevel="0" collapsed="false">
      <c r="H1833" s="49" t="s">
        <v>1722</v>
      </c>
      <c r="I1833" s="50" t="s">
        <v>1723</v>
      </c>
    </row>
    <row r="1834" customFormat="false" ht="7.5" hidden="false" customHeight="true" outlineLevel="0" collapsed="false">
      <c r="H1834" s="49" t="s">
        <v>1726</v>
      </c>
      <c r="I1834" s="50" t="s">
        <v>1727</v>
      </c>
    </row>
    <row r="1835" customFormat="false" ht="7.5" hidden="false" customHeight="true" outlineLevel="0" collapsed="false">
      <c r="H1835" s="49" t="s">
        <v>1730</v>
      </c>
      <c r="I1835" s="50" t="s">
        <v>1731</v>
      </c>
    </row>
    <row r="1836" customFormat="false" ht="7.5" hidden="false" customHeight="true" outlineLevel="0" collapsed="false">
      <c r="H1836" s="49" t="s">
        <v>1734</v>
      </c>
      <c r="I1836" s="50" t="s">
        <v>1735</v>
      </c>
    </row>
    <row r="1837" customFormat="false" ht="7.5" hidden="false" customHeight="true" outlineLevel="0" collapsed="false">
      <c r="H1837" s="49" t="s">
        <v>1738</v>
      </c>
      <c r="I1837" s="50" t="s">
        <v>1739</v>
      </c>
    </row>
    <row r="1838" customFormat="false" ht="7.5" hidden="false" customHeight="true" outlineLevel="0" collapsed="false">
      <c r="H1838" s="49" t="s">
        <v>1741</v>
      </c>
      <c r="I1838" s="50" t="s">
        <v>1742</v>
      </c>
    </row>
    <row r="1839" customFormat="false" ht="7.5" hidden="false" customHeight="true" outlineLevel="0" collapsed="false">
      <c r="H1839" s="49" t="s">
        <v>1745</v>
      </c>
      <c r="I1839" s="50" t="s">
        <v>1746</v>
      </c>
    </row>
    <row r="1840" customFormat="false" ht="7.5" hidden="false" customHeight="true" outlineLevel="0" collapsed="false">
      <c r="H1840" s="49" t="s">
        <v>1749</v>
      </c>
      <c r="I1840" s="50" t="s">
        <v>1750</v>
      </c>
    </row>
    <row r="1841" customFormat="false" ht="7.5" hidden="false" customHeight="true" outlineLevel="0" collapsed="false">
      <c r="H1841" s="49" t="s">
        <v>1753</v>
      </c>
      <c r="I1841" s="50" t="s">
        <v>1754</v>
      </c>
    </row>
    <row r="1842" customFormat="false" ht="7.5" hidden="false" customHeight="true" outlineLevel="0" collapsed="false">
      <c r="H1842" s="49" t="s">
        <v>1757</v>
      </c>
      <c r="I1842" s="50" t="s">
        <v>1758</v>
      </c>
    </row>
    <row r="1843" customFormat="false" ht="7.5" hidden="false" customHeight="true" outlineLevel="0" collapsed="false">
      <c r="H1843" s="49" t="s">
        <v>1761</v>
      </c>
      <c r="I1843" s="50" t="s">
        <v>1762</v>
      </c>
    </row>
    <row r="1844" customFormat="false" ht="7.5" hidden="false" customHeight="true" outlineLevel="0" collapsed="false">
      <c r="H1844" s="49" t="s">
        <v>1765</v>
      </c>
      <c r="I1844" s="50" t="s">
        <v>1766</v>
      </c>
    </row>
    <row r="1845" customFormat="false" ht="7.5" hidden="false" customHeight="true" outlineLevel="0" collapsed="false">
      <c r="H1845" s="49" t="s">
        <v>1769</v>
      </c>
      <c r="I1845" s="50" t="s">
        <v>1770</v>
      </c>
    </row>
    <row r="1846" customFormat="false" ht="7.5" hidden="false" customHeight="true" outlineLevel="0" collapsed="false">
      <c r="H1846" s="49" t="s">
        <v>1772</v>
      </c>
      <c r="I1846" s="50" t="s">
        <v>1773</v>
      </c>
    </row>
    <row r="1847" customFormat="false" ht="7.5" hidden="false" customHeight="true" outlineLevel="0" collapsed="false">
      <c r="H1847" s="49" t="s">
        <v>1775</v>
      </c>
      <c r="I1847" s="50" t="s">
        <v>1776</v>
      </c>
    </row>
    <row r="1848" customFormat="false" ht="7.5" hidden="false" customHeight="true" outlineLevel="0" collapsed="false">
      <c r="H1848" s="49" t="s">
        <v>1779</v>
      </c>
      <c r="I1848" s="50" t="s">
        <v>1780</v>
      </c>
    </row>
    <row r="1849" customFormat="false" ht="7.5" hidden="false" customHeight="true" outlineLevel="0" collapsed="false">
      <c r="H1849" s="49" t="s">
        <v>1783</v>
      </c>
      <c r="I1849" s="50" t="s">
        <v>1784</v>
      </c>
    </row>
    <row r="1850" customFormat="false" ht="7.5" hidden="false" customHeight="true" outlineLevel="0" collapsed="false">
      <c r="H1850" s="49" t="s">
        <v>1787</v>
      </c>
      <c r="I1850" s="50" t="s">
        <v>1788</v>
      </c>
    </row>
    <row r="1851" customFormat="false" ht="7.5" hidden="false" customHeight="true" outlineLevel="0" collapsed="false">
      <c r="H1851" s="49" t="s">
        <v>1791</v>
      </c>
      <c r="I1851" s="50" t="s">
        <v>1792</v>
      </c>
    </row>
    <row r="1852" customFormat="false" ht="7.5" hidden="false" customHeight="true" outlineLevel="0" collapsed="false">
      <c r="H1852" s="49" t="s">
        <v>1794</v>
      </c>
      <c r="I1852" s="50" t="s">
        <v>1795</v>
      </c>
    </row>
    <row r="1853" customFormat="false" ht="7.5" hidden="false" customHeight="true" outlineLevel="0" collapsed="false">
      <c r="H1853" s="49" t="s">
        <v>1797</v>
      </c>
      <c r="I1853" s="50" t="s">
        <v>1798</v>
      </c>
    </row>
    <row r="1854" customFormat="false" ht="7.5" hidden="false" customHeight="true" outlineLevel="0" collapsed="false">
      <c r="H1854" s="49" t="s">
        <v>1801</v>
      </c>
      <c r="I1854" s="50" t="s">
        <v>1802</v>
      </c>
    </row>
    <row r="1855" customFormat="false" ht="7.5" hidden="false" customHeight="true" outlineLevel="0" collapsed="false">
      <c r="H1855" s="49" t="s">
        <v>1805</v>
      </c>
      <c r="I1855" s="50" t="s">
        <v>1806</v>
      </c>
    </row>
    <row r="1856" customFormat="false" ht="7.5" hidden="false" customHeight="true" outlineLevel="0" collapsed="false">
      <c r="H1856" s="49" t="s">
        <v>1809</v>
      </c>
      <c r="I1856" s="50" t="s">
        <v>1810</v>
      </c>
    </row>
    <row r="1857" customFormat="false" ht="7.5" hidden="false" customHeight="true" outlineLevel="0" collapsed="false">
      <c r="H1857" s="49" t="s">
        <v>1813</v>
      </c>
      <c r="I1857" s="50" t="s">
        <v>1814</v>
      </c>
    </row>
    <row r="1858" customFormat="false" ht="7.5" hidden="false" customHeight="true" outlineLevel="0" collapsed="false">
      <c r="H1858" s="49" t="s">
        <v>1817</v>
      </c>
      <c r="I1858" s="50" t="s">
        <v>1818</v>
      </c>
    </row>
    <row r="1859" customFormat="false" ht="7.5" hidden="false" customHeight="true" outlineLevel="0" collapsed="false">
      <c r="H1859" s="49" t="s">
        <v>1821</v>
      </c>
      <c r="I1859" s="50" t="s">
        <v>1822</v>
      </c>
    </row>
    <row r="1860" customFormat="false" ht="7.5" hidden="false" customHeight="true" outlineLevel="0" collapsed="false">
      <c r="H1860" s="49" t="s">
        <v>1824</v>
      </c>
      <c r="I1860" s="50" t="s">
        <v>1825</v>
      </c>
    </row>
    <row r="1861" customFormat="false" ht="7.5" hidden="false" customHeight="true" outlineLevel="0" collapsed="false">
      <c r="H1861" s="49" t="s">
        <v>1829</v>
      </c>
      <c r="I1861" s="50" t="s">
        <v>1830</v>
      </c>
    </row>
    <row r="1862" customFormat="false" ht="7.5" hidden="false" customHeight="true" outlineLevel="0" collapsed="false">
      <c r="H1862" s="49" t="s">
        <v>1832</v>
      </c>
      <c r="I1862" s="50" t="s">
        <v>1833</v>
      </c>
    </row>
    <row r="1863" customFormat="false" ht="7.5" hidden="false" customHeight="true" outlineLevel="0" collapsed="false">
      <c r="H1863" s="49" t="s">
        <v>1836</v>
      </c>
      <c r="I1863" s="50" t="s">
        <v>1837</v>
      </c>
    </row>
    <row r="1864" customFormat="false" ht="7.5" hidden="false" customHeight="true" outlineLevel="0" collapsed="false">
      <c r="H1864" s="49" t="s">
        <v>1840</v>
      </c>
      <c r="I1864" s="50" t="s">
        <v>1841</v>
      </c>
    </row>
    <row r="1865" customFormat="false" ht="7.5" hidden="false" customHeight="true" outlineLevel="0" collapsed="false">
      <c r="H1865" s="49" t="s">
        <v>1844</v>
      </c>
      <c r="I1865" s="50" t="s">
        <v>1845</v>
      </c>
    </row>
    <row r="1866" customFormat="false" ht="7.5" hidden="false" customHeight="true" outlineLevel="0" collapsed="false">
      <c r="H1866" s="49" t="s">
        <v>1847</v>
      </c>
      <c r="I1866" s="50" t="s">
        <v>1848</v>
      </c>
    </row>
    <row r="1867" customFormat="false" ht="7.5" hidden="false" customHeight="true" outlineLevel="0" collapsed="false">
      <c r="H1867" s="49" t="s">
        <v>1850</v>
      </c>
      <c r="I1867" s="50" t="s">
        <v>1851</v>
      </c>
    </row>
    <row r="1868" customFormat="false" ht="7.5" hidden="false" customHeight="true" outlineLevel="0" collapsed="false">
      <c r="H1868" s="49" t="s">
        <v>1853</v>
      </c>
      <c r="I1868" s="50" t="s">
        <v>1854</v>
      </c>
    </row>
    <row r="1869" customFormat="false" ht="7.5" hidden="false" customHeight="true" outlineLevel="0" collapsed="false">
      <c r="H1869" s="49" t="s">
        <v>1856</v>
      </c>
      <c r="I1869" s="50" t="s">
        <v>1857</v>
      </c>
    </row>
    <row r="1870" customFormat="false" ht="7.5" hidden="false" customHeight="true" outlineLevel="0" collapsed="false">
      <c r="H1870" s="49" t="s">
        <v>1860</v>
      </c>
      <c r="I1870" s="50" t="s">
        <v>1861</v>
      </c>
    </row>
    <row r="1871" customFormat="false" ht="7.5" hidden="false" customHeight="true" outlineLevel="0" collapsed="false">
      <c r="H1871" s="49" t="s">
        <v>1863</v>
      </c>
      <c r="I1871" s="50" t="s">
        <v>1864</v>
      </c>
    </row>
    <row r="1872" customFormat="false" ht="7.5" hidden="false" customHeight="true" outlineLevel="0" collapsed="false">
      <c r="H1872" s="49" t="s">
        <v>1866</v>
      </c>
      <c r="I1872" s="50" t="s">
        <v>1867</v>
      </c>
    </row>
    <row r="1873" customFormat="false" ht="7.5" hidden="false" customHeight="true" outlineLevel="0" collapsed="false">
      <c r="H1873" s="49" t="s">
        <v>1869</v>
      </c>
      <c r="I1873" s="50" t="s">
        <v>1870</v>
      </c>
    </row>
    <row r="1874" customFormat="false" ht="7.5" hidden="false" customHeight="true" outlineLevel="0" collapsed="false">
      <c r="H1874" s="39"/>
      <c r="I1874" s="40" t="s">
        <v>1872</v>
      </c>
    </row>
    <row r="1875" customFormat="false" ht="7.5" hidden="false" customHeight="true" outlineLevel="0" collapsed="false">
      <c r="H1875" s="49" t="s">
        <v>1873</v>
      </c>
      <c r="I1875" s="50" t="s">
        <v>1874</v>
      </c>
    </row>
    <row r="1876" customFormat="false" ht="7.5" hidden="false" customHeight="true" outlineLevel="0" collapsed="false">
      <c r="H1876" s="49" t="s">
        <v>1877</v>
      </c>
      <c r="I1876" s="50" t="s">
        <v>1878</v>
      </c>
    </row>
    <row r="1877" customFormat="false" ht="7.5" hidden="false" customHeight="true" outlineLevel="0" collapsed="false">
      <c r="H1877" s="49" t="s">
        <v>1881</v>
      </c>
      <c r="I1877" s="50" t="s">
        <v>1882</v>
      </c>
    </row>
    <row r="1878" customFormat="false" ht="7.5" hidden="false" customHeight="true" outlineLevel="0" collapsed="false">
      <c r="H1878" s="49" t="s">
        <v>1885</v>
      </c>
      <c r="I1878" s="50" t="s">
        <v>1886</v>
      </c>
    </row>
    <row r="1879" customFormat="false" ht="7.5" hidden="false" customHeight="true" outlineLevel="0" collapsed="false">
      <c r="H1879" s="49" t="s">
        <v>1888</v>
      </c>
      <c r="I1879" s="50" t="s">
        <v>1889</v>
      </c>
    </row>
    <row r="1880" customFormat="false" ht="7.5" hidden="false" customHeight="true" outlineLevel="0" collapsed="false">
      <c r="H1880" s="49" t="s">
        <v>1891</v>
      </c>
      <c r="I1880" s="50" t="s">
        <v>1892</v>
      </c>
    </row>
    <row r="1881" customFormat="false" ht="7.5" hidden="false" customHeight="true" outlineLevel="0" collapsed="false">
      <c r="H1881" s="49" t="s">
        <v>1894</v>
      </c>
      <c r="I1881" s="50" t="s">
        <v>1895</v>
      </c>
    </row>
    <row r="1882" customFormat="false" ht="7.5" hidden="false" customHeight="true" outlineLevel="0" collapsed="false">
      <c r="H1882" s="49" t="s">
        <v>1898</v>
      </c>
      <c r="I1882" s="50" t="s">
        <v>1899</v>
      </c>
    </row>
    <row r="1883" customFormat="false" ht="7.5" hidden="false" customHeight="true" outlineLevel="0" collapsed="false">
      <c r="H1883" s="49" t="s">
        <v>1902</v>
      </c>
      <c r="I1883" s="50" t="s">
        <v>1903</v>
      </c>
    </row>
    <row r="1884" customFormat="false" ht="7.5" hidden="false" customHeight="true" outlineLevel="0" collapsed="false">
      <c r="H1884" s="49" t="s">
        <v>1906</v>
      </c>
      <c r="I1884" s="50" t="s">
        <v>1907</v>
      </c>
    </row>
    <row r="1885" customFormat="false" ht="7.5" hidden="false" customHeight="true" outlineLevel="0" collapsed="false">
      <c r="H1885" s="49" t="s">
        <v>1910</v>
      </c>
      <c r="I1885" s="50" t="s">
        <v>1911</v>
      </c>
    </row>
    <row r="1886" customFormat="false" ht="7.5" hidden="false" customHeight="true" outlineLevel="0" collapsed="false">
      <c r="H1886" s="49" t="s">
        <v>1914</v>
      </c>
      <c r="I1886" s="50" t="s">
        <v>1915</v>
      </c>
    </row>
    <row r="1887" customFormat="false" ht="7.5" hidden="false" customHeight="true" outlineLevel="0" collapsed="false">
      <c r="H1887" s="49" t="s">
        <v>1918</v>
      </c>
      <c r="I1887" s="50" t="s">
        <v>1919</v>
      </c>
    </row>
    <row r="1888" customFormat="false" ht="7.5" hidden="false" customHeight="true" outlineLevel="0" collapsed="false">
      <c r="H1888" s="49" t="s">
        <v>1922</v>
      </c>
      <c r="I1888" s="50" t="s">
        <v>1923</v>
      </c>
    </row>
    <row r="1889" customFormat="false" ht="7.5" hidden="false" customHeight="true" outlineLevel="0" collapsed="false">
      <c r="H1889" s="49" t="s">
        <v>1926</v>
      </c>
      <c r="I1889" s="50" t="s">
        <v>1927</v>
      </c>
    </row>
    <row r="1890" customFormat="false" ht="7.5" hidden="false" customHeight="true" outlineLevel="0" collapsed="false">
      <c r="H1890" s="49" t="s">
        <v>1929</v>
      </c>
      <c r="I1890" s="50" t="s">
        <v>1930</v>
      </c>
    </row>
    <row r="1891" customFormat="false" ht="7.5" hidden="false" customHeight="true" outlineLevel="0" collapsed="false">
      <c r="H1891" s="49" t="s">
        <v>1932</v>
      </c>
      <c r="I1891" s="50" t="s">
        <v>1933</v>
      </c>
    </row>
    <row r="1892" customFormat="false" ht="7.5" hidden="false" customHeight="true" outlineLevel="0" collapsed="false">
      <c r="H1892" s="49" t="s">
        <v>1936</v>
      </c>
      <c r="I1892" s="50" t="s">
        <v>1937</v>
      </c>
    </row>
    <row r="1893" customFormat="false" ht="7.5" hidden="false" customHeight="true" outlineLevel="0" collapsed="false">
      <c r="H1893" s="39"/>
      <c r="I1893" s="40" t="s">
        <v>1940</v>
      </c>
    </row>
    <row r="1894" customFormat="false" ht="7.5" hidden="false" customHeight="true" outlineLevel="0" collapsed="false">
      <c r="H1894" s="49" t="s">
        <v>1941</v>
      </c>
      <c r="I1894" s="50" t="s">
        <v>1942</v>
      </c>
    </row>
    <row r="1895" customFormat="false" ht="7.5" hidden="false" customHeight="true" outlineLevel="0" collapsed="false">
      <c r="H1895" s="49" t="s">
        <v>1945</v>
      </c>
      <c r="I1895" s="50" t="s">
        <v>1946</v>
      </c>
    </row>
    <row r="1896" customFormat="false" ht="7.5" hidden="false" customHeight="true" outlineLevel="0" collapsed="false">
      <c r="H1896" s="49" t="s">
        <v>1948</v>
      </c>
      <c r="I1896" s="50" t="s">
        <v>1949</v>
      </c>
    </row>
    <row r="1897" customFormat="false" ht="7.5" hidden="false" customHeight="true" outlineLevel="0" collapsed="false">
      <c r="H1897" s="49" t="s">
        <v>1952</v>
      </c>
      <c r="I1897" s="50" t="s">
        <v>1953</v>
      </c>
    </row>
    <row r="1898" customFormat="false" ht="7.5" hidden="false" customHeight="true" outlineLevel="0" collapsed="false">
      <c r="H1898" s="39"/>
      <c r="I1898" s="40" t="s">
        <v>1956</v>
      </c>
    </row>
    <row r="1899" customFormat="false" ht="7.5" hidden="false" customHeight="true" outlineLevel="0" collapsed="false">
      <c r="H1899" s="49" t="s">
        <v>1957</v>
      </c>
      <c r="I1899" s="50" t="s">
        <v>1958</v>
      </c>
    </row>
    <row r="1900" customFormat="false" ht="7.5" hidden="false" customHeight="true" outlineLevel="0" collapsed="false">
      <c r="H1900" s="49" t="s">
        <v>1961</v>
      </c>
      <c r="I1900" s="50" t="s">
        <v>1962</v>
      </c>
    </row>
    <row r="1901" customFormat="false" ht="7.5" hidden="false" customHeight="true" outlineLevel="0" collapsed="false">
      <c r="H1901" s="49" t="s">
        <v>1964</v>
      </c>
      <c r="I1901" s="50" t="s">
        <v>1965</v>
      </c>
    </row>
    <row r="1902" customFormat="false" ht="7.5" hidden="false" customHeight="true" outlineLevel="0" collapsed="false">
      <c r="H1902" s="49" t="s">
        <v>1968</v>
      </c>
      <c r="I1902" s="50" t="s">
        <v>1969</v>
      </c>
    </row>
    <row r="1903" customFormat="false" ht="7.5" hidden="false" customHeight="true" outlineLevel="0" collapsed="false">
      <c r="H1903" s="49" t="s">
        <v>1972</v>
      </c>
      <c r="I1903" s="50" t="s">
        <v>1973</v>
      </c>
    </row>
    <row r="1904" customFormat="false" ht="7.5" hidden="false" customHeight="true" outlineLevel="0" collapsed="false">
      <c r="H1904" s="49" t="s">
        <v>1975</v>
      </c>
      <c r="I1904" s="50" t="s">
        <v>1976</v>
      </c>
    </row>
    <row r="1905" customFormat="false" ht="7.5" hidden="false" customHeight="true" outlineLevel="0" collapsed="false">
      <c r="H1905" s="49" t="s">
        <v>1979</v>
      </c>
      <c r="I1905" s="50" t="s">
        <v>1980</v>
      </c>
    </row>
    <row r="1906" customFormat="false" ht="7.5" hidden="false" customHeight="true" outlineLevel="0" collapsed="false">
      <c r="H1906" s="49" t="s">
        <v>1982</v>
      </c>
      <c r="I1906" s="50" t="s">
        <v>1983</v>
      </c>
    </row>
    <row r="1907" customFormat="false" ht="7.5" hidden="false" customHeight="true" outlineLevel="0" collapsed="false">
      <c r="H1907" s="49" t="s">
        <v>1986</v>
      </c>
      <c r="I1907" s="50" t="s">
        <v>1987</v>
      </c>
    </row>
    <row r="1908" customFormat="false" ht="7.5" hidden="false" customHeight="true" outlineLevel="0" collapsed="false">
      <c r="H1908" s="49" t="s">
        <v>1990</v>
      </c>
      <c r="I1908" s="50" t="s">
        <v>1991</v>
      </c>
    </row>
    <row r="1909" customFormat="false" ht="7.5" hidden="false" customHeight="true" outlineLevel="0" collapsed="false">
      <c r="H1909" s="49" t="s">
        <v>1994</v>
      </c>
      <c r="I1909" s="50" t="s">
        <v>1995</v>
      </c>
    </row>
    <row r="1910" customFormat="false" ht="7.5" hidden="false" customHeight="true" outlineLevel="0" collapsed="false">
      <c r="H1910" s="49" t="s">
        <v>1998</v>
      </c>
      <c r="I1910" s="50" t="s">
        <v>1999</v>
      </c>
    </row>
    <row r="1911" customFormat="false" ht="7.5" hidden="false" customHeight="true" outlineLevel="0" collapsed="false">
      <c r="H1911" s="49" t="s">
        <v>2002</v>
      </c>
      <c r="I1911" s="50" t="s">
        <v>2003</v>
      </c>
    </row>
    <row r="1912" customFormat="false" ht="7.5" hidden="false" customHeight="true" outlineLevel="0" collapsed="false">
      <c r="H1912" s="49" t="s">
        <v>2006</v>
      </c>
      <c r="I1912" s="50" t="s">
        <v>2007</v>
      </c>
    </row>
    <row r="1913" customFormat="false" ht="7.5" hidden="false" customHeight="true" outlineLevel="0" collapsed="false">
      <c r="H1913" s="49" t="s">
        <v>2010</v>
      </c>
      <c r="I1913" s="50" t="s">
        <v>2011</v>
      </c>
    </row>
    <row r="1914" customFormat="false" ht="7.5" hidden="false" customHeight="true" outlineLevel="0" collapsed="false">
      <c r="H1914" s="49" t="s">
        <v>2014</v>
      </c>
      <c r="I1914" s="50" t="s">
        <v>2015</v>
      </c>
    </row>
    <row r="1915" customFormat="false" ht="7.5" hidden="false" customHeight="true" outlineLevel="0" collapsed="false">
      <c r="H1915" s="49" t="s">
        <v>2018</v>
      </c>
      <c r="I1915" s="50" t="s">
        <v>2019</v>
      </c>
    </row>
    <row r="1916" customFormat="false" ht="7.5" hidden="false" customHeight="true" outlineLevel="0" collapsed="false">
      <c r="H1916" s="29"/>
      <c r="I1916" s="30" t="s">
        <v>2021</v>
      </c>
    </row>
    <row r="1917" customFormat="false" ht="7.5" hidden="false" customHeight="true" outlineLevel="0" collapsed="false">
      <c r="H1917" s="39"/>
      <c r="I1917" s="40" t="s">
        <v>2022</v>
      </c>
    </row>
    <row r="1918" customFormat="false" ht="7.5" hidden="false" customHeight="true" outlineLevel="0" collapsed="false">
      <c r="H1918" s="49" t="s">
        <v>2023</v>
      </c>
      <c r="I1918" s="50" t="s">
        <v>2024</v>
      </c>
    </row>
    <row r="1919" customFormat="false" ht="7.5" hidden="false" customHeight="true" outlineLevel="0" collapsed="false">
      <c r="H1919" s="49" t="s">
        <v>2027</v>
      </c>
      <c r="I1919" s="50" t="s">
        <v>2028</v>
      </c>
    </row>
    <row r="1920" customFormat="false" ht="7.5" hidden="false" customHeight="true" outlineLevel="0" collapsed="false">
      <c r="H1920" s="49" t="s">
        <v>2031</v>
      </c>
      <c r="I1920" s="50" t="s">
        <v>2032</v>
      </c>
    </row>
    <row r="1921" customFormat="false" ht="7.5" hidden="false" customHeight="true" outlineLevel="0" collapsed="false">
      <c r="H1921" s="49" t="s">
        <v>2035</v>
      </c>
      <c r="I1921" s="50" t="s">
        <v>2036</v>
      </c>
    </row>
    <row r="1922" customFormat="false" ht="7.5" hidden="false" customHeight="true" outlineLevel="0" collapsed="false">
      <c r="H1922" s="49" t="s">
        <v>2039</v>
      </c>
      <c r="I1922" s="50" t="s">
        <v>2040</v>
      </c>
    </row>
    <row r="1923" customFormat="false" ht="7.5" hidden="false" customHeight="true" outlineLevel="0" collapsed="false">
      <c r="H1923" s="49" t="s">
        <v>2043</v>
      </c>
      <c r="I1923" s="50" t="s">
        <v>2044</v>
      </c>
    </row>
    <row r="1924" customFormat="false" ht="7.5" hidden="false" customHeight="true" outlineLevel="0" collapsed="false">
      <c r="H1924" s="49" t="s">
        <v>2046</v>
      </c>
      <c r="I1924" s="50" t="s">
        <v>2047</v>
      </c>
    </row>
    <row r="1925" customFormat="false" ht="7.5" hidden="false" customHeight="true" outlineLevel="0" collapsed="false">
      <c r="H1925" s="49" t="s">
        <v>2049</v>
      </c>
      <c r="I1925" s="50" t="s">
        <v>2050</v>
      </c>
    </row>
    <row r="1926" customFormat="false" ht="7.5" hidden="false" customHeight="true" outlineLevel="0" collapsed="false">
      <c r="H1926" s="49" t="s">
        <v>2053</v>
      </c>
      <c r="I1926" s="50" t="s">
        <v>2054</v>
      </c>
    </row>
    <row r="1927" customFormat="false" ht="7.5" hidden="false" customHeight="true" outlineLevel="0" collapsed="false">
      <c r="H1927" s="49" t="s">
        <v>2057</v>
      </c>
      <c r="I1927" s="50" t="s">
        <v>2058</v>
      </c>
    </row>
    <row r="1928" customFormat="false" ht="7.5" hidden="false" customHeight="true" outlineLevel="0" collapsed="false">
      <c r="H1928" s="49" t="s">
        <v>2061</v>
      </c>
      <c r="I1928" s="50" t="s">
        <v>2062</v>
      </c>
    </row>
    <row r="1929" customFormat="false" ht="7.5" hidden="false" customHeight="true" outlineLevel="0" collapsed="false">
      <c r="H1929" s="49" t="s">
        <v>2065</v>
      </c>
      <c r="I1929" s="50" t="s">
        <v>2066</v>
      </c>
    </row>
    <row r="1930" customFormat="false" ht="7.5" hidden="false" customHeight="true" outlineLevel="0" collapsed="false">
      <c r="H1930" s="49" t="s">
        <v>2069</v>
      </c>
      <c r="I1930" s="50" t="s">
        <v>2070</v>
      </c>
    </row>
    <row r="1931" customFormat="false" ht="7.5" hidden="false" customHeight="true" outlineLevel="0" collapsed="false">
      <c r="H1931" s="49" t="s">
        <v>2073</v>
      </c>
      <c r="I1931" s="50" t="s">
        <v>2074</v>
      </c>
    </row>
    <row r="1932" customFormat="false" ht="7.5" hidden="false" customHeight="true" outlineLevel="0" collapsed="false">
      <c r="H1932" s="49" t="s">
        <v>2077</v>
      </c>
      <c r="I1932" s="50" t="s">
        <v>2078</v>
      </c>
    </row>
    <row r="1933" customFormat="false" ht="7.5" hidden="false" customHeight="true" outlineLevel="0" collapsed="false">
      <c r="H1933" s="49" t="s">
        <v>2081</v>
      </c>
      <c r="I1933" s="50" t="s">
        <v>2082</v>
      </c>
    </row>
    <row r="1934" customFormat="false" ht="7.5" hidden="false" customHeight="true" outlineLevel="0" collapsed="false">
      <c r="H1934" s="49" t="s">
        <v>2085</v>
      </c>
      <c r="I1934" s="50" t="s">
        <v>2086</v>
      </c>
    </row>
    <row r="1935" customFormat="false" ht="7.5" hidden="false" customHeight="true" outlineLevel="0" collapsed="false">
      <c r="H1935" s="49" t="s">
        <v>2089</v>
      </c>
      <c r="I1935" s="50" t="s">
        <v>2090</v>
      </c>
    </row>
    <row r="1936" customFormat="false" ht="7.5" hidden="false" customHeight="true" outlineLevel="0" collapsed="false">
      <c r="H1936" s="49" t="s">
        <v>2093</v>
      </c>
      <c r="I1936" s="50" t="s">
        <v>2094</v>
      </c>
    </row>
    <row r="1937" customFormat="false" ht="7.5" hidden="false" customHeight="true" outlineLevel="0" collapsed="false">
      <c r="H1937" s="49" t="s">
        <v>2097</v>
      </c>
      <c r="I1937" s="50" t="s">
        <v>2098</v>
      </c>
    </row>
    <row r="1938" customFormat="false" ht="7.5" hidden="false" customHeight="true" outlineLevel="0" collapsed="false">
      <c r="H1938" s="49" t="s">
        <v>2101</v>
      </c>
      <c r="I1938" s="50" t="s">
        <v>2102</v>
      </c>
    </row>
    <row r="1939" customFormat="false" ht="7.5" hidden="false" customHeight="true" outlineLevel="0" collapsed="false">
      <c r="H1939" s="49" t="s">
        <v>2105</v>
      </c>
      <c r="I1939" s="50" t="s">
        <v>2106</v>
      </c>
    </row>
    <row r="1940" customFormat="false" ht="7.5" hidden="false" customHeight="true" outlineLevel="0" collapsed="false">
      <c r="H1940" s="49" t="s">
        <v>2109</v>
      </c>
      <c r="I1940" s="50" t="s">
        <v>2110</v>
      </c>
    </row>
    <row r="1941" customFormat="false" ht="7.5" hidden="false" customHeight="true" outlineLevel="0" collapsed="false">
      <c r="H1941" s="49" t="s">
        <v>2113</v>
      </c>
      <c r="I1941" s="50" t="s">
        <v>2114</v>
      </c>
    </row>
    <row r="1942" customFormat="false" ht="7.5" hidden="false" customHeight="true" outlineLevel="0" collapsed="false">
      <c r="H1942" s="49" t="s">
        <v>2117</v>
      </c>
      <c r="I1942" s="50" t="s">
        <v>2118</v>
      </c>
    </row>
    <row r="1943" customFormat="false" ht="7.5" hidden="false" customHeight="true" outlineLevel="0" collapsed="false">
      <c r="H1943" s="49" t="s">
        <v>2121</v>
      </c>
      <c r="I1943" s="50" t="s">
        <v>2122</v>
      </c>
    </row>
    <row r="1944" customFormat="false" ht="7.5" hidden="false" customHeight="true" outlineLevel="0" collapsed="false">
      <c r="H1944" s="49" t="s">
        <v>2125</v>
      </c>
      <c r="I1944" s="50" t="s">
        <v>2126</v>
      </c>
    </row>
    <row r="1945" customFormat="false" ht="7.5" hidden="false" customHeight="true" outlineLevel="0" collapsed="false">
      <c r="H1945" s="49" t="s">
        <v>2129</v>
      </c>
      <c r="I1945" s="50" t="s">
        <v>2130</v>
      </c>
    </row>
    <row r="1946" customFormat="false" ht="7.5" hidden="false" customHeight="true" outlineLevel="0" collapsed="false">
      <c r="H1946" s="49" t="s">
        <v>2133</v>
      </c>
      <c r="I1946" s="50" t="s">
        <v>2134</v>
      </c>
    </row>
    <row r="1947" customFormat="false" ht="7.5" hidden="false" customHeight="true" outlineLevel="0" collapsed="false">
      <c r="H1947" s="49" t="s">
        <v>2137</v>
      </c>
      <c r="I1947" s="50" t="s">
        <v>2138</v>
      </c>
    </row>
    <row r="1948" customFormat="false" ht="7.5" hidden="false" customHeight="true" outlineLevel="0" collapsed="false">
      <c r="H1948" s="49" t="s">
        <v>2140</v>
      </c>
      <c r="I1948" s="50" t="s">
        <v>2141</v>
      </c>
    </row>
    <row r="1949" customFormat="false" ht="7.5" hidden="false" customHeight="true" outlineLevel="0" collapsed="false">
      <c r="H1949" s="49" t="s">
        <v>2143</v>
      </c>
      <c r="I1949" s="50" t="s">
        <v>2144</v>
      </c>
    </row>
    <row r="1950" customFormat="false" ht="7.5" hidden="false" customHeight="true" outlineLevel="0" collapsed="false">
      <c r="H1950" s="39"/>
      <c r="I1950" s="40" t="s">
        <v>2146</v>
      </c>
    </row>
    <row r="1951" customFormat="false" ht="7.5" hidden="false" customHeight="true" outlineLevel="0" collapsed="false">
      <c r="H1951" s="49" t="s">
        <v>2147</v>
      </c>
      <c r="I1951" s="50" t="s">
        <v>2148</v>
      </c>
    </row>
    <row r="1952" customFormat="false" ht="7.5" hidden="false" customHeight="true" outlineLevel="0" collapsed="false">
      <c r="H1952" s="49" t="s">
        <v>2151</v>
      </c>
      <c r="I1952" s="50" t="s">
        <v>2152</v>
      </c>
    </row>
    <row r="1953" customFormat="false" ht="7.5" hidden="false" customHeight="true" outlineLevel="0" collapsed="false">
      <c r="H1953" s="49" t="s">
        <v>2155</v>
      </c>
      <c r="I1953" s="50" t="s">
        <v>2156</v>
      </c>
    </row>
    <row r="1954" customFormat="false" ht="7.5" hidden="false" customHeight="true" outlineLevel="0" collapsed="false">
      <c r="H1954" s="49" t="s">
        <v>2159</v>
      </c>
      <c r="I1954" s="50" t="s">
        <v>2160</v>
      </c>
    </row>
    <row r="1955" customFormat="false" ht="7.5" hidden="false" customHeight="true" outlineLevel="0" collapsed="false">
      <c r="H1955" s="49" t="s">
        <v>2163</v>
      </c>
      <c r="I1955" s="50" t="s">
        <v>2164</v>
      </c>
    </row>
    <row r="1956" customFormat="false" ht="7.5" hidden="false" customHeight="true" outlineLevel="0" collapsed="false">
      <c r="H1956" s="49" t="s">
        <v>2167</v>
      </c>
      <c r="I1956" s="50" t="s">
        <v>2168</v>
      </c>
    </row>
    <row r="1957" customFormat="false" ht="7.5" hidden="false" customHeight="true" outlineLevel="0" collapsed="false">
      <c r="H1957" s="49" t="s">
        <v>2171</v>
      </c>
      <c r="I1957" s="50" t="s">
        <v>2172</v>
      </c>
    </row>
    <row r="1958" customFormat="false" ht="7.5" hidden="false" customHeight="true" outlineLevel="0" collapsed="false">
      <c r="H1958" s="49" t="s">
        <v>2175</v>
      </c>
      <c r="I1958" s="50" t="s">
        <v>2176</v>
      </c>
    </row>
    <row r="1959" customFormat="false" ht="7.5" hidden="false" customHeight="true" outlineLevel="0" collapsed="false">
      <c r="H1959" s="49" t="s">
        <v>2179</v>
      </c>
      <c r="I1959" s="50" t="s">
        <v>2180</v>
      </c>
    </row>
    <row r="1960" customFormat="false" ht="7.5" hidden="false" customHeight="true" outlineLevel="0" collapsed="false">
      <c r="H1960" s="29"/>
      <c r="I1960" s="30" t="s">
        <v>2183</v>
      </c>
    </row>
    <row r="1961" customFormat="false" ht="7.5" hidden="false" customHeight="true" outlineLevel="0" collapsed="false">
      <c r="H1961" s="39"/>
      <c r="I1961" s="40" t="s">
        <v>2184</v>
      </c>
    </row>
    <row r="1962" customFormat="false" ht="7.5" hidden="false" customHeight="true" outlineLevel="0" collapsed="false">
      <c r="H1962" s="49" t="s">
        <v>2185</v>
      </c>
      <c r="I1962" s="50" t="s">
        <v>2186</v>
      </c>
    </row>
    <row r="1963" customFormat="false" ht="7.5" hidden="false" customHeight="true" outlineLevel="0" collapsed="false">
      <c r="H1963" s="49" t="s">
        <v>2189</v>
      </c>
      <c r="I1963" s="50" t="s">
        <v>2190</v>
      </c>
    </row>
    <row r="1964" customFormat="false" ht="7.5" hidden="false" customHeight="true" outlineLevel="0" collapsed="false">
      <c r="H1964" s="49" t="s">
        <v>2193</v>
      </c>
      <c r="I1964" s="50" t="s">
        <v>2194</v>
      </c>
    </row>
    <row r="1965" customFormat="false" ht="7.5" hidden="false" customHeight="true" outlineLevel="0" collapsed="false">
      <c r="H1965" s="49" t="s">
        <v>2197</v>
      </c>
      <c r="I1965" s="50" t="s">
        <v>2198</v>
      </c>
    </row>
    <row r="1966" customFormat="false" ht="7.5" hidden="false" customHeight="true" outlineLevel="0" collapsed="false">
      <c r="H1966" s="49" t="s">
        <v>2201</v>
      </c>
      <c r="I1966" s="50" t="s">
        <v>2202</v>
      </c>
    </row>
    <row r="1967" customFormat="false" ht="7.5" hidden="false" customHeight="true" outlineLevel="0" collapsed="false">
      <c r="H1967" s="49" t="s">
        <v>2205</v>
      </c>
      <c r="I1967" s="50" t="s">
        <v>2206</v>
      </c>
    </row>
    <row r="1968" customFormat="false" ht="7.5" hidden="false" customHeight="true" outlineLevel="0" collapsed="false">
      <c r="H1968" s="49" t="s">
        <v>2209</v>
      </c>
      <c r="I1968" s="50" t="s">
        <v>2210</v>
      </c>
    </row>
    <row r="1969" customFormat="false" ht="7.5" hidden="false" customHeight="true" outlineLevel="0" collapsed="false">
      <c r="H1969" s="49" t="s">
        <v>2213</v>
      </c>
      <c r="I1969" s="50" t="s">
        <v>2214</v>
      </c>
    </row>
    <row r="1970" customFormat="false" ht="7.5" hidden="false" customHeight="true" outlineLevel="0" collapsed="false">
      <c r="H1970" s="49" t="s">
        <v>2217</v>
      </c>
      <c r="I1970" s="50" t="s">
        <v>2218</v>
      </c>
    </row>
    <row r="1971" customFormat="false" ht="7.5" hidden="false" customHeight="true" outlineLevel="0" collapsed="false">
      <c r="H1971" s="49" t="s">
        <v>2221</v>
      </c>
      <c r="I1971" s="50" t="s">
        <v>2222</v>
      </c>
    </row>
    <row r="1972" customFormat="false" ht="7.5" hidden="false" customHeight="true" outlineLevel="0" collapsed="false">
      <c r="H1972" s="49" t="s">
        <v>2225</v>
      </c>
      <c r="I1972" s="50" t="s">
        <v>2226</v>
      </c>
    </row>
    <row r="1973" customFormat="false" ht="7.5" hidden="false" customHeight="true" outlineLevel="0" collapsed="false">
      <c r="H1973" s="49" t="s">
        <v>2229</v>
      </c>
      <c r="I1973" s="50" t="s">
        <v>2230</v>
      </c>
    </row>
    <row r="1974" customFormat="false" ht="7.5" hidden="false" customHeight="true" outlineLevel="0" collapsed="false">
      <c r="H1974" s="49" t="s">
        <v>2232</v>
      </c>
      <c r="I1974" s="50" t="s">
        <v>2233</v>
      </c>
    </row>
    <row r="1975" customFormat="false" ht="7.5" hidden="false" customHeight="true" outlineLevel="0" collapsed="false">
      <c r="H1975" s="49" t="s">
        <v>2236</v>
      </c>
      <c r="I1975" s="50" t="s">
        <v>2237</v>
      </c>
    </row>
    <row r="1976" customFormat="false" ht="7.5" hidden="false" customHeight="true" outlineLevel="0" collapsed="false">
      <c r="H1976" s="49" t="s">
        <v>2240</v>
      </c>
      <c r="I1976" s="50" t="s">
        <v>2241</v>
      </c>
    </row>
    <row r="1977" customFormat="false" ht="7.5" hidden="false" customHeight="true" outlineLevel="0" collapsed="false">
      <c r="H1977" s="49" t="s">
        <v>2244</v>
      </c>
      <c r="I1977" s="50" t="s">
        <v>2245</v>
      </c>
    </row>
    <row r="1978" customFormat="false" ht="7.5" hidden="false" customHeight="true" outlineLevel="0" collapsed="false">
      <c r="H1978" s="49" t="s">
        <v>2248</v>
      </c>
      <c r="I1978" s="50" t="s">
        <v>2249</v>
      </c>
    </row>
    <row r="1979" customFormat="false" ht="7.5" hidden="false" customHeight="true" outlineLevel="0" collapsed="false">
      <c r="H1979" s="49" t="s">
        <v>2251</v>
      </c>
      <c r="I1979" s="50" t="s">
        <v>2252</v>
      </c>
    </row>
    <row r="1980" customFormat="false" ht="7.5" hidden="false" customHeight="true" outlineLevel="0" collapsed="false">
      <c r="H1980" s="49" t="s">
        <v>2254</v>
      </c>
      <c r="I1980" s="50" t="s">
        <v>2255</v>
      </c>
    </row>
    <row r="1981" customFormat="false" ht="7.5" hidden="false" customHeight="true" outlineLevel="0" collapsed="false">
      <c r="H1981" s="39"/>
      <c r="I1981" s="40" t="s">
        <v>2258</v>
      </c>
    </row>
    <row r="1982" customFormat="false" ht="7.5" hidden="false" customHeight="true" outlineLevel="0" collapsed="false">
      <c r="H1982" s="49" t="s">
        <v>2259</v>
      </c>
      <c r="I1982" s="50" t="s">
        <v>2260</v>
      </c>
    </row>
    <row r="1983" customFormat="false" ht="7.5" hidden="false" customHeight="true" outlineLevel="0" collapsed="false">
      <c r="H1983" s="49" t="s">
        <v>2263</v>
      </c>
      <c r="I1983" s="50" t="s">
        <v>2264</v>
      </c>
    </row>
    <row r="1984" customFormat="false" ht="7.5" hidden="false" customHeight="true" outlineLevel="0" collapsed="false">
      <c r="H1984" s="49" t="s">
        <v>2267</v>
      </c>
      <c r="I1984" s="50" t="s">
        <v>2268</v>
      </c>
    </row>
    <row r="1985" customFormat="false" ht="7.5" hidden="false" customHeight="true" outlineLevel="0" collapsed="false">
      <c r="H1985" s="49" t="s">
        <v>2270</v>
      </c>
      <c r="I1985" s="50" t="s">
        <v>2271</v>
      </c>
    </row>
    <row r="1986" customFormat="false" ht="7.5" hidden="false" customHeight="true" outlineLevel="0" collapsed="false">
      <c r="H1986" s="49" t="s">
        <v>2274</v>
      </c>
      <c r="I1986" s="50" t="s">
        <v>2275</v>
      </c>
    </row>
    <row r="1987" customFormat="false" ht="7.5" hidden="false" customHeight="true" outlineLevel="0" collapsed="false">
      <c r="H1987" s="49" t="s">
        <v>2278</v>
      </c>
      <c r="I1987" s="50" t="s">
        <v>2279</v>
      </c>
    </row>
    <row r="1988" customFormat="false" ht="7.5" hidden="false" customHeight="true" outlineLevel="0" collapsed="false">
      <c r="H1988" s="49" t="s">
        <v>2282</v>
      </c>
      <c r="I1988" s="50" t="s">
        <v>2283</v>
      </c>
    </row>
    <row r="1989" customFormat="false" ht="7.5" hidden="false" customHeight="true" outlineLevel="0" collapsed="false">
      <c r="H1989" s="49" t="s">
        <v>2286</v>
      </c>
      <c r="I1989" s="50" t="s">
        <v>2287</v>
      </c>
    </row>
    <row r="1990" customFormat="false" ht="7.5" hidden="false" customHeight="true" outlineLevel="0" collapsed="false">
      <c r="H1990" s="39"/>
      <c r="I1990" s="40" t="s">
        <v>2290</v>
      </c>
    </row>
    <row r="1991" customFormat="false" ht="7.5" hidden="false" customHeight="true" outlineLevel="0" collapsed="false">
      <c r="H1991" s="49" t="s">
        <v>2291</v>
      </c>
      <c r="I1991" s="50" t="s">
        <v>2292</v>
      </c>
    </row>
    <row r="1992" customFormat="false" ht="7.5" hidden="false" customHeight="true" outlineLevel="0" collapsed="false">
      <c r="H1992" s="49" t="s">
        <v>2295</v>
      </c>
      <c r="I1992" s="50" t="s">
        <v>2296</v>
      </c>
    </row>
    <row r="1993" customFormat="false" ht="7.5" hidden="false" customHeight="true" outlineLevel="0" collapsed="false">
      <c r="H1993" s="39"/>
      <c r="I1993" s="40" t="s">
        <v>2299</v>
      </c>
    </row>
    <row r="1994" customFormat="false" ht="7.5" hidden="false" customHeight="true" outlineLevel="0" collapsed="false">
      <c r="H1994" s="49" t="s">
        <v>2300</v>
      </c>
      <c r="I1994" s="50" t="s">
        <v>2301</v>
      </c>
    </row>
    <row r="1995" customFormat="false" ht="7.5" hidden="false" customHeight="true" outlineLevel="0" collapsed="false">
      <c r="H1995" s="49" t="s">
        <v>2304</v>
      </c>
      <c r="I1995" s="50" t="s">
        <v>2305</v>
      </c>
    </row>
    <row r="1996" customFormat="false" ht="7.5" hidden="false" customHeight="true" outlineLevel="0" collapsed="false">
      <c r="H1996" s="49" t="s">
        <v>2308</v>
      </c>
      <c r="I1996" s="50" t="s">
        <v>2309</v>
      </c>
    </row>
    <row r="1997" customFormat="false" ht="7.5" hidden="false" customHeight="true" outlineLevel="0" collapsed="false">
      <c r="H1997" s="39"/>
      <c r="I1997" s="40" t="s">
        <v>2312</v>
      </c>
    </row>
    <row r="1998" customFormat="false" ht="7.5" hidden="false" customHeight="true" outlineLevel="0" collapsed="false">
      <c r="H1998" s="49" t="s">
        <v>2313</v>
      </c>
      <c r="I1998" s="50" t="s">
        <v>2314</v>
      </c>
    </row>
    <row r="1999" customFormat="false" ht="7.5" hidden="false" customHeight="true" outlineLevel="0" collapsed="false">
      <c r="H1999" s="49" t="s">
        <v>2316</v>
      </c>
      <c r="I1999" s="50" t="s">
        <v>2317</v>
      </c>
    </row>
    <row r="2000" customFormat="false" ht="7.5" hidden="false" customHeight="true" outlineLevel="0" collapsed="false">
      <c r="H2000" s="49" t="s">
        <v>2320</v>
      </c>
      <c r="I2000" s="50" t="s">
        <v>2321</v>
      </c>
    </row>
    <row r="2001" customFormat="false" ht="7.5" hidden="false" customHeight="true" outlineLevel="0" collapsed="false">
      <c r="H2001" s="49" t="s">
        <v>2324</v>
      </c>
      <c r="I2001" s="50" t="s">
        <v>2325</v>
      </c>
    </row>
    <row r="2002" customFormat="false" ht="7.5" hidden="false" customHeight="true" outlineLevel="0" collapsed="false">
      <c r="H2002" s="49" t="s">
        <v>2328</v>
      </c>
      <c r="I2002" s="50" t="s">
        <v>2329</v>
      </c>
    </row>
    <row r="2003" customFormat="false" ht="7.5" hidden="false" customHeight="true" outlineLevel="0" collapsed="false">
      <c r="H2003" s="49" t="s">
        <v>2332</v>
      </c>
      <c r="I2003" s="50" t="s">
        <v>2333</v>
      </c>
    </row>
    <row r="2004" customFormat="false" ht="7.5" hidden="false" customHeight="true" outlineLevel="0" collapsed="false">
      <c r="H2004" s="49" t="s">
        <v>2336</v>
      </c>
      <c r="I2004" s="50" t="s">
        <v>2337</v>
      </c>
    </row>
    <row r="2005" customFormat="false" ht="7.5" hidden="false" customHeight="true" outlineLevel="0" collapsed="false">
      <c r="H2005" s="49" t="s">
        <v>2340</v>
      </c>
      <c r="I2005" s="50" t="s">
        <v>2341</v>
      </c>
    </row>
    <row r="2006" customFormat="false" ht="7.5" hidden="false" customHeight="true" outlineLevel="0" collapsed="false">
      <c r="H2006" s="39"/>
      <c r="I2006" s="40" t="s">
        <v>2344</v>
      </c>
    </row>
    <row r="2007" customFormat="false" ht="7.5" hidden="false" customHeight="true" outlineLevel="0" collapsed="false">
      <c r="H2007" s="49" t="s">
        <v>2345</v>
      </c>
      <c r="I2007" s="50" t="s">
        <v>2346</v>
      </c>
    </row>
    <row r="2008" customFormat="false" ht="7.5" hidden="false" customHeight="true" outlineLevel="0" collapsed="false">
      <c r="H2008" s="49" t="s">
        <v>2349</v>
      </c>
      <c r="I2008" s="50" t="s">
        <v>2350</v>
      </c>
    </row>
    <row r="2009" customFormat="false" ht="7.5" hidden="false" customHeight="true" outlineLevel="0" collapsed="false">
      <c r="H2009" s="39"/>
      <c r="I2009" s="40" t="s">
        <v>2353</v>
      </c>
    </row>
    <row r="2010" customFormat="false" ht="7.5" hidden="false" customHeight="true" outlineLevel="0" collapsed="false">
      <c r="H2010" s="49" t="s">
        <v>2354</v>
      </c>
      <c r="I2010" s="50" t="s">
        <v>2355</v>
      </c>
    </row>
    <row r="2011" customFormat="false" ht="7.5" hidden="false" customHeight="true" outlineLevel="0" collapsed="false">
      <c r="H2011" s="49" t="s">
        <v>2358</v>
      </c>
      <c r="I2011" s="50" t="s">
        <v>2359</v>
      </c>
    </row>
    <row r="2012" customFormat="false" ht="7.5" hidden="false" customHeight="true" outlineLevel="0" collapsed="false">
      <c r="H2012" s="49" t="s">
        <v>2362</v>
      </c>
      <c r="I2012" s="50" t="s">
        <v>2363</v>
      </c>
    </row>
    <row r="2013" customFormat="false" ht="7.5" hidden="false" customHeight="true" outlineLevel="0" collapsed="false">
      <c r="H2013" s="39"/>
      <c r="I2013" s="40" t="s">
        <v>2366</v>
      </c>
    </row>
    <row r="2014" customFormat="false" ht="7.5" hidden="false" customHeight="true" outlineLevel="0" collapsed="false">
      <c r="H2014" s="49" t="s">
        <v>2367</v>
      </c>
      <c r="I2014" s="50" t="s">
        <v>2368</v>
      </c>
    </row>
    <row r="2015" customFormat="false" ht="7.5" hidden="false" customHeight="true" outlineLevel="0" collapsed="false">
      <c r="H2015" s="39"/>
      <c r="I2015" s="40" t="s">
        <v>2371</v>
      </c>
    </row>
    <row r="2016" customFormat="false" ht="7.5" hidden="false" customHeight="true" outlineLevel="0" collapsed="false">
      <c r="H2016" s="49" t="s">
        <v>2372</v>
      </c>
      <c r="I2016" s="50" t="s">
        <v>2373</v>
      </c>
    </row>
    <row r="2017" customFormat="false" ht="7.5" hidden="false" customHeight="true" outlineLevel="0" collapsed="false">
      <c r="H2017" s="39"/>
      <c r="I2017" s="40" t="s">
        <v>2376</v>
      </c>
    </row>
    <row r="2018" customFormat="false" ht="7.5" hidden="false" customHeight="true" outlineLevel="0" collapsed="false">
      <c r="H2018" s="49" t="s">
        <v>2377</v>
      </c>
      <c r="I2018" s="50" t="s">
        <v>2378</v>
      </c>
    </row>
    <row r="2019" customFormat="false" ht="7.5" hidden="false" customHeight="true" outlineLevel="0" collapsed="false">
      <c r="H2019" s="49" t="s">
        <v>2381</v>
      </c>
      <c r="I2019" s="50" t="s">
        <v>2382</v>
      </c>
    </row>
    <row r="2020" customFormat="false" ht="7.5" hidden="false" customHeight="true" outlineLevel="0" collapsed="false">
      <c r="H2020" s="49" t="s">
        <v>2384</v>
      </c>
      <c r="I2020" s="50" t="s">
        <v>2385</v>
      </c>
    </row>
    <row r="2021" customFormat="false" ht="7.5" hidden="false" customHeight="true" outlineLevel="0" collapsed="false">
      <c r="H2021" s="49" t="s">
        <v>2387</v>
      </c>
      <c r="I2021" s="50" t="s">
        <v>2388</v>
      </c>
    </row>
    <row r="2022" customFormat="false" ht="7.5" hidden="false" customHeight="true" outlineLevel="0" collapsed="false">
      <c r="H2022" s="39"/>
      <c r="I2022" s="40" t="s">
        <v>2391</v>
      </c>
    </row>
    <row r="2023" customFormat="false" ht="7.5" hidden="false" customHeight="true" outlineLevel="0" collapsed="false">
      <c r="H2023" s="49" t="s">
        <v>2392</v>
      </c>
      <c r="I2023" s="50" t="s">
        <v>2393</v>
      </c>
    </row>
    <row r="2024" customFormat="false" ht="7.5" hidden="false" customHeight="true" outlineLevel="0" collapsed="false">
      <c r="H2024" s="49" t="s">
        <v>2396</v>
      </c>
      <c r="I2024" s="50" t="s">
        <v>2397</v>
      </c>
    </row>
    <row r="2025" customFormat="false" ht="7.5" hidden="false" customHeight="true" outlineLevel="0" collapsed="false">
      <c r="H2025" s="39"/>
      <c r="I2025" s="40" t="s">
        <v>2400</v>
      </c>
    </row>
    <row r="2026" customFormat="false" ht="7.5" hidden="false" customHeight="true" outlineLevel="0" collapsed="false">
      <c r="H2026" s="49" t="s">
        <v>2401</v>
      </c>
      <c r="I2026" s="50" t="s">
        <v>2402</v>
      </c>
    </row>
    <row r="2027" customFormat="false" ht="7.5" hidden="false" customHeight="true" outlineLevel="0" collapsed="false">
      <c r="H2027" s="49" t="s">
        <v>2405</v>
      </c>
      <c r="I2027" s="50" t="s">
        <v>2406</v>
      </c>
    </row>
    <row r="2028" customFormat="false" ht="7.5" hidden="false" customHeight="true" outlineLevel="0" collapsed="false">
      <c r="H2028" s="49" t="s">
        <v>2408</v>
      </c>
      <c r="I2028" s="50" t="s">
        <v>2409</v>
      </c>
    </row>
    <row r="2029" customFormat="false" ht="7.5" hidden="false" customHeight="true" outlineLevel="0" collapsed="false">
      <c r="H2029" s="49" t="s">
        <v>2411</v>
      </c>
      <c r="I2029" s="50" t="s">
        <v>2412</v>
      </c>
    </row>
    <row r="2030" customFormat="false" ht="7.5" hidden="false" customHeight="true" outlineLevel="0" collapsed="false">
      <c r="H2030" s="39"/>
      <c r="I2030" s="40" t="s">
        <v>2414</v>
      </c>
    </row>
    <row r="2031" customFormat="false" ht="7.5" hidden="false" customHeight="true" outlineLevel="0" collapsed="false">
      <c r="H2031" s="49" t="s">
        <v>2415</v>
      </c>
      <c r="I2031" s="50" t="s">
        <v>2416</v>
      </c>
    </row>
    <row r="2032" customFormat="false" ht="7.5" hidden="false" customHeight="true" outlineLevel="0" collapsed="false">
      <c r="H2032" s="49" t="s">
        <v>2419</v>
      </c>
      <c r="I2032" s="50" t="s">
        <v>2420</v>
      </c>
    </row>
    <row r="2033" customFormat="false" ht="7.5" hidden="false" customHeight="true" outlineLevel="0" collapsed="false">
      <c r="H2033" s="49" t="s">
        <v>2423</v>
      </c>
      <c r="I2033" s="50" t="s">
        <v>2424</v>
      </c>
    </row>
    <row r="2034" customFormat="false" ht="7.5" hidden="false" customHeight="true" outlineLevel="0" collapsed="false">
      <c r="H2034" s="49" t="s">
        <v>2427</v>
      </c>
      <c r="I2034" s="50" t="s">
        <v>2428</v>
      </c>
    </row>
    <row r="2035" customFormat="false" ht="7.5" hidden="false" customHeight="true" outlineLevel="0" collapsed="false">
      <c r="H2035" s="49" t="s">
        <v>2431</v>
      </c>
      <c r="I2035" s="50" t="s">
        <v>2432</v>
      </c>
    </row>
    <row r="2036" customFormat="false" ht="7.5" hidden="false" customHeight="true" outlineLevel="0" collapsed="false">
      <c r="H2036" s="39"/>
      <c r="I2036" s="40" t="s">
        <v>2435</v>
      </c>
    </row>
    <row r="2037" customFormat="false" ht="7.5" hidden="false" customHeight="true" outlineLevel="0" collapsed="false">
      <c r="H2037" s="49" t="s">
        <v>2436</v>
      </c>
      <c r="I2037" s="50" t="s">
        <v>2437</v>
      </c>
    </row>
    <row r="2038" customFormat="false" ht="7.5" hidden="false" customHeight="true" outlineLevel="0" collapsed="false">
      <c r="H2038" s="49" t="s">
        <v>2440</v>
      </c>
      <c r="I2038" s="50" t="s">
        <v>2441</v>
      </c>
    </row>
    <row r="2039" customFormat="false" ht="7.5" hidden="false" customHeight="true" outlineLevel="0" collapsed="false">
      <c r="H2039" s="49" t="s">
        <v>2444</v>
      </c>
      <c r="I2039" s="50" t="s">
        <v>2445</v>
      </c>
    </row>
    <row r="2040" customFormat="false" ht="7.5" hidden="false" customHeight="true" outlineLevel="0" collapsed="false">
      <c r="H2040" s="49" t="s">
        <v>2447</v>
      </c>
      <c r="I2040" s="50" t="s">
        <v>2448</v>
      </c>
    </row>
    <row r="2041" customFormat="false" ht="7.5" hidden="false" customHeight="true" outlineLevel="0" collapsed="false">
      <c r="H2041" s="29"/>
      <c r="I2041" s="30" t="s">
        <v>2451</v>
      </c>
    </row>
    <row r="2042" customFormat="false" ht="7.5" hidden="false" customHeight="true" outlineLevel="0" collapsed="false">
      <c r="H2042" s="39"/>
      <c r="I2042" s="40" t="s">
        <v>2452</v>
      </c>
    </row>
    <row r="2043" customFormat="false" ht="7.5" hidden="false" customHeight="true" outlineLevel="0" collapsed="false">
      <c r="H2043" s="49" t="s">
        <v>2453</v>
      </c>
      <c r="I2043" s="50" t="s">
        <v>2454</v>
      </c>
    </row>
    <row r="2044" customFormat="false" ht="7.5" hidden="false" customHeight="true" outlineLevel="0" collapsed="false">
      <c r="H2044" s="49" t="s">
        <v>2457</v>
      </c>
      <c r="I2044" s="50" t="s">
        <v>2458</v>
      </c>
    </row>
    <row r="2045" customFormat="false" ht="7.5" hidden="false" customHeight="true" outlineLevel="0" collapsed="false">
      <c r="H2045" s="49" t="s">
        <v>2461</v>
      </c>
      <c r="I2045" s="50" t="s">
        <v>2462</v>
      </c>
    </row>
    <row r="2046" customFormat="false" ht="7.5" hidden="false" customHeight="true" outlineLevel="0" collapsed="false">
      <c r="H2046" s="49" t="s">
        <v>2464</v>
      </c>
      <c r="I2046" s="50" t="s">
        <v>2465</v>
      </c>
    </row>
    <row r="2047" customFormat="false" ht="7.5" hidden="false" customHeight="true" outlineLevel="0" collapsed="false">
      <c r="H2047" s="49" t="s">
        <v>2468</v>
      </c>
      <c r="I2047" s="50" t="s">
        <v>2469</v>
      </c>
    </row>
    <row r="2048" customFormat="false" ht="7.5" hidden="false" customHeight="true" outlineLevel="0" collapsed="false">
      <c r="H2048" s="49" t="s">
        <v>2471</v>
      </c>
      <c r="I2048" s="50" t="s">
        <v>2472</v>
      </c>
    </row>
    <row r="2049" customFormat="false" ht="7.5" hidden="false" customHeight="true" outlineLevel="0" collapsed="false">
      <c r="H2049" s="49" t="s">
        <v>2475</v>
      </c>
      <c r="I2049" s="50" t="s">
        <v>2476</v>
      </c>
    </row>
    <row r="2050" customFormat="false" ht="7.5" hidden="false" customHeight="true" outlineLevel="0" collapsed="false">
      <c r="H2050" s="49" t="s">
        <v>2478</v>
      </c>
      <c r="I2050" s="50" t="s">
        <v>2479</v>
      </c>
    </row>
    <row r="2051" customFormat="false" ht="7.5" hidden="false" customHeight="true" outlineLevel="0" collapsed="false">
      <c r="H2051" s="49" t="s">
        <v>2481</v>
      </c>
      <c r="I2051" s="50" t="s">
        <v>2482</v>
      </c>
    </row>
    <row r="2052" customFormat="false" ht="7.5" hidden="false" customHeight="true" outlineLevel="0" collapsed="false">
      <c r="H2052" s="49" t="s">
        <v>2483</v>
      </c>
      <c r="I2052" s="50" t="s">
        <v>2484</v>
      </c>
    </row>
    <row r="2053" customFormat="false" ht="7.5" hidden="false" customHeight="true" outlineLevel="0" collapsed="false">
      <c r="H2053" s="49" t="s">
        <v>2486</v>
      </c>
      <c r="I2053" s="50" t="s">
        <v>2487</v>
      </c>
    </row>
    <row r="2054" customFormat="false" ht="7.5" hidden="false" customHeight="true" outlineLevel="0" collapsed="false">
      <c r="H2054" s="39"/>
      <c r="I2054" s="40" t="s">
        <v>2489</v>
      </c>
    </row>
    <row r="2055" customFormat="false" ht="7.5" hidden="false" customHeight="true" outlineLevel="0" collapsed="false">
      <c r="H2055" s="49" t="s">
        <v>2490</v>
      </c>
      <c r="I2055" s="50" t="s">
        <v>2491</v>
      </c>
    </row>
    <row r="2056" customFormat="false" ht="7.5" hidden="false" customHeight="true" outlineLevel="0" collapsed="false">
      <c r="H2056" s="49" t="s">
        <v>2494</v>
      </c>
      <c r="I2056" s="50" t="s">
        <v>2495</v>
      </c>
    </row>
    <row r="2057" customFormat="false" ht="7.5" hidden="false" customHeight="true" outlineLevel="0" collapsed="false">
      <c r="H2057" s="49" t="s">
        <v>2498</v>
      </c>
      <c r="I2057" s="50" t="s">
        <v>2499</v>
      </c>
    </row>
    <row r="2058" customFormat="false" ht="7.5" hidden="false" customHeight="true" outlineLevel="0" collapsed="false">
      <c r="H2058" s="49" t="s">
        <v>2502</v>
      </c>
      <c r="I2058" s="50" t="s">
        <v>2503</v>
      </c>
    </row>
    <row r="2059" customFormat="false" ht="7.5" hidden="false" customHeight="true" outlineLevel="0" collapsed="false">
      <c r="H2059" s="49" t="s">
        <v>2506</v>
      </c>
      <c r="I2059" s="50" t="s">
        <v>2507</v>
      </c>
    </row>
    <row r="2060" customFormat="false" ht="7.5" hidden="false" customHeight="true" outlineLevel="0" collapsed="false">
      <c r="H2060" s="49" t="s">
        <v>2510</v>
      </c>
      <c r="I2060" s="50" t="s">
        <v>2511</v>
      </c>
    </row>
    <row r="2061" customFormat="false" ht="7.5" hidden="false" customHeight="true" outlineLevel="0" collapsed="false">
      <c r="H2061" s="49" t="s">
        <v>2514</v>
      </c>
      <c r="I2061" s="50" t="s">
        <v>2515</v>
      </c>
    </row>
    <row r="2062" customFormat="false" ht="7.5" hidden="false" customHeight="true" outlineLevel="0" collapsed="false">
      <c r="H2062" s="39"/>
      <c r="I2062" s="40" t="s">
        <v>2518</v>
      </c>
    </row>
    <row r="2063" customFormat="false" ht="7.5" hidden="false" customHeight="true" outlineLevel="0" collapsed="false">
      <c r="H2063" s="49" t="s">
        <v>2519</v>
      </c>
      <c r="I2063" s="50" t="s">
        <v>2520</v>
      </c>
    </row>
    <row r="2064" customFormat="false" ht="7.5" hidden="false" customHeight="true" outlineLevel="0" collapsed="false">
      <c r="H2064" s="39"/>
      <c r="I2064" s="40" t="s">
        <v>2523</v>
      </c>
    </row>
    <row r="2065" customFormat="false" ht="7.5" hidden="false" customHeight="true" outlineLevel="0" collapsed="false">
      <c r="H2065" s="49" t="s">
        <v>2524</v>
      </c>
      <c r="I2065" s="50" t="s">
        <v>2525</v>
      </c>
    </row>
    <row r="2066" customFormat="false" ht="7.5" hidden="false" customHeight="true" outlineLevel="0" collapsed="false">
      <c r="H2066" s="49" t="s">
        <v>2528</v>
      </c>
      <c r="I2066" s="50" t="s">
        <v>2529</v>
      </c>
    </row>
    <row r="2067" customFormat="false" ht="7.5" hidden="false" customHeight="true" outlineLevel="0" collapsed="false">
      <c r="H2067" s="49" t="s">
        <v>2532</v>
      </c>
      <c r="I2067" s="50" t="s">
        <v>2533</v>
      </c>
    </row>
    <row r="2068" customFormat="false" ht="7.5" hidden="false" customHeight="true" outlineLevel="0" collapsed="false">
      <c r="H2068" s="39"/>
      <c r="I2068" s="40" t="s">
        <v>2536</v>
      </c>
    </row>
    <row r="2069" customFormat="false" ht="7.5" hidden="false" customHeight="true" outlineLevel="0" collapsed="false">
      <c r="H2069" s="49" t="s">
        <v>2537</v>
      </c>
      <c r="I2069" s="50" t="s">
        <v>2538</v>
      </c>
    </row>
    <row r="2070" customFormat="false" ht="7.5" hidden="false" customHeight="true" outlineLevel="0" collapsed="false">
      <c r="H2070" s="39"/>
      <c r="I2070" s="40" t="s">
        <v>2541</v>
      </c>
    </row>
    <row r="2071" customFormat="false" ht="7.5" hidden="false" customHeight="true" outlineLevel="0" collapsed="false">
      <c r="H2071" s="49" t="s">
        <v>2542</v>
      </c>
      <c r="I2071" s="50" t="s">
        <v>2543</v>
      </c>
    </row>
    <row r="2072" customFormat="false" ht="7.5" hidden="false" customHeight="true" outlineLevel="0" collapsed="false">
      <c r="H2072" s="49" t="s">
        <v>2546</v>
      </c>
      <c r="I2072" s="50" t="s">
        <v>2547</v>
      </c>
    </row>
    <row r="2073" customFormat="false" ht="7.5" hidden="false" customHeight="true" outlineLevel="0" collapsed="false">
      <c r="H2073" s="49" t="s">
        <v>2550</v>
      </c>
      <c r="I2073" s="50" t="s">
        <v>2551</v>
      </c>
    </row>
    <row r="2074" customFormat="false" ht="7.5" hidden="false" customHeight="true" outlineLevel="0" collapsed="false">
      <c r="H2074" s="49" t="s">
        <v>2554</v>
      </c>
      <c r="I2074" s="50" t="s">
        <v>2555</v>
      </c>
    </row>
    <row r="2075" customFormat="false" ht="7.5" hidden="false" customHeight="true" outlineLevel="0" collapsed="false">
      <c r="H2075" s="49" t="s">
        <v>2558</v>
      </c>
      <c r="I2075" s="50" t="s">
        <v>2559</v>
      </c>
    </row>
    <row r="2076" customFormat="false" ht="7.5" hidden="false" customHeight="true" outlineLevel="0" collapsed="false">
      <c r="H2076" s="39"/>
      <c r="I2076" s="40" t="s">
        <v>2560</v>
      </c>
    </row>
    <row r="2077" customFormat="false" ht="7.5" hidden="false" customHeight="true" outlineLevel="0" collapsed="false">
      <c r="H2077" s="49" t="s">
        <v>2561</v>
      </c>
      <c r="I2077" s="50" t="s">
        <v>2562</v>
      </c>
    </row>
    <row r="2078" customFormat="false" ht="7.5" hidden="false" customHeight="true" outlineLevel="0" collapsed="false">
      <c r="H2078" s="49" t="s">
        <v>2565</v>
      </c>
      <c r="I2078" s="50" t="s">
        <v>2566</v>
      </c>
    </row>
    <row r="2079" customFormat="false" ht="7.5" hidden="false" customHeight="true" outlineLevel="0" collapsed="false">
      <c r="H2079" s="49" t="s">
        <v>2569</v>
      </c>
      <c r="I2079" s="50" t="s">
        <v>2570</v>
      </c>
    </row>
    <row r="2080" customFormat="false" ht="7.5" hidden="false" customHeight="true" outlineLevel="0" collapsed="false">
      <c r="H2080" s="39"/>
      <c r="I2080" s="40" t="s">
        <v>2573</v>
      </c>
    </row>
    <row r="2081" customFormat="false" ht="7.5" hidden="false" customHeight="true" outlineLevel="0" collapsed="false">
      <c r="H2081" s="49" t="s">
        <v>2574</v>
      </c>
      <c r="I2081" s="50" t="s">
        <v>2575</v>
      </c>
    </row>
    <row r="2082" customFormat="false" ht="7.5" hidden="false" customHeight="true" outlineLevel="0" collapsed="false">
      <c r="H2082" s="49" t="s">
        <v>2578</v>
      </c>
      <c r="I2082" s="50" t="s">
        <v>2579</v>
      </c>
    </row>
    <row r="2083" customFormat="false" ht="7.5" hidden="false" customHeight="true" outlineLevel="0" collapsed="false">
      <c r="H2083" s="49" t="s">
        <v>2582</v>
      </c>
      <c r="I2083" s="50" t="s">
        <v>2583</v>
      </c>
    </row>
    <row r="2084" customFormat="false" ht="7.5" hidden="false" customHeight="true" outlineLevel="0" collapsed="false">
      <c r="H2084" s="39"/>
      <c r="I2084" s="40" t="s">
        <v>2586</v>
      </c>
    </row>
    <row r="2085" customFormat="false" ht="7.5" hidden="false" customHeight="true" outlineLevel="0" collapsed="false">
      <c r="H2085" s="49" t="s">
        <v>2587</v>
      </c>
      <c r="I2085" s="50" t="s">
        <v>2588</v>
      </c>
    </row>
    <row r="2086" customFormat="false" ht="7.5" hidden="false" customHeight="true" outlineLevel="0" collapsed="false">
      <c r="H2086" s="49" t="s">
        <v>2591</v>
      </c>
      <c r="I2086" s="50" t="s">
        <v>2592</v>
      </c>
    </row>
    <row r="2087" customFormat="false" ht="7.5" hidden="false" customHeight="true" outlineLevel="0" collapsed="false">
      <c r="H2087" s="49" t="s">
        <v>2595</v>
      </c>
      <c r="I2087" s="50" t="s">
        <v>2596</v>
      </c>
    </row>
    <row r="2088" customFormat="false" ht="7.5" hidden="false" customHeight="true" outlineLevel="0" collapsed="false">
      <c r="H2088" s="49" t="s">
        <v>2599</v>
      </c>
      <c r="I2088" s="50" t="s">
        <v>2600</v>
      </c>
    </row>
    <row r="2089" customFormat="false" ht="7.5" hidden="false" customHeight="true" outlineLevel="0" collapsed="false">
      <c r="H2089" s="49" t="s">
        <v>2603</v>
      </c>
      <c r="I2089" s="50" t="s">
        <v>2604</v>
      </c>
    </row>
    <row r="2090" customFormat="false" ht="7.5" hidden="false" customHeight="true" outlineLevel="0" collapsed="false">
      <c r="H2090" s="49" t="s">
        <v>2607</v>
      </c>
      <c r="I2090" s="50" t="s">
        <v>2608</v>
      </c>
    </row>
    <row r="2091" customFormat="false" ht="7.5" hidden="false" customHeight="true" outlineLevel="0" collapsed="false">
      <c r="H2091" s="29"/>
      <c r="I2091" s="30" t="s">
        <v>2611</v>
      </c>
    </row>
    <row r="2092" customFormat="false" ht="7.5" hidden="false" customHeight="true" outlineLevel="0" collapsed="false">
      <c r="H2092" s="39"/>
      <c r="I2092" s="40" t="s">
        <v>2612</v>
      </c>
    </row>
    <row r="2093" customFormat="false" ht="7.5" hidden="false" customHeight="true" outlineLevel="0" collapsed="false">
      <c r="H2093" s="49" t="s">
        <v>2613</v>
      </c>
      <c r="I2093" s="50" t="s">
        <v>2614</v>
      </c>
    </row>
    <row r="2094" customFormat="false" ht="7.5" hidden="false" customHeight="true" outlineLevel="0" collapsed="false">
      <c r="H2094" s="49" t="s">
        <v>2617</v>
      </c>
      <c r="I2094" s="50" t="s">
        <v>2618</v>
      </c>
    </row>
    <row r="2095" customFormat="false" ht="7.5" hidden="false" customHeight="true" outlineLevel="0" collapsed="false">
      <c r="H2095" s="49" t="s">
        <v>2621</v>
      </c>
      <c r="I2095" s="50" t="s">
        <v>2622</v>
      </c>
    </row>
    <row r="2096" customFormat="false" ht="7.5" hidden="false" customHeight="true" outlineLevel="0" collapsed="false">
      <c r="H2096" s="49" t="s">
        <v>2625</v>
      </c>
      <c r="I2096" s="50" t="s">
        <v>2626</v>
      </c>
    </row>
    <row r="2097" customFormat="false" ht="7.5" hidden="false" customHeight="true" outlineLevel="0" collapsed="false">
      <c r="H2097" s="49" t="s">
        <v>2629</v>
      </c>
      <c r="I2097" s="50" t="s">
        <v>2630</v>
      </c>
    </row>
    <row r="2098" customFormat="false" ht="7.5" hidden="false" customHeight="true" outlineLevel="0" collapsed="false">
      <c r="H2098" s="49" t="s">
        <v>2633</v>
      </c>
      <c r="I2098" s="50" t="s">
        <v>2634</v>
      </c>
    </row>
    <row r="2099" customFormat="false" ht="7.5" hidden="false" customHeight="true" outlineLevel="0" collapsed="false">
      <c r="H2099" s="49" t="s">
        <v>2637</v>
      </c>
      <c r="I2099" s="50" t="s">
        <v>2638</v>
      </c>
    </row>
    <row r="2100" customFormat="false" ht="7.5" hidden="false" customHeight="true" outlineLevel="0" collapsed="false">
      <c r="H2100" s="49" t="s">
        <v>2641</v>
      </c>
      <c r="I2100" s="50" t="s">
        <v>2642</v>
      </c>
    </row>
    <row r="2101" customFormat="false" ht="7.5" hidden="false" customHeight="true" outlineLevel="0" collapsed="false">
      <c r="H2101" s="39"/>
      <c r="I2101" s="40" t="s">
        <v>2645</v>
      </c>
    </row>
    <row r="2102" customFormat="false" ht="7.5" hidden="false" customHeight="true" outlineLevel="0" collapsed="false">
      <c r="H2102" s="49" t="s">
        <v>2646</v>
      </c>
      <c r="I2102" s="50" t="s">
        <v>2647</v>
      </c>
    </row>
    <row r="2103" customFormat="false" ht="7.5" hidden="false" customHeight="true" outlineLevel="0" collapsed="false">
      <c r="H2103" s="49" t="s">
        <v>2650</v>
      </c>
      <c r="I2103" s="50" t="s">
        <v>2651</v>
      </c>
    </row>
    <row r="2104" customFormat="false" ht="7.5" hidden="false" customHeight="true" outlineLevel="0" collapsed="false">
      <c r="H2104" s="49" t="s">
        <v>2654</v>
      </c>
      <c r="I2104" s="50" t="s">
        <v>2655</v>
      </c>
    </row>
    <row r="2105" customFormat="false" ht="7.5" hidden="false" customHeight="true" outlineLevel="0" collapsed="false">
      <c r="H2105" s="49" t="s">
        <v>2658</v>
      </c>
      <c r="I2105" s="50" t="s">
        <v>2659</v>
      </c>
    </row>
    <row r="2106" customFormat="false" ht="7.5" hidden="false" customHeight="true" outlineLevel="0" collapsed="false">
      <c r="H2106" s="49" t="s">
        <v>2662</v>
      </c>
      <c r="I2106" s="50" t="s">
        <v>2663</v>
      </c>
    </row>
    <row r="2107" customFormat="false" ht="7.5" hidden="false" customHeight="true" outlineLevel="0" collapsed="false">
      <c r="H2107" s="49" t="s">
        <v>2666</v>
      </c>
      <c r="I2107" s="50" t="s">
        <v>2667</v>
      </c>
    </row>
    <row r="2108" customFormat="false" ht="7.5" hidden="false" customHeight="true" outlineLevel="0" collapsed="false">
      <c r="H2108" s="49" t="s">
        <v>2670</v>
      </c>
      <c r="I2108" s="50" t="s">
        <v>2671</v>
      </c>
    </row>
    <row r="2109" customFormat="false" ht="7.5" hidden="false" customHeight="true" outlineLevel="0" collapsed="false">
      <c r="H2109" s="49" t="s">
        <v>2674</v>
      </c>
      <c r="I2109" s="50" t="s">
        <v>2675</v>
      </c>
    </row>
    <row r="2110" customFormat="false" ht="7.5" hidden="false" customHeight="true" outlineLevel="0" collapsed="false">
      <c r="H2110" s="49" t="s">
        <v>2678</v>
      </c>
      <c r="I2110" s="50" t="s">
        <v>2679</v>
      </c>
    </row>
    <row r="2111" customFormat="false" ht="7.5" hidden="false" customHeight="true" outlineLevel="0" collapsed="false">
      <c r="H2111" s="49" t="s">
        <v>2682</v>
      </c>
      <c r="I2111" s="50" t="s">
        <v>2683</v>
      </c>
    </row>
    <row r="2112" customFormat="false" ht="7.5" hidden="false" customHeight="true" outlineLevel="0" collapsed="false">
      <c r="H2112" s="49" t="s">
        <v>2686</v>
      </c>
      <c r="I2112" s="50" t="s">
        <v>2687</v>
      </c>
    </row>
    <row r="2113" customFormat="false" ht="7.5" hidden="false" customHeight="true" outlineLevel="0" collapsed="false">
      <c r="H2113" s="49" t="s">
        <v>2689</v>
      </c>
      <c r="I2113" s="50" t="s">
        <v>2690</v>
      </c>
    </row>
    <row r="2114" customFormat="false" ht="7.5" hidden="false" customHeight="true" outlineLevel="0" collapsed="false">
      <c r="H2114" s="49" t="s">
        <v>2693</v>
      </c>
      <c r="I2114" s="50" t="s">
        <v>2694</v>
      </c>
    </row>
    <row r="2115" customFormat="false" ht="7.5" hidden="false" customHeight="true" outlineLevel="0" collapsed="false">
      <c r="H2115" s="49" t="s">
        <v>2697</v>
      </c>
      <c r="I2115" s="50" t="s">
        <v>2698</v>
      </c>
    </row>
    <row r="2116" customFormat="false" ht="7.5" hidden="false" customHeight="true" outlineLevel="0" collapsed="false">
      <c r="H2116" s="49" t="s">
        <v>2701</v>
      </c>
      <c r="I2116" s="50" t="s">
        <v>2702</v>
      </c>
    </row>
    <row r="2117" customFormat="false" ht="7.5" hidden="false" customHeight="true" outlineLevel="0" collapsed="false">
      <c r="H2117" s="49" t="s">
        <v>2705</v>
      </c>
      <c r="I2117" s="50" t="s">
        <v>2706</v>
      </c>
    </row>
    <row r="2118" customFormat="false" ht="7.5" hidden="false" customHeight="true" outlineLevel="0" collapsed="false">
      <c r="H2118" s="49" t="s">
        <v>2709</v>
      </c>
      <c r="I2118" s="50" t="s">
        <v>2710</v>
      </c>
    </row>
    <row r="2119" customFormat="false" ht="7.5" hidden="false" customHeight="true" outlineLevel="0" collapsed="false">
      <c r="H2119" s="49" t="s">
        <v>2713</v>
      </c>
      <c r="I2119" s="50" t="s">
        <v>2714</v>
      </c>
    </row>
    <row r="2120" customFormat="false" ht="7.5" hidden="false" customHeight="true" outlineLevel="0" collapsed="false">
      <c r="H2120" s="49" t="s">
        <v>2717</v>
      </c>
      <c r="I2120" s="50" t="s">
        <v>2718</v>
      </c>
    </row>
    <row r="2121" customFormat="false" ht="7.5" hidden="false" customHeight="true" outlineLevel="0" collapsed="false">
      <c r="H2121" s="49" t="s">
        <v>2720</v>
      </c>
      <c r="I2121" s="50" t="s">
        <v>2721</v>
      </c>
    </row>
    <row r="2122" customFormat="false" ht="7.5" hidden="false" customHeight="true" outlineLevel="0" collapsed="false">
      <c r="H2122" s="49" t="s">
        <v>2724</v>
      </c>
      <c r="I2122" s="50" t="s">
        <v>2725</v>
      </c>
    </row>
    <row r="2123" customFormat="false" ht="7.5" hidden="false" customHeight="true" outlineLevel="0" collapsed="false">
      <c r="H2123" s="49" t="s">
        <v>2728</v>
      </c>
      <c r="I2123" s="50" t="s">
        <v>2729</v>
      </c>
    </row>
    <row r="2124" customFormat="false" ht="7.5" hidden="false" customHeight="true" outlineLevel="0" collapsed="false">
      <c r="H2124" s="49" t="s">
        <v>2732</v>
      </c>
      <c r="I2124" s="50" t="s">
        <v>2733</v>
      </c>
    </row>
    <row r="2125" customFormat="false" ht="7.5" hidden="false" customHeight="true" outlineLevel="0" collapsed="false">
      <c r="H2125" s="49" t="s">
        <v>2736</v>
      </c>
      <c r="I2125" s="50" t="s">
        <v>2737</v>
      </c>
    </row>
    <row r="2126" customFormat="false" ht="7.5" hidden="false" customHeight="true" outlineLevel="0" collapsed="false">
      <c r="H2126" s="39"/>
      <c r="I2126" s="40" t="s">
        <v>2740</v>
      </c>
    </row>
    <row r="2127" customFormat="false" ht="7.5" hidden="false" customHeight="true" outlineLevel="0" collapsed="false">
      <c r="H2127" s="49" t="s">
        <v>2741</v>
      </c>
      <c r="I2127" s="50" t="s">
        <v>2742</v>
      </c>
    </row>
    <row r="2128" customFormat="false" ht="7.5" hidden="false" customHeight="true" outlineLevel="0" collapsed="false">
      <c r="H2128" s="49" t="s">
        <v>2745</v>
      </c>
      <c r="I2128" s="50" t="s">
        <v>2746</v>
      </c>
    </row>
    <row r="2129" customFormat="false" ht="7.5" hidden="false" customHeight="true" outlineLevel="0" collapsed="false">
      <c r="H2129" s="49" t="s">
        <v>2749</v>
      </c>
      <c r="I2129" s="50" t="s">
        <v>2750</v>
      </c>
    </row>
    <row r="2130" customFormat="false" ht="7.5" hidden="false" customHeight="true" outlineLevel="0" collapsed="false">
      <c r="H2130" s="49" t="s">
        <v>2753</v>
      </c>
      <c r="I2130" s="50" t="s">
        <v>2754</v>
      </c>
    </row>
    <row r="2131" customFormat="false" ht="7.5" hidden="false" customHeight="true" outlineLevel="0" collapsed="false">
      <c r="H2131" s="39"/>
      <c r="I2131" s="40" t="s">
        <v>2757</v>
      </c>
    </row>
    <row r="2132" customFormat="false" ht="7.5" hidden="false" customHeight="true" outlineLevel="0" collapsed="false">
      <c r="H2132" s="49" t="s">
        <v>2758</v>
      </c>
      <c r="I2132" s="50" t="s">
        <v>2759</v>
      </c>
    </row>
    <row r="2133" customFormat="false" ht="7.5" hidden="false" customHeight="true" outlineLevel="0" collapsed="false">
      <c r="H2133" s="49" t="s">
        <v>2762</v>
      </c>
      <c r="I2133" s="50" t="s">
        <v>2763</v>
      </c>
    </row>
    <row r="2134" customFormat="false" ht="7.5" hidden="false" customHeight="true" outlineLevel="0" collapsed="false">
      <c r="H2134" s="39"/>
      <c r="I2134" s="40" t="s">
        <v>2766</v>
      </c>
    </row>
    <row r="2135" customFormat="false" ht="7.5" hidden="false" customHeight="true" outlineLevel="0" collapsed="false">
      <c r="H2135" s="49" t="s">
        <v>2767</v>
      </c>
      <c r="I2135" s="50" t="s">
        <v>2768</v>
      </c>
    </row>
    <row r="2136" customFormat="false" ht="7.5" hidden="false" customHeight="true" outlineLevel="0" collapsed="false">
      <c r="H2136" s="49" t="s">
        <v>2771</v>
      </c>
      <c r="I2136" s="50" t="s">
        <v>2772</v>
      </c>
    </row>
    <row r="2137" customFormat="false" ht="7.5" hidden="false" customHeight="true" outlineLevel="0" collapsed="false">
      <c r="H2137" s="49" t="s">
        <v>2775</v>
      </c>
      <c r="I2137" s="50" t="s">
        <v>2776</v>
      </c>
    </row>
    <row r="2138" customFormat="false" ht="7.5" hidden="false" customHeight="true" outlineLevel="0" collapsed="false">
      <c r="H2138" s="39"/>
      <c r="I2138" s="40" t="s">
        <v>2779</v>
      </c>
    </row>
    <row r="2139" customFormat="false" ht="7.5" hidden="false" customHeight="true" outlineLevel="0" collapsed="false">
      <c r="H2139" s="49" t="s">
        <v>2780</v>
      </c>
      <c r="I2139" s="50" t="s">
        <v>2781</v>
      </c>
    </row>
    <row r="2140" customFormat="false" ht="7.5" hidden="false" customHeight="true" outlineLevel="0" collapsed="false">
      <c r="H2140" s="49" t="s">
        <v>2784</v>
      </c>
      <c r="I2140" s="50" t="s">
        <v>2785</v>
      </c>
    </row>
    <row r="2141" customFormat="false" ht="7.5" hidden="false" customHeight="true" outlineLevel="0" collapsed="false">
      <c r="H2141" s="49" t="s">
        <v>2788</v>
      </c>
      <c r="I2141" s="50" t="s">
        <v>2789</v>
      </c>
    </row>
    <row r="2142" customFormat="false" ht="7.5" hidden="false" customHeight="true" outlineLevel="0" collapsed="false">
      <c r="H2142" s="39"/>
      <c r="I2142" s="40" t="s">
        <v>2792</v>
      </c>
    </row>
    <row r="2143" customFormat="false" ht="7.5" hidden="false" customHeight="true" outlineLevel="0" collapsed="false">
      <c r="H2143" s="49" t="s">
        <v>2793</v>
      </c>
      <c r="I2143" s="50" t="s">
        <v>2794</v>
      </c>
    </row>
    <row r="2144" customFormat="false" ht="7.5" hidden="false" customHeight="true" outlineLevel="0" collapsed="false">
      <c r="H2144" s="49" t="s">
        <v>2797</v>
      </c>
      <c r="I2144" s="50" t="s">
        <v>2798</v>
      </c>
    </row>
    <row r="2145" customFormat="false" ht="7.5" hidden="false" customHeight="true" outlineLevel="0" collapsed="false">
      <c r="H2145" s="49" t="s">
        <v>2801</v>
      </c>
      <c r="I2145" s="50" t="s">
        <v>2802</v>
      </c>
    </row>
    <row r="2146" customFormat="false" ht="7.5" hidden="false" customHeight="true" outlineLevel="0" collapsed="false">
      <c r="H2146" s="49" t="s">
        <v>2805</v>
      </c>
      <c r="I2146" s="50" t="s">
        <v>2806</v>
      </c>
    </row>
    <row r="2147" customFormat="false" ht="7.5" hidden="false" customHeight="true" outlineLevel="0" collapsed="false">
      <c r="H2147" s="39"/>
      <c r="I2147" s="40" t="s">
        <v>2808</v>
      </c>
    </row>
    <row r="2148" customFormat="false" ht="7.5" hidden="false" customHeight="true" outlineLevel="0" collapsed="false">
      <c r="H2148" s="49" t="s">
        <v>2809</v>
      </c>
      <c r="I2148" s="50" t="s">
        <v>2810</v>
      </c>
    </row>
    <row r="2149" customFormat="false" ht="7.5" hidden="false" customHeight="true" outlineLevel="0" collapsed="false">
      <c r="H2149" s="49" t="s">
        <v>2813</v>
      </c>
      <c r="I2149" s="50" t="s">
        <v>2814</v>
      </c>
    </row>
    <row r="2150" customFormat="false" ht="7.5" hidden="false" customHeight="true" outlineLevel="0" collapsed="false">
      <c r="H2150" s="39"/>
      <c r="I2150" s="40" t="s">
        <v>2817</v>
      </c>
    </row>
    <row r="2151" customFormat="false" ht="7.5" hidden="false" customHeight="true" outlineLevel="0" collapsed="false">
      <c r="H2151" s="49" t="s">
        <v>2818</v>
      </c>
      <c r="I2151" s="50" t="s">
        <v>2819</v>
      </c>
    </row>
    <row r="2152" customFormat="false" ht="7.5" hidden="false" customHeight="true" outlineLevel="0" collapsed="false">
      <c r="H2152" s="49" t="s">
        <v>2822</v>
      </c>
      <c r="I2152" s="50" t="s">
        <v>2823</v>
      </c>
    </row>
    <row r="2153" customFormat="false" ht="7.5" hidden="false" customHeight="true" outlineLevel="0" collapsed="false">
      <c r="H2153" s="49" t="s">
        <v>2826</v>
      </c>
      <c r="I2153" s="50" t="s">
        <v>2827</v>
      </c>
    </row>
    <row r="2154" customFormat="false" ht="7.5" hidden="false" customHeight="true" outlineLevel="0" collapsed="false">
      <c r="H2154" s="49" t="s">
        <v>2830</v>
      </c>
      <c r="I2154" s="50" t="s">
        <v>2831</v>
      </c>
    </row>
    <row r="2155" customFormat="false" ht="7.5" hidden="false" customHeight="true" outlineLevel="0" collapsed="false">
      <c r="H2155" s="39"/>
      <c r="I2155" s="40" t="s">
        <v>2834</v>
      </c>
    </row>
    <row r="2156" customFormat="false" ht="7.5" hidden="false" customHeight="true" outlineLevel="0" collapsed="false">
      <c r="H2156" s="49" t="s">
        <v>2835</v>
      </c>
      <c r="I2156" s="50" t="s">
        <v>2836</v>
      </c>
    </row>
    <row r="2157" customFormat="false" ht="7.5" hidden="false" customHeight="true" outlineLevel="0" collapsed="false">
      <c r="H2157" s="49" t="s">
        <v>2839</v>
      </c>
      <c r="I2157" s="50" t="s">
        <v>2840</v>
      </c>
    </row>
    <row r="2158" customFormat="false" ht="7.5" hidden="false" customHeight="true" outlineLevel="0" collapsed="false">
      <c r="H2158" s="49" t="s">
        <v>2843</v>
      </c>
      <c r="I2158" s="50" t="s">
        <v>2844</v>
      </c>
    </row>
    <row r="2159" customFormat="false" ht="7.5" hidden="false" customHeight="true" outlineLevel="0" collapsed="false">
      <c r="H2159" s="49" t="s">
        <v>2847</v>
      </c>
      <c r="I2159" s="50" t="s">
        <v>2848</v>
      </c>
    </row>
    <row r="2160" customFormat="false" ht="7.5" hidden="false" customHeight="true" outlineLevel="0" collapsed="false">
      <c r="H2160" s="49" t="s">
        <v>2851</v>
      </c>
      <c r="I2160" s="50" t="s">
        <v>2852</v>
      </c>
    </row>
    <row r="2161" customFormat="false" ht="7.5" hidden="false" customHeight="true" outlineLevel="0" collapsed="false">
      <c r="H2161" s="49" t="s">
        <v>2855</v>
      </c>
      <c r="I2161" s="50" t="s">
        <v>2856</v>
      </c>
    </row>
    <row r="2162" customFormat="false" ht="7.5" hidden="false" customHeight="true" outlineLevel="0" collapsed="false">
      <c r="H2162" s="49" t="s">
        <v>2858</v>
      </c>
      <c r="I2162" s="50" t="s">
        <v>2859</v>
      </c>
    </row>
    <row r="2163" customFormat="false" ht="7.5" hidden="false" customHeight="true" outlineLevel="0" collapsed="false">
      <c r="H2163" s="29"/>
      <c r="I2163" s="30" t="s">
        <v>2862</v>
      </c>
    </row>
    <row r="2164" customFormat="false" ht="7.5" hidden="false" customHeight="true" outlineLevel="0" collapsed="false">
      <c r="H2164" s="39"/>
      <c r="I2164" s="40" t="s">
        <v>2863</v>
      </c>
    </row>
    <row r="2165" customFormat="false" ht="7.5" hidden="false" customHeight="true" outlineLevel="0" collapsed="false">
      <c r="H2165" s="49" t="s">
        <v>2864</v>
      </c>
      <c r="I2165" s="50" t="s">
        <v>2865</v>
      </c>
    </row>
    <row r="2166" customFormat="false" ht="7.5" hidden="false" customHeight="true" outlineLevel="0" collapsed="false">
      <c r="H2166" s="49" t="s">
        <v>2868</v>
      </c>
      <c r="I2166" s="50" t="s">
        <v>2869</v>
      </c>
    </row>
    <row r="2167" customFormat="false" ht="7.5" hidden="false" customHeight="true" outlineLevel="0" collapsed="false">
      <c r="H2167" s="49" t="s">
        <v>2872</v>
      </c>
      <c r="I2167" s="50" t="s">
        <v>2873</v>
      </c>
    </row>
    <row r="2168" customFormat="false" ht="7.5" hidden="false" customHeight="true" outlineLevel="0" collapsed="false">
      <c r="H2168" s="49" t="s">
        <v>2876</v>
      </c>
      <c r="I2168" s="50" t="s">
        <v>2877</v>
      </c>
    </row>
    <row r="2169" customFormat="false" ht="7.5" hidden="false" customHeight="true" outlineLevel="0" collapsed="false">
      <c r="H2169" s="49" t="s">
        <v>2880</v>
      </c>
      <c r="I2169" s="50" t="s">
        <v>2881</v>
      </c>
    </row>
    <row r="2170" customFormat="false" ht="7.5" hidden="false" customHeight="true" outlineLevel="0" collapsed="false">
      <c r="H2170" s="49" t="s">
        <v>2884</v>
      </c>
      <c r="I2170" s="50" t="s">
        <v>2885</v>
      </c>
    </row>
    <row r="2171" customFormat="false" ht="7.5" hidden="false" customHeight="true" outlineLevel="0" collapsed="false">
      <c r="H2171" s="49" t="s">
        <v>2888</v>
      </c>
      <c r="I2171" s="50" t="s">
        <v>2889</v>
      </c>
    </row>
    <row r="2172" customFormat="false" ht="7.5" hidden="false" customHeight="true" outlineLevel="0" collapsed="false">
      <c r="H2172" s="49" t="s">
        <v>2892</v>
      </c>
      <c r="I2172" s="50" t="s">
        <v>2893</v>
      </c>
    </row>
    <row r="2173" customFormat="false" ht="7.5" hidden="false" customHeight="true" outlineLevel="0" collapsed="false">
      <c r="H2173" s="49" t="s">
        <v>2896</v>
      </c>
      <c r="I2173" s="50" t="s">
        <v>2897</v>
      </c>
    </row>
    <row r="2174" customFormat="false" ht="7.5" hidden="false" customHeight="true" outlineLevel="0" collapsed="false">
      <c r="H2174" s="49" t="s">
        <v>2900</v>
      </c>
      <c r="I2174" s="50" t="s">
        <v>2901</v>
      </c>
    </row>
    <row r="2175" customFormat="false" ht="7.5" hidden="false" customHeight="true" outlineLevel="0" collapsed="false">
      <c r="H2175" s="39"/>
      <c r="I2175" s="40" t="s">
        <v>2904</v>
      </c>
    </row>
    <row r="2176" customFormat="false" ht="7.5" hidden="false" customHeight="true" outlineLevel="0" collapsed="false">
      <c r="H2176" s="49" t="s">
        <v>2905</v>
      </c>
      <c r="I2176" s="50" t="s">
        <v>2906</v>
      </c>
    </row>
    <row r="2177" customFormat="false" ht="7.5" hidden="false" customHeight="true" outlineLevel="0" collapsed="false">
      <c r="H2177" s="49" t="s">
        <v>2909</v>
      </c>
      <c r="I2177" s="50" t="s">
        <v>2910</v>
      </c>
    </row>
    <row r="2178" customFormat="false" ht="7.5" hidden="false" customHeight="true" outlineLevel="0" collapsed="false">
      <c r="H2178" s="49" t="s">
        <v>2913</v>
      </c>
      <c r="I2178" s="50" t="s">
        <v>2914</v>
      </c>
    </row>
    <row r="2179" customFormat="false" ht="7.5" hidden="false" customHeight="true" outlineLevel="0" collapsed="false">
      <c r="H2179" s="49" t="s">
        <v>2916</v>
      </c>
      <c r="I2179" s="50" t="s">
        <v>2917</v>
      </c>
    </row>
    <row r="2180" customFormat="false" ht="7.5" hidden="false" customHeight="true" outlineLevel="0" collapsed="false">
      <c r="H2180" s="49" t="s">
        <v>2919</v>
      </c>
      <c r="I2180" s="50" t="s">
        <v>2920</v>
      </c>
    </row>
    <row r="2181" customFormat="false" ht="7.5" hidden="false" customHeight="true" outlineLevel="0" collapsed="false">
      <c r="H2181" s="49" t="s">
        <v>2922</v>
      </c>
      <c r="I2181" s="50" t="s">
        <v>2923</v>
      </c>
    </row>
    <row r="2182" customFormat="false" ht="7.5" hidden="false" customHeight="true" outlineLevel="0" collapsed="false">
      <c r="H2182" s="49" t="s">
        <v>2926</v>
      </c>
      <c r="I2182" s="50" t="s">
        <v>2927</v>
      </c>
    </row>
    <row r="2183" customFormat="false" ht="7.5" hidden="false" customHeight="true" outlineLevel="0" collapsed="false">
      <c r="H2183" s="49" t="s">
        <v>2930</v>
      </c>
      <c r="I2183" s="50" t="s">
        <v>2931</v>
      </c>
    </row>
    <row r="2184" customFormat="false" ht="7.5" hidden="false" customHeight="true" outlineLevel="0" collapsed="false">
      <c r="H2184" s="39"/>
      <c r="I2184" s="40" t="s">
        <v>2934</v>
      </c>
    </row>
    <row r="2185" customFormat="false" ht="7.5" hidden="false" customHeight="true" outlineLevel="0" collapsed="false">
      <c r="H2185" s="49" t="s">
        <v>2935</v>
      </c>
      <c r="I2185" s="50" t="s">
        <v>2936</v>
      </c>
    </row>
    <row r="2186" customFormat="false" ht="7.5" hidden="false" customHeight="true" outlineLevel="0" collapsed="false">
      <c r="H2186" s="49" t="s">
        <v>2939</v>
      </c>
      <c r="I2186" s="50" t="s">
        <v>2940</v>
      </c>
    </row>
    <row r="2187" customFormat="false" ht="7.5" hidden="false" customHeight="true" outlineLevel="0" collapsed="false">
      <c r="H2187" s="39"/>
      <c r="I2187" s="40" t="s">
        <v>2943</v>
      </c>
    </row>
    <row r="2188" customFormat="false" ht="7.5" hidden="false" customHeight="true" outlineLevel="0" collapsed="false">
      <c r="H2188" s="49" t="s">
        <v>2944</v>
      </c>
      <c r="I2188" s="50" t="s">
        <v>2945</v>
      </c>
    </row>
    <row r="2189" customFormat="false" ht="7.5" hidden="false" customHeight="true" outlineLevel="0" collapsed="false">
      <c r="H2189" s="49" t="s">
        <v>2948</v>
      </c>
      <c r="I2189" s="50" t="s">
        <v>2949</v>
      </c>
    </row>
    <row r="2190" customFormat="false" ht="7.5" hidden="false" customHeight="true" outlineLevel="0" collapsed="false">
      <c r="H2190" s="39"/>
      <c r="I2190" s="40" t="s">
        <v>2952</v>
      </c>
    </row>
    <row r="2191" customFormat="false" ht="7.5" hidden="false" customHeight="true" outlineLevel="0" collapsed="false">
      <c r="H2191" s="49" t="s">
        <v>2953</v>
      </c>
      <c r="I2191" s="50" t="s">
        <v>2954</v>
      </c>
    </row>
    <row r="2192" customFormat="false" ht="7.5" hidden="false" customHeight="true" outlineLevel="0" collapsed="false">
      <c r="H2192" s="49" t="s">
        <v>2957</v>
      </c>
      <c r="I2192" s="50" t="s">
        <v>2958</v>
      </c>
    </row>
    <row r="2193" customFormat="false" ht="7.5" hidden="false" customHeight="true" outlineLevel="0" collapsed="false">
      <c r="H2193" s="49" t="s">
        <v>2961</v>
      </c>
      <c r="I2193" s="50" t="s">
        <v>2962</v>
      </c>
    </row>
    <row r="2194" customFormat="false" ht="7.5" hidden="false" customHeight="true" outlineLevel="0" collapsed="false">
      <c r="H2194" s="39"/>
      <c r="I2194" s="40" t="s">
        <v>2965</v>
      </c>
    </row>
    <row r="2195" customFormat="false" ht="7.5" hidden="false" customHeight="true" outlineLevel="0" collapsed="false">
      <c r="H2195" s="49" t="s">
        <v>2966</v>
      </c>
      <c r="I2195" s="50" t="s">
        <v>2967</v>
      </c>
    </row>
    <row r="2196" customFormat="false" ht="7.5" hidden="false" customHeight="true" outlineLevel="0" collapsed="false">
      <c r="H2196" s="49" t="s">
        <v>2970</v>
      </c>
      <c r="I2196" s="50" t="s">
        <v>2971</v>
      </c>
    </row>
    <row r="2197" customFormat="false" ht="7.5" hidden="false" customHeight="true" outlineLevel="0" collapsed="false">
      <c r="H2197" s="49" t="s">
        <v>2974</v>
      </c>
      <c r="I2197" s="50" t="s">
        <v>2975</v>
      </c>
    </row>
    <row r="2198" customFormat="false" ht="7.5" hidden="false" customHeight="true" outlineLevel="0" collapsed="false">
      <c r="H2198" s="49" t="s">
        <v>2978</v>
      </c>
      <c r="I2198" s="50" t="s">
        <v>2979</v>
      </c>
    </row>
    <row r="2199" customFormat="false" ht="7.5" hidden="false" customHeight="true" outlineLevel="0" collapsed="false">
      <c r="H2199" s="49" t="s">
        <v>2982</v>
      </c>
      <c r="I2199" s="50" t="s">
        <v>2983</v>
      </c>
    </row>
    <row r="2200" customFormat="false" ht="7.5" hidden="false" customHeight="true" outlineLevel="0" collapsed="false">
      <c r="H2200" s="49" t="s">
        <v>2986</v>
      </c>
      <c r="I2200" s="50" t="s">
        <v>2987</v>
      </c>
    </row>
    <row r="2201" customFormat="false" ht="7.5" hidden="false" customHeight="true" outlineLevel="0" collapsed="false">
      <c r="H2201" s="49" t="s">
        <v>2990</v>
      </c>
      <c r="I2201" s="50" t="s">
        <v>2991</v>
      </c>
    </row>
    <row r="2202" customFormat="false" ht="7.5" hidden="false" customHeight="true" outlineLevel="0" collapsed="false">
      <c r="H2202" s="49" t="s">
        <v>2994</v>
      </c>
      <c r="I2202" s="50" t="s">
        <v>2995</v>
      </c>
    </row>
    <row r="2203" customFormat="false" ht="7.5" hidden="false" customHeight="true" outlineLevel="0" collapsed="false">
      <c r="H2203" s="39"/>
      <c r="I2203" s="40" t="s">
        <v>2998</v>
      </c>
    </row>
    <row r="2204" customFormat="false" ht="7.5" hidden="false" customHeight="true" outlineLevel="0" collapsed="false">
      <c r="H2204" s="49" t="s">
        <v>2999</v>
      </c>
      <c r="I2204" s="50" t="s">
        <v>3000</v>
      </c>
    </row>
    <row r="2205" customFormat="false" ht="7.5" hidden="false" customHeight="true" outlineLevel="0" collapsed="false">
      <c r="H2205" s="49" t="s">
        <v>3002</v>
      </c>
      <c r="I2205" s="50" t="s">
        <v>3003</v>
      </c>
    </row>
    <row r="2206" customFormat="false" ht="7.5" hidden="false" customHeight="true" outlineLevel="0" collapsed="false">
      <c r="H2206" s="29"/>
      <c r="I2206" s="30" t="s">
        <v>3006</v>
      </c>
    </row>
    <row r="2207" customFormat="false" ht="7.5" hidden="false" customHeight="true" outlineLevel="0" collapsed="false">
      <c r="H2207" s="39"/>
      <c r="I2207" s="40" t="s">
        <v>3007</v>
      </c>
    </row>
    <row r="2208" customFormat="false" ht="7.5" hidden="false" customHeight="true" outlineLevel="0" collapsed="false">
      <c r="H2208" s="49" t="s">
        <v>3008</v>
      </c>
      <c r="I2208" s="50" t="s">
        <v>3009</v>
      </c>
    </row>
    <row r="2209" customFormat="false" ht="7.5" hidden="false" customHeight="true" outlineLevel="0" collapsed="false">
      <c r="H2209" s="49" t="s">
        <v>3012</v>
      </c>
      <c r="I2209" s="50" t="s">
        <v>3013</v>
      </c>
    </row>
    <row r="2210" customFormat="false" ht="7.5" hidden="false" customHeight="true" outlineLevel="0" collapsed="false">
      <c r="H2210" s="49" t="s">
        <v>3015</v>
      </c>
      <c r="I2210" s="50" t="s">
        <v>3016</v>
      </c>
    </row>
    <row r="2211" customFormat="false" ht="7.5" hidden="false" customHeight="true" outlineLevel="0" collapsed="false">
      <c r="H2211" s="49" t="s">
        <v>3018</v>
      </c>
      <c r="I2211" s="50" t="s">
        <v>3019</v>
      </c>
    </row>
    <row r="2212" customFormat="false" ht="7.5" hidden="false" customHeight="true" outlineLevel="0" collapsed="false">
      <c r="H2212" s="39"/>
      <c r="I2212" s="40" t="s">
        <v>3021</v>
      </c>
    </row>
    <row r="2213" customFormat="false" ht="7.5" hidden="false" customHeight="true" outlineLevel="0" collapsed="false">
      <c r="H2213" s="49" t="s">
        <v>3022</v>
      </c>
      <c r="I2213" s="50" t="s">
        <v>3023</v>
      </c>
    </row>
    <row r="2214" customFormat="false" ht="7.5" hidden="false" customHeight="true" outlineLevel="0" collapsed="false">
      <c r="H2214" s="49" t="s">
        <v>3026</v>
      </c>
      <c r="I2214" s="50" t="s">
        <v>3027</v>
      </c>
    </row>
    <row r="2215" customFormat="false" ht="7.5" hidden="false" customHeight="true" outlineLevel="0" collapsed="false">
      <c r="H2215" s="49" t="s">
        <v>3030</v>
      </c>
      <c r="I2215" s="50" t="s">
        <v>3031</v>
      </c>
    </row>
    <row r="2216" customFormat="false" ht="7.5" hidden="false" customHeight="true" outlineLevel="0" collapsed="false">
      <c r="H2216" s="49" t="s">
        <v>3034</v>
      </c>
      <c r="I2216" s="50" t="s">
        <v>3035</v>
      </c>
    </row>
    <row r="2217" customFormat="false" ht="7.5" hidden="false" customHeight="true" outlineLevel="0" collapsed="false">
      <c r="H2217" s="49" t="s">
        <v>3038</v>
      </c>
      <c r="I2217" s="50" t="s">
        <v>3039</v>
      </c>
    </row>
    <row r="2218" customFormat="false" ht="7.5" hidden="false" customHeight="true" outlineLevel="0" collapsed="false">
      <c r="H2218" s="39"/>
      <c r="I2218" s="40" t="s">
        <v>3042</v>
      </c>
    </row>
    <row r="2219" customFormat="false" ht="7.5" hidden="false" customHeight="true" outlineLevel="0" collapsed="false">
      <c r="H2219" s="49" t="s">
        <v>3043</v>
      </c>
      <c r="I2219" s="50" t="s">
        <v>3044</v>
      </c>
    </row>
    <row r="2220" customFormat="false" ht="7.5" hidden="false" customHeight="true" outlineLevel="0" collapsed="false">
      <c r="H2220" s="49" t="s">
        <v>3047</v>
      </c>
      <c r="I2220" s="50" t="s">
        <v>3048</v>
      </c>
    </row>
    <row r="2221" customFormat="false" ht="7.5" hidden="false" customHeight="true" outlineLevel="0" collapsed="false">
      <c r="H2221" s="39"/>
      <c r="I2221" s="40" t="s">
        <v>3051</v>
      </c>
    </row>
    <row r="2222" customFormat="false" ht="7.5" hidden="false" customHeight="true" outlineLevel="0" collapsed="false">
      <c r="H2222" s="49" t="s">
        <v>3052</v>
      </c>
      <c r="I2222" s="50" t="s">
        <v>3053</v>
      </c>
    </row>
    <row r="2223" customFormat="false" ht="7.5" hidden="false" customHeight="true" outlineLevel="0" collapsed="false">
      <c r="H2223" s="49" t="s">
        <v>3056</v>
      </c>
      <c r="I2223" s="50" t="s">
        <v>3057</v>
      </c>
    </row>
    <row r="2224" customFormat="false" ht="7.5" hidden="false" customHeight="true" outlineLevel="0" collapsed="false">
      <c r="H2224" s="49" t="s">
        <v>3060</v>
      </c>
      <c r="I2224" s="50" t="s">
        <v>3061</v>
      </c>
    </row>
    <row r="2225" customFormat="false" ht="7.5" hidden="false" customHeight="true" outlineLevel="0" collapsed="false">
      <c r="H2225" s="49" t="s">
        <v>3063</v>
      </c>
      <c r="I2225" s="50" t="s">
        <v>3064</v>
      </c>
    </row>
    <row r="2226" customFormat="false" ht="7.5" hidden="false" customHeight="true" outlineLevel="0" collapsed="false">
      <c r="H2226" s="49" t="s">
        <v>3066</v>
      </c>
      <c r="I2226" s="50" t="s">
        <v>3067</v>
      </c>
    </row>
    <row r="2227" customFormat="false" ht="7.5" hidden="false" customHeight="true" outlineLevel="0" collapsed="false">
      <c r="H2227" s="29"/>
      <c r="I2227" s="30" t="s">
        <v>3070</v>
      </c>
    </row>
    <row r="2228" customFormat="false" ht="7.5" hidden="false" customHeight="true" outlineLevel="0" collapsed="false">
      <c r="H2228" s="39"/>
      <c r="I2228" s="40" t="s">
        <v>3071</v>
      </c>
    </row>
    <row r="2229" customFormat="false" ht="7.5" hidden="false" customHeight="true" outlineLevel="0" collapsed="false">
      <c r="H2229" s="49" t="s">
        <v>3072</v>
      </c>
      <c r="I2229" s="50" t="s">
        <v>3073</v>
      </c>
    </row>
    <row r="2230" customFormat="false" ht="7.5" hidden="false" customHeight="true" outlineLevel="0" collapsed="false">
      <c r="H2230" s="49" t="s">
        <v>3076</v>
      </c>
      <c r="I2230" s="50" t="s">
        <v>3077</v>
      </c>
    </row>
    <row r="2231" customFormat="false" ht="7.5" hidden="false" customHeight="true" outlineLevel="0" collapsed="false">
      <c r="H2231" s="49" t="s">
        <v>3080</v>
      </c>
      <c r="I2231" s="50" t="s">
        <v>3081</v>
      </c>
    </row>
    <row r="2232" customFormat="false" ht="7.5" hidden="false" customHeight="true" outlineLevel="0" collapsed="false">
      <c r="H2232" s="49" t="s">
        <v>3084</v>
      </c>
      <c r="I2232" s="50" t="s">
        <v>3085</v>
      </c>
    </row>
    <row r="2233" customFormat="false" ht="7.5" hidden="false" customHeight="true" outlineLevel="0" collapsed="false">
      <c r="H2233" s="49" t="s">
        <v>3088</v>
      </c>
      <c r="I2233" s="50" t="s">
        <v>3089</v>
      </c>
    </row>
    <row r="2234" customFormat="false" ht="7.5" hidden="false" customHeight="true" outlineLevel="0" collapsed="false">
      <c r="H2234" s="49" t="s">
        <v>3092</v>
      </c>
      <c r="I2234" s="50" t="s">
        <v>3093</v>
      </c>
    </row>
    <row r="2235" customFormat="false" ht="7.5" hidden="false" customHeight="true" outlineLevel="0" collapsed="false">
      <c r="H2235" s="49" t="s">
        <v>3096</v>
      </c>
      <c r="I2235" s="50" t="s">
        <v>3097</v>
      </c>
    </row>
    <row r="2236" customFormat="false" ht="7.5" hidden="false" customHeight="true" outlineLevel="0" collapsed="false">
      <c r="H2236" s="49" t="s">
        <v>3100</v>
      </c>
      <c r="I2236" s="50" t="s">
        <v>3101</v>
      </c>
    </row>
    <row r="2237" customFormat="false" ht="7.5" hidden="false" customHeight="true" outlineLevel="0" collapsed="false">
      <c r="H2237" s="49" t="s">
        <v>3104</v>
      </c>
      <c r="I2237" s="50" t="s">
        <v>3105</v>
      </c>
    </row>
    <row r="2238" customFormat="false" ht="7.5" hidden="false" customHeight="true" outlineLevel="0" collapsed="false">
      <c r="H2238" s="49" t="s">
        <v>3108</v>
      </c>
      <c r="I2238" s="50" t="s">
        <v>3109</v>
      </c>
    </row>
    <row r="2239" customFormat="false" ht="7.5" hidden="false" customHeight="true" outlineLevel="0" collapsed="false">
      <c r="H2239" s="49" t="s">
        <v>3112</v>
      </c>
      <c r="I2239" s="50" t="s">
        <v>3113</v>
      </c>
    </row>
    <row r="2240" customFormat="false" ht="7.5" hidden="false" customHeight="true" outlineLevel="0" collapsed="false">
      <c r="H2240" s="39"/>
      <c r="I2240" s="40" t="s">
        <v>3116</v>
      </c>
    </row>
    <row r="2241" customFormat="false" ht="7.5" hidden="false" customHeight="true" outlineLevel="0" collapsed="false">
      <c r="H2241" s="49" t="s">
        <v>3117</v>
      </c>
      <c r="I2241" s="50" t="s">
        <v>3118</v>
      </c>
    </row>
    <row r="2242" customFormat="false" ht="7.5" hidden="false" customHeight="true" outlineLevel="0" collapsed="false">
      <c r="H2242" s="49" t="s">
        <v>3121</v>
      </c>
      <c r="I2242" s="50" t="s">
        <v>3122</v>
      </c>
    </row>
    <row r="2243" customFormat="false" ht="7.5" hidden="false" customHeight="true" outlineLevel="0" collapsed="false">
      <c r="H2243" s="49" t="s">
        <v>3125</v>
      </c>
      <c r="I2243" s="50" t="s">
        <v>3126</v>
      </c>
    </row>
    <row r="2244" customFormat="false" ht="7.5" hidden="false" customHeight="true" outlineLevel="0" collapsed="false">
      <c r="H2244" s="49" t="s">
        <v>3129</v>
      </c>
      <c r="I2244" s="50" t="s">
        <v>3130</v>
      </c>
    </row>
    <row r="2245" customFormat="false" ht="7.5" hidden="false" customHeight="true" outlineLevel="0" collapsed="false">
      <c r="H2245" s="49" t="s">
        <v>3133</v>
      </c>
      <c r="I2245" s="50" t="s">
        <v>3134</v>
      </c>
    </row>
    <row r="2246" customFormat="false" ht="7.5" hidden="false" customHeight="true" outlineLevel="0" collapsed="false">
      <c r="H2246" s="49" t="s">
        <v>3137</v>
      </c>
      <c r="I2246" s="50" t="s">
        <v>3138</v>
      </c>
    </row>
    <row r="2247" customFormat="false" ht="7.5" hidden="false" customHeight="true" outlineLevel="0" collapsed="false">
      <c r="H2247" s="49" t="s">
        <v>3141</v>
      </c>
      <c r="I2247" s="50" t="s">
        <v>3142</v>
      </c>
    </row>
    <row r="2248" customFormat="false" ht="7.5" hidden="false" customHeight="true" outlineLevel="0" collapsed="false">
      <c r="H2248" s="49" t="s">
        <v>3145</v>
      </c>
      <c r="I2248" s="50" t="s">
        <v>3146</v>
      </c>
    </row>
    <row r="2249" customFormat="false" ht="7.5" hidden="false" customHeight="true" outlineLevel="0" collapsed="false">
      <c r="H2249" s="39"/>
      <c r="I2249" s="40" t="s">
        <v>3149</v>
      </c>
    </row>
    <row r="2250" customFormat="false" ht="7.5" hidden="false" customHeight="true" outlineLevel="0" collapsed="false">
      <c r="H2250" s="49" t="s">
        <v>3150</v>
      </c>
      <c r="I2250" s="50" t="s">
        <v>3151</v>
      </c>
    </row>
    <row r="2251" customFormat="false" ht="7.5" hidden="false" customHeight="true" outlineLevel="0" collapsed="false">
      <c r="H2251" s="49" t="s">
        <v>3154</v>
      </c>
      <c r="I2251" s="50" t="s">
        <v>3155</v>
      </c>
    </row>
    <row r="2252" customFormat="false" ht="7.5" hidden="false" customHeight="true" outlineLevel="0" collapsed="false">
      <c r="H2252" s="49" t="s">
        <v>3158</v>
      </c>
      <c r="I2252" s="50" t="s">
        <v>3159</v>
      </c>
    </row>
    <row r="2253" customFormat="false" ht="7.5" hidden="false" customHeight="true" outlineLevel="0" collapsed="false">
      <c r="H2253" s="49" t="s">
        <v>3162</v>
      </c>
      <c r="I2253" s="50" t="s">
        <v>3163</v>
      </c>
    </row>
    <row r="2254" customFormat="false" ht="7.5" hidden="false" customHeight="true" outlineLevel="0" collapsed="false">
      <c r="H2254" s="29"/>
      <c r="I2254" s="30" t="s">
        <v>3166</v>
      </c>
    </row>
    <row r="2255" customFormat="false" ht="7.5" hidden="false" customHeight="true" outlineLevel="0" collapsed="false">
      <c r="H2255" s="39"/>
      <c r="I2255" s="40" t="s">
        <v>3167</v>
      </c>
    </row>
    <row r="2256" customFormat="false" ht="7.5" hidden="false" customHeight="true" outlineLevel="0" collapsed="false">
      <c r="H2256" s="49" t="s">
        <v>3168</v>
      </c>
      <c r="I2256" s="50" t="s">
        <v>3169</v>
      </c>
    </row>
    <row r="2257" customFormat="false" ht="7.5" hidden="false" customHeight="true" outlineLevel="0" collapsed="false">
      <c r="H2257" s="49" t="s">
        <v>3172</v>
      </c>
      <c r="I2257" s="50" t="s">
        <v>3173</v>
      </c>
    </row>
    <row r="2258" customFormat="false" ht="7.5" hidden="false" customHeight="true" outlineLevel="0" collapsed="false">
      <c r="H2258" s="39"/>
      <c r="I2258" s="40" t="s">
        <v>3176</v>
      </c>
    </row>
    <row r="2259" customFormat="false" ht="7.5" hidden="false" customHeight="true" outlineLevel="0" collapsed="false">
      <c r="H2259" s="49" t="s">
        <v>3177</v>
      </c>
      <c r="I2259" s="50" t="s">
        <v>3178</v>
      </c>
    </row>
    <row r="2260" customFormat="false" ht="7.5" hidden="false" customHeight="true" outlineLevel="0" collapsed="false">
      <c r="H2260" s="49" t="s">
        <v>3181</v>
      </c>
      <c r="I2260" s="50" t="s">
        <v>3182</v>
      </c>
    </row>
    <row r="2261" customFormat="false" ht="7.5" hidden="false" customHeight="true" outlineLevel="0" collapsed="false">
      <c r="H2261" s="49" t="s">
        <v>3185</v>
      </c>
      <c r="I2261" s="50" t="s">
        <v>3186</v>
      </c>
    </row>
    <row r="2262" customFormat="false" ht="7.5" hidden="false" customHeight="true" outlineLevel="0" collapsed="false">
      <c r="H2262" s="49" t="s">
        <v>3189</v>
      </c>
      <c r="I2262" s="50" t="s">
        <v>3190</v>
      </c>
    </row>
    <row r="2263" customFormat="false" ht="7.5" hidden="false" customHeight="true" outlineLevel="0" collapsed="false">
      <c r="H2263" s="49" t="s">
        <v>3193</v>
      </c>
      <c r="I2263" s="50" t="s">
        <v>3194</v>
      </c>
    </row>
    <row r="2264" customFormat="false" ht="7.5" hidden="false" customHeight="true" outlineLevel="0" collapsed="false">
      <c r="H2264" s="49" t="s">
        <v>3196</v>
      </c>
      <c r="I2264" s="50" t="s">
        <v>3197</v>
      </c>
    </row>
    <row r="2265" customFormat="false" ht="7.5" hidden="false" customHeight="true" outlineLevel="0" collapsed="false">
      <c r="H2265" s="49" t="s">
        <v>3199</v>
      </c>
      <c r="I2265" s="50" t="s">
        <v>3200</v>
      </c>
    </row>
    <row r="2266" customFormat="false" ht="7.5" hidden="false" customHeight="true" outlineLevel="0" collapsed="false">
      <c r="H2266" s="49" t="s">
        <v>3203</v>
      </c>
      <c r="I2266" s="50" t="s">
        <v>3204</v>
      </c>
    </row>
    <row r="2267" customFormat="false" ht="7.5" hidden="false" customHeight="true" outlineLevel="0" collapsed="false">
      <c r="H2267" s="49" t="s">
        <v>3206</v>
      </c>
      <c r="I2267" s="50" t="s">
        <v>3207</v>
      </c>
    </row>
    <row r="2268" customFormat="false" ht="7.5" hidden="false" customHeight="true" outlineLevel="0" collapsed="false">
      <c r="H2268" s="49" t="s">
        <v>3209</v>
      </c>
      <c r="I2268" s="50" t="s">
        <v>3210</v>
      </c>
    </row>
    <row r="2269" customFormat="false" ht="7.5" hidden="false" customHeight="true" outlineLevel="0" collapsed="false">
      <c r="H2269" s="49" t="s">
        <v>3211</v>
      </c>
      <c r="I2269" s="50" t="s">
        <v>3212</v>
      </c>
    </row>
    <row r="2270" customFormat="false" ht="7.5" hidden="false" customHeight="true" outlineLevel="0" collapsed="false">
      <c r="H2270" s="49" t="s">
        <v>3213</v>
      </c>
      <c r="I2270" s="50" t="s">
        <v>3214</v>
      </c>
    </row>
    <row r="2271" customFormat="false" ht="7.5" hidden="false" customHeight="true" outlineLevel="0" collapsed="false">
      <c r="H2271" s="49" t="s">
        <v>3215</v>
      </c>
      <c r="I2271" s="50" t="s">
        <v>3216</v>
      </c>
    </row>
    <row r="2272" customFormat="false" ht="7.5" hidden="false" customHeight="true" outlineLevel="0" collapsed="false">
      <c r="H2272" s="49" t="s">
        <v>3217</v>
      </c>
      <c r="I2272" s="50" t="s">
        <v>3218</v>
      </c>
    </row>
    <row r="2273" customFormat="false" ht="7.5" hidden="false" customHeight="true" outlineLevel="0" collapsed="false">
      <c r="H2273" s="49" t="s">
        <v>3220</v>
      </c>
      <c r="I2273" s="50" t="s">
        <v>3221</v>
      </c>
    </row>
    <row r="2274" customFormat="false" ht="7.5" hidden="false" customHeight="true" outlineLevel="0" collapsed="false">
      <c r="H2274" s="49" t="s">
        <v>3223</v>
      </c>
      <c r="I2274" s="50" t="s">
        <v>3224</v>
      </c>
    </row>
    <row r="2275" customFormat="false" ht="7.5" hidden="false" customHeight="true" outlineLevel="0" collapsed="false">
      <c r="H2275" s="49" t="s">
        <v>3226</v>
      </c>
      <c r="I2275" s="50" t="s">
        <v>3227</v>
      </c>
    </row>
    <row r="2276" customFormat="false" ht="7.5" hidden="false" customHeight="true" outlineLevel="0" collapsed="false">
      <c r="H2276" s="49" t="s">
        <v>3228</v>
      </c>
      <c r="I2276" s="50" t="s">
        <v>3229</v>
      </c>
    </row>
    <row r="2277" customFormat="false" ht="7.5" hidden="false" customHeight="true" outlineLevel="0" collapsed="false">
      <c r="H2277" s="49" t="s">
        <v>3231</v>
      </c>
      <c r="I2277" s="50" t="s">
        <v>3232</v>
      </c>
    </row>
    <row r="2278" customFormat="false" ht="7.5" hidden="false" customHeight="true" outlineLevel="0" collapsed="false">
      <c r="H2278" s="49" t="s">
        <v>3234</v>
      </c>
      <c r="I2278" s="50" t="s">
        <v>3235</v>
      </c>
    </row>
    <row r="2279" customFormat="false" ht="7.5" hidden="false" customHeight="true" outlineLevel="0" collapsed="false">
      <c r="H2279" s="49" t="s">
        <v>3237</v>
      </c>
      <c r="I2279" s="50" t="s">
        <v>3238</v>
      </c>
    </row>
    <row r="2280" customFormat="false" ht="7.5" hidden="false" customHeight="true" outlineLevel="0" collapsed="false">
      <c r="H2280" s="49" t="s">
        <v>3240</v>
      </c>
      <c r="I2280" s="50" t="s">
        <v>3241</v>
      </c>
    </row>
    <row r="2281" customFormat="false" ht="7.5" hidden="false" customHeight="true" outlineLevel="0" collapsed="false">
      <c r="H2281" s="49" t="s">
        <v>3243</v>
      </c>
      <c r="I2281" s="50" t="s">
        <v>3244</v>
      </c>
    </row>
    <row r="2282" customFormat="false" ht="7.5" hidden="false" customHeight="true" outlineLevel="0" collapsed="false">
      <c r="H2282" s="49" t="s">
        <v>3246</v>
      </c>
      <c r="I2282" s="50" t="s">
        <v>3247</v>
      </c>
    </row>
    <row r="2283" customFormat="false" ht="7.5" hidden="false" customHeight="true" outlineLevel="0" collapsed="false">
      <c r="H2283" s="49" t="s">
        <v>3249</v>
      </c>
      <c r="I2283" s="50" t="s">
        <v>3250</v>
      </c>
    </row>
    <row r="2284" customFormat="false" ht="7.5" hidden="false" customHeight="true" outlineLevel="0" collapsed="false">
      <c r="H2284" s="49" t="s">
        <v>3252</v>
      </c>
      <c r="I2284" s="50" t="s">
        <v>3253</v>
      </c>
    </row>
    <row r="2285" customFormat="false" ht="7.5" hidden="false" customHeight="true" outlineLevel="0" collapsed="false">
      <c r="H2285" s="49" t="s">
        <v>3255</v>
      </c>
      <c r="I2285" s="50" t="s">
        <v>3256</v>
      </c>
    </row>
    <row r="2286" customFormat="false" ht="7.5" hidden="false" customHeight="true" outlineLevel="0" collapsed="false">
      <c r="H2286" s="49" t="s">
        <v>3258</v>
      </c>
      <c r="I2286" s="50" t="s">
        <v>3259</v>
      </c>
    </row>
    <row r="2287" customFormat="false" ht="7.5" hidden="false" customHeight="true" outlineLevel="0" collapsed="false">
      <c r="H2287" s="49" t="s">
        <v>3261</v>
      </c>
      <c r="I2287" s="50" t="s">
        <v>3262</v>
      </c>
    </row>
    <row r="2288" customFormat="false" ht="7.5" hidden="false" customHeight="true" outlineLevel="0" collapsed="false">
      <c r="H2288" s="49" t="s">
        <v>3264</v>
      </c>
      <c r="I2288" s="50" t="s">
        <v>3265</v>
      </c>
    </row>
    <row r="2289" customFormat="false" ht="7.5" hidden="false" customHeight="true" outlineLevel="0" collapsed="false">
      <c r="H2289" s="49" t="s">
        <v>3267</v>
      </c>
      <c r="I2289" s="50" t="s">
        <v>3268</v>
      </c>
    </row>
    <row r="2290" customFormat="false" ht="7.5" hidden="false" customHeight="true" outlineLevel="0" collapsed="false">
      <c r="H2290" s="49" t="s">
        <v>3270</v>
      </c>
      <c r="I2290" s="50" t="s">
        <v>3271</v>
      </c>
    </row>
    <row r="2291" customFormat="false" ht="7.5" hidden="false" customHeight="true" outlineLevel="0" collapsed="false">
      <c r="H2291" s="49" t="s">
        <v>3273</v>
      </c>
      <c r="I2291" s="50" t="s">
        <v>3274</v>
      </c>
    </row>
    <row r="2292" customFormat="false" ht="7.5" hidden="false" customHeight="true" outlineLevel="0" collapsed="false">
      <c r="H2292" s="49" t="s">
        <v>3276</v>
      </c>
      <c r="I2292" s="50" t="s">
        <v>3277</v>
      </c>
    </row>
    <row r="2293" customFormat="false" ht="7.5" hidden="false" customHeight="true" outlineLevel="0" collapsed="false">
      <c r="H2293" s="49" t="s">
        <v>3279</v>
      </c>
      <c r="I2293" s="50" t="s">
        <v>3280</v>
      </c>
    </row>
    <row r="2294" customFormat="false" ht="7.5" hidden="false" customHeight="true" outlineLevel="0" collapsed="false">
      <c r="H2294" s="39"/>
      <c r="I2294" s="40" t="s">
        <v>3282</v>
      </c>
    </row>
    <row r="2295" customFormat="false" ht="7.5" hidden="false" customHeight="true" outlineLevel="0" collapsed="false">
      <c r="H2295" s="49" t="s">
        <v>3283</v>
      </c>
      <c r="I2295" s="50" t="s">
        <v>3284</v>
      </c>
    </row>
    <row r="2296" customFormat="false" ht="7.5" hidden="false" customHeight="true" outlineLevel="0" collapsed="false">
      <c r="H2296" s="49" t="s">
        <v>3287</v>
      </c>
      <c r="I2296" s="50" t="s">
        <v>3288</v>
      </c>
    </row>
    <row r="2297" customFormat="false" ht="7.5" hidden="false" customHeight="true" outlineLevel="0" collapsed="false">
      <c r="H2297" s="49" t="s">
        <v>3290</v>
      </c>
      <c r="I2297" s="50" t="s">
        <v>3291</v>
      </c>
    </row>
    <row r="2298" customFormat="false" ht="7.5" hidden="false" customHeight="true" outlineLevel="0" collapsed="false">
      <c r="H2298" s="39"/>
      <c r="I2298" s="40" t="s">
        <v>3293</v>
      </c>
    </row>
    <row r="2299" customFormat="false" ht="7.5" hidden="false" customHeight="true" outlineLevel="0" collapsed="false">
      <c r="H2299" s="49" t="s">
        <v>3294</v>
      </c>
      <c r="I2299" s="50" t="s">
        <v>3295</v>
      </c>
    </row>
    <row r="2300" customFormat="false" ht="7.5" hidden="false" customHeight="true" outlineLevel="0" collapsed="false">
      <c r="H2300" s="49" t="s">
        <v>3297</v>
      </c>
      <c r="I2300" s="50" t="s">
        <v>3298</v>
      </c>
    </row>
    <row r="2301" customFormat="false" ht="7.5" hidden="false" customHeight="true" outlineLevel="0" collapsed="false">
      <c r="H2301" s="49" t="s">
        <v>3300</v>
      </c>
      <c r="I2301" s="50" t="s">
        <v>3301</v>
      </c>
    </row>
    <row r="2302" customFormat="false" ht="7.5" hidden="false" customHeight="true" outlineLevel="0" collapsed="false">
      <c r="H2302" s="49" t="s">
        <v>3303</v>
      </c>
      <c r="I2302" s="50" t="s">
        <v>3304</v>
      </c>
    </row>
    <row r="2303" customFormat="false" ht="7.5" hidden="false" customHeight="true" outlineLevel="0" collapsed="false">
      <c r="H2303" s="49" t="s">
        <v>3306</v>
      </c>
      <c r="I2303" s="50" t="s">
        <v>3307</v>
      </c>
    </row>
    <row r="2304" customFormat="false" ht="7.5" hidden="false" customHeight="true" outlineLevel="0" collapsed="false">
      <c r="H2304" s="49" t="s">
        <v>3309</v>
      </c>
      <c r="I2304" s="50" t="s">
        <v>3310</v>
      </c>
    </row>
    <row r="2305" customFormat="false" ht="7.5" hidden="false" customHeight="true" outlineLevel="0" collapsed="false">
      <c r="H2305" s="49" t="s">
        <v>3312</v>
      </c>
      <c r="I2305" s="50" t="s">
        <v>3313</v>
      </c>
    </row>
    <row r="2306" customFormat="false" ht="7.5" hidden="false" customHeight="true" outlineLevel="0" collapsed="false">
      <c r="H2306" s="49" t="s">
        <v>3315</v>
      </c>
      <c r="I2306" s="50" t="s">
        <v>3316</v>
      </c>
    </row>
    <row r="2307" customFormat="false" ht="7.5" hidden="false" customHeight="true" outlineLevel="0" collapsed="false">
      <c r="H2307" s="49" t="s">
        <v>3318</v>
      </c>
      <c r="I2307" s="50" t="s">
        <v>3319</v>
      </c>
    </row>
    <row r="2308" customFormat="false" ht="7.5" hidden="false" customHeight="true" outlineLevel="0" collapsed="false">
      <c r="H2308" s="29"/>
      <c r="I2308" s="30" t="s">
        <v>3321</v>
      </c>
    </row>
    <row r="2309" customFormat="false" ht="7.5" hidden="false" customHeight="true" outlineLevel="0" collapsed="false">
      <c r="H2309" s="39"/>
      <c r="I2309" s="40" t="s">
        <v>3322</v>
      </c>
    </row>
    <row r="2310" customFormat="false" ht="7.5" hidden="false" customHeight="true" outlineLevel="0" collapsed="false">
      <c r="H2310" s="49" t="s">
        <v>3323</v>
      </c>
      <c r="I2310" s="50" t="s">
        <v>3324</v>
      </c>
    </row>
    <row r="2311" customFormat="false" ht="7.5" hidden="false" customHeight="true" outlineLevel="0" collapsed="false">
      <c r="H2311" s="49" t="s">
        <v>3327</v>
      </c>
      <c r="I2311" s="50" t="s">
        <v>3328</v>
      </c>
    </row>
    <row r="2312" customFormat="false" ht="7.5" hidden="false" customHeight="true" outlineLevel="0" collapsed="false">
      <c r="H2312" s="49" t="s">
        <v>3331</v>
      </c>
      <c r="I2312" s="50" t="s">
        <v>3332</v>
      </c>
    </row>
    <row r="2313" customFormat="false" ht="7.5" hidden="false" customHeight="true" outlineLevel="0" collapsed="false">
      <c r="H2313" s="49" t="s">
        <v>3335</v>
      </c>
      <c r="I2313" s="50" t="s">
        <v>3336</v>
      </c>
    </row>
    <row r="2314" customFormat="false" ht="7.5" hidden="false" customHeight="true" outlineLevel="0" collapsed="false">
      <c r="H2314" s="39"/>
      <c r="I2314" s="40" t="s">
        <v>3339</v>
      </c>
    </row>
    <row r="2315" customFormat="false" ht="7.5" hidden="false" customHeight="true" outlineLevel="0" collapsed="false">
      <c r="H2315" s="49" t="s">
        <v>3340</v>
      </c>
      <c r="I2315" s="50" t="s">
        <v>3341</v>
      </c>
    </row>
    <row r="2316" customFormat="false" ht="7.5" hidden="false" customHeight="true" outlineLevel="0" collapsed="false">
      <c r="H2316" s="49" t="s">
        <v>3344</v>
      </c>
      <c r="I2316" s="50" t="s">
        <v>3345</v>
      </c>
    </row>
    <row r="2317" customFormat="false" ht="7.5" hidden="false" customHeight="true" outlineLevel="0" collapsed="false">
      <c r="H2317" s="49" t="s">
        <v>3348</v>
      </c>
      <c r="I2317" s="50" t="s">
        <v>3349</v>
      </c>
    </row>
    <row r="2318" customFormat="false" ht="7.5" hidden="false" customHeight="true" outlineLevel="0" collapsed="false">
      <c r="H2318" s="49" t="s">
        <v>3352</v>
      </c>
      <c r="I2318" s="50" t="s">
        <v>3353</v>
      </c>
    </row>
    <row r="2319" customFormat="false" ht="7.5" hidden="false" customHeight="true" outlineLevel="0" collapsed="false">
      <c r="H2319" s="49" t="s">
        <v>3356</v>
      </c>
      <c r="I2319" s="50" t="s">
        <v>3357</v>
      </c>
    </row>
    <row r="2320" customFormat="false" ht="7.5" hidden="false" customHeight="true" outlineLevel="0" collapsed="false">
      <c r="H2320" s="39"/>
      <c r="I2320" s="40" t="s">
        <v>3360</v>
      </c>
    </row>
    <row r="2321" customFormat="false" ht="7.5" hidden="false" customHeight="true" outlineLevel="0" collapsed="false">
      <c r="H2321" s="49" t="s">
        <v>3361</v>
      </c>
      <c r="I2321" s="50" t="s">
        <v>3362</v>
      </c>
    </row>
    <row r="2322" customFormat="false" ht="7.5" hidden="false" customHeight="true" outlineLevel="0" collapsed="false">
      <c r="H2322" s="39"/>
      <c r="I2322" s="40" t="s">
        <v>3365</v>
      </c>
    </row>
    <row r="2323" customFormat="false" ht="7.5" hidden="false" customHeight="true" outlineLevel="0" collapsed="false">
      <c r="H2323" s="49" t="s">
        <v>3366</v>
      </c>
      <c r="I2323" s="50" t="s">
        <v>3367</v>
      </c>
    </row>
    <row r="2324" customFormat="false" ht="7.5" hidden="false" customHeight="true" outlineLevel="0" collapsed="false">
      <c r="H2324" s="49" t="s">
        <v>3370</v>
      </c>
      <c r="I2324" s="50" t="s">
        <v>3371</v>
      </c>
    </row>
    <row r="2325" customFormat="false" ht="7.5" hidden="false" customHeight="true" outlineLevel="0" collapsed="false">
      <c r="H2325" s="39"/>
      <c r="I2325" s="40" t="s">
        <v>3374</v>
      </c>
    </row>
    <row r="2326" customFormat="false" ht="7.5" hidden="false" customHeight="true" outlineLevel="0" collapsed="false">
      <c r="H2326" s="49" t="s">
        <v>3375</v>
      </c>
      <c r="I2326" s="50" t="s">
        <v>3376</v>
      </c>
    </row>
    <row r="2327" customFormat="false" ht="7.5" hidden="false" customHeight="true" outlineLevel="0" collapsed="false">
      <c r="H2327" s="39"/>
      <c r="I2327" s="40" t="s">
        <v>3379</v>
      </c>
    </row>
    <row r="2328" customFormat="false" ht="7.5" hidden="false" customHeight="true" outlineLevel="0" collapsed="false">
      <c r="H2328" s="49" t="s">
        <v>3380</v>
      </c>
      <c r="I2328" s="50" t="s">
        <v>3381</v>
      </c>
    </row>
    <row r="2329" customFormat="false" ht="7.5" hidden="false" customHeight="true" outlineLevel="0" collapsed="false">
      <c r="H2329" s="49" t="s">
        <v>3384</v>
      </c>
      <c r="I2329" s="50" t="s">
        <v>3385</v>
      </c>
    </row>
    <row r="2330" customFormat="false" ht="7.5" hidden="false" customHeight="true" outlineLevel="0" collapsed="false">
      <c r="H2330" s="39"/>
      <c r="I2330" s="40" t="s">
        <v>3388</v>
      </c>
    </row>
    <row r="2331" customFormat="false" ht="7.5" hidden="false" customHeight="true" outlineLevel="0" collapsed="false">
      <c r="H2331" s="49" t="s">
        <v>3389</v>
      </c>
      <c r="I2331" s="50" t="s">
        <v>3390</v>
      </c>
    </row>
    <row r="2332" customFormat="false" ht="7.5" hidden="false" customHeight="true" outlineLevel="0" collapsed="false">
      <c r="H2332" s="49" t="s">
        <v>3393</v>
      </c>
      <c r="I2332" s="50" t="s">
        <v>3394</v>
      </c>
    </row>
    <row r="2333" customFormat="false" ht="7.5" hidden="false" customHeight="true" outlineLevel="0" collapsed="false">
      <c r="H2333" s="49" t="s">
        <v>3397</v>
      </c>
      <c r="I2333" s="50" t="s">
        <v>3398</v>
      </c>
    </row>
    <row r="2334" customFormat="false" ht="7.5" hidden="false" customHeight="true" outlineLevel="0" collapsed="false">
      <c r="H2334" s="49" t="s">
        <v>3401</v>
      </c>
      <c r="I2334" s="50" t="s">
        <v>3402</v>
      </c>
    </row>
    <row r="2335" customFormat="false" ht="7.5" hidden="false" customHeight="true" outlineLevel="0" collapsed="false">
      <c r="H2335" s="49" t="s">
        <v>3405</v>
      </c>
      <c r="I2335" s="50" t="s">
        <v>3406</v>
      </c>
    </row>
    <row r="2336" customFormat="false" ht="7.5" hidden="false" customHeight="true" outlineLevel="0" collapsed="false">
      <c r="H2336" s="49" t="s">
        <v>3409</v>
      </c>
      <c r="I2336" s="50" t="s">
        <v>3410</v>
      </c>
    </row>
    <row r="2337" customFormat="false" ht="7.5" hidden="false" customHeight="true" outlineLevel="0" collapsed="false">
      <c r="H2337" s="29"/>
      <c r="I2337" s="30" t="s">
        <v>3413</v>
      </c>
    </row>
    <row r="2338" customFormat="false" ht="7.5" hidden="false" customHeight="true" outlineLevel="0" collapsed="false">
      <c r="H2338" s="39"/>
      <c r="I2338" s="40" t="s">
        <v>3414</v>
      </c>
    </row>
    <row r="2339" customFormat="false" ht="7.5" hidden="false" customHeight="true" outlineLevel="0" collapsed="false">
      <c r="H2339" s="49" t="s">
        <v>3415</v>
      </c>
      <c r="I2339" s="50" t="s">
        <v>3416</v>
      </c>
    </row>
    <row r="2340" customFormat="false" ht="7.5" hidden="false" customHeight="true" outlineLevel="0" collapsed="false">
      <c r="H2340" s="49" t="s">
        <v>3419</v>
      </c>
      <c r="I2340" s="50" t="s">
        <v>3420</v>
      </c>
    </row>
    <row r="2341" customFormat="false" ht="7.5" hidden="false" customHeight="true" outlineLevel="0" collapsed="false">
      <c r="H2341" s="49" t="s">
        <v>3423</v>
      </c>
      <c r="I2341" s="50" t="s">
        <v>3424</v>
      </c>
    </row>
    <row r="2342" customFormat="false" ht="7.5" hidden="false" customHeight="true" outlineLevel="0" collapsed="false">
      <c r="H2342" s="49" t="s">
        <v>3427</v>
      </c>
      <c r="I2342" s="50" t="s">
        <v>3428</v>
      </c>
    </row>
    <row r="2343" customFormat="false" ht="7.5" hidden="false" customHeight="true" outlineLevel="0" collapsed="false">
      <c r="H2343" s="49" t="s">
        <v>3431</v>
      </c>
      <c r="I2343" s="50" t="s">
        <v>3432</v>
      </c>
    </row>
    <row r="2344" customFormat="false" ht="7.5" hidden="false" customHeight="true" outlineLevel="0" collapsed="false">
      <c r="H2344" s="49" t="s">
        <v>3435</v>
      </c>
      <c r="I2344" s="50" t="s">
        <v>3436</v>
      </c>
    </row>
    <row r="2345" customFormat="false" ht="7.5" hidden="false" customHeight="true" outlineLevel="0" collapsed="false">
      <c r="H2345" s="49" t="s">
        <v>3439</v>
      </c>
      <c r="I2345" s="50" t="s">
        <v>3440</v>
      </c>
    </row>
    <row r="2346" customFormat="false" ht="7.5" hidden="false" customHeight="true" outlineLevel="0" collapsed="false">
      <c r="H2346" s="49" t="s">
        <v>3443</v>
      </c>
      <c r="I2346" s="50" t="s">
        <v>3444</v>
      </c>
    </row>
    <row r="2347" customFormat="false" ht="7.5" hidden="false" customHeight="true" outlineLevel="0" collapsed="false">
      <c r="H2347" s="49" t="s">
        <v>3447</v>
      </c>
      <c r="I2347" s="50" t="s">
        <v>3448</v>
      </c>
    </row>
    <row r="2348" customFormat="false" ht="7.5" hidden="false" customHeight="true" outlineLevel="0" collapsed="false">
      <c r="H2348" s="49" t="s">
        <v>3449</v>
      </c>
      <c r="I2348" s="50" t="s">
        <v>3450</v>
      </c>
    </row>
    <row r="2349" customFormat="false" ht="7.5" hidden="false" customHeight="true" outlineLevel="0" collapsed="false">
      <c r="H2349" s="49" t="s">
        <v>3453</v>
      </c>
      <c r="I2349" s="50" t="s">
        <v>3454</v>
      </c>
    </row>
    <row r="2350" customFormat="false" ht="7.5" hidden="false" customHeight="true" outlineLevel="0" collapsed="false">
      <c r="H2350" s="39"/>
      <c r="I2350" s="40" t="s">
        <v>3457</v>
      </c>
    </row>
    <row r="2351" customFormat="false" ht="7.5" hidden="false" customHeight="true" outlineLevel="0" collapsed="false">
      <c r="H2351" s="49" t="s">
        <v>3458</v>
      </c>
      <c r="I2351" s="50" t="s">
        <v>3459</v>
      </c>
    </row>
    <row r="2352" customFormat="false" ht="7.5" hidden="false" customHeight="true" outlineLevel="0" collapsed="false">
      <c r="H2352" s="49" t="s">
        <v>3460</v>
      </c>
      <c r="I2352" s="50" t="s">
        <v>3461</v>
      </c>
    </row>
    <row r="2353" customFormat="false" ht="7.5" hidden="false" customHeight="true" outlineLevel="0" collapsed="false">
      <c r="H2353" s="49" t="s">
        <v>3462</v>
      </c>
      <c r="I2353" s="50" t="s">
        <v>3463</v>
      </c>
    </row>
    <row r="2354" customFormat="false" ht="7.5" hidden="false" customHeight="true" outlineLevel="0" collapsed="false">
      <c r="H2354" s="49" t="s">
        <v>3464</v>
      </c>
      <c r="I2354" s="50" t="s">
        <v>3465</v>
      </c>
    </row>
    <row r="2355" customFormat="false" ht="7.5" hidden="false" customHeight="true" outlineLevel="0" collapsed="false">
      <c r="H2355" s="29"/>
      <c r="I2355" s="30" t="s">
        <v>3468</v>
      </c>
    </row>
    <row r="2356" customFormat="false" ht="7.5" hidden="false" customHeight="true" outlineLevel="0" collapsed="false">
      <c r="H2356" s="39"/>
      <c r="I2356" s="40" t="s">
        <v>3469</v>
      </c>
    </row>
    <row r="2357" customFormat="false" ht="7.5" hidden="false" customHeight="true" outlineLevel="0" collapsed="false">
      <c r="H2357" s="49" t="s">
        <v>3470</v>
      </c>
      <c r="I2357" s="50" t="s">
        <v>3471</v>
      </c>
    </row>
    <row r="2358" customFormat="false" ht="7.5" hidden="false" customHeight="true" outlineLevel="0" collapsed="false">
      <c r="H2358" s="49" t="s">
        <v>3472</v>
      </c>
      <c r="I2358" s="50" t="s">
        <v>3473</v>
      </c>
    </row>
    <row r="2359" customFormat="false" ht="7.5" hidden="false" customHeight="true" outlineLevel="0" collapsed="false">
      <c r="H2359" s="49" t="s">
        <v>3474</v>
      </c>
      <c r="I2359" s="50" t="s">
        <v>3475</v>
      </c>
    </row>
    <row r="2360" customFormat="false" ht="7.5" hidden="false" customHeight="true" outlineLevel="0" collapsed="false">
      <c r="H2360" s="49" t="s">
        <v>3476</v>
      </c>
      <c r="I2360" s="50" t="s">
        <v>3477</v>
      </c>
    </row>
    <row r="2361" customFormat="false" ht="7.5" hidden="false" customHeight="true" outlineLevel="0" collapsed="false">
      <c r="H2361" s="49" t="s">
        <v>3478</v>
      </c>
      <c r="I2361" s="50" t="s">
        <v>3479</v>
      </c>
    </row>
    <row r="2362" customFormat="false" ht="7.5" hidden="false" customHeight="true" outlineLevel="0" collapsed="false">
      <c r="H2362" s="49" t="s">
        <v>3480</v>
      </c>
      <c r="I2362" s="50" t="s">
        <v>3481</v>
      </c>
    </row>
    <row r="2363" customFormat="false" ht="7.5" hidden="false" customHeight="true" outlineLevel="0" collapsed="false">
      <c r="H2363" s="49" t="s">
        <v>3482</v>
      </c>
      <c r="I2363" s="50" t="s">
        <v>3483</v>
      </c>
    </row>
    <row r="2364" customFormat="false" ht="7.5" hidden="false" customHeight="true" outlineLevel="0" collapsed="false">
      <c r="H2364" s="49" t="s">
        <v>3485</v>
      </c>
      <c r="I2364" s="50" t="s">
        <v>3486</v>
      </c>
    </row>
    <row r="2365" customFormat="false" ht="7.5" hidden="false" customHeight="true" outlineLevel="0" collapsed="false">
      <c r="H2365" s="49" t="s">
        <v>3487</v>
      </c>
      <c r="I2365" s="50" t="s">
        <v>3488</v>
      </c>
    </row>
    <row r="2366" customFormat="false" ht="7.5" hidden="false" customHeight="true" outlineLevel="0" collapsed="false">
      <c r="H2366" s="49" t="s">
        <v>3491</v>
      </c>
      <c r="I2366" s="50" t="s">
        <v>3492</v>
      </c>
    </row>
    <row r="2367" customFormat="false" ht="7.5" hidden="false" customHeight="true" outlineLevel="0" collapsed="false">
      <c r="H2367" s="49" t="s">
        <v>3493</v>
      </c>
      <c r="I2367" s="50" t="s">
        <v>3494</v>
      </c>
    </row>
    <row r="2368" customFormat="false" ht="7.5" hidden="false" customHeight="true" outlineLevel="0" collapsed="false">
      <c r="H2368" s="49" t="s">
        <v>3495</v>
      </c>
      <c r="I2368" s="50" t="s">
        <v>3496</v>
      </c>
    </row>
    <row r="2369" customFormat="false" ht="7.5" hidden="false" customHeight="true" outlineLevel="0" collapsed="false">
      <c r="H2369" s="49" t="s">
        <v>3499</v>
      </c>
      <c r="I2369" s="50" t="s">
        <v>3500</v>
      </c>
    </row>
    <row r="2370" customFormat="false" ht="7.5" hidden="false" customHeight="true" outlineLevel="0" collapsed="false">
      <c r="H2370" s="49" t="s">
        <v>3503</v>
      </c>
      <c r="I2370" s="50" t="s">
        <v>3504</v>
      </c>
    </row>
    <row r="2371" customFormat="false" ht="7.5" hidden="false" customHeight="true" outlineLevel="0" collapsed="false">
      <c r="H2371" s="49" t="s">
        <v>3507</v>
      </c>
      <c r="I2371" s="50" t="s">
        <v>3508</v>
      </c>
    </row>
    <row r="2372" customFormat="false" ht="7.5" hidden="false" customHeight="true" outlineLevel="0" collapsed="false">
      <c r="H2372" s="49" t="s">
        <v>3510</v>
      </c>
      <c r="I2372" s="50" t="s">
        <v>3511</v>
      </c>
    </row>
    <row r="2373" customFormat="false" ht="7.5" hidden="false" customHeight="true" outlineLevel="0" collapsed="false">
      <c r="H2373" s="49" t="s">
        <v>3513</v>
      </c>
      <c r="I2373" s="50" t="s">
        <v>3514</v>
      </c>
    </row>
    <row r="2374" customFormat="false" ht="7.5" hidden="false" customHeight="true" outlineLevel="0" collapsed="false">
      <c r="H2374" s="49" t="s">
        <v>3517</v>
      </c>
      <c r="I2374" s="50" t="s">
        <v>3518</v>
      </c>
    </row>
    <row r="2375" customFormat="false" ht="7.5" hidden="false" customHeight="true" outlineLevel="0" collapsed="false">
      <c r="H2375" s="49" t="s">
        <v>3521</v>
      </c>
      <c r="I2375" s="50" t="s">
        <v>3522</v>
      </c>
    </row>
    <row r="2376" customFormat="false" ht="7.5" hidden="false" customHeight="true" outlineLevel="0" collapsed="false">
      <c r="H2376" s="49" t="s">
        <v>3525</v>
      </c>
      <c r="I2376" s="50" t="s">
        <v>3526</v>
      </c>
    </row>
    <row r="2377" customFormat="false" ht="7.5" hidden="false" customHeight="true" outlineLevel="0" collapsed="false">
      <c r="H2377" s="49" t="s">
        <v>3527</v>
      </c>
      <c r="I2377" s="50" t="s">
        <v>3528</v>
      </c>
    </row>
    <row r="2378" customFormat="false" ht="7.5" hidden="false" customHeight="true" outlineLevel="0" collapsed="false">
      <c r="H2378" s="49" t="s">
        <v>3529</v>
      </c>
      <c r="I2378" s="50" t="s">
        <v>3530</v>
      </c>
    </row>
    <row r="2379" customFormat="false" ht="7.5" hidden="false" customHeight="true" outlineLevel="0" collapsed="false">
      <c r="H2379" s="49" t="s">
        <v>3532</v>
      </c>
      <c r="I2379" s="50" t="s">
        <v>3533</v>
      </c>
    </row>
    <row r="2380" customFormat="false" ht="7.5" hidden="false" customHeight="true" outlineLevel="0" collapsed="false">
      <c r="H2380" s="49" t="s">
        <v>3535</v>
      </c>
      <c r="I2380" s="50" t="s">
        <v>3536</v>
      </c>
    </row>
    <row r="2381" customFormat="false" ht="7.5" hidden="false" customHeight="true" outlineLevel="0" collapsed="false">
      <c r="H2381" s="49" t="s">
        <v>3538</v>
      </c>
      <c r="I2381" s="50" t="s">
        <v>3539</v>
      </c>
    </row>
    <row r="2382" customFormat="false" ht="7.5" hidden="false" customHeight="true" outlineLevel="0" collapsed="false">
      <c r="H2382" s="49" t="s">
        <v>3541</v>
      </c>
      <c r="I2382" s="50" t="s">
        <v>3542</v>
      </c>
    </row>
    <row r="2383" customFormat="false" ht="7.5" hidden="false" customHeight="true" outlineLevel="0" collapsed="false">
      <c r="H2383" s="49" t="s">
        <v>3544</v>
      </c>
      <c r="I2383" s="50" t="s">
        <v>3545</v>
      </c>
    </row>
    <row r="2384" customFormat="false" ht="7.5" hidden="false" customHeight="true" outlineLevel="0" collapsed="false">
      <c r="H2384" s="49" t="s">
        <v>3547</v>
      </c>
      <c r="I2384" s="50" t="s">
        <v>3548</v>
      </c>
    </row>
    <row r="2385" customFormat="false" ht="7.5" hidden="false" customHeight="true" outlineLevel="0" collapsed="false">
      <c r="H2385" s="39"/>
      <c r="I2385" s="40" t="s">
        <v>3549</v>
      </c>
    </row>
    <row r="2386" customFormat="false" ht="7.5" hidden="false" customHeight="true" outlineLevel="0" collapsed="false">
      <c r="H2386" s="49" t="s">
        <v>3550</v>
      </c>
      <c r="I2386" s="50" t="s">
        <v>3551</v>
      </c>
    </row>
    <row r="2387" customFormat="false" ht="7.5" hidden="false" customHeight="true" outlineLevel="0" collapsed="false">
      <c r="H2387" s="49" t="s">
        <v>3552</v>
      </c>
      <c r="I2387" s="50" t="s">
        <v>3553</v>
      </c>
    </row>
    <row r="2388" customFormat="false" ht="7.5" hidden="false" customHeight="true" outlineLevel="0" collapsed="false">
      <c r="H2388" s="49" t="s">
        <v>3554</v>
      </c>
      <c r="I2388" s="50" t="s">
        <v>3555</v>
      </c>
    </row>
    <row r="2389" customFormat="false" ht="7.5" hidden="false" customHeight="true" outlineLevel="0" collapsed="false">
      <c r="H2389" s="49" t="s">
        <v>3556</v>
      </c>
      <c r="I2389" s="50" t="s">
        <v>3557</v>
      </c>
    </row>
    <row r="2390" customFormat="false" ht="7.5" hidden="false" customHeight="true" outlineLevel="0" collapsed="false">
      <c r="H2390" s="49" t="s">
        <v>3558</v>
      </c>
      <c r="I2390" s="50" t="s">
        <v>3559</v>
      </c>
    </row>
    <row r="2391" customFormat="false" ht="7.5" hidden="false" customHeight="true" outlineLevel="0" collapsed="false">
      <c r="H2391" s="49" t="s">
        <v>3560</v>
      </c>
      <c r="I2391" s="50" t="s">
        <v>3561</v>
      </c>
    </row>
    <row r="2392" customFormat="false" ht="7.5" hidden="false" customHeight="true" outlineLevel="0" collapsed="false">
      <c r="H2392" s="49" t="s">
        <v>3562</v>
      </c>
      <c r="I2392" s="50" t="s">
        <v>3563</v>
      </c>
    </row>
    <row r="2393" customFormat="false" ht="7.5" hidden="false" customHeight="true" outlineLevel="0" collapsed="false">
      <c r="H2393" s="49" t="s">
        <v>3564</v>
      </c>
      <c r="I2393" s="50" t="s">
        <v>3565</v>
      </c>
    </row>
    <row r="2394" customFormat="false" ht="7.5" hidden="false" customHeight="true" outlineLevel="0" collapsed="false">
      <c r="H2394" s="49" t="s">
        <v>3568</v>
      </c>
      <c r="I2394" s="50" t="s">
        <v>3569</v>
      </c>
    </row>
    <row r="2395" customFormat="false" ht="7.5" hidden="false" customHeight="true" outlineLevel="0" collapsed="false">
      <c r="H2395" s="49" t="s">
        <v>3570</v>
      </c>
      <c r="I2395" s="50" t="s">
        <v>3571</v>
      </c>
    </row>
    <row r="2396" customFormat="false" ht="7.5" hidden="false" customHeight="true" outlineLevel="0" collapsed="false">
      <c r="H2396" s="49" t="s">
        <v>3573</v>
      </c>
      <c r="I2396" s="50" t="s">
        <v>3574</v>
      </c>
    </row>
    <row r="2397" customFormat="false" ht="7.5" hidden="false" customHeight="true" outlineLevel="0" collapsed="false">
      <c r="H2397" s="49" t="s">
        <v>3576</v>
      </c>
      <c r="I2397" s="50" t="s">
        <v>3577</v>
      </c>
    </row>
    <row r="2398" customFormat="false" ht="7.5" hidden="false" customHeight="true" outlineLevel="0" collapsed="false">
      <c r="H2398" s="49" t="s">
        <v>3579</v>
      </c>
      <c r="I2398" s="50" t="s">
        <v>3580</v>
      </c>
    </row>
    <row r="2399" customFormat="false" ht="7.5" hidden="false" customHeight="true" outlineLevel="0" collapsed="false">
      <c r="H2399" s="49" t="s">
        <v>3582</v>
      </c>
      <c r="I2399" s="50" t="s">
        <v>3583</v>
      </c>
    </row>
    <row r="2400" customFormat="false" ht="7.5" hidden="false" customHeight="true" outlineLevel="0" collapsed="false">
      <c r="H2400" s="49" t="s">
        <v>3585</v>
      </c>
      <c r="I2400" s="50" t="s">
        <v>3586</v>
      </c>
    </row>
    <row r="2401" customFormat="false" ht="7.5" hidden="false" customHeight="true" outlineLevel="0" collapsed="false">
      <c r="H2401" s="49" t="s">
        <v>3588</v>
      </c>
      <c r="I2401" s="50" t="s">
        <v>3589</v>
      </c>
    </row>
    <row r="2402" customFormat="false" ht="7.5" hidden="false" customHeight="true" outlineLevel="0" collapsed="false">
      <c r="H2402" s="49" t="s">
        <v>3591</v>
      </c>
      <c r="I2402" s="50" t="s">
        <v>3592</v>
      </c>
    </row>
    <row r="2403" customFormat="false" ht="7.5" hidden="false" customHeight="true" outlineLevel="0" collapsed="false">
      <c r="H2403" s="39"/>
      <c r="I2403" s="40" t="s">
        <v>3593</v>
      </c>
    </row>
    <row r="2404" customFormat="false" ht="7.5" hidden="false" customHeight="true" outlineLevel="0" collapsed="false">
      <c r="H2404" s="49" t="s">
        <v>3594</v>
      </c>
      <c r="I2404" s="50" t="s">
        <v>3595</v>
      </c>
    </row>
    <row r="2405" customFormat="false" ht="7.5" hidden="false" customHeight="true" outlineLevel="0" collapsed="false">
      <c r="H2405" s="49" t="s">
        <v>3596</v>
      </c>
      <c r="I2405" s="50" t="s">
        <v>3597</v>
      </c>
    </row>
    <row r="2406" customFormat="false" ht="7.5" hidden="false" customHeight="true" outlineLevel="0" collapsed="false">
      <c r="H2406" s="49" t="s">
        <v>3600</v>
      </c>
      <c r="I2406" s="50" t="s">
        <v>3601</v>
      </c>
    </row>
    <row r="2407" customFormat="false" ht="7.5" hidden="false" customHeight="true" outlineLevel="0" collapsed="false">
      <c r="H2407" s="49" t="s">
        <v>3602</v>
      </c>
      <c r="I2407" s="50" t="s">
        <v>3603</v>
      </c>
    </row>
    <row r="2408" customFormat="false" ht="7.5" hidden="false" customHeight="true" outlineLevel="0" collapsed="false">
      <c r="H2408" s="49" t="s">
        <v>3604</v>
      </c>
      <c r="I2408" s="50" t="s">
        <v>3605</v>
      </c>
    </row>
    <row r="2409" customFormat="false" ht="7.5" hidden="false" customHeight="true" outlineLevel="0" collapsed="false">
      <c r="H2409" s="49" t="s">
        <v>3608</v>
      </c>
      <c r="I2409" s="50" t="s">
        <v>3609</v>
      </c>
    </row>
    <row r="2410" customFormat="false" ht="7.5" hidden="false" customHeight="true" outlineLevel="0" collapsed="false">
      <c r="H2410" s="49" t="s">
        <v>3612</v>
      </c>
      <c r="I2410" s="50" t="s">
        <v>3613</v>
      </c>
    </row>
    <row r="2411" customFormat="false" ht="7.5" hidden="false" customHeight="true" outlineLevel="0" collapsed="false">
      <c r="H2411" s="49" t="s">
        <v>3616</v>
      </c>
      <c r="I2411" s="50" t="s">
        <v>3617</v>
      </c>
    </row>
    <row r="2412" customFormat="false" ht="7.5" hidden="false" customHeight="true" outlineLevel="0" collapsed="false">
      <c r="H2412" s="49" t="s">
        <v>3620</v>
      </c>
      <c r="I2412" s="50" t="s">
        <v>3621</v>
      </c>
    </row>
    <row r="2413" customFormat="false" ht="7.5" hidden="false" customHeight="true" outlineLevel="0" collapsed="false">
      <c r="H2413" s="49" t="s">
        <v>3624</v>
      </c>
      <c r="I2413" s="50" t="s">
        <v>3625</v>
      </c>
    </row>
    <row r="2414" customFormat="false" ht="7.5" hidden="false" customHeight="true" outlineLevel="0" collapsed="false">
      <c r="H2414" s="49" t="s">
        <v>3626</v>
      </c>
      <c r="I2414" s="50" t="s">
        <v>3627</v>
      </c>
    </row>
    <row r="2415" customFormat="false" ht="7.5" hidden="false" customHeight="true" outlineLevel="0" collapsed="false">
      <c r="H2415" s="49" t="s">
        <v>3628</v>
      </c>
      <c r="I2415" s="50" t="s">
        <v>3629</v>
      </c>
    </row>
    <row r="2416" customFormat="false" ht="7.5" hidden="false" customHeight="true" outlineLevel="0" collapsed="false">
      <c r="H2416" s="49" t="s">
        <v>3630</v>
      </c>
      <c r="I2416" s="50" t="s">
        <v>3631</v>
      </c>
    </row>
    <row r="2417" customFormat="false" ht="7.5" hidden="false" customHeight="true" outlineLevel="0" collapsed="false">
      <c r="H2417" s="49" t="s">
        <v>3632</v>
      </c>
      <c r="I2417" s="50" t="s">
        <v>3633</v>
      </c>
    </row>
    <row r="2418" customFormat="false" ht="7.5" hidden="false" customHeight="true" outlineLevel="0" collapsed="false">
      <c r="H2418" s="49" t="s">
        <v>3635</v>
      </c>
      <c r="I2418" s="50" t="s">
        <v>3636</v>
      </c>
    </row>
    <row r="2419" customFormat="false" ht="7.5" hidden="false" customHeight="true" outlineLevel="0" collapsed="false">
      <c r="H2419" s="49" t="s">
        <v>3638</v>
      </c>
      <c r="I2419" s="50" t="s">
        <v>3639</v>
      </c>
    </row>
    <row r="2420" customFormat="false" ht="7.5" hidden="false" customHeight="true" outlineLevel="0" collapsed="false">
      <c r="H2420" s="49" t="s">
        <v>3640</v>
      </c>
      <c r="I2420" s="50" t="s">
        <v>3641</v>
      </c>
    </row>
    <row r="2421" customFormat="false" ht="7.5" hidden="false" customHeight="true" outlineLevel="0" collapsed="false">
      <c r="H2421" s="49" t="s">
        <v>3642</v>
      </c>
      <c r="I2421" s="50" t="s">
        <v>3643</v>
      </c>
    </row>
    <row r="2422" customFormat="false" ht="7.5" hidden="false" customHeight="true" outlineLevel="0" collapsed="false">
      <c r="H2422" s="49" t="s">
        <v>3644</v>
      </c>
      <c r="I2422" s="50" t="s">
        <v>3645</v>
      </c>
    </row>
    <row r="2423" customFormat="false" ht="7.5" hidden="false" customHeight="true" outlineLevel="0" collapsed="false">
      <c r="H2423" s="49" t="s">
        <v>3646</v>
      </c>
      <c r="I2423" s="50" t="s">
        <v>3647</v>
      </c>
    </row>
    <row r="2424" customFormat="false" ht="7.5" hidden="false" customHeight="true" outlineLevel="0" collapsed="false">
      <c r="H2424" s="49" t="s">
        <v>3648</v>
      </c>
      <c r="I2424" s="50" t="s">
        <v>3649</v>
      </c>
    </row>
    <row r="2425" customFormat="false" ht="7.5" hidden="false" customHeight="true" outlineLevel="0" collapsed="false">
      <c r="H2425" s="49" t="s">
        <v>3650</v>
      </c>
      <c r="I2425" s="50" t="s">
        <v>3651</v>
      </c>
    </row>
    <row r="2426" customFormat="false" ht="7.5" hidden="false" customHeight="true" outlineLevel="0" collapsed="false">
      <c r="H2426" s="49" t="s">
        <v>3653</v>
      </c>
      <c r="I2426" s="50" t="s">
        <v>3654</v>
      </c>
    </row>
    <row r="2427" customFormat="false" ht="7.5" hidden="false" customHeight="true" outlineLevel="0" collapsed="false">
      <c r="H2427" s="49" t="s">
        <v>3655</v>
      </c>
      <c r="I2427" s="50" t="s">
        <v>3656</v>
      </c>
    </row>
    <row r="2428" customFormat="false" ht="7.5" hidden="false" customHeight="true" outlineLevel="0" collapsed="false">
      <c r="H2428" s="49" t="s">
        <v>3658</v>
      </c>
      <c r="I2428" s="50" t="s">
        <v>3659</v>
      </c>
    </row>
    <row r="2429" customFormat="false" ht="7.5" hidden="false" customHeight="true" outlineLevel="0" collapsed="false">
      <c r="H2429" s="49" t="s">
        <v>3660</v>
      </c>
      <c r="I2429" s="50" t="s">
        <v>3661</v>
      </c>
    </row>
    <row r="2430" customFormat="false" ht="7.5" hidden="false" customHeight="true" outlineLevel="0" collapsed="false">
      <c r="H2430" s="49" t="s">
        <v>3662</v>
      </c>
      <c r="I2430" s="50" t="s">
        <v>3663</v>
      </c>
    </row>
    <row r="2431" customFormat="false" ht="7.5" hidden="false" customHeight="true" outlineLevel="0" collapsed="false">
      <c r="H2431" s="49" t="s">
        <v>3664</v>
      </c>
      <c r="I2431" s="50" t="s">
        <v>3665</v>
      </c>
    </row>
    <row r="2432" customFormat="false" ht="7.5" hidden="false" customHeight="true" outlineLevel="0" collapsed="false">
      <c r="H2432" s="49" t="s">
        <v>3667</v>
      </c>
      <c r="I2432" s="50" t="s">
        <v>3668</v>
      </c>
    </row>
    <row r="2433" customFormat="false" ht="7.5" hidden="false" customHeight="true" outlineLevel="0" collapsed="false">
      <c r="H2433" s="49" t="s">
        <v>3669</v>
      </c>
      <c r="I2433" s="50" t="s">
        <v>3670</v>
      </c>
    </row>
    <row r="2434" customFormat="false" ht="7.5" hidden="false" customHeight="true" outlineLevel="0" collapsed="false">
      <c r="H2434" s="49" t="s">
        <v>3671</v>
      </c>
      <c r="I2434" s="50" t="s">
        <v>3672</v>
      </c>
    </row>
    <row r="2435" customFormat="false" ht="7.5" hidden="false" customHeight="true" outlineLevel="0" collapsed="false">
      <c r="H2435" s="49" t="s">
        <v>3673</v>
      </c>
      <c r="I2435" s="50" t="s">
        <v>3674</v>
      </c>
    </row>
    <row r="2436" customFormat="false" ht="7.5" hidden="false" customHeight="true" outlineLevel="0" collapsed="false">
      <c r="H2436" s="49" t="s">
        <v>3675</v>
      </c>
      <c r="I2436" s="50" t="s">
        <v>3676</v>
      </c>
    </row>
    <row r="2437" customFormat="false" ht="7.5" hidden="false" customHeight="true" outlineLevel="0" collapsed="false">
      <c r="H2437" s="49" t="s">
        <v>3677</v>
      </c>
      <c r="I2437" s="50" t="s">
        <v>3678</v>
      </c>
    </row>
    <row r="2438" customFormat="false" ht="7.5" hidden="false" customHeight="true" outlineLevel="0" collapsed="false">
      <c r="H2438" s="49" t="s">
        <v>3679</v>
      </c>
      <c r="I2438" s="50" t="s">
        <v>3680</v>
      </c>
    </row>
    <row r="2439" customFormat="false" ht="7.5" hidden="false" customHeight="true" outlineLevel="0" collapsed="false">
      <c r="H2439" s="49" t="s">
        <v>3682</v>
      </c>
      <c r="I2439" s="50" t="s">
        <v>3683</v>
      </c>
    </row>
    <row r="2440" customFormat="false" ht="7.5" hidden="false" customHeight="true" outlineLevel="0" collapsed="false">
      <c r="H2440" s="49" t="s">
        <v>3684</v>
      </c>
      <c r="I2440" s="50" t="s">
        <v>3685</v>
      </c>
    </row>
    <row r="2441" customFormat="false" ht="7.5" hidden="false" customHeight="true" outlineLevel="0" collapsed="false">
      <c r="H2441" s="49" t="s">
        <v>3686</v>
      </c>
      <c r="I2441" s="50" t="s">
        <v>3687</v>
      </c>
    </row>
    <row r="2442" customFormat="false" ht="7.5" hidden="false" customHeight="true" outlineLevel="0" collapsed="false">
      <c r="H2442" s="49" t="s">
        <v>3688</v>
      </c>
      <c r="I2442" s="50" t="s">
        <v>3689</v>
      </c>
    </row>
    <row r="2443" customFormat="false" ht="7.5" hidden="false" customHeight="true" outlineLevel="0" collapsed="false">
      <c r="H2443" s="49" t="s">
        <v>3690</v>
      </c>
      <c r="I2443" s="50" t="s">
        <v>3691</v>
      </c>
    </row>
    <row r="2444" customFormat="false" ht="7.5" hidden="false" customHeight="true" outlineLevel="0" collapsed="false">
      <c r="H2444" s="49" t="s">
        <v>3692</v>
      </c>
      <c r="I2444" s="50" t="s">
        <v>3693</v>
      </c>
    </row>
    <row r="2445" customFormat="false" ht="7.5" hidden="false" customHeight="true" outlineLevel="0" collapsed="false">
      <c r="H2445" s="49" t="s">
        <v>3694</v>
      </c>
      <c r="I2445" s="50" t="s">
        <v>3695</v>
      </c>
    </row>
    <row r="2446" customFormat="false" ht="7.5" hidden="false" customHeight="true" outlineLevel="0" collapsed="false">
      <c r="H2446" s="49" t="s">
        <v>3696</v>
      </c>
      <c r="I2446" s="50" t="s">
        <v>3697</v>
      </c>
    </row>
    <row r="2447" customFormat="false" ht="7.5" hidden="false" customHeight="true" outlineLevel="0" collapsed="false">
      <c r="H2447" s="49" t="s">
        <v>3698</v>
      </c>
      <c r="I2447" s="50" t="s">
        <v>3699</v>
      </c>
    </row>
    <row r="2448" customFormat="false" ht="7.5" hidden="false" customHeight="true" outlineLevel="0" collapsed="false">
      <c r="H2448" s="49" t="s">
        <v>3700</v>
      </c>
      <c r="I2448" s="50" t="s">
        <v>3701</v>
      </c>
    </row>
    <row r="2449" customFormat="false" ht="7.5" hidden="false" customHeight="true" outlineLevel="0" collapsed="false">
      <c r="H2449" s="49" t="s">
        <v>3702</v>
      </c>
      <c r="I2449" s="50" t="s">
        <v>3703</v>
      </c>
    </row>
    <row r="2450" customFormat="false" ht="7.5" hidden="false" customHeight="true" outlineLevel="0" collapsed="false">
      <c r="H2450" s="49" t="s">
        <v>3704</v>
      </c>
      <c r="I2450" s="50" t="s">
        <v>3705</v>
      </c>
    </row>
    <row r="2451" customFormat="false" ht="7.5" hidden="false" customHeight="true" outlineLevel="0" collapsed="false">
      <c r="H2451" s="49" t="s">
        <v>3706</v>
      </c>
      <c r="I2451" s="50" t="s">
        <v>3707</v>
      </c>
    </row>
    <row r="2452" customFormat="false" ht="7.5" hidden="false" customHeight="true" outlineLevel="0" collapsed="false">
      <c r="H2452" s="49" t="s">
        <v>3708</v>
      </c>
      <c r="I2452" s="50" t="s">
        <v>3709</v>
      </c>
    </row>
    <row r="2453" customFormat="false" ht="7.5" hidden="false" customHeight="true" outlineLevel="0" collapsed="false">
      <c r="H2453" s="49" t="s">
        <v>3710</v>
      </c>
      <c r="I2453" s="50" t="s">
        <v>3711</v>
      </c>
    </row>
    <row r="2454" customFormat="false" ht="7.5" hidden="false" customHeight="true" outlineLevel="0" collapsed="false">
      <c r="H2454" s="49" t="s">
        <v>3712</v>
      </c>
      <c r="I2454" s="50" t="s">
        <v>3713</v>
      </c>
    </row>
    <row r="2455" customFormat="false" ht="7.5" hidden="false" customHeight="true" outlineLevel="0" collapsed="false">
      <c r="H2455" s="49" t="s">
        <v>3714</v>
      </c>
      <c r="I2455" s="50" t="s">
        <v>3715</v>
      </c>
    </row>
    <row r="2456" customFormat="false" ht="7.5" hidden="false" customHeight="true" outlineLevel="0" collapsed="false">
      <c r="H2456" s="49" t="s">
        <v>3716</v>
      </c>
      <c r="I2456" s="50" t="s">
        <v>3717</v>
      </c>
    </row>
    <row r="2457" customFormat="false" ht="7.5" hidden="false" customHeight="true" outlineLevel="0" collapsed="false">
      <c r="H2457" s="49" t="s">
        <v>3718</v>
      </c>
      <c r="I2457" s="50" t="s">
        <v>3719</v>
      </c>
    </row>
    <row r="2458" customFormat="false" ht="7.5" hidden="false" customHeight="true" outlineLevel="0" collapsed="false">
      <c r="H2458" s="49" t="s">
        <v>3720</v>
      </c>
      <c r="I2458" s="50" t="s">
        <v>3721</v>
      </c>
    </row>
    <row r="2459" customFormat="false" ht="7.5" hidden="false" customHeight="true" outlineLevel="0" collapsed="false">
      <c r="H2459" s="49" t="s">
        <v>3722</v>
      </c>
      <c r="I2459" s="50" t="s">
        <v>3723</v>
      </c>
    </row>
    <row r="2460" customFormat="false" ht="7.5" hidden="false" customHeight="true" outlineLevel="0" collapsed="false">
      <c r="H2460" s="49" t="s">
        <v>3724</v>
      </c>
      <c r="I2460" s="50" t="s">
        <v>3725</v>
      </c>
    </row>
    <row r="2461" customFormat="false" ht="7.5" hidden="false" customHeight="true" outlineLevel="0" collapsed="false">
      <c r="H2461" s="49" t="s">
        <v>3728</v>
      </c>
      <c r="I2461" s="50" t="s">
        <v>3729</v>
      </c>
    </row>
    <row r="2462" customFormat="false" ht="7.5" hidden="false" customHeight="true" outlineLevel="0" collapsed="false">
      <c r="H2462" s="49" t="s">
        <v>3731</v>
      </c>
      <c r="I2462" s="50" t="s">
        <v>3732</v>
      </c>
    </row>
    <row r="2463" customFormat="false" ht="7.5" hidden="false" customHeight="true" outlineLevel="0" collapsed="false">
      <c r="H2463" s="49" t="s">
        <v>3733</v>
      </c>
      <c r="I2463" s="50" t="s">
        <v>3734</v>
      </c>
    </row>
    <row r="2464" customFormat="false" ht="7.5" hidden="false" customHeight="true" outlineLevel="0" collapsed="false">
      <c r="H2464" s="49" t="s">
        <v>3735</v>
      </c>
      <c r="I2464" s="50" t="s">
        <v>3736</v>
      </c>
    </row>
    <row r="2465" customFormat="false" ht="7.5" hidden="false" customHeight="true" outlineLevel="0" collapsed="false">
      <c r="H2465" s="49" t="s">
        <v>3737</v>
      </c>
      <c r="I2465" s="50" t="s">
        <v>3738</v>
      </c>
    </row>
    <row r="2466" customFormat="false" ht="7.5" hidden="false" customHeight="true" outlineLevel="0" collapsed="false">
      <c r="H2466" s="49" t="s">
        <v>3739</v>
      </c>
      <c r="I2466" s="50" t="s">
        <v>3740</v>
      </c>
    </row>
    <row r="2467" customFormat="false" ht="7.5" hidden="false" customHeight="true" outlineLevel="0" collapsed="false">
      <c r="H2467" s="49" t="s">
        <v>3741</v>
      </c>
      <c r="I2467" s="50" t="s">
        <v>3742</v>
      </c>
    </row>
    <row r="2468" customFormat="false" ht="7.5" hidden="false" customHeight="true" outlineLevel="0" collapsed="false">
      <c r="H2468" s="49" t="s">
        <v>3743</v>
      </c>
      <c r="I2468" s="50" t="s">
        <v>3744</v>
      </c>
    </row>
    <row r="2469" customFormat="false" ht="7.5" hidden="false" customHeight="true" outlineLevel="0" collapsed="false">
      <c r="H2469" s="49" t="s">
        <v>3745</v>
      </c>
      <c r="I2469" s="50" t="s">
        <v>3746</v>
      </c>
    </row>
    <row r="2470" customFormat="false" ht="7.5" hidden="false" customHeight="true" outlineLevel="0" collapsed="false">
      <c r="H2470" s="49" t="s">
        <v>3747</v>
      </c>
      <c r="I2470" s="50" t="s">
        <v>3748</v>
      </c>
    </row>
    <row r="2471" customFormat="false" ht="7.5" hidden="false" customHeight="true" outlineLevel="0" collapsed="false">
      <c r="H2471" s="49" t="s">
        <v>3749</v>
      </c>
      <c r="I2471" s="50" t="s">
        <v>3750</v>
      </c>
    </row>
    <row r="2472" customFormat="false" ht="7.5" hidden="false" customHeight="true" outlineLevel="0" collapsed="false">
      <c r="H2472" s="49" t="s">
        <v>3751</v>
      </c>
      <c r="I2472" s="50" t="s">
        <v>3752</v>
      </c>
    </row>
    <row r="2473" customFormat="false" ht="7.5" hidden="false" customHeight="true" outlineLevel="0" collapsed="false">
      <c r="H2473" s="49" t="s">
        <v>3753</v>
      </c>
      <c r="I2473" s="50" t="s">
        <v>3754</v>
      </c>
    </row>
    <row r="2474" customFormat="false" ht="7.5" hidden="false" customHeight="true" outlineLevel="0" collapsed="false">
      <c r="H2474" s="49" t="s">
        <v>3755</v>
      </c>
      <c r="I2474" s="50" t="s">
        <v>3756</v>
      </c>
    </row>
    <row r="2475" customFormat="false" ht="7.5" hidden="false" customHeight="true" outlineLevel="0" collapsed="false">
      <c r="H2475" s="49" t="s">
        <v>3757</v>
      </c>
      <c r="I2475" s="50" t="s">
        <v>3758</v>
      </c>
    </row>
    <row r="2476" customFormat="false" ht="7.5" hidden="false" customHeight="true" outlineLevel="0" collapsed="false">
      <c r="H2476" s="49" t="s">
        <v>3760</v>
      </c>
      <c r="I2476" s="50" t="s">
        <v>3761</v>
      </c>
    </row>
    <row r="2477" customFormat="false" ht="7.5" hidden="false" customHeight="true" outlineLevel="0" collapsed="false">
      <c r="H2477" s="49" t="s">
        <v>3762</v>
      </c>
      <c r="I2477" s="50" t="s">
        <v>3763</v>
      </c>
    </row>
    <row r="2478" customFormat="false" ht="7.5" hidden="false" customHeight="true" outlineLevel="0" collapsed="false">
      <c r="H2478" s="49" t="s">
        <v>3765</v>
      </c>
      <c r="I2478" s="50" t="s">
        <v>3766</v>
      </c>
    </row>
    <row r="2479" customFormat="false" ht="7.5" hidden="false" customHeight="true" outlineLevel="0" collapsed="false">
      <c r="H2479" s="49" t="s">
        <v>3767</v>
      </c>
      <c r="I2479" s="50" t="s">
        <v>3768</v>
      </c>
    </row>
    <row r="2480" customFormat="false" ht="7.5" hidden="false" customHeight="true" outlineLevel="0" collapsed="false">
      <c r="H2480" s="49" t="s">
        <v>3769</v>
      </c>
      <c r="I2480" s="50" t="s">
        <v>3770</v>
      </c>
    </row>
    <row r="2481" customFormat="false" ht="7.5" hidden="false" customHeight="true" outlineLevel="0" collapsed="false">
      <c r="H2481" s="49" t="s">
        <v>3773</v>
      </c>
      <c r="I2481" s="50" t="s">
        <v>3774</v>
      </c>
    </row>
    <row r="2482" customFormat="false" ht="7.5" hidden="false" customHeight="true" outlineLevel="0" collapsed="false">
      <c r="H2482" s="49" t="s">
        <v>3777</v>
      </c>
      <c r="I2482" s="50" t="s">
        <v>3778</v>
      </c>
    </row>
    <row r="2483" customFormat="false" ht="7.5" hidden="false" customHeight="true" outlineLevel="0" collapsed="false">
      <c r="H2483" s="49" t="s">
        <v>3780</v>
      </c>
      <c r="I2483" s="50" t="s">
        <v>3781</v>
      </c>
    </row>
    <row r="2484" customFormat="false" ht="7.5" hidden="false" customHeight="true" outlineLevel="0" collapsed="false">
      <c r="H2484" s="49" t="s">
        <v>3783</v>
      </c>
      <c r="I2484" s="50" t="s">
        <v>3784</v>
      </c>
    </row>
    <row r="2485" customFormat="false" ht="7.5" hidden="false" customHeight="true" outlineLevel="0" collapsed="false">
      <c r="H2485" s="49" t="s">
        <v>3785</v>
      </c>
      <c r="I2485" s="50" t="s">
        <v>3786</v>
      </c>
    </row>
    <row r="2486" customFormat="false" ht="7.5" hidden="false" customHeight="true" outlineLevel="0" collapsed="false">
      <c r="H2486" s="49" t="s">
        <v>3787</v>
      </c>
      <c r="I2486" s="50" t="s">
        <v>3788</v>
      </c>
    </row>
    <row r="2487" customFormat="false" ht="7.5" hidden="false" customHeight="true" outlineLevel="0" collapsed="false">
      <c r="H2487" s="49" t="s">
        <v>3790</v>
      </c>
      <c r="I2487" s="50" t="s">
        <v>3791</v>
      </c>
    </row>
    <row r="2488" customFormat="false" ht="7.5" hidden="false" customHeight="true" outlineLevel="0" collapsed="false">
      <c r="H2488" s="49" t="s">
        <v>3792</v>
      </c>
      <c r="I2488" s="50" t="s">
        <v>3793</v>
      </c>
    </row>
    <row r="2489" customFormat="false" ht="7.5" hidden="false" customHeight="true" outlineLevel="0" collapsed="false">
      <c r="H2489" s="49" t="s">
        <v>3796</v>
      </c>
      <c r="I2489" s="50" t="s">
        <v>3797</v>
      </c>
    </row>
    <row r="2490" customFormat="false" ht="7.5" hidden="false" customHeight="true" outlineLevel="0" collapsed="false">
      <c r="H2490" s="49" t="s">
        <v>3798</v>
      </c>
      <c r="I2490" s="50" t="s">
        <v>3799</v>
      </c>
    </row>
    <row r="2491" customFormat="false" ht="7.5" hidden="false" customHeight="true" outlineLevel="0" collapsed="false">
      <c r="H2491" s="49" t="s">
        <v>3800</v>
      </c>
      <c r="I2491" s="50" t="s">
        <v>3801</v>
      </c>
    </row>
    <row r="2492" customFormat="false" ht="7.5" hidden="false" customHeight="true" outlineLevel="0" collapsed="false">
      <c r="H2492" s="49" t="s">
        <v>3803</v>
      </c>
      <c r="I2492" s="50" t="s">
        <v>3804</v>
      </c>
    </row>
    <row r="2493" customFormat="false" ht="7.5" hidden="false" customHeight="true" outlineLevel="0" collapsed="false">
      <c r="H2493" s="49" t="s">
        <v>3807</v>
      </c>
      <c r="I2493" s="50" t="s">
        <v>3808</v>
      </c>
    </row>
    <row r="2494" customFormat="false" ht="7.5" hidden="false" customHeight="true" outlineLevel="0" collapsed="false">
      <c r="H2494" s="49" t="s">
        <v>3811</v>
      </c>
      <c r="I2494" s="50" t="s">
        <v>3812</v>
      </c>
    </row>
    <row r="2495" customFormat="false" ht="7.5" hidden="false" customHeight="true" outlineLevel="0" collapsed="false">
      <c r="H2495" s="49" t="s">
        <v>3814</v>
      </c>
      <c r="I2495" s="50" t="s">
        <v>3815</v>
      </c>
    </row>
    <row r="2496" customFormat="false" ht="7.5" hidden="false" customHeight="true" outlineLevel="0" collapsed="false">
      <c r="H2496" s="49" t="s">
        <v>3818</v>
      </c>
      <c r="I2496" s="50" t="s">
        <v>3819</v>
      </c>
    </row>
    <row r="2497" customFormat="false" ht="7.5" hidden="false" customHeight="true" outlineLevel="0" collapsed="false">
      <c r="H2497" s="49" t="s">
        <v>3708</v>
      </c>
      <c r="I2497" s="50" t="s">
        <v>3822</v>
      </c>
    </row>
    <row r="2498" customFormat="false" ht="7.5" hidden="false" customHeight="true" outlineLevel="0" collapsed="false">
      <c r="H2498" s="49" t="s">
        <v>3824</v>
      </c>
      <c r="I2498" s="50" t="s">
        <v>3825</v>
      </c>
    </row>
    <row r="2499" customFormat="false" ht="7.5" hidden="false" customHeight="true" outlineLevel="0" collapsed="false">
      <c r="H2499" s="49" t="s">
        <v>3827</v>
      </c>
      <c r="I2499" s="50" t="s">
        <v>3828</v>
      </c>
    </row>
    <row r="2500" customFormat="false" ht="7.5" hidden="false" customHeight="true" outlineLevel="0" collapsed="false">
      <c r="H2500" s="49" t="s">
        <v>3829</v>
      </c>
      <c r="I2500" s="50" t="s">
        <v>3830</v>
      </c>
    </row>
    <row r="2501" customFormat="false" ht="7.5" hidden="false" customHeight="true" outlineLevel="0" collapsed="false">
      <c r="H2501" s="49" t="s">
        <v>3833</v>
      </c>
      <c r="I2501" s="50" t="s">
        <v>3834</v>
      </c>
    </row>
    <row r="2502" customFormat="false" ht="7.5" hidden="false" customHeight="true" outlineLevel="0" collapsed="false">
      <c r="H2502" s="49" t="s">
        <v>3835</v>
      </c>
      <c r="I2502" s="50" t="s">
        <v>3836</v>
      </c>
    </row>
    <row r="2503" customFormat="false" ht="7.5" hidden="false" customHeight="true" outlineLevel="0" collapsed="false">
      <c r="H2503" s="49" t="s">
        <v>3838</v>
      </c>
      <c r="I2503" s="50" t="s">
        <v>3839</v>
      </c>
    </row>
    <row r="2504" customFormat="false" ht="7.5" hidden="false" customHeight="true" outlineLevel="0" collapsed="false">
      <c r="H2504" s="49" t="s">
        <v>3841</v>
      </c>
      <c r="I2504" s="50" t="s">
        <v>3842</v>
      </c>
    </row>
    <row r="2505" customFormat="false" ht="7.5" hidden="false" customHeight="true" outlineLevel="0" collapsed="false">
      <c r="H2505" s="49" t="s">
        <v>3844</v>
      </c>
      <c r="I2505" s="50" t="s">
        <v>3845</v>
      </c>
    </row>
    <row r="2506" customFormat="false" ht="7.5" hidden="false" customHeight="true" outlineLevel="0" collapsed="false">
      <c r="H2506" s="49" t="s">
        <v>3846</v>
      </c>
      <c r="I2506" s="50" t="s">
        <v>3847</v>
      </c>
    </row>
    <row r="2507" customFormat="false" ht="7.5" hidden="false" customHeight="true" outlineLevel="0" collapsed="false">
      <c r="H2507" s="49" t="s">
        <v>3849</v>
      </c>
      <c r="I2507" s="50" t="s">
        <v>3850</v>
      </c>
    </row>
    <row r="2508" customFormat="false" ht="7.5" hidden="false" customHeight="true" outlineLevel="0" collapsed="false">
      <c r="H2508" s="49" t="s">
        <v>3852</v>
      </c>
      <c r="I2508" s="50" t="s">
        <v>3853</v>
      </c>
    </row>
    <row r="2509" customFormat="false" ht="7.5" hidden="false" customHeight="true" outlineLevel="0" collapsed="false">
      <c r="H2509" s="49" t="s">
        <v>3856</v>
      </c>
      <c r="I2509" s="50" t="s">
        <v>3857</v>
      </c>
    </row>
    <row r="2510" customFormat="false" ht="7.5" hidden="false" customHeight="true" outlineLevel="0" collapsed="false">
      <c r="H2510" s="49" t="s">
        <v>3860</v>
      </c>
      <c r="I2510" s="50" t="s">
        <v>3861</v>
      </c>
    </row>
    <row r="2511" customFormat="false" ht="7.5" hidden="false" customHeight="true" outlineLevel="0" collapsed="false">
      <c r="H2511" s="49" t="s">
        <v>3863</v>
      </c>
      <c r="I2511" s="50" t="s">
        <v>3864</v>
      </c>
    </row>
    <row r="2512" customFormat="false" ht="7.5" hidden="false" customHeight="true" outlineLevel="0" collapsed="false">
      <c r="H2512" s="49" t="s">
        <v>3867</v>
      </c>
      <c r="I2512" s="50" t="s">
        <v>3868</v>
      </c>
    </row>
    <row r="2513" customFormat="false" ht="7.5" hidden="false" customHeight="true" outlineLevel="0" collapsed="false">
      <c r="H2513" s="49" t="s">
        <v>3871</v>
      </c>
      <c r="I2513" s="50" t="s">
        <v>3872</v>
      </c>
    </row>
    <row r="2514" customFormat="false" ht="7.5" hidden="false" customHeight="true" outlineLevel="0" collapsed="false">
      <c r="H2514" s="49" t="s">
        <v>3875</v>
      </c>
      <c r="I2514" s="50" t="s">
        <v>3876</v>
      </c>
    </row>
    <row r="2515" customFormat="false" ht="7.5" hidden="false" customHeight="true" outlineLevel="0" collapsed="false">
      <c r="H2515" s="49" t="s">
        <v>3879</v>
      </c>
      <c r="I2515" s="50" t="s">
        <v>3880</v>
      </c>
    </row>
    <row r="2516" customFormat="false" ht="7.5" hidden="false" customHeight="true" outlineLevel="0" collapsed="false">
      <c r="H2516" s="49" t="s">
        <v>3882</v>
      </c>
      <c r="I2516" s="50" t="s">
        <v>3883</v>
      </c>
    </row>
    <row r="2517" customFormat="false" ht="7.5" hidden="false" customHeight="true" outlineLevel="0" collapsed="false">
      <c r="H2517" s="49" t="s">
        <v>3885</v>
      </c>
      <c r="I2517" s="50" t="s">
        <v>3886</v>
      </c>
    </row>
    <row r="2518" customFormat="false" ht="7.5" hidden="false" customHeight="true" outlineLevel="0" collapsed="false">
      <c r="H2518" s="49" t="s">
        <v>3888</v>
      </c>
      <c r="I2518" s="50" t="s">
        <v>3889</v>
      </c>
    </row>
    <row r="2519" customFormat="false" ht="7.5" hidden="false" customHeight="true" outlineLevel="0" collapsed="false">
      <c r="H2519" s="49" t="s">
        <v>3892</v>
      </c>
      <c r="I2519" s="50" t="s">
        <v>3893</v>
      </c>
    </row>
    <row r="2520" customFormat="false" ht="7.5" hidden="false" customHeight="true" outlineLevel="0" collapsed="false">
      <c r="H2520" s="49" t="s">
        <v>3896</v>
      </c>
      <c r="I2520" s="50" t="s">
        <v>3897</v>
      </c>
    </row>
    <row r="2521" customFormat="false" ht="7.5" hidden="false" customHeight="true" outlineLevel="0" collapsed="false">
      <c r="H2521" s="49" t="s">
        <v>3900</v>
      </c>
      <c r="I2521" s="50" t="s">
        <v>3901</v>
      </c>
    </row>
    <row r="2522" customFormat="false" ht="7.5" hidden="false" customHeight="true" outlineLevel="0" collapsed="false">
      <c r="H2522" s="49" t="s">
        <v>3904</v>
      </c>
      <c r="I2522" s="50" t="s">
        <v>3905</v>
      </c>
    </row>
    <row r="2523" customFormat="false" ht="7.5" hidden="false" customHeight="true" outlineLevel="0" collapsed="false">
      <c r="H2523" s="49" t="s">
        <v>3907</v>
      </c>
      <c r="I2523" s="50" t="s">
        <v>3908</v>
      </c>
    </row>
    <row r="2524" customFormat="false" ht="7.5" hidden="false" customHeight="true" outlineLevel="0" collapsed="false">
      <c r="H2524" s="49" t="s">
        <v>3910</v>
      </c>
      <c r="I2524" s="50" t="s">
        <v>3911</v>
      </c>
    </row>
    <row r="2525" customFormat="false" ht="7.5" hidden="false" customHeight="true" outlineLevel="0" collapsed="false">
      <c r="H2525" s="49" t="s">
        <v>3913</v>
      </c>
      <c r="I2525" s="50" t="s">
        <v>3914</v>
      </c>
    </row>
    <row r="2526" customFormat="false" ht="7.5" hidden="false" customHeight="true" outlineLevel="0" collapsed="false">
      <c r="H2526" s="49" t="s">
        <v>3916</v>
      </c>
      <c r="I2526" s="50" t="s">
        <v>3917</v>
      </c>
    </row>
    <row r="2527" customFormat="false" ht="7.5" hidden="false" customHeight="true" outlineLevel="0" collapsed="false">
      <c r="H2527" s="49" t="s">
        <v>3919</v>
      </c>
      <c r="I2527" s="50" t="s">
        <v>3920</v>
      </c>
    </row>
    <row r="2528" customFormat="false" ht="7.5" hidden="false" customHeight="true" outlineLevel="0" collapsed="false">
      <c r="H2528" s="49" t="s">
        <v>3922</v>
      </c>
      <c r="I2528" s="50" t="s">
        <v>3923</v>
      </c>
    </row>
    <row r="2529" customFormat="false" ht="7.5" hidden="false" customHeight="true" outlineLevel="0" collapsed="false">
      <c r="H2529" s="49" t="s">
        <v>3926</v>
      </c>
      <c r="I2529" s="50" t="s">
        <v>3927</v>
      </c>
    </row>
    <row r="2530" customFormat="false" ht="7.5" hidden="false" customHeight="true" outlineLevel="0" collapsed="false">
      <c r="H2530" s="49" t="s">
        <v>3929</v>
      </c>
      <c r="I2530" s="50" t="s">
        <v>3930</v>
      </c>
    </row>
    <row r="2531" customFormat="false" ht="7.5" hidden="false" customHeight="true" outlineLevel="0" collapsed="false">
      <c r="H2531" s="49" t="s">
        <v>3932</v>
      </c>
      <c r="I2531" s="50" t="s">
        <v>3933</v>
      </c>
    </row>
    <row r="2532" customFormat="false" ht="7.5" hidden="false" customHeight="true" outlineLevel="0" collapsed="false">
      <c r="H2532" s="49" t="s">
        <v>3935</v>
      </c>
      <c r="I2532" s="50" t="s">
        <v>3936</v>
      </c>
    </row>
    <row r="2533" customFormat="false" ht="7.5" hidden="false" customHeight="true" outlineLevel="0" collapsed="false">
      <c r="H2533" s="49" t="s">
        <v>3939</v>
      </c>
      <c r="I2533" s="50" t="s">
        <v>3940</v>
      </c>
    </row>
    <row r="2534" customFormat="false" ht="7.5" hidden="false" customHeight="true" outlineLevel="0" collapsed="false">
      <c r="H2534" s="49" t="s">
        <v>3941</v>
      </c>
      <c r="I2534" s="50" t="s">
        <v>3942</v>
      </c>
    </row>
    <row r="2535" customFormat="false" ht="7.5" hidden="false" customHeight="true" outlineLevel="0" collapsed="false">
      <c r="H2535" s="49" t="s">
        <v>3943</v>
      </c>
      <c r="I2535" s="50" t="s">
        <v>3944</v>
      </c>
    </row>
    <row r="2536" customFormat="false" ht="7.5" hidden="false" customHeight="true" outlineLevel="0" collapsed="false">
      <c r="H2536" s="49" t="s">
        <v>3945</v>
      </c>
      <c r="I2536" s="50" t="s">
        <v>3946</v>
      </c>
    </row>
    <row r="2537" customFormat="false" ht="7.5" hidden="false" customHeight="true" outlineLevel="0" collapsed="false">
      <c r="H2537" s="49" t="s">
        <v>3949</v>
      </c>
      <c r="I2537" s="50" t="s">
        <v>3950</v>
      </c>
    </row>
    <row r="2538" customFormat="false" ht="7.5" hidden="false" customHeight="true" outlineLevel="0" collapsed="false">
      <c r="H2538" s="49" t="s">
        <v>3952</v>
      </c>
      <c r="I2538" s="50" t="s">
        <v>3953</v>
      </c>
    </row>
    <row r="2539" customFormat="false" ht="7.5" hidden="false" customHeight="true" outlineLevel="0" collapsed="false">
      <c r="H2539" s="49" t="s">
        <v>3955</v>
      </c>
      <c r="I2539" s="50" t="s">
        <v>3956</v>
      </c>
    </row>
    <row r="2540" customFormat="false" ht="7.5" hidden="false" customHeight="true" outlineLevel="0" collapsed="false">
      <c r="H2540" s="49" t="s">
        <v>3957</v>
      </c>
      <c r="I2540" s="50" t="s">
        <v>3958</v>
      </c>
    </row>
    <row r="2541" customFormat="false" ht="7.5" hidden="false" customHeight="true" outlineLevel="0" collapsed="false">
      <c r="H2541" s="49" t="s">
        <v>3959</v>
      </c>
      <c r="I2541" s="50" t="s">
        <v>3960</v>
      </c>
    </row>
    <row r="2542" customFormat="false" ht="7.5" hidden="false" customHeight="true" outlineLevel="0" collapsed="false">
      <c r="H2542" s="49" t="s">
        <v>3961</v>
      </c>
      <c r="I2542" s="50" t="s">
        <v>3962</v>
      </c>
    </row>
    <row r="2543" customFormat="false" ht="7.5" hidden="false" customHeight="true" outlineLevel="0" collapsed="false">
      <c r="H2543" s="49" t="s">
        <v>3963</v>
      </c>
      <c r="I2543" s="50" t="s">
        <v>3964</v>
      </c>
    </row>
    <row r="2544" customFormat="false" ht="7.5" hidden="false" customHeight="true" outlineLevel="0" collapsed="false">
      <c r="H2544" s="49" t="s">
        <v>3965</v>
      </c>
      <c r="I2544" s="50" t="s">
        <v>3966</v>
      </c>
    </row>
    <row r="2545" customFormat="false" ht="7.5" hidden="false" customHeight="true" outlineLevel="0" collapsed="false">
      <c r="H2545" s="49" t="s">
        <v>3969</v>
      </c>
      <c r="I2545" s="50" t="s">
        <v>3970</v>
      </c>
    </row>
    <row r="2546" customFormat="false" ht="7.5" hidden="false" customHeight="true" outlineLevel="0" collapsed="false">
      <c r="H2546" s="49" t="s">
        <v>3972</v>
      </c>
      <c r="I2546" s="50" t="s">
        <v>3973</v>
      </c>
    </row>
    <row r="2547" customFormat="false" ht="7.5" hidden="false" customHeight="true" outlineLevel="0" collapsed="false">
      <c r="H2547" s="49" t="s">
        <v>3974</v>
      </c>
      <c r="I2547" s="50" t="s">
        <v>3975</v>
      </c>
    </row>
    <row r="2548" customFormat="false" ht="7.5" hidden="false" customHeight="true" outlineLevel="0" collapsed="false">
      <c r="H2548" s="49" t="s">
        <v>3976</v>
      </c>
      <c r="I2548" s="50" t="s">
        <v>3977</v>
      </c>
    </row>
    <row r="2549" customFormat="false" ht="7.5" hidden="false" customHeight="true" outlineLevel="0" collapsed="false">
      <c r="H2549" s="49" t="s">
        <v>3978</v>
      </c>
      <c r="I2549" s="50" t="s">
        <v>3979</v>
      </c>
    </row>
    <row r="2550" customFormat="false" ht="7.5" hidden="false" customHeight="true" outlineLevel="0" collapsed="false">
      <c r="H2550" s="49" t="s">
        <v>3980</v>
      </c>
      <c r="I2550" s="50" t="s">
        <v>3981</v>
      </c>
    </row>
    <row r="2551" customFormat="false" ht="7.5" hidden="false" customHeight="true" outlineLevel="0" collapsed="false">
      <c r="H2551" s="49" t="s">
        <v>3982</v>
      </c>
      <c r="I2551" s="50" t="s">
        <v>3983</v>
      </c>
    </row>
    <row r="2552" customFormat="false" ht="7.5" hidden="false" customHeight="true" outlineLevel="0" collapsed="false">
      <c r="H2552" s="49" t="s">
        <v>3984</v>
      </c>
      <c r="I2552" s="50" t="s">
        <v>3985</v>
      </c>
    </row>
    <row r="2553" customFormat="false" ht="7.5" hidden="false" customHeight="true" outlineLevel="0" collapsed="false">
      <c r="H2553" s="49" t="s">
        <v>3986</v>
      </c>
      <c r="I2553" s="50" t="s">
        <v>3987</v>
      </c>
    </row>
    <row r="2554" customFormat="false" ht="7.5" hidden="false" customHeight="true" outlineLevel="0" collapsed="false">
      <c r="H2554" s="49" t="s">
        <v>3988</v>
      </c>
      <c r="I2554" s="50" t="s">
        <v>3989</v>
      </c>
    </row>
    <row r="2555" customFormat="false" ht="7.5" hidden="false" customHeight="true" outlineLevel="0" collapsed="false">
      <c r="H2555" s="49" t="s">
        <v>3990</v>
      </c>
      <c r="I2555" s="50" t="s">
        <v>3991</v>
      </c>
    </row>
    <row r="2556" customFormat="false" ht="7.5" hidden="false" customHeight="true" outlineLevel="0" collapsed="false">
      <c r="H2556" s="49" t="s">
        <v>3992</v>
      </c>
      <c r="I2556" s="50" t="s">
        <v>3993</v>
      </c>
    </row>
    <row r="2557" customFormat="false" ht="7.5" hidden="false" customHeight="true" outlineLevel="0" collapsed="false">
      <c r="H2557" s="49" t="s">
        <v>3994</v>
      </c>
      <c r="I2557" s="50" t="s">
        <v>3995</v>
      </c>
    </row>
    <row r="2558" customFormat="false" ht="7.5" hidden="false" customHeight="true" outlineLevel="0" collapsed="false">
      <c r="H2558" s="49" t="s">
        <v>3996</v>
      </c>
      <c r="I2558" s="50" t="s">
        <v>3997</v>
      </c>
    </row>
    <row r="2559" customFormat="false" ht="7.5" hidden="false" customHeight="true" outlineLevel="0" collapsed="false">
      <c r="H2559" s="49" t="s">
        <v>3998</v>
      </c>
      <c r="I2559" s="50" t="s">
        <v>3999</v>
      </c>
    </row>
    <row r="2560" customFormat="false" ht="7.5" hidden="false" customHeight="true" outlineLevel="0" collapsed="false">
      <c r="H2560" s="49" t="s">
        <v>4000</v>
      </c>
      <c r="I2560" s="50" t="s">
        <v>4001</v>
      </c>
    </row>
    <row r="2561" customFormat="false" ht="7.5" hidden="false" customHeight="true" outlineLevel="0" collapsed="false">
      <c r="H2561" s="49" t="s">
        <v>4002</v>
      </c>
      <c r="I2561" s="50" t="s">
        <v>4003</v>
      </c>
    </row>
    <row r="2562" customFormat="false" ht="7.5" hidden="false" customHeight="true" outlineLevel="0" collapsed="false">
      <c r="H2562" s="49" t="s">
        <v>4004</v>
      </c>
      <c r="I2562" s="50" t="s">
        <v>4005</v>
      </c>
    </row>
    <row r="2563" customFormat="false" ht="7.5" hidden="false" customHeight="true" outlineLevel="0" collapsed="false">
      <c r="H2563" s="49" t="s">
        <v>4006</v>
      </c>
      <c r="I2563" s="50" t="s">
        <v>4007</v>
      </c>
    </row>
    <row r="2564" customFormat="false" ht="7.5" hidden="false" customHeight="true" outlineLevel="0" collapsed="false">
      <c r="H2564" s="49" t="s">
        <v>4008</v>
      </c>
      <c r="I2564" s="50" t="s">
        <v>4009</v>
      </c>
    </row>
    <row r="2565" customFormat="false" ht="7.5" hidden="false" customHeight="true" outlineLevel="0" collapsed="false">
      <c r="H2565" s="49" t="s">
        <v>4010</v>
      </c>
      <c r="I2565" s="50" t="s">
        <v>4011</v>
      </c>
    </row>
    <row r="2566" customFormat="false" ht="7.5" hidden="false" customHeight="true" outlineLevel="0" collapsed="false">
      <c r="H2566" s="49" t="s">
        <v>4012</v>
      </c>
      <c r="I2566" s="50" t="s">
        <v>4013</v>
      </c>
    </row>
    <row r="2567" customFormat="false" ht="7.5" hidden="false" customHeight="true" outlineLevel="0" collapsed="false">
      <c r="H2567" s="49" t="s">
        <v>4014</v>
      </c>
      <c r="I2567" s="50" t="s">
        <v>4015</v>
      </c>
    </row>
    <row r="2568" customFormat="false" ht="7.5" hidden="false" customHeight="true" outlineLevel="0" collapsed="false">
      <c r="H2568" s="49" t="s">
        <v>4017</v>
      </c>
      <c r="I2568" s="50" t="s">
        <v>4018</v>
      </c>
    </row>
    <row r="2569" customFormat="false" ht="7.5" hidden="false" customHeight="true" outlineLevel="0" collapsed="false">
      <c r="H2569" s="49" t="s">
        <v>4020</v>
      </c>
      <c r="I2569" s="50" t="s">
        <v>4021</v>
      </c>
    </row>
    <row r="2570" customFormat="false" ht="7.5" hidden="false" customHeight="true" outlineLevel="0" collapsed="false">
      <c r="H2570" s="49" t="s">
        <v>4023</v>
      </c>
      <c r="I2570" s="50" t="s">
        <v>4024</v>
      </c>
    </row>
    <row r="2571" customFormat="false" ht="7.5" hidden="false" customHeight="true" outlineLevel="0" collapsed="false">
      <c r="H2571" s="49" t="s">
        <v>4026</v>
      </c>
      <c r="I2571" s="50" t="s">
        <v>4027</v>
      </c>
    </row>
    <row r="2572" customFormat="false" ht="7.5" hidden="false" customHeight="true" outlineLevel="0" collapsed="false">
      <c r="H2572" s="39"/>
      <c r="I2572" s="40" t="s">
        <v>4029</v>
      </c>
    </row>
    <row r="2573" customFormat="false" ht="7.5" hidden="false" customHeight="true" outlineLevel="0" collapsed="false">
      <c r="H2573" s="49" t="s">
        <v>4030</v>
      </c>
      <c r="I2573" s="50" t="s">
        <v>4031</v>
      </c>
    </row>
    <row r="2574" customFormat="false" ht="7.5" hidden="false" customHeight="true" outlineLevel="0" collapsed="false">
      <c r="H2574" s="49" t="s">
        <v>4033</v>
      </c>
      <c r="I2574" s="50" t="s">
        <v>4034</v>
      </c>
    </row>
    <row r="2575" customFormat="false" ht="7.5" hidden="false" customHeight="true" outlineLevel="0" collapsed="false">
      <c r="H2575" s="49" t="s">
        <v>4037</v>
      </c>
      <c r="I2575" s="50" t="s">
        <v>4038</v>
      </c>
    </row>
    <row r="2576" customFormat="false" ht="7.5" hidden="false" customHeight="true" outlineLevel="0" collapsed="false">
      <c r="H2576" s="49" t="s">
        <v>4041</v>
      </c>
      <c r="I2576" s="50" t="s">
        <v>4042</v>
      </c>
    </row>
    <row r="2577" customFormat="false" ht="7.5" hidden="false" customHeight="true" outlineLevel="0" collapsed="false">
      <c r="H2577" s="49" t="s">
        <v>4045</v>
      </c>
      <c r="I2577" s="50" t="s">
        <v>4046</v>
      </c>
    </row>
    <row r="2578" customFormat="false" ht="7.5" hidden="false" customHeight="true" outlineLevel="0" collapsed="false">
      <c r="H2578" s="49" t="s">
        <v>4049</v>
      </c>
      <c r="I2578" s="50" t="s">
        <v>4050</v>
      </c>
    </row>
    <row r="2579" customFormat="false" ht="7.5" hidden="false" customHeight="true" outlineLevel="0" collapsed="false">
      <c r="H2579" s="39"/>
      <c r="I2579" s="40" t="s">
        <v>4051</v>
      </c>
    </row>
    <row r="2580" customFormat="false" ht="7.5" hidden="false" customHeight="true" outlineLevel="0" collapsed="false">
      <c r="H2580" s="49" t="s">
        <v>4052</v>
      </c>
      <c r="I2580" s="50" t="s">
        <v>4053</v>
      </c>
    </row>
    <row r="2581" customFormat="false" ht="7.5" hidden="false" customHeight="true" outlineLevel="0" collapsed="false">
      <c r="H2581" s="49" t="s">
        <v>4056</v>
      </c>
      <c r="I2581" s="50" t="s">
        <v>4057</v>
      </c>
    </row>
    <row r="2582" customFormat="false" ht="7.5" hidden="false" customHeight="true" outlineLevel="0" collapsed="false">
      <c r="H2582" s="49" t="s">
        <v>4060</v>
      </c>
      <c r="I2582" s="50" t="s">
        <v>4061</v>
      </c>
    </row>
    <row r="2583" customFormat="false" ht="7.5" hidden="false" customHeight="true" outlineLevel="0" collapsed="false">
      <c r="H2583" s="49" t="s">
        <v>4062</v>
      </c>
      <c r="I2583" s="50" t="s">
        <v>4063</v>
      </c>
    </row>
    <row r="2584" customFormat="false" ht="7.5" hidden="false" customHeight="true" outlineLevel="0" collapsed="false">
      <c r="H2584" s="49" t="s">
        <v>4064</v>
      </c>
      <c r="I2584" s="50" t="s">
        <v>4065</v>
      </c>
    </row>
    <row r="2585" customFormat="false" ht="7.5" hidden="false" customHeight="true" outlineLevel="0" collapsed="false">
      <c r="H2585" s="49" t="s">
        <v>4066</v>
      </c>
      <c r="I2585" s="50" t="s">
        <v>4067</v>
      </c>
    </row>
    <row r="2586" customFormat="false" ht="7.5" hidden="false" customHeight="true" outlineLevel="0" collapsed="false">
      <c r="H2586" s="49" t="s">
        <v>4068</v>
      </c>
      <c r="I2586" s="50" t="s">
        <v>4069</v>
      </c>
    </row>
    <row r="2587" customFormat="false" ht="7.5" hidden="false" customHeight="true" outlineLevel="0" collapsed="false">
      <c r="H2587" s="49" t="s">
        <v>4070</v>
      </c>
      <c r="I2587" s="50" t="s">
        <v>4071</v>
      </c>
    </row>
    <row r="2588" customFormat="false" ht="7.5" hidden="false" customHeight="true" outlineLevel="0" collapsed="false">
      <c r="H2588" s="49" t="s">
        <v>4072</v>
      </c>
      <c r="I2588" s="50" t="s">
        <v>4073</v>
      </c>
    </row>
    <row r="2589" customFormat="false" ht="7.5" hidden="false" customHeight="true" outlineLevel="0" collapsed="false">
      <c r="H2589" s="49" t="s">
        <v>4074</v>
      </c>
      <c r="I2589" s="50" t="s">
        <v>4075</v>
      </c>
    </row>
    <row r="2590" customFormat="false" ht="7.5" hidden="false" customHeight="true" outlineLevel="0" collapsed="false">
      <c r="H2590" s="49" t="s">
        <v>4077</v>
      </c>
      <c r="I2590" s="50" t="s">
        <v>4078</v>
      </c>
    </row>
    <row r="2591" customFormat="false" ht="7.5" hidden="false" customHeight="true" outlineLevel="0" collapsed="false">
      <c r="H2591" s="49" t="s">
        <v>4079</v>
      </c>
      <c r="I2591" s="50" t="s">
        <v>4080</v>
      </c>
    </row>
    <row r="2592" customFormat="false" ht="7.5" hidden="false" customHeight="true" outlineLevel="0" collapsed="false">
      <c r="H2592" s="49" t="s">
        <v>4081</v>
      </c>
      <c r="I2592" s="50" t="s">
        <v>4082</v>
      </c>
    </row>
    <row r="2593" customFormat="false" ht="7.5" hidden="false" customHeight="true" outlineLevel="0" collapsed="false">
      <c r="H2593" s="49" t="s">
        <v>4083</v>
      </c>
      <c r="I2593" s="50" t="s">
        <v>4084</v>
      </c>
    </row>
    <row r="2594" customFormat="false" ht="7.5" hidden="false" customHeight="true" outlineLevel="0" collapsed="false">
      <c r="H2594" s="49" t="s">
        <v>4085</v>
      </c>
      <c r="I2594" s="50" t="s">
        <v>4086</v>
      </c>
    </row>
    <row r="2595" customFormat="false" ht="7.5" hidden="false" customHeight="true" outlineLevel="0" collapsed="false">
      <c r="H2595" s="49" t="s">
        <v>4087</v>
      </c>
      <c r="I2595" s="50" t="s">
        <v>4088</v>
      </c>
    </row>
    <row r="2596" customFormat="false" ht="7.5" hidden="false" customHeight="true" outlineLevel="0" collapsed="false">
      <c r="H2596" s="49" t="s">
        <v>4089</v>
      </c>
      <c r="I2596" s="50" t="s">
        <v>4090</v>
      </c>
    </row>
    <row r="2597" customFormat="false" ht="7.5" hidden="false" customHeight="true" outlineLevel="0" collapsed="false">
      <c r="H2597" s="49" t="s">
        <v>4091</v>
      </c>
      <c r="I2597" s="50" t="s">
        <v>4092</v>
      </c>
    </row>
    <row r="2598" customFormat="false" ht="7.5" hidden="false" customHeight="true" outlineLevel="0" collapsed="false">
      <c r="H2598" s="49" t="s">
        <v>4093</v>
      </c>
      <c r="I2598" s="50" t="s">
        <v>4094</v>
      </c>
    </row>
    <row r="2599" customFormat="false" ht="7.5" hidden="false" customHeight="true" outlineLevel="0" collapsed="false">
      <c r="H2599" s="49" t="s">
        <v>4095</v>
      </c>
      <c r="I2599" s="50" t="s">
        <v>4096</v>
      </c>
    </row>
    <row r="2600" customFormat="false" ht="7.5" hidden="false" customHeight="true" outlineLevel="0" collapsed="false">
      <c r="H2600" s="49" t="s">
        <v>4097</v>
      </c>
      <c r="I2600" s="50" t="s">
        <v>4098</v>
      </c>
    </row>
    <row r="2601" customFormat="false" ht="7.5" hidden="false" customHeight="true" outlineLevel="0" collapsed="false">
      <c r="H2601" s="49" t="s">
        <v>4099</v>
      </c>
      <c r="I2601" s="50" t="s">
        <v>4100</v>
      </c>
    </row>
    <row r="2602" customFormat="false" ht="7.5" hidden="false" customHeight="true" outlineLevel="0" collapsed="false">
      <c r="H2602" s="49" t="s">
        <v>4101</v>
      </c>
      <c r="I2602" s="50" t="s">
        <v>4102</v>
      </c>
    </row>
    <row r="2603" customFormat="false" ht="7.5" hidden="false" customHeight="true" outlineLevel="0" collapsed="false">
      <c r="H2603" s="49" t="s">
        <v>4103</v>
      </c>
      <c r="I2603" s="50" t="s">
        <v>4104</v>
      </c>
    </row>
    <row r="2604" customFormat="false" ht="7.5" hidden="false" customHeight="true" outlineLevel="0" collapsed="false">
      <c r="H2604" s="49" t="s">
        <v>4105</v>
      </c>
      <c r="I2604" s="50" t="s">
        <v>4106</v>
      </c>
    </row>
    <row r="2605" customFormat="false" ht="7.5" hidden="false" customHeight="true" outlineLevel="0" collapsed="false">
      <c r="H2605" s="49" t="s">
        <v>4107</v>
      </c>
      <c r="I2605" s="50" t="s">
        <v>4108</v>
      </c>
    </row>
    <row r="2606" customFormat="false" ht="7.5" hidden="false" customHeight="true" outlineLevel="0" collapsed="false">
      <c r="H2606" s="49" t="s">
        <v>4109</v>
      </c>
      <c r="I2606" s="50" t="s">
        <v>4110</v>
      </c>
    </row>
    <row r="2607" customFormat="false" ht="7.5" hidden="false" customHeight="true" outlineLevel="0" collapsed="false">
      <c r="H2607" s="49" t="s">
        <v>4111</v>
      </c>
      <c r="I2607" s="50" t="s">
        <v>4112</v>
      </c>
    </row>
    <row r="2608" customFormat="false" ht="7.5" hidden="false" customHeight="true" outlineLevel="0" collapsed="false">
      <c r="H2608" s="49" t="s">
        <v>4113</v>
      </c>
      <c r="I2608" s="50" t="s">
        <v>4114</v>
      </c>
    </row>
    <row r="2609" customFormat="false" ht="7.5" hidden="false" customHeight="true" outlineLevel="0" collapsed="false">
      <c r="H2609" s="49" t="s">
        <v>4115</v>
      </c>
      <c r="I2609" s="50" t="s">
        <v>4116</v>
      </c>
    </row>
    <row r="2610" customFormat="false" ht="7.5" hidden="false" customHeight="true" outlineLevel="0" collapsed="false">
      <c r="H2610" s="49" t="s">
        <v>4117</v>
      </c>
      <c r="I2610" s="50" t="s">
        <v>4118</v>
      </c>
    </row>
    <row r="2611" customFormat="false" ht="7.5" hidden="false" customHeight="true" outlineLevel="0" collapsed="false">
      <c r="H2611" s="49" t="s">
        <v>4119</v>
      </c>
      <c r="I2611" s="50" t="s">
        <v>4120</v>
      </c>
    </row>
    <row r="2612" customFormat="false" ht="7.5" hidden="false" customHeight="true" outlineLevel="0" collapsed="false">
      <c r="H2612" s="49" t="s">
        <v>4121</v>
      </c>
      <c r="I2612" s="50" t="s">
        <v>4122</v>
      </c>
    </row>
    <row r="2613" customFormat="false" ht="7.5" hidden="false" customHeight="true" outlineLevel="0" collapsed="false">
      <c r="H2613" s="49" t="s">
        <v>4123</v>
      </c>
      <c r="I2613" s="50" t="s">
        <v>4124</v>
      </c>
    </row>
    <row r="2614" customFormat="false" ht="7.5" hidden="false" customHeight="true" outlineLevel="0" collapsed="false">
      <c r="H2614" s="49" t="s">
        <v>4125</v>
      </c>
      <c r="I2614" s="50" t="s">
        <v>4126</v>
      </c>
    </row>
    <row r="2615" customFormat="false" ht="7.5" hidden="false" customHeight="true" outlineLevel="0" collapsed="false">
      <c r="H2615" s="49" t="s">
        <v>4127</v>
      </c>
      <c r="I2615" s="50" t="s">
        <v>4128</v>
      </c>
    </row>
    <row r="2616" customFormat="false" ht="7.5" hidden="false" customHeight="true" outlineLevel="0" collapsed="false">
      <c r="H2616" s="49" t="s">
        <v>4129</v>
      </c>
      <c r="I2616" s="50" t="s">
        <v>4130</v>
      </c>
    </row>
    <row r="2617" customFormat="false" ht="7.5" hidden="false" customHeight="true" outlineLevel="0" collapsed="false">
      <c r="H2617" s="49" t="s">
        <v>4131</v>
      </c>
      <c r="I2617" s="50" t="s">
        <v>4132</v>
      </c>
    </row>
    <row r="2618" customFormat="false" ht="7.5" hidden="false" customHeight="true" outlineLevel="0" collapsed="false">
      <c r="H2618" s="49" t="s">
        <v>4134</v>
      </c>
      <c r="I2618" s="50" t="s">
        <v>4135</v>
      </c>
    </row>
    <row r="2619" customFormat="false" ht="7.5" hidden="false" customHeight="true" outlineLevel="0" collapsed="false">
      <c r="H2619" s="49" t="s">
        <v>4136</v>
      </c>
      <c r="I2619" s="50" t="s">
        <v>4137</v>
      </c>
    </row>
    <row r="2620" customFormat="false" ht="7.5" hidden="false" customHeight="true" outlineLevel="0" collapsed="false">
      <c r="H2620" s="49" t="s">
        <v>4138</v>
      </c>
      <c r="I2620" s="50" t="s">
        <v>4139</v>
      </c>
    </row>
    <row r="2621" customFormat="false" ht="7.5" hidden="false" customHeight="true" outlineLevel="0" collapsed="false">
      <c r="H2621" s="49" t="s">
        <v>4140</v>
      </c>
      <c r="I2621" s="50" t="s">
        <v>4141</v>
      </c>
    </row>
    <row r="2622" customFormat="false" ht="7.5" hidden="false" customHeight="true" outlineLevel="0" collapsed="false">
      <c r="H2622" s="49" t="s">
        <v>4142</v>
      </c>
      <c r="I2622" s="50" t="s">
        <v>4143</v>
      </c>
    </row>
    <row r="2623" customFormat="false" ht="7.5" hidden="false" customHeight="true" outlineLevel="0" collapsed="false">
      <c r="H2623" s="49" t="s">
        <v>4144</v>
      </c>
      <c r="I2623" s="50" t="s">
        <v>4145</v>
      </c>
    </row>
    <row r="2624" customFormat="false" ht="7.5" hidden="false" customHeight="true" outlineLevel="0" collapsed="false">
      <c r="H2624" s="49" t="s">
        <v>4146</v>
      </c>
      <c r="I2624" s="50" t="s">
        <v>4147</v>
      </c>
    </row>
    <row r="2625" customFormat="false" ht="7.5" hidden="false" customHeight="true" outlineLevel="0" collapsed="false">
      <c r="H2625" s="49" t="s">
        <v>4148</v>
      </c>
      <c r="I2625" s="50" t="s">
        <v>4149</v>
      </c>
    </row>
    <row r="2626" customFormat="false" ht="7.5" hidden="false" customHeight="true" outlineLevel="0" collapsed="false">
      <c r="H2626" s="49" t="s">
        <v>4150</v>
      </c>
      <c r="I2626" s="50" t="s">
        <v>4151</v>
      </c>
    </row>
    <row r="2627" customFormat="false" ht="7.5" hidden="false" customHeight="true" outlineLevel="0" collapsed="false">
      <c r="H2627" s="49" t="s">
        <v>4154</v>
      </c>
      <c r="I2627" s="50" t="s">
        <v>4155</v>
      </c>
    </row>
    <row r="2628" customFormat="false" ht="7.5" hidden="false" customHeight="true" outlineLevel="0" collapsed="false">
      <c r="H2628" s="49" t="s">
        <v>4158</v>
      </c>
      <c r="I2628" s="50" t="s">
        <v>4159</v>
      </c>
    </row>
    <row r="2629" customFormat="false" ht="7.5" hidden="false" customHeight="true" outlineLevel="0" collapsed="false">
      <c r="H2629" s="49" t="s">
        <v>4162</v>
      </c>
      <c r="I2629" s="50" t="s">
        <v>4163</v>
      </c>
    </row>
    <row r="2630" customFormat="false" ht="7.5" hidden="false" customHeight="true" outlineLevel="0" collapsed="false">
      <c r="H2630" s="49" t="s">
        <v>4166</v>
      </c>
      <c r="I2630" s="50" t="s">
        <v>4167</v>
      </c>
    </row>
    <row r="2631" customFormat="false" ht="7.5" hidden="false" customHeight="true" outlineLevel="0" collapsed="false">
      <c r="H2631" s="49" t="s">
        <v>4170</v>
      </c>
      <c r="I2631" s="50" t="s">
        <v>4171</v>
      </c>
    </row>
    <row r="2632" customFormat="false" ht="7.5" hidden="false" customHeight="true" outlineLevel="0" collapsed="false">
      <c r="H2632" s="49" t="s">
        <v>4174</v>
      </c>
      <c r="I2632" s="50" t="s">
        <v>4175</v>
      </c>
    </row>
    <row r="2633" customFormat="false" ht="7.5" hidden="false" customHeight="true" outlineLevel="0" collapsed="false">
      <c r="H2633" s="49" t="s">
        <v>4178</v>
      </c>
      <c r="I2633" s="50" t="s">
        <v>4179</v>
      </c>
    </row>
    <row r="2634" customFormat="false" ht="7.5" hidden="false" customHeight="true" outlineLevel="0" collapsed="false">
      <c r="H2634" s="49" t="s">
        <v>4181</v>
      </c>
      <c r="I2634" s="50" t="s">
        <v>4182</v>
      </c>
    </row>
    <row r="2635" customFormat="false" ht="7.5" hidden="false" customHeight="true" outlineLevel="0" collapsed="false">
      <c r="H2635" s="49" t="s">
        <v>4184</v>
      </c>
      <c r="I2635" s="50" t="s">
        <v>4185</v>
      </c>
    </row>
    <row r="2636" customFormat="false" ht="7.5" hidden="false" customHeight="true" outlineLevel="0" collapsed="false">
      <c r="H2636" s="49" t="s">
        <v>4187</v>
      </c>
      <c r="I2636" s="50" t="s">
        <v>4188</v>
      </c>
    </row>
    <row r="2637" customFormat="false" ht="7.5" hidden="false" customHeight="true" outlineLevel="0" collapsed="false">
      <c r="H2637" s="49" t="s">
        <v>4190</v>
      </c>
      <c r="I2637" s="50" t="s">
        <v>4191</v>
      </c>
    </row>
    <row r="2638" customFormat="false" ht="7.5" hidden="false" customHeight="true" outlineLevel="0" collapsed="false">
      <c r="H2638" s="49" t="s">
        <v>4194</v>
      </c>
      <c r="I2638" s="50" t="s">
        <v>4195</v>
      </c>
    </row>
    <row r="2639" customFormat="false" ht="7.5" hidden="false" customHeight="true" outlineLevel="0" collapsed="false">
      <c r="H2639" s="49" t="s">
        <v>4198</v>
      </c>
      <c r="I2639" s="50" t="s">
        <v>4199</v>
      </c>
    </row>
    <row r="2640" customFormat="false" ht="7.5" hidden="false" customHeight="true" outlineLevel="0" collapsed="false">
      <c r="H2640" s="49" t="s">
        <v>4202</v>
      </c>
      <c r="I2640" s="50" t="s">
        <v>4203</v>
      </c>
    </row>
    <row r="2641" customFormat="false" ht="7.5" hidden="false" customHeight="true" outlineLevel="0" collapsed="false">
      <c r="H2641" s="49" t="s">
        <v>4206</v>
      </c>
      <c r="I2641" s="50" t="s">
        <v>4207</v>
      </c>
    </row>
    <row r="2642" customFormat="false" ht="7.5" hidden="false" customHeight="true" outlineLevel="0" collapsed="false">
      <c r="H2642" s="49" t="s">
        <v>4209</v>
      </c>
      <c r="I2642" s="50" t="s">
        <v>4210</v>
      </c>
    </row>
    <row r="2643" customFormat="false" ht="7.5" hidden="false" customHeight="true" outlineLevel="0" collapsed="false">
      <c r="H2643" s="49" t="s">
        <v>4212</v>
      </c>
      <c r="I2643" s="50" t="s">
        <v>4213</v>
      </c>
    </row>
    <row r="2644" customFormat="false" ht="7.5" hidden="false" customHeight="true" outlineLevel="0" collapsed="false">
      <c r="H2644" s="49" t="s">
        <v>4216</v>
      </c>
      <c r="I2644" s="50" t="s">
        <v>4217</v>
      </c>
    </row>
    <row r="2645" customFormat="false" ht="7.5" hidden="false" customHeight="true" outlineLevel="0" collapsed="false">
      <c r="H2645" s="29"/>
      <c r="I2645" s="30" t="s">
        <v>4220</v>
      </c>
    </row>
    <row r="2646" customFormat="false" ht="7.5" hidden="false" customHeight="true" outlineLevel="0" collapsed="false">
      <c r="H2646" s="39"/>
      <c r="I2646" s="40" t="s">
        <v>4221</v>
      </c>
    </row>
    <row r="2647" customFormat="false" ht="7.5" hidden="false" customHeight="true" outlineLevel="0" collapsed="false">
      <c r="H2647" s="49" t="s">
        <v>4222</v>
      </c>
      <c r="I2647" s="50" t="s">
        <v>4223</v>
      </c>
    </row>
    <row r="2648" customFormat="false" ht="7.5" hidden="false" customHeight="true" outlineLevel="0" collapsed="false">
      <c r="H2648" s="49" t="s">
        <v>4224</v>
      </c>
      <c r="I2648" s="50" t="s">
        <v>4225</v>
      </c>
    </row>
    <row r="2649" customFormat="false" ht="7.5" hidden="false" customHeight="true" outlineLevel="0" collapsed="false">
      <c r="H2649" s="49" t="s">
        <v>4226</v>
      </c>
      <c r="I2649" s="50" t="s">
        <v>4227</v>
      </c>
    </row>
    <row r="2650" customFormat="false" ht="7.5" hidden="false" customHeight="true" outlineLevel="0" collapsed="false">
      <c r="H2650" s="49" t="s">
        <v>4228</v>
      </c>
      <c r="I2650" s="50" t="s">
        <v>4229</v>
      </c>
    </row>
    <row r="2651" customFormat="false" ht="7.5" hidden="false" customHeight="true" outlineLevel="0" collapsed="false">
      <c r="H2651" s="49" t="s">
        <v>4230</v>
      </c>
      <c r="I2651" s="50" t="s">
        <v>4231</v>
      </c>
    </row>
    <row r="2652" customFormat="false" ht="7.5" hidden="false" customHeight="true" outlineLevel="0" collapsed="false">
      <c r="H2652" s="29"/>
      <c r="I2652" s="30" t="s">
        <v>4232</v>
      </c>
    </row>
    <row r="2653" customFormat="false" ht="7.5" hidden="false" customHeight="true" outlineLevel="0" collapsed="false">
      <c r="H2653" s="49" t="s">
        <v>4233</v>
      </c>
      <c r="I2653" s="50" t="s">
        <v>4234</v>
      </c>
    </row>
  </sheetData>
  <autoFilter ref="B3:S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2024-11-07T12:20:14Z</dcterms:created>
  <dc:creator>programmer</dc:creator>
  <dc:description/>
  <dc:language>en-US</dc:language>
  <cp:lastModifiedBy/>
  <dcterms:modified xsi:type="dcterms:W3CDTF">2025-12-16T17:31:41Z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