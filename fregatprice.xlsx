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сновной склад" sheetId="1" r:id="rId5"/>
  </sheets>
  <definedNames/>
  <calcPr/>
</workbook>
</file>

<file path=xl/sharedStrings.xml><?xml version="1.0" encoding="utf-8"?>
<sst xmlns="http://schemas.openxmlformats.org/spreadsheetml/2006/main" count="102" uniqueCount="50">
  <si>
    <t>НАЛИЧИЕ</t>
  </si>
  <si>
    <t>Март</t>
  </si>
  <si>
    <t>Апрель</t>
  </si>
  <si>
    <t>Май</t>
  </si>
  <si>
    <t>ИТОГ</t>
  </si>
  <si>
    <t>откр.</t>
  </si>
  <si>
    <t>кож.</t>
  </si>
  <si>
    <t>ФРЕГАТ</t>
  </si>
  <si>
    <t>ДГУ</t>
  </si>
  <si>
    <t>15 Ricardo</t>
  </si>
  <si>
    <t>16 Weichai</t>
  </si>
  <si>
    <t>16 Yuchai</t>
  </si>
  <si>
    <t>20 Ricardo</t>
  </si>
  <si>
    <t>24 Weichai</t>
  </si>
  <si>
    <t>24 Yuchai</t>
  </si>
  <si>
    <t>30 Ricardo</t>
  </si>
  <si>
    <t>30 Weichai</t>
  </si>
  <si>
    <t>30 Yuchai</t>
  </si>
  <si>
    <t>40 Ricardo</t>
  </si>
  <si>
    <t>36 Weichai</t>
  </si>
  <si>
    <t>50 Ricardo</t>
  </si>
  <si>
    <t>50 Weichai</t>
  </si>
  <si>
    <t>50 Yuchai</t>
  </si>
  <si>
    <t>60 Ricardo</t>
  </si>
  <si>
    <t>60 Yuchai</t>
  </si>
  <si>
    <t>64 Weichai</t>
  </si>
  <si>
    <t>80 Ricardo</t>
  </si>
  <si>
    <t>80 Weichai</t>
  </si>
  <si>
    <t>80 Yuchai</t>
  </si>
  <si>
    <t>100 Ricardo</t>
  </si>
  <si>
    <t>100 Weichai</t>
  </si>
  <si>
    <t>100 Yuchai</t>
  </si>
  <si>
    <t>120 Ricardo</t>
  </si>
  <si>
    <t>120 Weichai</t>
  </si>
  <si>
    <t>150 Ricardo</t>
  </si>
  <si>
    <t>150 Weichai</t>
  </si>
  <si>
    <t>150 Yuchai</t>
  </si>
  <si>
    <t>200 Woling</t>
  </si>
  <si>
    <t>200 Weichai</t>
  </si>
  <si>
    <t>200 Yuchai</t>
  </si>
  <si>
    <t>250 Woling</t>
  </si>
  <si>
    <t>250 Weichai</t>
  </si>
  <si>
    <t>300 Woling</t>
  </si>
  <si>
    <t xml:space="preserve"> </t>
  </si>
  <si>
    <t>300 Weichai</t>
  </si>
  <si>
    <t>400 Woling</t>
  </si>
  <si>
    <t>500 Woling</t>
  </si>
  <si>
    <t>ГПГУ</t>
  </si>
  <si>
    <t>Итого</t>
  </si>
  <si>
    <t>Итого в партии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</si>
</sst>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.yyyy"/>
  </numFmts>
  <fonts count="9">
    <font>
      <sz val="10.0"/>
      <color rgb="FF000000"/>
      <name val="Arial"/>
      <scheme val="minor"/>
    </font>
    <font>
      <b/>
      <sz val="11.0"/>
      <color rgb="FF000000"/>
      <name val="&quot;Times New Roman&quot;"/>
    </font>
    <font>
      <sz val="11.0"/>
      <color rgb="FF000000"/>
      <name val="&quot;Times New Roman&quot;"/>
    </font>
    <font>
      <b/>
      <sz val="14.0"/>
      <color rgb="FF000000"/>
      <name val="Times New Roman"/>
    </font>
    <font>
      <sz val="14.0"/>
      <color rgb="FF000000"/>
      <name val="Times New Roman"/>
    </font>
    <font>
      <b/>
      <sz val="14.0"/>
      <color rgb="FF16365C"/>
      <name val="Times New Roman"/>
    </font>
    <font>
      <sz val="14.0"/>
      <color rgb="FF16365C"/>
      <name val="Times New Roman"/>
    </font>
    <font/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ADFFAD"/>
        <bgColor rgb="FFADFFAD"/>
      </patternFill>
    </fill>
    <fill>
      <patternFill patternType="solid">
        <fgColor rgb="FF9FC5E8"/>
        <bgColor rgb="FF9FC5E8"/>
      </patternFill>
    </fill>
    <fill>
      <patternFill patternType="solid">
        <fgColor rgb="FF31869B"/>
        <bgColor rgb="FF31869B"/>
      </patternFill>
    </fill>
    <fill>
      <patternFill patternType="solid">
        <fgColor rgb="FFDAEEF3"/>
        <bgColor rgb="FFDAEEF3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horizontal="center" readingOrder="0" shrinkToFit="0" vertical="bottom" wrapText="0"/>
    </xf>
    <xf borderId="3" fillId="2" fontId="5" numFmtId="0" xfId="0" applyAlignment="1" applyBorder="1" applyFill="1" applyFont="1">
      <alignment horizontal="center" readingOrder="0"/>
    </xf>
    <xf borderId="4" fillId="2" fontId="5" numFmtId="0" xfId="0" applyAlignment="1" applyBorder="1" applyFont="1">
      <alignment horizontal="center" readingOrder="0"/>
    </xf>
    <xf borderId="3" fillId="3" fontId="5" numFmtId="0" xfId="0" applyAlignment="1" applyBorder="1" applyFill="1" applyFont="1">
      <alignment horizontal="center" readingOrder="0"/>
    </xf>
    <xf borderId="5" fillId="3" fontId="5" numFmtId="0" xfId="0" applyAlignment="1" applyBorder="1" applyFont="1">
      <alignment horizontal="center" readingOrder="0"/>
    </xf>
    <xf borderId="6" fillId="3" fontId="5" numFmtId="0" xfId="0" applyAlignment="1" applyBorder="1" applyFont="1">
      <alignment horizontal="center" readingOrder="0"/>
    </xf>
    <xf borderId="1" fillId="4" fontId="6" numFmtId="0" xfId="0" applyAlignment="1" applyBorder="1" applyFill="1" applyFont="1">
      <alignment readingOrder="0" vertical="top"/>
    </xf>
    <xf borderId="2" fillId="5" fontId="5" numFmtId="0" xfId="0" applyAlignment="1" applyBorder="1" applyFill="1" applyFont="1">
      <alignment horizontal="center" readingOrder="0" vertical="top"/>
    </xf>
    <xf borderId="7" fillId="0" fontId="7" numFmtId="0" xfId="0" applyBorder="1" applyFont="1"/>
    <xf borderId="2" fillId="5" fontId="6" numFmtId="0" xfId="0" applyAlignment="1" applyBorder="1" applyFont="1">
      <alignment readingOrder="0" vertical="top"/>
    </xf>
    <xf borderId="8" fillId="2" fontId="6" numFmtId="0" xfId="0" applyAlignment="1" applyBorder="1" applyFont="1">
      <alignment horizontal="center" readingOrder="0" shrinkToFit="0" vertical="top" wrapText="0"/>
    </xf>
    <xf borderId="9" fillId="2" fontId="6" numFmtId="0" xfId="0" applyAlignment="1" applyBorder="1" applyFont="1">
      <alignment horizontal="center" readingOrder="0" shrinkToFit="0" vertical="top" wrapText="0"/>
    </xf>
    <xf borderId="10" fillId="0" fontId="4" numFmtId="0" xfId="0" applyAlignment="1" applyBorder="1" applyFont="1">
      <alignment readingOrder="0" shrinkToFit="0" vertical="bottom" wrapText="0"/>
    </xf>
    <xf borderId="10" fillId="0" fontId="4" numFmtId="0" xfId="0" applyAlignment="1" applyBorder="1" applyFont="1">
      <alignment shrinkToFit="0" vertical="bottom" wrapText="0"/>
    </xf>
    <xf borderId="0" fillId="0" fontId="8" numFmtId="0" xfId="0" applyAlignment="1" applyFont="1">
      <alignment readingOrder="0"/>
    </xf>
    <xf borderId="7" fillId="2" fontId="6" numFmtId="0" xfId="0" applyAlignment="1" applyBorder="1" applyFont="1">
      <alignment horizontal="center" readingOrder="0" shrinkToFit="0" vertical="top" wrapText="0"/>
    </xf>
    <xf borderId="11" fillId="4" fontId="6" numFmtId="0" xfId="0" applyAlignment="1" applyBorder="1" applyFont="1">
      <alignment readingOrder="0" vertical="top"/>
    </xf>
    <xf borderId="12" fillId="5" fontId="5" numFmtId="0" xfId="0" applyAlignment="1" applyBorder="1" applyFont="1">
      <alignment horizontal="center" readingOrder="0" vertical="top"/>
    </xf>
    <xf borderId="13" fillId="0" fontId="7" numFmtId="0" xfId="0" applyBorder="1" applyFont="1"/>
    <xf borderId="14" fillId="0" fontId="7" numFmtId="0" xfId="0" applyBorder="1" applyFont="1"/>
    <xf borderId="15" fillId="4" fontId="6" numFmtId="0" xfId="0" applyAlignment="1" applyBorder="1" applyFont="1">
      <alignment readingOrder="0" vertical="top"/>
    </xf>
    <xf borderId="15" fillId="5" fontId="5" numFmtId="0" xfId="0" applyAlignment="1" applyBorder="1" applyFont="1">
      <alignment readingOrder="0" vertical="top"/>
    </xf>
    <xf borderId="15" fillId="2" fontId="5" numFmtId="0" xfId="0" applyAlignment="1" applyBorder="1" applyFont="1">
      <alignment horizontal="center" readingOrder="0" shrinkToFit="0" vertical="top" wrapText="0"/>
    </xf>
    <xf borderId="15" fillId="0" fontId="4" numFmtId="0" xfId="0" applyAlignment="1" applyBorder="1" applyFont="1">
      <alignment horizontal="center" readingOrder="0" shrinkToFit="0" vertical="bottom" wrapText="0"/>
    </xf>
    <xf borderId="15" fillId="0" fontId="4" numFmtId="0" xfId="0" applyAlignment="1" applyBorder="1" applyFont="1">
      <alignment readingOrder="0" shrinkToFit="0" vertical="bottom" wrapText="0"/>
    </xf>
    <xf borderId="16" fillId="0" fontId="4" numFmtId="0" xfId="0" applyAlignment="1" applyBorder="1" applyFont="1">
      <alignment shrinkToFit="0" vertical="bottom" wrapText="0"/>
    </xf>
    <xf borderId="17" fillId="0" fontId="3" numFmtId="0" xfId="0" applyAlignment="1" applyBorder="1" applyFont="1">
      <alignment readingOrder="0" shrinkToFit="0" vertical="bottom" wrapText="0"/>
    </xf>
    <xf borderId="18" fillId="2" fontId="3" numFmtId="0" xfId="0" applyAlignment="1" applyBorder="1" applyFont="1">
      <alignment shrinkToFit="0" vertical="bottom" wrapText="0"/>
    </xf>
    <xf borderId="19" fillId="2" fontId="3" numFmtId="0" xfId="0" applyAlignment="1" applyBorder="1" applyFont="1">
      <alignment horizontal="right" shrinkToFit="0" vertical="bottom" wrapText="0"/>
    </xf>
    <xf borderId="20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10" fillId="2" fontId="4" numFmtId="0" xfId="0" applyAlignment="1" applyBorder="1" applyFont="1">
      <alignment shrinkToFit="0" vertical="bottom" wrapText="0"/>
    </xf>
    <xf borderId="21" fillId="2" fontId="4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</cols>
  <sheetData>
    <row r="1">
      <c r="A1" s="1">
        <v>46094.0</v>
      </c>
      <c r="B1" s="2"/>
      <c r="C1" s="3" t="s">
        <v>0</v>
      </c>
      <c r="E1" s="3" t="s">
        <v>1</v>
      </c>
      <c r="G1" s="3" t="s">
        <v>2</v>
      </c>
      <c r="I1" s="3" t="s">
        <v>3</v>
      </c>
      <c r="K1" s="3" t="s">
        <v>4</v>
      </c>
    </row>
    <row r="2">
      <c r="A2" s="4"/>
      <c r="B2" s="5"/>
      <c r="C2" s="6" t="s">
        <v>5</v>
      </c>
      <c r="D2" s="7" t="s">
        <v>6</v>
      </c>
      <c r="E2" s="8" t="s">
        <v>5</v>
      </c>
      <c r="F2" s="9" t="s">
        <v>6</v>
      </c>
      <c r="G2" s="8" t="s">
        <v>5</v>
      </c>
      <c r="H2" s="9" t="s">
        <v>6</v>
      </c>
      <c r="I2" s="10" t="s">
        <v>5</v>
      </c>
      <c r="J2" s="10" t="s">
        <v>6</v>
      </c>
      <c r="K2" s="8" t="s">
        <v>5</v>
      </c>
      <c r="L2" s="9" t="s">
        <v>6</v>
      </c>
    </row>
    <row r="3">
      <c r="A3" s="11" t="s">
        <v>7</v>
      </c>
      <c r="B3" s="12" t="s">
        <v>8</v>
      </c>
      <c r="C3" s="13"/>
      <c r="D3" s="13"/>
      <c r="E3" s="13"/>
      <c r="F3" s="13"/>
      <c r="G3" s="13"/>
      <c r="H3" s="13"/>
      <c r="I3" s="13"/>
      <c r="J3" s="13"/>
      <c r="K3" s="13"/>
      <c r="L3" s="13"/>
    </row>
    <row r="4">
      <c r="A4" s="11" t="s">
        <v>7</v>
      </c>
      <c r="B4" s="14" t="s">
        <v>9</v>
      </c>
      <c r="C4" s="15">
        <v>0.0</v>
      </c>
      <c r="D4" s="16">
        <v>2.0</v>
      </c>
      <c r="E4" s="17">
        <v>0.0</v>
      </c>
      <c r="F4" s="17">
        <v>17.0</v>
      </c>
      <c r="G4" s="17">
        <v>0.0</v>
      </c>
      <c r="H4" s="17">
        <v>0.0</v>
      </c>
      <c r="I4" s="17">
        <v>0.0</v>
      </c>
      <c r="J4" s="17">
        <v>0.0</v>
      </c>
      <c r="K4" s="18">
        <f t="shared" ref="K4:L4" si="1">C4+E4+G4+I4</f>
        <v>0</v>
      </c>
      <c r="L4" s="18">
        <f t="shared" si="1"/>
        <v>19</v>
      </c>
    </row>
    <row r="5" ht="20.25" customHeight="1">
      <c r="A5" s="11" t="s">
        <v>7</v>
      </c>
      <c r="B5" s="14" t="s">
        <v>10</v>
      </c>
      <c r="C5" s="15">
        <v>0.0</v>
      </c>
      <c r="D5" s="16">
        <v>1.0</v>
      </c>
      <c r="E5" s="17">
        <v>0.0</v>
      </c>
      <c r="F5" s="17">
        <v>0.0</v>
      </c>
      <c r="G5" s="17">
        <v>0.0</v>
      </c>
      <c r="H5" s="17">
        <v>0.0</v>
      </c>
      <c r="I5" s="17">
        <v>0.0</v>
      </c>
      <c r="J5" s="17">
        <v>0.0</v>
      </c>
      <c r="K5" s="18">
        <f t="shared" ref="K5:L5" si="2">C5+E5+G5+I5</f>
        <v>0</v>
      </c>
      <c r="L5" s="18">
        <f t="shared" si="2"/>
        <v>1</v>
      </c>
    </row>
    <row r="6" ht="20.25" customHeight="1">
      <c r="A6" s="11" t="s">
        <v>7</v>
      </c>
      <c r="B6" s="14" t="s">
        <v>11</v>
      </c>
      <c r="C6" s="15">
        <v>0.0</v>
      </c>
      <c r="D6" s="16">
        <v>8.0</v>
      </c>
      <c r="E6" s="17">
        <v>0.0</v>
      </c>
      <c r="F6" s="17">
        <v>0.0</v>
      </c>
      <c r="G6" s="17">
        <v>0.0</v>
      </c>
      <c r="H6" s="17">
        <v>0.0</v>
      </c>
      <c r="I6" s="17">
        <v>0.0</v>
      </c>
      <c r="J6" s="17">
        <v>0.0</v>
      </c>
      <c r="K6" s="18">
        <f t="shared" ref="K6:L6" si="3">C6+E6+G6+I6</f>
        <v>0</v>
      </c>
      <c r="L6" s="18">
        <f t="shared" si="3"/>
        <v>8</v>
      </c>
    </row>
    <row r="7">
      <c r="A7" s="11" t="s">
        <v>7</v>
      </c>
      <c r="B7" s="14" t="s">
        <v>12</v>
      </c>
      <c r="C7" s="15">
        <v>13.0</v>
      </c>
      <c r="D7" s="16">
        <v>19.0</v>
      </c>
      <c r="E7" s="17">
        <v>0.0</v>
      </c>
      <c r="F7" s="17">
        <v>8.0</v>
      </c>
      <c r="G7" s="17">
        <v>0.0</v>
      </c>
      <c r="H7" s="17">
        <v>0.0</v>
      </c>
      <c r="I7" s="17">
        <v>0.0</v>
      </c>
      <c r="J7" s="17">
        <v>0.0</v>
      </c>
      <c r="K7" s="18">
        <f t="shared" ref="K7:L7" si="4">C7+E7+G7+I7</f>
        <v>13</v>
      </c>
      <c r="L7" s="18">
        <f t="shared" si="4"/>
        <v>27</v>
      </c>
    </row>
    <row r="8" ht="18.75" customHeight="1">
      <c r="A8" s="11" t="s">
        <v>7</v>
      </c>
      <c r="B8" s="14" t="s">
        <v>13</v>
      </c>
      <c r="C8" s="15">
        <v>0.0</v>
      </c>
      <c r="D8" s="16">
        <v>0.0</v>
      </c>
      <c r="E8" s="17">
        <v>0.0</v>
      </c>
      <c r="F8" s="17">
        <v>0.0</v>
      </c>
      <c r="G8" s="17">
        <v>0.0</v>
      </c>
      <c r="H8" s="17">
        <v>0.0</v>
      </c>
      <c r="I8" s="17">
        <v>0.0</v>
      </c>
      <c r="J8" s="17">
        <v>0.0</v>
      </c>
      <c r="K8" s="18">
        <f t="shared" ref="K8:L8" si="5">C8+E8+G8+I8</f>
        <v>0</v>
      </c>
      <c r="L8" s="18">
        <f t="shared" si="5"/>
        <v>0</v>
      </c>
    </row>
    <row r="9" ht="18.75" customHeight="1">
      <c r="A9" s="11" t="s">
        <v>7</v>
      </c>
      <c r="B9" s="14" t="s">
        <v>14</v>
      </c>
      <c r="C9" s="15">
        <v>0.0</v>
      </c>
      <c r="D9" s="16">
        <v>6.0</v>
      </c>
      <c r="E9" s="17">
        <v>0.0</v>
      </c>
      <c r="F9" s="17">
        <v>1.0</v>
      </c>
      <c r="G9" s="17">
        <v>0.0</v>
      </c>
      <c r="H9" s="17">
        <v>0.0</v>
      </c>
      <c r="I9" s="17">
        <v>0.0</v>
      </c>
      <c r="J9" s="17">
        <v>0.0</v>
      </c>
      <c r="K9" s="18">
        <f t="shared" ref="K9:L9" si="6">C9+E9+G9+I9</f>
        <v>0</v>
      </c>
      <c r="L9" s="18">
        <f t="shared" si="6"/>
        <v>7</v>
      </c>
    </row>
    <row r="10">
      <c r="A10" s="11" t="s">
        <v>7</v>
      </c>
      <c r="B10" s="14" t="s">
        <v>15</v>
      </c>
      <c r="C10" s="15">
        <v>7.0</v>
      </c>
      <c r="D10" s="16">
        <v>0.0</v>
      </c>
      <c r="E10" s="17">
        <v>0.0</v>
      </c>
      <c r="F10" s="17">
        <v>26.0</v>
      </c>
      <c r="G10" s="17">
        <v>9.0</v>
      </c>
      <c r="H10" s="17">
        <v>0.0</v>
      </c>
      <c r="I10" s="17">
        <v>0.0</v>
      </c>
      <c r="J10" s="17">
        <v>0.0</v>
      </c>
      <c r="K10" s="18">
        <f t="shared" ref="K10:L10" si="7">C10+E10+G10+I10</f>
        <v>16</v>
      </c>
      <c r="L10" s="18">
        <f t="shared" si="7"/>
        <v>26</v>
      </c>
    </row>
    <row r="11" ht="20.25" customHeight="1">
      <c r="A11" s="11" t="s">
        <v>7</v>
      </c>
      <c r="B11" s="14" t="s">
        <v>16</v>
      </c>
      <c r="C11" s="15">
        <v>0.0</v>
      </c>
      <c r="D11" s="16">
        <v>0.0</v>
      </c>
      <c r="E11" s="17">
        <v>0.0</v>
      </c>
      <c r="F11" s="17">
        <v>0.0</v>
      </c>
      <c r="G11" s="17">
        <v>0.0</v>
      </c>
      <c r="H11" s="17">
        <v>0.0</v>
      </c>
      <c r="I11" s="17">
        <v>0.0</v>
      </c>
      <c r="J11" s="17">
        <v>0.0</v>
      </c>
      <c r="K11" s="18">
        <f t="shared" ref="K11:L11" si="8">C11+E11+G11+I11</f>
        <v>0</v>
      </c>
      <c r="L11" s="18">
        <f t="shared" si="8"/>
        <v>0</v>
      </c>
    </row>
    <row r="12" ht="20.25" customHeight="1">
      <c r="A12" s="11" t="s">
        <v>7</v>
      </c>
      <c r="B12" s="14" t="s">
        <v>17</v>
      </c>
      <c r="C12" s="15">
        <v>0.0</v>
      </c>
      <c r="D12" s="16">
        <v>27.0</v>
      </c>
      <c r="E12" s="17">
        <v>0.0</v>
      </c>
      <c r="F12" s="17">
        <v>8.0</v>
      </c>
      <c r="G12" s="17">
        <v>0.0</v>
      </c>
      <c r="H12" s="17">
        <v>0.0</v>
      </c>
      <c r="I12" s="17">
        <v>0.0</v>
      </c>
      <c r="J12" s="17">
        <v>0.0</v>
      </c>
      <c r="K12" s="18">
        <f t="shared" ref="K12:L12" si="9">C12+E12+G12+I12</f>
        <v>0</v>
      </c>
      <c r="L12" s="18">
        <f t="shared" si="9"/>
        <v>35</v>
      </c>
    </row>
    <row r="13">
      <c r="A13" s="11" t="s">
        <v>7</v>
      </c>
      <c r="B13" s="14" t="s">
        <v>18</v>
      </c>
      <c r="C13" s="15">
        <v>0.0</v>
      </c>
      <c r="D13" s="16">
        <v>0.0</v>
      </c>
      <c r="E13" s="17">
        <v>0.0</v>
      </c>
      <c r="F13" s="17">
        <v>44.0</v>
      </c>
      <c r="G13" s="17">
        <v>0.0</v>
      </c>
      <c r="H13" s="17">
        <v>8.0</v>
      </c>
      <c r="I13" s="17">
        <v>0.0</v>
      </c>
      <c r="J13" s="17">
        <v>0.0</v>
      </c>
      <c r="K13" s="18">
        <f t="shared" ref="K13:L13" si="10">C13+E13+G13+I13</f>
        <v>0</v>
      </c>
      <c r="L13" s="18">
        <f t="shared" si="10"/>
        <v>52</v>
      </c>
    </row>
    <row r="14" ht="19.5" customHeight="1">
      <c r="A14" s="11" t="s">
        <v>7</v>
      </c>
      <c r="B14" s="14" t="s">
        <v>19</v>
      </c>
      <c r="C14" s="15">
        <v>0.0</v>
      </c>
      <c r="D14" s="16">
        <v>0.0</v>
      </c>
      <c r="E14" s="17">
        <v>0.0</v>
      </c>
      <c r="F14" s="17">
        <v>0.0</v>
      </c>
      <c r="G14" s="17">
        <v>0.0</v>
      </c>
      <c r="H14" s="17">
        <v>0.0</v>
      </c>
      <c r="I14" s="17">
        <v>0.0</v>
      </c>
      <c r="J14" s="17">
        <v>0.0</v>
      </c>
      <c r="K14" s="18">
        <f t="shared" ref="K14:L14" si="11">C14+E14+G14+I14</f>
        <v>0</v>
      </c>
      <c r="L14" s="18">
        <f t="shared" si="11"/>
        <v>0</v>
      </c>
    </row>
    <row r="15">
      <c r="A15" s="11" t="s">
        <v>7</v>
      </c>
      <c r="B15" s="14" t="s">
        <v>20</v>
      </c>
      <c r="C15" s="15">
        <v>1.0</v>
      </c>
      <c r="D15" s="16">
        <v>20.0</v>
      </c>
      <c r="E15" s="17">
        <v>0.0</v>
      </c>
      <c r="F15" s="17">
        <v>0.0</v>
      </c>
      <c r="G15" s="17">
        <v>0.0</v>
      </c>
      <c r="H15" s="17">
        <v>0.0</v>
      </c>
      <c r="I15" s="17">
        <v>0.0</v>
      </c>
      <c r="J15" s="17">
        <v>0.0</v>
      </c>
      <c r="K15" s="18">
        <f t="shared" ref="K15:L15" si="12">C15+E15+G15+I15</f>
        <v>1</v>
      </c>
      <c r="L15" s="18">
        <f t="shared" si="12"/>
        <v>20</v>
      </c>
    </row>
    <row r="16" ht="18.0" customHeight="1">
      <c r="A16" s="11" t="s">
        <v>7</v>
      </c>
      <c r="B16" s="14" t="s">
        <v>21</v>
      </c>
      <c r="C16" s="15">
        <v>0.0</v>
      </c>
      <c r="D16" s="16">
        <v>0.0</v>
      </c>
      <c r="E16" s="17">
        <v>0.0</v>
      </c>
      <c r="F16" s="17">
        <v>0.0</v>
      </c>
      <c r="G16" s="17">
        <v>0.0</v>
      </c>
      <c r="H16" s="17">
        <v>0.0</v>
      </c>
      <c r="I16" s="17">
        <v>0.0</v>
      </c>
      <c r="J16" s="17">
        <v>0.0</v>
      </c>
      <c r="K16" s="18">
        <f t="shared" ref="K16:L16" si="13">C16+E16+G16+I16</f>
        <v>0</v>
      </c>
      <c r="L16" s="18">
        <f t="shared" si="13"/>
        <v>0</v>
      </c>
    </row>
    <row r="17" ht="18.0" customHeight="1">
      <c r="A17" s="11" t="s">
        <v>7</v>
      </c>
      <c r="B17" s="14" t="s">
        <v>22</v>
      </c>
      <c r="C17" s="15">
        <v>1.0</v>
      </c>
      <c r="D17" s="16">
        <v>7.0</v>
      </c>
      <c r="E17" s="17">
        <v>0.0</v>
      </c>
      <c r="F17" s="17">
        <v>16.0</v>
      </c>
      <c r="G17" s="17">
        <v>0.0</v>
      </c>
      <c r="H17" s="17">
        <v>0.0</v>
      </c>
      <c r="I17" s="17">
        <v>0.0</v>
      </c>
      <c r="J17" s="17">
        <v>0.0</v>
      </c>
      <c r="K17" s="18">
        <f t="shared" ref="K17:L17" si="14">C17+E17+G17+I17</f>
        <v>1</v>
      </c>
      <c r="L17" s="18">
        <f t="shared" si="14"/>
        <v>23</v>
      </c>
    </row>
    <row r="18">
      <c r="A18" s="11" t="s">
        <v>7</v>
      </c>
      <c r="B18" s="14" t="s">
        <v>23</v>
      </c>
      <c r="C18" s="15">
        <v>9.0</v>
      </c>
      <c r="D18" s="16">
        <v>24.0</v>
      </c>
      <c r="E18" s="17">
        <v>0.0</v>
      </c>
      <c r="F18" s="17">
        <v>0.0</v>
      </c>
      <c r="G18" s="17">
        <v>0.0</v>
      </c>
      <c r="H18" s="17">
        <v>8.0</v>
      </c>
      <c r="I18" s="17">
        <v>0.0</v>
      </c>
      <c r="J18" s="17">
        <v>0.0</v>
      </c>
      <c r="K18" s="18">
        <f t="shared" ref="K18:L18" si="15">C18+E18+G18+I18</f>
        <v>9</v>
      </c>
      <c r="L18" s="18">
        <f t="shared" si="15"/>
        <v>32</v>
      </c>
    </row>
    <row r="19">
      <c r="A19" s="11" t="s">
        <v>7</v>
      </c>
      <c r="B19" s="14" t="s">
        <v>24</v>
      </c>
      <c r="C19" s="15">
        <v>0.0</v>
      </c>
      <c r="D19" s="16">
        <v>3.0</v>
      </c>
      <c r="E19" s="17">
        <v>0.0</v>
      </c>
      <c r="F19" s="17">
        <v>9.0</v>
      </c>
      <c r="G19" s="17">
        <v>0.0</v>
      </c>
      <c r="H19" s="17">
        <v>0.0</v>
      </c>
      <c r="I19" s="17">
        <v>0.0</v>
      </c>
      <c r="J19" s="17">
        <v>0.0</v>
      </c>
      <c r="K19" s="18">
        <f t="shared" ref="K19:L19" si="16">C19+E19+G19+I19</f>
        <v>0</v>
      </c>
      <c r="L19" s="18">
        <f t="shared" si="16"/>
        <v>12</v>
      </c>
    </row>
    <row r="20" ht="18.0" customHeight="1">
      <c r="A20" s="11" t="s">
        <v>7</v>
      </c>
      <c r="B20" s="14" t="s">
        <v>25</v>
      </c>
      <c r="C20" s="15">
        <v>1.0</v>
      </c>
      <c r="D20" s="16">
        <v>3.0</v>
      </c>
      <c r="E20" s="17">
        <v>0.0</v>
      </c>
      <c r="F20" s="17">
        <v>0.0</v>
      </c>
      <c r="G20" s="17">
        <v>0.0</v>
      </c>
      <c r="H20" s="17">
        <v>0.0</v>
      </c>
      <c r="I20" s="17">
        <v>0.0</v>
      </c>
      <c r="J20" s="17">
        <v>0.0</v>
      </c>
      <c r="K20" s="18">
        <f t="shared" ref="K20:L20" si="17">C20+E20+G20+I20</f>
        <v>1</v>
      </c>
      <c r="L20" s="18">
        <f t="shared" si="17"/>
        <v>3</v>
      </c>
    </row>
    <row r="21">
      <c r="A21" s="11" t="s">
        <v>7</v>
      </c>
      <c r="B21" s="14" t="s">
        <v>26</v>
      </c>
      <c r="C21" s="15">
        <v>1.0</v>
      </c>
      <c r="D21" s="16">
        <v>7.0</v>
      </c>
      <c r="E21" s="17">
        <v>0.0</v>
      </c>
      <c r="F21" s="17">
        <v>8.0</v>
      </c>
      <c r="G21" s="17">
        <v>0.0</v>
      </c>
      <c r="H21" s="17">
        <v>0.0</v>
      </c>
      <c r="I21" s="17">
        <v>0.0</v>
      </c>
      <c r="J21" s="17">
        <v>0.0</v>
      </c>
      <c r="K21" s="18">
        <f t="shared" ref="K21:L21" si="18">C21+E21+G21+I21</f>
        <v>1</v>
      </c>
      <c r="L21" s="18">
        <f t="shared" si="18"/>
        <v>15</v>
      </c>
    </row>
    <row r="22" ht="20.25" customHeight="1">
      <c r="A22" s="11" t="s">
        <v>7</v>
      </c>
      <c r="B22" s="14" t="s">
        <v>27</v>
      </c>
      <c r="C22" s="15">
        <v>0.0</v>
      </c>
      <c r="D22" s="16">
        <v>2.0</v>
      </c>
      <c r="E22" s="17">
        <v>0.0</v>
      </c>
      <c r="F22" s="17">
        <v>0.0</v>
      </c>
      <c r="G22" s="17">
        <v>0.0</v>
      </c>
      <c r="H22" s="17">
        <v>0.0</v>
      </c>
      <c r="I22" s="17">
        <v>0.0</v>
      </c>
      <c r="J22" s="17">
        <v>0.0</v>
      </c>
      <c r="K22" s="18">
        <f t="shared" ref="K22:L22" si="19">C22+E22+G22+I22</f>
        <v>0</v>
      </c>
      <c r="L22" s="18">
        <f t="shared" si="19"/>
        <v>2</v>
      </c>
    </row>
    <row r="23" ht="20.25" customHeight="1">
      <c r="A23" s="11" t="s">
        <v>7</v>
      </c>
      <c r="B23" s="14" t="s">
        <v>28</v>
      </c>
      <c r="C23" s="15">
        <v>1.0</v>
      </c>
      <c r="D23" s="16">
        <v>12.0</v>
      </c>
      <c r="E23" s="17">
        <v>0.0</v>
      </c>
      <c r="F23" s="17">
        <v>0.0</v>
      </c>
      <c r="G23" s="17">
        <v>0.0</v>
      </c>
      <c r="H23" s="17">
        <v>0.0</v>
      </c>
      <c r="I23" s="17">
        <v>0.0</v>
      </c>
      <c r="J23" s="17">
        <v>0.0</v>
      </c>
      <c r="K23" s="18">
        <f t="shared" ref="K23:L23" si="20">C23+E23+G23+I23</f>
        <v>1</v>
      </c>
      <c r="L23" s="18">
        <f t="shared" si="20"/>
        <v>12</v>
      </c>
    </row>
    <row r="24">
      <c r="A24" s="11" t="s">
        <v>7</v>
      </c>
      <c r="B24" s="14" t="s">
        <v>29</v>
      </c>
      <c r="C24" s="15">
        <v>1.0</v>
      </c>
      <c r="D24" s="16">
        <v>13.0</v>
      </c>
      <c r="E24" s="17">
        <v>1.0</v>
      </c>
      <c r="F24" s="17">
        <v>3.0</v>
      </c>
      <c r="G24" s="17">
        <v>0.0</v>
      </c>
      <c r="H24" s="17">
        <v>0.0</v>
      </c>
      <c r="I24" s="17">
        <v>0.0</v>
      </c>
      <c r="J24" s="17">
        <v>0.0</v>
      </c>
      <c r="K24" s="18">
        <f t="shared" ref="K24:L24" si="21">C24+E24+G24+I24</f>
        <v>2</v>
      </c>
      <c r="L24" s="18">
        <f t="shared" si="21"/>
        <v>16</v>
      </c>
    </row>
    <row r="25" ht="18.75" customHeight="1">
      <c r="A25" s="11" t="s">
        <v>7</v>
      </c>
      <c r="B25" s="14" t="s">
        <v>30</v>
      </c>
      <c r="C25" s="15">
        <v>0.0</v>
      </c>
      <c r="D25" s="16">
        <v>4.0</v>
      </c>
      <c r="E25" s="17">
        <v>0.0</v>
      </c>
      <c r="F25" s="17">
        <v>0.0</v>
      </c>
      <c r="G25" s="17">
        <v>0.0</v>
      </c>
      <c r="H25" s="17">
        <v>0.0</v>
      </c>
      <c r="I25" s="17">
        <v>0.0</v>
      </c>
      <c r="J25" s="17">
        <v>0.0</v>
      </c>
      <c r="K25" s="18">
        <f t="shared" ref="K25:L25" si="22">C25+E25+G25+I25</f>
        <v>0</v>
      </c>
      <c r="L25" s="18">
        <f t="shared" si="22"/>
        <v>4</v>
      </c>
    </row>
    <row r="26" ht="18.75" customHeight="1">
      <c r="A26" s="11" t="s">
        <v>7</v>
      </c>
      <c r="B26" s="14" t="s">
        <v>31</v>
      </c>
      <c r="C26" s="15">
        <v>0.0</v>
      </c>
      <c r="D26" s="16">
        <v>13.0</v>
      </c>
      <c r="E26" s="17">
        <v>0.0</v>
      </c>
      <c r="F26" s="17">
        <v>0.0</v>
      </c>
      <c r="G26" s="17">
        <v>0.0</v>
      </c>
      <c r="H26" s="17">
        <v>0.0</v>
      </c>
      <c r="I26" s="17">
        <v>0.0</v>
      </c>
      <c r="J26" s="17">
        <v>0.0</v>
      </c>
      <c r="K26" s="18">
        <f t="shared" ref="K26:L26" si="23">C26+E26+G26+I26</f>
        <v>0</v>
      </c>
      <c r="L26" s="18">
        <f t="shared" si="23"/>
        <v>13</v>
      </c>
    </row>
    <row r="27">
      <c r="A27" s="11" t="s">
        <v>7</v>
      </c>
      <c r="B27" s="14" t="s">
        <v>32</v>
      </c>
      <c r="C27" s="15">
        <v>5.0</v>
      </c>
      <c r="D27" s="16">
        <v>14.0</v>
      </c>
      <c r="E27" s="17">
        <v>0.0</v>
      </c>
      <c r="F27" s="17">
        <v>0.0</v>
      </c>
      <c r="G27" s="17">
        <v>0.0</v>
      </c>
      <c r="H27" s="17">
        <v>0.0</v>
      </c>
      <c r="I27" s="17">
        <v>0.0</v>
      </c>
      <c r="J27" s="17">
        <v>0.0</v>
      </c>
      <c r="K27" s="18">
        <f t="shared" ref="K27:L27" si="24">C27+E27+G27+I27</f>
        <v>5</v>
      </c>
      <c r="L27" s="18">
        <f t="shared" si="24"/>
        <v>14</v>
      </c>
    </row>
    <row r="28" ht="18.0" customHeight="1">
      <c r="A28" s="11" t="s">
        <v>7</v>
      </c>
      <c r="B28" s="14" t="s">
        <v>33</v>
      </c>
      <c r="C28" s="15">
        <v>0.0</v>
      </c>
      <c r="D28" s="16">
        <v>0.0</v>
      </c>
      <c r="E28" s="17">
        <v>0.0</v>
      </c>
      <c r="F28" s="17">
        <v>0.0</v>
      </c>
      <c r="G28" s="17">
        <v>0.0</v>
      </c>
      <c r="H28" s="17">
        <v>0.0</v>
      </c>
      <c r="I28" s="17">
        <v>0.0</v>
      </c>
      <c r="J28" s="17">
        <v>0.0</v>
      </c>
      <c r="K28" s="18">
        <f t="shared" ref="K28:L28" si="25">C28+E28+G28+I28</f>
        <v>0</v>
      </c>
      <c r="L28" s="18">
        <f t="shared" si="25"/>
        <v>0</v>
      </c>
    </row>
    <row r="29">
      <c r="A29" s="11" t="s">
        <v>7</v>
      </c>
      <c r="B29" s="14" t="s">
        <v>34</v>
      </c>
      <c r="C29" s="15">
        <v>0.0</v>
      </c>
      <c r="D29" s="16">
        <v>18.0</v>
      </c>
      <c r="E29" s="17">
        <v>8.0</v>
      </c>
      <c r="F29" s="17">
        <v>14.0</v>
      </c>
      <c r="G29" s="17">
        <v>0.0</v>
      </c>
      <c r="H29" s="17">
        <v>0.0</v>
      </c>
      <c r="I29" s="17">
        <v>0.0</v>
      </c>
      <c r="J29" s="17">
        <v>0.0</v>
      </c>
      <c r="K29" s="18">
        <f t="shared" ref="K29:L29" si="26">C29+E29+G29+I29</f>
        <v>8</v>
      </c>
      <c r="L29" s="18">
        <f t="shared" si="26"/>
        <v>32</v>
      </c>
    </row>
    <row r="30" ht="20.25" customHeight="1">
      <c r="A30" s="11" t="s">
        <v>7</v>
      </c>
      <c r="B30" s="14" t="s">
        <v>35</v>
      </c>
      <c r="C30" s="15">
        <v>0.0</v>
      </c>
      <c r="D30" s="16">
        <v>0.0</v>
      </c>
      <c r="E30" s="17">
        <v>0.0</v>
      </c>
      <c r="F30" s="17">
        <v>0.0</v>
      </c>
      <c r="G30" s="17">
        <v>0.0</v>
      </c>
      <c r="H30" s="17">
        <v>0.0</v>
      </c>
      <c r="I30" s="17">
        <v>0.0</v>
      </c>
      <c r="J30" s="17">
        <v>0.0</v>
      </c>
      <c r="K30" s="18">
        <f t="shared" ref="K30:L30" si="27">C30+E30+G30+I30</f>
        <v>0</v>
      </c>
      <c r="L30" s="18">
        <f t="shared" si="27"/>
        <v>0</v>
      </c>
    </row>
    <row r="31">
      <c r="A31" s="11" t="s">
        <v>7</v>
      </c>
      <c r="B31" s="14" t="s">
        <v>36</v>
      </c>
      <c r="C31" s="15">
        <v>0.0</v>
      </c>
      <c r="D31" s="16">
        <v>2.0</v>
      </c>
      <c r="E31" s="17">
        <v>0.0</v>
      </c>
      <c r="F31" s="17">
        <v>0.0</v>
      </c>
      <c r="G31" s="17">
        <v>0.0</v>
      </c>
      <c r="H31" s="17">
        <v>0.0</v>
      </c>
      <c r="I31" s="17">
        <v>0.0</v>
      </c>
      <c r="J31" s="17">
        <v>0.0</v>
      </c>
      <c r="K31" s="18">
        <f t="shared" ref="K31:L31" si="28">C31+E31+G31+I31</f>
        <v>0</v>
      </c>
      <c r="L31" s="18">
        <f t="shared" si="28"/>
        <v>2</v>
      </c>
    </row>
    <row r="32">
      <c r="A32" s="11" t="s">
        <v>7</v>
      </c>
      <c r="B32" s="14" t="s">
        <v>37</v>
      </c>
      <c r="C32" s="15">
        <v>0.0</v>
      </c>
      <c r="D32" s="16">
        <v>0.0</v>
      </c>
      <c r="E32" s="17">
        <v>21.0</v>
      </c>
      <c r="F32" s="17">
        <v>21.0</v>
      </c>
      <c r="G32" s="17">
        <v>0.0</v>
      </c>
      <c r="H32" s="17">
        <v>0.0</v>
      </c>
      <c r="I32" s="17">
        <v>0.0</v>
      </c>
      <c r="J32" s="17">
        <v>0.0</v>
      </c>
      <c r="K32" s="18">
        <f t="shared" ref="K32:L32" si="29">C32+E32+G32+I32</f>
        <v>21</v>
      </c>
      <c r="L32" s="18">
        <f t="shared" si="29"/>
        <v>21</v>
      </c>
    </row>
    <row r="33">
      <c r="A33" s="11" t="s">
        <v>7</v>
      </c>
      <c r="B33" s="14" t="s">
        <v>38</v>
      </c>
      <c r="C33" s="15">
        <v>0.0</v>
      </c>
      <c r="D33" s="16">
        <v>0.0</v>
      </c>
      <c r="E33" s="17">
        <v>0.0</v>
      </c>
      <c r="F33" s="17">
        <v>0.0</v>
      </c>
      <c r="G33" s="17">
        <v>0.0</v>
      </c>
      <c r="H33" s="17">
        <v>0.0</v>
      </c>
      <c r="I33" s="17">
        <v>0.0</v>
      </c>
      <c r="J33" s="17">
        <v>0.0</v>
      </c>
      <c r="K33" s="18">
        <f t="shared" ref="K33:L33" si="30">C33+E33+G33+I33</f>
        <v>0</v>
      </c>
      <c r="L33" s="18">
        <f t="shared" si="30"/>
        <v>0</v>
      </c>
    </row>
    <row r="34">
      <c r="A34" s="11" t="s">
        <v>7</v>
      </c>
      <c r="B34" s="14" t="s">
        <v>39</v>
      </c>
      <c r="C34" s="15">
        <v>0.0</v>
      </c>
      <c r="D34" s="16">
        <v>0.0</v>
      </c>
      <c r="E34" s="17">
        <v>0.0</v>
      </c>
      <c r="F34" s="17">
        <v>0.0</v>
      </c>
      <c r="G34" s="17">
        <v>0.0</v>
      </c>
      <c r="H34" s="17">
        <v>0.0</v>
      </c>
      <c r="I34" s="17">
        <v>0.0</v>
      </c>
      <c r="J34" s="17">
        <v>0.0</v>
      </c>
      <c r="K34" s="18">
        <f t="shared" ref="K34:L34" si="31">C34+E34+G34+I34</f>
        <v>0</v>
      </c>
      <c r="L34" s="18">
        <f t="shared" si="31"/>
        <v>0</v>
      </c>
    </row>
    <row r="35">
      <c r="A35" s="11" t="s">
        <v>7</v>
      </c>
      <c r="B35" s="14" t="s">
        <v>40</v>
      </c>
      <c r="C35" s="15">
        <v>0.0</v>
      </c>
      <c r="D35" s="16">
        <v>0.0</v>
      </c>
      <c r="E35" s="17">
        <v>4.0</v>
      </c>
      <c r="F35" s="17">
        <v>4.0</v>
      </c>
      <c r="G35" s="17">
        <v>3.0</v>
      </c>
      <c r="H35" s="17">
        <v>3.0</v>
      </c>
      <c r="I35" s="17">
        <v>0.0</v>
      </c>
      <c r="J35" s="17">
        <v>0.0</v>
      </c>
      <c r="K35" s="18">
        <f t="shared" ref="K35:L35" si="32">C35+E35+G35+I35</f>
        <v>7</v>
      </c>
      <c r="L35" s="18">
        <f t="shared" si="32"/>
        <v>7</v>
      </c>
    </row>
    <row r="36" ht="20.25" customHeight="1">
      <c r="A36" s="11" t="s">
        <v>7</v>
      </c>
      <c r="B36" s="14" t="s">
        <v>41</v>
      </c>
      <c r="C36" s="15">
        <v>0.0</v>
      </c>
      <c r="D36" s="16">
        <v>0.0</v>
      </c>
      <c r="E36" s="17">
        <v>0.0</v>
      </c>
      <c r="F36" s="17">
        <v>0.0</v>
      </c>
      <c r="G36" s="17">
        <v>0.0</v>
      </c>
      <c r="H36" s="17">
        <v>0.0</v>
      </c>
      <c r="I36" s="17">
        <v>0.0</v>
      </c>
      <c r="J36" s="17">
        <v>0.0</v>
      </c>
      <c r="K36" s="18">
        <f t="shared" ref="K36:L36" si="33">C36+E36+G36+I36</f>
        <v>0</v>
      </c>
      <c r="L36" s="18">
        <f t="shared" si="33"/>
        <v>0</v>
      </c>
      <c r="M36" s="19"/>
    </row>
    <row r="37">
      <c r="A37" s="11" t="s">
        <v>7</v>
      </c>
      <c r="B37" s="14" t="s">
        <v>42</v>
      </c>
      <c r="C37" s="15">
        <v>0.0</v>
      </c>
      <c r="D37" s="16">
        <v>0.0</v>
      </c>
      <c r="E37" s="17">
        <v>3.0</v>
      </c>
      <c r="F37" s="17">
        <v>3.0</v>
      </c>
      <c r="G37" s="17">
        <v>3.0</v>
      </c>
      <c r="H37" s="17">
        <v>3.0</v>
      </c>
      <c r="I37" s="17">
        <v>0.0</v>
      </c>
      <c r="J37" s="17">
        <v>0.0</v>
      </c>
      <c r="K37" s="18">
        <f t="shared" ref="K37:L37" si="34">C37+E37+G37+I37</f>
        <v>6</v>
      </c>
      <c r="L37" s="18">
        <f t="shared" si="34"/>
        <v>6</v>
      </c>
      <c r="M37" s="19" t="s">
        <v>43</v>
      </c>
    </row>
    <row r="38" ht="21.0" customHeight="1">
      <c r="A38" s="11" t="s">
        <v>7</v>
      </c>
      <c r="B38" s="14" t="s">
        <v>44</v>
      </c>
      <c r="C38" s="15">
        <v>0.0</v>
      </c>
      <c r="D38" s="20">
        <v>0.0</v>
      </c>
      <c r="E38" s="17">
        <v>0.0</v>
      </c>
      <c r="F38" s="17">
        <v>0.0</v>
      </c>
      <c r="G38" s="17">
        <v>0.0</v>
      </c>
      <c r="H38" s="17">
        <v>0.0</v>
      </c>
      <c r="I38" s="17">
        <v>0.0</v>
      </c>
      <c r="J38" s="17">
        <v>0.0</v>
      </c>
      <c r="K38" s="18">
        <f t="shared" ref="K38:L38" si="35">C38+E38+G38+I38</f>
        <v>0</v>
      </c>
      <c r="L38" s="18">
        <f t="shared" si="35"/>
        <v>0</v>
      </c>
    </row>
    <row r="39" ht="22.5" customHeight="1">
      <c r="A39" s="11" t="s">
        <v>7</v>
      </c>
      <c r="B39" s="14" t="s">
        <v>45</v>
      </c>
      <c r="C39" s="15">
        <v>0.0</v>
      </c>
      <c r="D39" s="15">
        <v>0.0</v>
      </c>
      <c r="E39" s="17">
        <v>12.0</v>
      </c>
      <c r="F39" s="17">
        <v>12.0</v>
      </c>
      <c r="G39" s="17">
        <v>0.0</v>
      </c>
      <c r="H39" s="17">
        <v>0.0</v>
      </c>
      <c r="I39" s="17">
        <v>0.0</v>
      </c>
      <c r="J39" s="17">
        <v>0.0</v>
      </c>
      <c r="K39" s="18">
        <f t="shared" ref="K39:L39" si="36">C39+E39+G39+I39</f>
        <v>12</v>
      </c>
      <c r="L39" s="18">
        <f t="shared" si="36"/>
        <v>12</v>
      </c>
    </row>
    <row r="40">
      <c r="A40" s="11" t="s">
        <v>7</v>
      </c>
      <c r="B40" s="14" t="s">
        <v>46</v>
      </c>
      <c r="C40" s="15">
        <v>0.0</v>
      </c>
      <c r="D40" s="15">
        <v>0.0</v>
      </c>
      <c r="E40" s="17">
        <v>4.0</v>
      </c>
      <c r="F40" s="17">
        <v>4.0</v>
      </c>
      <c r="G40" s="17">
        <v>0.0</v>
      </c>
      <c r="H40" s="17">
        <v>0.0</v>
      </c>
      <c r="I40" s="17">
        <v>0.0</v>
      </c>
      <c r="J40" s="17">
        <v>0.0</v>
      </c>
      <c r="K40" s="18">
        <f t="shared" ref="K40:L40" si="37">C40+E40+G40+I40</f>
        <v>4</v>
      </c>
      <c r="L40" s="18">
        <f t="shared" si="37"/>
        <v>4</v>
      </c>
    </row>
    <row r="41">
      <c r="A41" s="21" t="s">
        <v>7</v>
      </c>
      <c r="B41" s="22" t="s">
        <v>47</v>
      </c>
      <c r="C41" s="23"/>
      <c r="D41" s="23"/>
      <c r="E41" s="23"/>
      <c r="F41" s="23"/>
      <c r="G41" s="23"/>
      <c r="H41" s="23"/>
      <c r="I41" s="23"/>
      <c r="J41" s="23"/>
      <c r="K41" s="23"/>
      <c r="L41" s="24"/>
    </row>
    <row r="42" ht="23.25" customHeight="1">
      <c r="A42" s="25" t="s">
        <v>7</v>
      </c>
      <c r="B42" s="26">
        <v>50.0</v>
      </c>
      <c r="C42" s="27">
        <v>0.0</v>
      </c>
      <c r="D42" s="27"/>
      <c r="E42" s="28"/>
      <c r="F42" s="28"/>
      <c r="G42" s="28"/>
      <c r="H42" s="28"/>
      <c r="I42" s="28"/>
      <c r="J42" s="28"/>
      <c r="K42" s="28"/>
      <c r="L42" s="28"/>
    </row>
    <row r="43" ht="23.25" customHeight="1">
      <c r="A43" s="25" t="s">
        <v>7</v>
      </c>
      <c r="B43" s="26">
        <v>80.0</v>
      </c>
      <c r="C43" s="27">
        <v>0.0</v>
      </c>
      <c r="D43" s="27"/>
      <c r="E43" s="28"/>
      <c r="F43" s="29"/>
      <c r="G43" s="29"/>
      <c r="H43" s="29"/>
      <c r="I43" s="29"/>
      <c r="J43" s="29"/>
      <c r="K43" s="29"/>
      <c r="L43" s="29"/>
    </row>
    <row r="44" ht="23.25" customHeight="1">
      <c r="A44" s="25" t="s">
        <v>7</v>
      </c>
      <c r="B44" s="26">
        <v>100.0</v>
      </c>
      <c r="C44" s="27">
        <v>2.0</v>
      </c>
      <c r="D44" s="27"/>
      <c r="E44" s="28"/>
      <c r="F44" s="29"/>
      <c r="G44" s="28"/>
      <c r="H44" s="29"/>
      <c r="I44" s="29"/>
      <c r="J44" s="29"/>
      <c r="K44" s="29"/>
      <c r="L44" s="29"/>
    </row>
    <row r="45" ht="23.25" customHeight="1">
      <c r="A45" s="25" t="s">
        <v>7</v>
      </c>
      <c r="B45" s="26">
        <v>138.0</v>
      </c>
      <c r="C45" s="27">
        <v>0.0</v>
      </c>
      <c r="D45" s="27"/>
      <c r="E45" s="28"/>
      <c r="F45" s="29"/>
      <c r="G45" s="29"/>
      <c r="H45" s="29"/>
      <c r="I45" s="29"/>
      <c r="J45" s="29"/>
      <c r="K45" s="29"/>
      <c r="L45" s="29"/>
    </row>
    <row r="46" ht="23.25" customHeight="1">
      <c r="A46" s="25" t="s">
        <v>7</v>
      </c>
      <c r="B46" s="26">
        <v>200.0</v>
      </c>
      <c r="C46" s="27">
        <v>22.0</v>
      </c>
      <c r="D46" s="27"/>
      <c r="E46" s="28"/>
      <c r="F46" s="29"/>
      <c r="G46" s="28"/>
      <c r="H46" s="29"/>
      <c r="I46" s="28"/>
      <c r="J46" s="29"/>
      <c r="K46" s="29"/>
      <c r="L46" s="29"/>
    </row>
    <row r="47" ht="23.25" customHeight="1">
      <c r="A47" s="25" t="s">
        <v>7</v>
      </c>
      <c r="B47" s="26">
        <v>250.0</v>
      </c>
      <c r="C47" s="27">
        <v>2.0</v>
      </c>
      <c r="D47" s="27"/>
      <c r="E47" s="28"/>
      <c r="F47" s="29"/>
      <c r="G47" s="28"/>
      <c r="H47" s="29"/>
      <c r="I47" s="28"/>
      <c r="J47" s="29"/>
      <c r="K47" s="29"/>
      <c r="L47" s="29"/>
    </row>
    <row r="48">
      <c r="A48" s="30"/>
      <c r="B48" s="31" t="s">
        <v>48</v>
      </c>
      <c r="C48" s="32">
        <f t="shared" ref="C48:L48" si="38">SUM(C4:C40)</f>
        <v>40</v>
      </c>
      <c r="D48" s="33">
        <f t="shared" si="38"/>
        <v>205</v>
      </c>
      <c r="E48" s="34">
        <f t="shared" si="38"/>
        <v>53</v>
      </c>
      <c r="F48" s="34">
        <f t="shared" si="38"/>
        <v>198</v>
      </c>
      <c r="G48" s="34">
        <f t="shared" si="38"/>
        <v>15</v>
      </c>
      <c r="H48" s="34">
        <f t="shared" si="38"/>
        <v>22</v>
      </c>
      <c r="I48" s="34">
        <f t="shared" si="38"/>
        <v>0</v>
      </c>
      <c r="J48" s="34">
        <f t="shared" si="38"/>
        <v>0</v>
      </c>
      <c r="K48" s="34">
        <f t="shared" si="38"/>
        <v>108</v>
      </c>
      <c r="L48" s="34">
        <f t="shared" si="38"/>
        <v>425</v>
      </c>
    </row>
    <row r="49">
      <c r="A49" s="35"/>
      <c r="B49" s="36" t="s">
        <v>49</v>
      </c>
      <c r="C49" s="37"/>
      <c r="D49" s="38">
        <f>SUM(C48:D48)</f>
        <v>245</v>
      </c>
      <c r="E49" s="18"/>
      <c r="F49" s="18">
        <f>E48+F48</f>
        <v>251</v>
      </c>
      <c r="G49" s="18"/>
      <c r="H49" s="18">
        <f>G48+H48</f>
        <v>37</v>
      </c>
      <c r="I49" s="18"/>
      <c r="J49" s="18"/>
      <c r="K49" s="18"/>
      <c r="L49" s="18">
        <f>K48+L48</f>
        <v>533</v>
      </c>
    </row>
  </sheetData>
  <mergeCells count="7">
    <mergeCell ref="C1:D1"/>
    <mergeCell ref="E1:F1"/>
    <mergeCell ref="G1:H1"/>
    <mergeCell ref="I1:J1"/>
    <mergeCell ref="K1:L1"/>
    <mergeCell ref="B3:L3"/>
    <mergeCell ref="B41:L41"/>
  </mergeCells>
  <drawing r:id="rId1"/>
</worksheet>
</file>